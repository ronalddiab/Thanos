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8_{CA8572B8-E4C6-4773-99FF-3A4DE7479CB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9" i="1" l="1"/>
  <c r="AM17" i="1"/>
  <c r="AM18" i="1"/>
  <c r="AM19" i="1"/>
  <c r="AM20" i="1"/>
  <c r="AM21" i="1"/>
  <c r="AM22" i="1"/>
  <c r="AM23" i="1"/>
  <c r="AM16" i="1"/>
  <c r="AG4" i="1"/>
  <c r="AT12" i="1"/>
  <c r="AR12" i="1"/>
  <c r="Q12" i="1"/>
  <c r="S12" i="1"/>
  <c r="BK33" i="1"/>
  <c r="BK32" i="1"/>
  <c r="BI8" i="1"/>
  <c r="AI4" i="1"/>
  <c r="AK4" i="1"/>
  <c r="AM4" i="1"/>
  <c r="AO4" i="1"/>
  <c r="BY4" i="1"/>
  <c r="BW4" i="1"/>
  <c r="BU4" i="1"/>
  <c r="BS4" i="1"/>
  <c r="BQ4" i="1"/>
  <c r="BO4" i="1"/>
  <c r="BM4" i="1"/>
  <c r="BK4" i="1"/>
  <c r="BI4" i="1"/>
  <c r="BF4" i="1"/>
  <c r="BD4" i="1"/>
  <c r="BB4" i="1"/>
  <c r="AZ4" i="1"/>
  <c r="AX4" i="1"/>
  <c r="AV4" i="1"/>
  <c r="AT4" i="1"/>
  <c r="AR4" i="1"/>
  <c r="AD4" i="1"/>
  <c r="AB4" i="1"/>
  <c r="Z4" i="1"/>
  <c r="X4" i="1"/>
  <c r="V4" i="1"/>
  <c r="S4" i="1"/>
  <c r="Q4" i="1"/>
  <c r="O4" i="1"/>
  <c r="L4" i="1"/>
  <c r="J4" i="1"/>
  <c r="G4" i="1"/>
  <c r="E4" i="1"/>
  <c r="C4" i="1"/>
  <c r="Z18" i="1"/>
  <c r="X18" i="1"/>
  <c r="AG15" i="1"/>
  <c r="AI15" i="1"/>
  <c r="AK15" i="1"/>
  <c r="AM15" i="1"/>
  <c r="BB11" i="1"/>
  <c r="BD11" i="1"/>
  <c r="BF11" i="1"/>
  <c r="AG9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W36" i="1" s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5" i="1"/>
  <c r="BI6" i="1"/>
  <c r="BI7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5" i="1"/>
  <c r="L10" i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BY36" i="1"/>
  <c r="BY38" i="1" s="1"/>
  <c r="BY39" i="1" s="1"/>
  <c r="BW38" i="1"/>
  <c r="BW39" i="1" s="1"/>
  <c r="BU36" i="1"/>
  <c r="BS36" i="1"/>
  <c r="BS38" i="1" s="1"/>
  <c r="BS39" i="1" s="1"/>
  <c r="BQ36" i="1"/>
  <c r="BQ38" i="1" s="1"/>
  <c r="BQ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Z5" i="1"/>
  <c r="AX5" i="1"/>
  <c r="AV5" i="1"/>
  <c r="AT5" i="1"/>
  <c r="AR6" i="1"/>
  <c r="AR10" i="1"/>
  <c r="AD5" i="1"/>
  <c r="BU38" i="1" l="1"/>
  <c r="BU39" i="1" s="1"/>
  <c r="AE38" i="1"/>
  <c r="O5" i="1"/>
  <c r="C5" i="1"/>
  <c r="C33" i="1" l="1"/>
  <c r="AB20" i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7" i="1"/>
  <c r="AB8" i="1"/>
  <c r="AB9" i="1"/>
  <c r="AB10" i="1"/>
  <c r="AB11" i="1"/>
  <c r="AB12" i="1"/>
  <c r="AB13" i="1"/>
  <c r="AB18" i="1"/>
  <c r="AB23" i="1"/>
  <c r="AB24" i="1"/>
  <c r="AB25" i="1"/>
  <c r="AB26" i="1"/>
  <c r="AB27" i="1"/>
  <c r="AB28" i="1"/>
  <c r="AB29" i="1"/>
  <c r="AB32" i="1"/>
  <c r="AB33" i="1"/>
  <c r="Z6" i="1"/>
  <c r="Z7" i="1"/>
  <c r="Z8" i="1"/>
  <c r="Z9" i="1"/>
  <c r="Z10" i="1"/>
  <c r="Z11" i="1"/>
  <c r="Z12" i="1"/>
  <c r="Z13" i="1"/>
  <c r="Z14" i="1"/>
  <c r="Z15" i="1"/>
  <c r="Z16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5" i="1"/>
  <c r="J6" i="1"/>
  <c r="J7" i="1"/>
  <c r="J8" i="1"/>
  <c r="J11" i="1"/>
  <c r="J12" i="1"/>
  <c r="J13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5" i="1"/>
  <c r="I9" i="1" s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7" i="1"/>
  <c r="AM8" i="1"/>
  <c r="AM9" i="1"/>
  <c r="AM11" i="1"/>
  <c r="AM12" i="1"/>
  <c r="AM13" i="1"/>
  <c r="AM14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7" i="1"/>
  <c r="AI8" i="1"/>
  <c r="AI9" i="1"/>
  <c r="AI10" i="1"/>
  <c r="AI11" i="1"/>
  <c r="AI12" i="1"/>
  <c r="AI13" i="1"/>
  <c r="AI14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7" i="1"/>
  <c r="AG8" i="1"/>
  <c r="AG10" i="1"/>
  <c r="AG11" i="1"/>
  <c r="AG12" i="1"/>
  <c r="AG13" i="1"/>
  <c r="AG14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3" i="1"/>
  <c r="X14" i="1"/>
  <c r="X15" i="1"/>
  <c r="X16" i="1"/>
  <c r="X17" i="1"/>
  <c r="X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S6" i="1"/>
  <c r="S7" i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4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L36" i="1" l="1"/>
  <c r="L38" i="1" s="1"/>
  <c r="L39" i="1" s="1"/>
  <c r="AO36" i="1"/>
  <c r="AO38" i="1" s="1"/>
  <c r="AO39" i="1" s="1"/>
  <c r="S36" i="1"/>
  <c r="S38" i="1" s="1"/>
  <c r="S39" i="1" s="1"/>
  <c r="Q36" i="1"/>
  <c r="Q38" i="1" s="1"/>
  <c r="Q39" i="1" s="1"/>
  <c r="O36" i="1"/>
  <c r="O38" i="1" s="1"/>
  <c r="O39" i="1" s="1"/>
  <c r="G36" i="1"/>
  <c r="G38" i="1" s="1"/>
  <c r="G39" i="1" s="1"/>
  <c r="C36" i="1"/>
  <c r="C38" i="1" s="1"/>
  <c r="C39" i="1" s="1"/>
  <c r="E36" i="1"/>
  <c r="E38" i="1" s="1"/>
  <c r="E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AB36" i="1" l="1"/>
  <c r="AB38" i="1" s="1"/>
  <c r="AB39" i="1" s="1"/>
  <c r="AK28" i="1"/>
  <c r="AK6" i="1"/>
  <c r="AK7" i="1"/>
  <c r="AJ16" i="1" l="1"/>
  <c r="AK29" i="1"/>
  <c r="AZ17" i="1"/>
  <c r="AZ18" i="1"/>
  <c r="AK16" i="1" l="1"/>
  <c r="AK17" i="1"/>
  <c r="AZ36" i="1"/>
  <c r="AZ38" i="1" s="1"/>
  <c r="AZ39" i="1" s="1"/>
  <c r="J10" i="1"/>
  <c r="J9" i="1"/>
  <c r="J14" i="1"/>
  <c r="J15" i="1"/>
  <c r="AK36" i="1" l="1"/>
  <c r="AK38" i="1" s="1"/>
  <c r="AK39" i="1" s="1"/>
  <c r="J36" i="1"/>
  <c r="J38" i="1" s="1"/>
  <c r="J39" i="1" s="1"/>
</calcChain>
</file>

<file path=xl/sharedStrings.xml><?xml version="1.0" encoding="utf-8"?>
<sst xmlns="http://schemas.openxmlformats.org/spreadsheetml/2006/main" count="86" uniqueCount="44">
  <si>
    <t>Date</t>
  </si>
  <si>
    <t>Electric (KWH)</t>
  </si>
  <si>
    <t>Gas (Therm)</t>
  </si>
  <si>
    <t>Water (FT3), (THR), (MMBTU)</t>
  </si>
  <si>
    <t>Anthropologie (KWH, BTU )</t>
  </si>
  <si>
    <t>Bygone</t>
  </si>
  <si>
    <t>AHU 1</t>
  </si>
  <si>
    <t>AHU 2</t>
  </si>
  <si>
    <t>AHU 3</t>
  </si>
  <si>
    <t>AHU 4</t>
  </si>
  <si>
    <t>Maximon Meters</t>
  </si>
  <si>
    <t>Engineer</t>
  </si>
  <si>
    <t>Meter 1</t>
  </si>
  <si>
    <t>Consumption</t>
  </si>
  <si>
    <t>Meter 2</t>
  </si>
  <si>
    <t>Meter 3</t>
  </si>
  <si>
    <t>Mina</t>
  </si>
  <si>
    <t>Main</t>
  </si>
  <si>
    <t>Main (FT3)</t>
  </si>
  <si>
    <t>Hot (MMBTU)</t>
  </si>
  <si>
    <t>Chilled (THR)</t>
  </si>
  <si>
    <t>Electric      Main</t>
  </si>
  <si>
    <t>Electric    Chilled</t>
  </si>
  <si>
    <t>Electric        Hot</t>
  </si>
  <si>
    <t>Chilled BTU</t>
  </si>
  <si>
    <t>Heating BTU</t>
  </si>
  <si>
    <t>Heat</t>
  </si>
  <si>
    <t>Chilled</t>
  </si>
  <si>
    <t>Gas</t>
  </si>
  <si>
    <t xml:space="preserve">Water </t>
  </si>
  <si>
    <t>Electric</t>
  </si>
  <si>
    <t>Electric #70</t>
  </si>
  <si>
    <t>Electric #69</t>
  </si>
  <si>
    <t>Electric #67</t>
  </si>
  <si>
    <t>Electric #68</t>
  </si>
  <si>
    <t>Electric #63</t>
  </si>
  <si>
    <t>Electric #64</t>
  </si>
  <si>
    <t>Electric #66</t>
  </si>
  <si>
    <t>Electric #65</t>
  </si>
  <si>
    <t>Water</t>
  </si>
  <si>
    <t>Total</t>
  </si>
  <si>
    <t>October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</si>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</sst>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5" fillId="3" borderId="2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39"/>
  <sheetViews>
    <sheetView tabSelected="1" topLeftCell="AU1" zoomScale="55" zoomScaleNormal="55" workbookViewId="0">
      <pane ySplit="1" topLeftCell="AX27" activePane="bottomLeft" state="frozen"/>
      <selection pane="bottomLeft" activeCell="AY33" sqref="AY33"/>
      <selection activeCell="W1" sqref="W1"/>
    </sheetView>
  </sheetViews>
  <sheetFormatPr defaultRowHeight="15"/>
  <cols>
    <col min="1" max="1" width="12.425781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0" max="60" width="9.85546875" bestFit="1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0.8554687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48" customFormat="1" ht="15.75" customHeight="1">
      <c r="A1" s="68" t="s">
        <v>0</v>
      </c>
      <c r="B1" s="80" t="s">
        <v>1</v>
      </c>
      <c r="C1" s="81"/>
      <c r="D1" s="81"/>
      <c r="E1" s="81"/>
      <c r="F1" s="81"/>
      <c r="G1" s="82"/>
      <c r="H1" s="1"/>
      <c r="I1" s="77" t="s">
        <v>2</v>
      </c>
      <c r="J1" s="78"/>
      <c r="K1" s="78"/>
      <c r="L1" s="79"/>
      <c r="M1" s="1"/>
      <c r="N1" s="83" t="s">
        <v>3</v>
      </c>
      <c r="O1" s="84"/>
      <c r="P1" s="84"/>
      <c r="Q1" s="84"/>
      <c r="R1" s="84"/>
      <c r="S1" s="85"/>
      <c r="T1" s="5"/>
      <c r="U1" s="65" t="s">
        <v>4</v>
      </c>
      <c r="V1" s="66"/>
      <c r="W1" s="66"/>
      <c r="X1" s="66"/>
      <c r="Y1" s="66"/>
      <c r="Z1" s="66"/>
      <c r="AA1" s="66"/>
      <c r="AB1" s="66"/>
      <c r="AC1" s="66"/>
      <c r="AD1" s="67"/>
      <c r="AE1" s="5"/>
      <c r="AF1" s="71" t="s">
        <v>5</v>
      </c>
      <c r="AG1" s="72"/>
      <c r="AH1" s="72"/>
      <c r="AI1" s="72"/>
      <c r="AJ1" s="72"/>
      <c r="AK1" s="72"/>
      <c r="AL1" s="72"/>
      <c r="AM1" s="72"/>
      <c r="AN1" s="73"/>
      <c r="AO1" s="6"/>
      <c r="AP1" s="5"/>
      <c r="AQ1" s="63" t="s">
        <v>6</v>
      </c>
      <c r="AR1" s="64"/>
      <c r="AS1" s="64"/>
      <c r="AT1" s="64"/>
      <c r="AU1" s="63" t="s">
        <v>7</v>
      </c>
      <c r="AV1" s="64"/>
      <c r="AW1" s="64"/>
      <c r="AX1" s="64"/>
      <c r="AY1" s="63" t="s">
        <v>8</v>
      </c>
      <c r="AZ1" s="64"/>
      <c r="BA1" s="64"/>
      <c r="BB1" s="64"/>
      <c r="BC1" s="63" t="s">
        <v>9</v>
      </c>
      <c r="BD1" s="64"/>
      <c r="BE1" s="64"/>
      <c r="BF1" s="64"/>
      <c r="BG1" s="5"/>
      <c r="BH1" s="57" t="s">
        <v>10</v>
      </c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9"/>
      <c r="BZ1" s="5"/>
      <c r="CA1" s="68" t="s">
        <v>11</v>
      </c>
    </row>
    <row r="2" spans="1:79" ht="15" customHeight="1">
      <c r="A2" s="69"/>
      <c r="B2" s="55" t="s">
        <v>12</v>
      </c>
      <c r="C2" s="55" t="s">
        <v>13</v>
      </c>
      <c r="D2" s="55" t="s">
        <v>14</v>
      </c>
      <c r="E2" s="55" t="s">
        <v>13</v>
      </c>
      <c r="F2" s="55" t="s">
        <v>15</v>
      </c>
      <c r="G2" s="55" t="s">
        <v>13</v>
      </c>
      <c r="H2" s="2"/>
      <c r="I2" s="76" t="s">
        <v>16</v>
      </c>
      <c r="J2" s="55" t="s">
        <v>13</v>
      </c>
      <c r="K2" s="76" t="s">
        <v>17</v>
      </c>
      <c r="L2" s="55" t="s">
        <v>13</v>
      </c>
      <c r="M2" s="3"/>
      <c r="N2" s="74" t="s">
        <v>18</v>
      </c>
      <c r="O2" s="55" t="s">
        <v>13</v>
      </c>
      <c r="P2" s="74" t="s">
        <v>19</v>
      </c>
      <c r="Q2" s="55" t="s">
        <v>13</v>
      </c>
      <c r="R2" s="74" t="s">
        <v>20</v>
      </c>
      <c r="S2" s="55" t="s">
        <v>13</v>
      </c>
      <c r="T2" s="3"/>
      <c r="U2" s="53" t="s">
        <v>21</v>
      </c>
      <c r="V2" s="55" t="s">
        <v>13</v>
      </c>
      <c r="W2" s="75" t="s">
        <v>22</v>
      </c>
      <c r="X2" s="55" t="s">
        <v>13</v>
      </c>
      <c r="Y2" s="75" t="s">
        <v>23</v>
      </c>
      <c r="Z2" s="55" t="s">
        <v>13</v>
      </c>
      <c r="AA2" s="53" t="s">
        <v>24</v>
      </c>
      <c r="AB2" s="55" t="s">
        <v>13</v>
      </c>
      <c r="AC2" s="53" t="s">
        <v>25</v>
      </c>
      <c r="AD2" s="55" t="s">
        <v>13</v>
      </c>
      <c r="AE2" s="3"/>
      <c r="AF2" s="55" t="s">
        <v>26</v>
      </c>
      <c r="AG2" s="55" t="s">
        <v>13</v>
      </c>
      <c r="AH2" s="55" t="s">
        <v>27</v>
      </c>
      <c r="AI2" s="55" t="s">
        <v>13</v>
      </c>
      <c r="AJ2" s="55" t="s">
        <v>28</v>
      </c>
      <c r="AK2" s="55" t="s">
        <v>13</v>
      </c>
      <c r="AL2" s="55" t="s">
        <v>29</v>
      </c>
      <c r="AM2" s="55" t="s">
        <v>13</v>
      </c>
      <c r="AN2" s="55" t="s">
        <v>30</v>
      </c>
      <c r="AO2" s="55" t="s">
        <v>13</v>
      </c>
      <c r="AP2" s="3"/>
      <c r="AQ2" s="53" t="s">
        <v>24</v>
      </c>
      <c r="AR2" s="55" t="s">
        <v>13</v>
      </c>
      <c r="AS2" s="53" t="s">
        <v>25</v>
      </c>
      <c r="AT2" s="55" t="s">
        <v>13</v>
      </c>
      <c r="AU2" s="53" t="s">
        <v>24</v>
      </c>
      <c r="AV2" s="55" t="s">
        <v>13</v>
      </c>
      <c r="AW2" s="53" t="s">
        <v>25</v>
      </c>
      <c r="AX2" s="55" t="s">
        <v>13</v>
      </c>
      <c r="AY2" s="53" t="s">
        <v>24</v>
      </c>
      <c r="AZ2" s="55" t="s">
        <v>13</v>
      </c>
      <c r="BA2" s="53" t="s">
        <v>25</v>
      </c>
      <c r="BB2" s="55" t="s">
        <v>13</v>
      </c>
      <c r="BC2" s="53" t="s">
        <v>24</v>
      </c>
      <c r="BD2" s="55" t="s">
        <v>13</v>
      </c>
      <c r="BE2" s="53" t="s">
        <v>25</v>
      </c>
      <c r="BF2" s="55" t="s">
        <v>13</v>
      </c>
      <c r="BG2" s="3"/>
      <c r="BH2" s="53" t="s">
        <v>31</v>
      </c>
      <c r="BI2" s="55" t="s">
        <v>13</v>
      </c>
      <c r="BJ2" s="53" t="s">
        <v>32</v>
      </c>
      <c r="BK2" s="55" t="s">
        <v>13</v>
      </c>
      <c r="BL2" s="53" t="s">
        <v>33</v>
      </c>
      <c r="BM2" s="55" t="s">
        <v>13</v>
      </c>
      <c r="BN2" s="53" t="s">
        <v>34</v>
      </c>
      <c r="BO2" s="55" t="s">
        <v>13</v>
      </c>
      <c r="BP2" s="53" t="s">
        <v>35</v>
      </c>
      <c r="BQ2" s="55" t="s">
        <v>13</v>
      </c>
      <c r="BR2" s="53" t="s">
        <v>36</v>
      </c>
      <c r="BS2" s="55" t="s">
        <v>13</v>
      </c>
      <c r="BT2" s="53" t="s">
        <v>37</v>
      </c>
      <c r="BU2" s="55" t="s">
        <v>13</v>
      </c>
      <c r="BV2" s="53" t="s">
        <v>38</v>
      </c>
      <c r="BW2" s="55" t="s">
        <v>13</v>
      </c>
      <c r="BX2" s="53" t="s">
        <v>39</v>
      </c>
      <c r="BY2" s="55" t="s">
        <v>13</v>
      </c>
      <c r="BZ2" s="3"/>
      <c r="CA2" s="69"/>
    </row>
    <row r="3" spans="1:79" ht="15" customHeight="1">
      <c r="A3" s="70"/>
      <c r="B3" s="56"/>
      <c r="C3" s="56"/>
      <c r="D3" s="56"/>
      <c r="E3" s="56"/>
      <c r="F3" s="56"/>
      <c r="G3" s="56"/>
      <c r="H3" s="2"/>
      <c r="I3" s="76"/>
      <c r="J3" s="56"/>
      <c r="K3" s="76"/>
      <c r="L3" s="56"/>
      <c r="M3" s="4"/>
      <c r="N3" s="56"/>
      <c r="O3" s="56"/>
      <c r="P3" s="56"/>
      <c r="Q3" s="56"/>
      <c r="R3" s="56"/>
      <c r="S3" s="56"/>
      <c r="T3" s="4"/>
      <c r="U3" s="54"/>
      <c r="V3" s="56"/>
      <c r="W3" s="54"/>
      <c r="X3" s="56"/>
      <c r="Y3" s="54"/>
      <c r="Z3" s="56"/>
      <c r="AA3" s="54"/>
      <c r="AB3" s="56"/>
      <c r="AC3" s="54"/>
      <c r="AD3" s="56"/>
      <c r="AE3" s="4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4"/>
      <c r="AQ3" s="54"/>
      <c r="AR3" s="56"/>
      <c r="AS3" s="54"/>
      <c r="AT3" s="56"/>
      <c r="AU3" s="54"/>
      <c r="AV3" s="56"/>
      <c r="AW3" s="54"/>
      <c r="AX3" s="56"/>
      <c r="AY3" s="54"/>
      <c r="AZ3" s="56"/>
      <c r="BA3" s="54"/>
      <c r="BB3" s="56"/>
      <c r="BC3" s="54"/>
      <c r="BD3" s="56"/>
      <c r="BE3" s="54"/>
      <c r="BF3" s="56"/>
      <c r="BG3" s="4"/>
      <c r="BH3" s="54"/>
      <c r="BI3" s="56"/>
      <c r="BJ3" s="54"/>
      <c r="BK3" s="56"/>
      <c r="BL3" s="54"/>
      <c r="BM3" s="56"/>
      <c r="BN3" s="54"/>
      <c r="BO3" s="56"/>
      <c r="BP3" s="54"/>
      <c r="BQ3" s="56"/>
      <c r="BR3" s="54"/>
      <c r="BS3" s="56"/>
      <c r="BT3" s="54"/>
      <c r="BU3" s="56"/>
      <c r="BV3" s="54"/>
      <c r="BW3" s="56"/>
      <c r="BX3" s="54"/>
      <c r="BY3" s="56"/>
      <c r="BZ3" s="4"/>
      <c r="CA3" s="70"/>
    </row>
    <row r="4" spans="1:79" ht="24.75" customHeight="1">
      <c r="A4" s="11">
        <v>44866</v>
      </c>
      <c r="B4" s="7">
        <v>853989</v>
      </c>
      <c r="C4" s="7">
        <f>B4-852083</f>
        <v>1906</v>
      </c>
      <c r="D4" s="7">
        <v>31470195</v>
      </c>
      <c r="E4" s="7">
        <f>D4-31466271</f>
        <v>3924</v>
      </c>
      <c r="F4" s="7">
        <v>8869130</v>
      </c>
      <c r="G4" s="7">
        <f>F4-8867465</f>
        <v>1665</v>
      </c>
      <c r="H4" s="12"/>
      <c r="I4" s="7">
        <v>2408</v>
      </c>
      <c r="J4" s="13">
        <f>I4-2349</f>
        <v>59</v>
      </c>
      <c r="K4" s="7">
        <v>22106</v>
      </c>
      <c r="L4" s="7">
        <f>K4-22103</f>
        <v>3</v>
      </c>
      <c r="M4" s="12"/>
      <c r="N4" s="7">
        <v>65023</v>
      </c>
      <c r="O4" s="13">
        <f>(N4-65014)*1000/7.48</f>
        <v>1203.2085561497327</v>
      </c>
      <c r="P4" s="13">
        <v>242661</v>
      </c>
      <c r="Q4" s="13">
        <f>P4-242641</f>
        <v>20</v>
      </c>
      <c r="R4" s="13">
        <v>54462103</v>
      </c>
      <c r="S4" s="13">
        <f>R4-54459652</f>
        <v>2451</v>
      </c>
      <c r="T4" s="14"/>
      <c r="U4" s="7">
        <v>72146</v>
      </c>
      <c r="V4" s="7">
        <f>U4-72002</f>
        <v>144</v>
      </c>
      <c r="W4" s="49">
        <v>2263</v>
      </c>
      <c r="X4" s="7">
        <f>W4-2269</f>
        <v>-6</v>
      </c>
      <c r="Y4" s="7">
        <v>885</v>
      </c>
      <c r="Z4" s="7">
        <f>Y4-881</f>
        <v>4</v>
      </c>
      <c r="AA4" s="49">
        <v>857685</v>
      </c>
      <c r="AB4" s="7">
        <f>(AA4-857989)*10000</f>
        <v>-3040000</v>
      </c>
      <c r="AC4" s="49">
        <v>372686</v>
      </c>
      <c r="AD4" s="7">
        <f>(AC4-372989)*10000</f>
        <v>-3030000</v>
      </c>
      <c r="AE4" s="14"/>
      <c r="AF4" s="7">
        <v>67217</v>
      </c>
      <c r="AG4" s="7">
        <f>AF4-67217</f>
        <v>0</v>
      </c>
      <c r="AH4" s="13">
        <v>253194</v>
      </c>
      <c r="AI4" s="15">
        <f>AH4-253103</f>
        <v>91</v>
      </c>
      <c r="AJ4" s="15">
        <v>12025405</v>
      </c>
      <c r="AK4" s="15">
        <f>AJ4-12022946</f>
        <v>2459</v>
      </c>
      <c r="AL4" s="13">
        <v>29049</v>
      </c>
      <c r="AM4" s="13">
        <f>AL4-29048</f>
        <v>1</v>
      </c>
      <c r="AN4" s="13">
        <v>11770</v>
      </c>
      <c r="AO4" s="13">
        <f>AN4-11385</f>
        <v>385</v>
      </c>
      <c r="AP4" s="14"/>
      <c r="AQ4" s="21">
        <v>643769</v>
      </c>
      <c r="AR4" s="21">
        <f>(AQ4-643692)*10000</f>
        <v>770000</v>
      </c>
      <c r="AS4" s="21">
        <v>234978</v>
      </c>
      <c r="AT4" s="21">
        <f>(AS4-234978)*10000</f>
        <v>0</v>
      </c>
      <c r="AU4" s="21">
        <v>98688</v>
      </c>
      <c r="AV4" s="21">
        <f>(AU4-98656)*10000</f>
        <v>320000</v>
      </c>
      <c r="AW4" s="21">
        <v>269541</v>
      </c>
      <c r="AX4" s="21">
        <f>(AW4-269541)*10000</f>
        <v>0</v>
      </c>
      <c r="AY4" s="21">
        <v>487433</v>
      </c>
      <c r="AZ4" s="21">
        <f>(AY4-487428)*10000</f>
        <v>50000</v>
      </c>
      <c r="BA4" s="21">
        <v>19321</v>
      </c>
      <c r="BB4" s="21">
        <f>(BA4-19321)*10000</f>
        <v>0</v>
      </c>
      <c r="BC4" s="21">
        <v>485408</v>
      </c>
      <c r="BD4" s="21">
        <f>(BC4-485403)*10000</f>
        <v>50000</v>
      </c>
      <c r="BE4" s="21">
        <v>124015</v>
      </c>
      <c r="BF4" s="21">
        <f>(BE4-124015)*10000</f>
        <v>0</v>
      </c>
      <c r="BG4" s="14"/>
      <c r="BH4" s="21">
        <v>1073270</v>
      </c>
      <c r="BI4" s="21">
        <f>(BH4-1072912)</f>
        <v>358</v>
      </c>
      <c r="BJ4" s="21">
        <v>579576</v>
      </c>
      <c r="BK4" s="21">
        <f>(BJ4-579370)</f>
        <v>206</v>
      </c>
      <c r="BL4" s="21">
        <v>293393</v>
      </c>
      <c r="BM4" s="21">
        <f>(BL4-293319)</f>
        <v>74</v>
      </c>
      <c r="BN4" s="21">
        <v>159647</v>
      </c>
      <c r="BO4" s="21">
        <f>(BN4-159593)</f>
        <v>54</v>
      </c>
      <c r="BP4" s="21">
        <v>148777</v>
      </c>
      <c r="BQ4" s="21">
        <f>(BP4-148762)</f>
        <v>15</v>
      </c>
      <c r="BR4" s="21">
        <v>90882</v>
      </c>
      <c r="BS4" s="21">
        <f>(BR4-90877)</f>
        <v>5</v>
      </c>
      <c r="BT4" s="21">
        <v>513074</v>
      </c>
      <c r="BU4" s="21">
        <f>(BT4-513034)</f>
        <v>40</v>
      </c>
      <c r="BV4" s="21">
        <v>2885</v>
      </c>
      <c r="BW4" s="21">
        <f>(BV4-2884)</f>
        <v>1</v>
      </c>
      <c r="BX4" s="21">
        <v>379054</v>
      </c>
      <c r="BY4" s="21">
        <f>(BX4-379049)</f>
        <v>5</v>
      </c>
      <c r="BZ4" s="14"/>
      <c r="CA4" s="7"/>
    </row>
    <row r="5" spans="1:79" ht="23.25" customHeight="1">
      <c r="A5" s="11">
        <f>A4+1</f>
        <v>44867</v>
      </c>
      <c r="B5" s="7">
        <v>857870</v>
      </c>
      <c r="C5" s="7">
        <f>B5-B4</f>
        <v>3881</v>
      </c>
      <c r="D5" s="7">
        <v>31478940</v>
      </c>
      <c r="E5" s="7">
        <f>D5-D4</f>
        <v>8745</v>
      </c>
      <c r="F5" s="8">
        <v>8872676</v>
      </c>
      <c r="G5" s="8">
        <f>F5-F4</f>
        <v>3546</v>
      </c>
      <c r="H5" s="16"/>
      <c r="I5" s="7">
        <v>2498</v>
      </c>
      <c r="J5" s="13">
        <f>(I5-I4)*1.129</f>
        <v>101.61</v>
      </c>
      <c r="K5" s="7">
        <v>22113</v>
      </c>
      <c r="L5" s="13">
        <f>(K5-K4)*1.129</f>
        <v>7.9030000000000005</v>
      </c>
      <c r="M5" s="12"/>
      <c r="N5" s="7">
        <v>65058</v>
      </c>
      <c r="O5" s="13">
        <f>(N5-N4)*1000/7.48</f>
        <v>4679.1443850267378</v>
      </c>
      <c r="P5" s="7">
        <v>242708</v>
      </c>
      <c r="Q5" s="13">
        <f>P5-P4</f>
        <v>47</v>
      </c>
      <c r="R5" s="7">
        <v>54468907</v>
      </c>
      <c r="S5" s="13">
        <f>R5-R4</f>
        <v>6804</v>
      </c>
      <c r="T5" s="12"/>
      <c r="U5" s="7">
        <v>72491</v>
      </c>
      <c r="V5" s="7">
        <f>U5-U4</f>
        <v>345</v>
      </c>
      <c r="W5" s="7">
        <v>2278</v>
      </c>
      <c r="X5" s="7">
        <f>W5-W4</f>
        <v>15</v>
      </c>
      <c r="Y5" s="7">
        <v>896</v>
      </c>
      <c r="Z5" s="7">
        <f>(Y5-Y4)</f>
        <v>11</v>
      </c>
      <c r="AA5" s="7">
        <v>857922</v>
      </c>
      <c r="AB5" s="7">
        <f>(AA5-AA4)*10000</f>
        <v>2370000</v>
      </c>
      <c r="AC5" s="7">
        <v>372796</v>
      </c>
      <c r="AD5" s="7">
        <f>(AC5-AC4)*10000</f>
        <v>1100000</v>
      </c>
      <c r="AE5" s="12"/>
      <c r="AF5" s="7">
        <v>67217</v>
      </c>
      <c r="AG5" s="7">
        <f>AF5-AF4</f>
        <v>0</v>
      </c>
      <c r="AH5" s="7">
        <v>253358</v>
      </c>
      <c r="AI5" s="13">
        <f>AH5-AH4</f>
        <v>164</v>
      </c>
      <c r="AJ5" s="7">
        <v>12031030</v>
      </c>
      <c r="AK5" s="13">
        <f>AJ5-AJ4</f>
        <v>5625</v>
      </c>
      <c r="AL5" s="7">
        <v>29050</v>
      </c>
      <c r="AM5" s="13">
        <f>AL5-AL4</f>
        <v>1</v>
      </c>
      <c r="AN5" s="7">
        <v>12488</v>
      </c>
      <c r="AO5" s="13">
        <f>AN5-AN4</f>
        <v>718</v>
      </c>
      <c r="AP5" s="12"/>
      <c r="AQ5" s="21">
        <v>643773</v>
      </c>
      <c r="AR5" s="21">
        <f>(AQ5-AQ4)*10000</f>
        <v>40000</v>
      </c>
      <c r="AS5" s="21">
        <v>234978</v>
      </c>
      <c r="AT5" s="21">
        <f>(AS5-AS4)*10000</f>
        <v>0</v>
      </c>
      <c r="AU5" s="21">
        <v>98872</v>
      </c>
      <c r="AV5" s="21">
        <f>(AU5-AU4)*10000</f>
        <v>1840000</v>
      </c>
      <c r="AW5" s="21">
        <v>269541</v>
      </c>
      <c r="AX5" s="21">
        <f>(AW5-AW4)*10000</f>
        <v>0</v>
      </c>
      <c r="AY5" s="21">
        <v>487500</v>
      </c>
      <c r="AZ5" s="21">
        <f>(AY5-AY4)*10000</f>
        <v>670000</v>
      </c>
      <c r="BA5" s="21">
        <v>19321</v>
      </c>
      <c r="BB5" s="21">
        <f>(BA5-BA4)*10000</f>
        <v>0</v>
      </c>
      <c r="BC5" s="21">
        <v>485421</v>
      </c>
      <c r="BD5" s="21">
        <f>(BC5-BC4)*10000</f>
        <v>130000</v>
      </c>
      <c r="BE5" s="21">
        <v>124015</v>
      </c>
      <c r="BF5" s="21">
        <f>(BE5-BE4)*10000</f>
        <v>0</v>
      </c>
      <c r="BG5" s="12"/>
      <c r="BH5" s="21">
        <v>1074083</v>
      </c>
      <c r="BI5" s="21">
        <f>(BH5-BH4)</f>
        <v>813</v>
      </c>
      <c r="BJ5" s="21">
        <v>580098</v>
      </c>
      <c r="BK5" s="21">
        <f>(BJ5-BJ4)</f>
        <v>522</v>
      </c>
      <c r="BL5" s="21">
        <v>293575</v>
      </c>
      <c r="BM5" s="21">
        <f>(BL5-BL4)</f>
        <v>182</v>
      </c>
      <c r="BN5" s="21">
        <v>159796</v>
      </c>
      <c r="BO5" s="21">
        <f>(BN5-BN4)</f>
        <v>149</v>
      </c>
      <c r="BP5" s="21">
        <v>148825</v>
      </c>
      <c r="BQ5" s="21">
        <f>(BP5-BP4)</f>
        <v>48</v>
      </c>
      <c r="BR5" s="21">
        <v>90899</v>
      </c>
      <c r="BS5" s="21">
        <f>(BR5-BR4)</f>
        <v>17</v>
      </c>
      <c r="BT5" s="21">
        <v>513183</v>
      </c>
      <c r="BU5" s="21">
        <f>(BT5-BT4)</f>
        <v>109</v>
      </c>
      <c r="BV5" s="21">
        <v>2886</v>
      </c>
      <c r="BW5" s="21">
        <f>(BV5-BV4)</f>
        <v>1</v>
      </c>
      <c r="BX5" s="21">
        <v>379065</v>
      </c>
      <c r="BY5" s="21">
        <f>(BX5-BX4)</f>
        <v>11</v>
      </c>
      <c r="BZ5" s="12"/>
      <c r="CA5" s="7"/>
    </row>
    <row r="6" spans="1:79" ht="24" customHeight="1">
      <c r="A6" s="11">
        <f t="shared" ref="A6:A33" si="0">A5+1</f>
        <v>44868</v>
      </c>
      <c r="B6" s="9">
        <v>861573</v>
      </c>
      <c r="C6" s="7">
        <f t="shared" ref="C6:C33" si="1">B6-B5</f>
        <v>3703</v>
      </c>
      <c r="D6" s="7">
        <v>31487039</v>
      </c>
      <c r="E6" s="7">
        <f t="shared" ref="E6:E33" si="2">D6-D5</f>
        <v>8099</v>
      </c>
      <c r="F6" s="8">
        <v>8875924</v>
      </c>
      <c r="G6" s="8">
        <f t="shared" ref="G6:G33" si="3">F6-F5</f>
        <v>3248</v>
      </c>
      <c r="H6" s="16"/>
      <c r="I6" s="7">
        <v>2590</v>
      </c>
      <c r="J6" s="13">
        <f t="shared" ref="J6:J33" si="4">(I6-I5)*1.129</f>
        <v>103.86799999999999</v>
      </c>
      <c r="K6" s="7">
        <v>22119</v>
      </c>
      <c r="L6" s="13">
        <f t="shared" ref="L6:L33" si="5">(K6-K5)*1.129</f>
        <v>6.774</v>
      </c>
      <c r="M6" s="12"/>
      <c r="N6" s="7">
        <v>65095</v>
      </c>
      <c r="O6" s="13">
        <f t="shared" ref="O6:O33" si="6">(N6-N5)*1000/7.48</f>
        <v>4946.5240641711225</v>
      </c>
      <c r="P6" s="7">
        <v>242754</v>
      </c>
      <c r="Q6" s="13">
        <f t="shared" ref="Q6:Q33" si="7">P6-P5</f>
        <v>46</v>
      </c>
      <c r="R6" s="7">
        <v>54474697</v>
      </c>
      <c r="S6" s="13">
        <f t="shared" ref="S6:S33" si="8">R6-R5</f>
        <v>5790</v>
      </c>
      <c r="T6" s="12"/>
      <c r="U6" s="7">
        <v>72833</v>
      </c>
      <c r="V6" s="7">
        <f t="shared" ref="V6:V33" si="9">U6-U5</f>
        <v>342</v>
      </c>
      <c r="W6" s="7">
        <v>2285</v>
      </c>
      <c r="X6" s="7">
        <f t="shared" ref="X6:X18" si="10">W6-W5</f>
        <v>7</v>
      </c>
      <c r="Y6" s="7">
        <v>905</v>
      </c>
      <c r="Z6" s="7">
        <f t="shared" ref="Z6:Z18" si="11">(Y6-Y5)</f>
        <v>9</v>
      </c>
      <c r="AA6" s="7">
        <v>858037</v>
      </c>
      <c r="AB6" s="7">
        <v>0</v>
      </c>
      <c r="AC6" s="7">
        <v>372825</v>
      </c>
      <c r="AD6" s="7">
        <f t="shared" ref="AD6:AD33" si="12">(AC6-AC5)*10000</f>
        <v>290000</v>
      </c>
      <c r="AE6" s="12"/>
      <c r="AF6" s="7">
        <v>67217</v>
      </c>
      <c r="AG6" s="7">
        <f t="shared" ref="AG6:AG33" si="13">AF6-AF5</f>
        <v>0</v>
      </c>
      <c r="AH6" s="7">
        <v>253508</v>
      </c>
      <c r="AI6" s="13">
        <f t="shared" ref="AI6:AI33" si="14">AH6-AH5</f>
        <v>150</v>
      </c>
      <c r="AJ6" s="7">
        <v>12036438</v>
      </c>
      <c r="AK6" s="13">
        <f t="shared" ref="AK6:AK33" si="15">AJ6-AJ5</f>
        <v>5408</v>
      </c>
      <c r="AL6" s="7">
        <v>29051</v>
      </c>
      <c r="AM6" s="13">
        <f t="shared" ref="AM6:AM33" si="16">AL6-AL5</f>
        <v>1</v>
      </c>
      <c r="AN6" s="7">
        <v>13157</v>
      </c>
      <c r="AO6" s="13">
        <f t="shared" ref="AO6:AO33" si="17">AN6-AN5</f>
        <v>669</v>
      </c>
      <c r="AP6" s="12"/>
      <c r="AQ6" s="21">
        <v>643806</v>
      </c>
      <c r="AR6" s="21">
        <f>(AQ6-AQ5)*10000</f>
        <v>330000</v>
      </c>
      <c r="AS6" s="21">
        <v>234978</v>
      </c>
      <c r="AT6" s="21">
        <f t="shared" ref="AT6:AT33" si="18">(AS6-AS5)*10000</f>
        <v>0</v>
      </c>
      <c r="AU6" s="21">
        <v>99012</v>
      </c>
      <c r="AV6" s="21">
        <f t="shared" ref="AV6:AV33" si="19">(AU6-AU5)*10000</f>
        <v>1400000</v>
      </c>
      <c r="AW6" s="21">
        <v>269541</v>
      </c>
      <c r="AX6" s="21">
        <f t="shared" ref="AX6:AX33" si="20">(AW6-AW5)*10000</f>
        <v>0</v>
      </c>
      <c r="AY6" s="21">
        <v>487590</v>
      </c>
      <c r="AZ6" s="21">
        <f t="shared" ref="AZ6:AZ33" si="21">(AY6-AY5)*10000</f>
        <v>900000</v>
      </c>
      <c r="BA6" s="21">
        <v>19321</v>
      </c>
      <c r="BB6" s="21">
        <f t="shared" ref="BB6:BB33" si="22">(BA6-BA5)*10000</f>
        <v>0</v>
      </c>
      <c r="BC6" s="21">
        <v>485432</v>
      </c>
      <c r="BD6" s="21">
        <f t="shared" ref="BD6:BD33" si="23">(BC6-BC5)*10000</f>
        <v>110000</v>
      </c>
      <c r="BE6" s="21">
        <v>124015</v>
      </c>
      <c r="BF6" s="21">
        <f t="shared" ref="BF6:BF33" si="24">(BE6-BE5)*10000</f>
        <v>0</v>
      </c>
      <c r="BG6" s="12"/>
      <c r="BH6" s="21">
        <v>1074893</v>
      </c>
      <c r="BI6" s="21">
        <f t="shared" ref="BI6:BI33" si="25">(BH6-BH5)</f>
        <v>810</v>
      </c>
      <c r="BJ6" s="21">
        <v>580571</v>
      </c>
      <c r="BK6" s="21">
        <f t="shared" ref="BK6:BK33" si="26">(BJ6-BJ5)</f>
        <v>473</v>
      </c>
      <c r="BL6" s="21">
        <v>293729</v>
      </c>
      <c r="BM6" s="21">
        <f t="shared" ref="BM6:BM33" si="27">(BL6-BL5)</f>
        <v>154</v>
      </c>
      <c r="BN6" s="21">
        <v>159946</v>
      </c>
      <c r="BO6" s="21">
        <f t="shared" ref="BO6:BO33" si="28">(BN6-BN5)</f>
        <v>150</v>
      </c>
      <c r="BP6" s="21">
        <v>148871</v>
      </c>
      <c r="BQ6" s="21">
        <f t="shared" ref="BQ6:BQ33" si="29">(BP6-BP5)</f>
        <v>46</v>
      </c>
      <c r="BR6" s="21">
        <v>90908</v>
      </c>
      <c r="BS6" s="21">
        <f t="shared" ref="BS6:BS33" si="30">(BR6-BR5)</f>
        <v>9</v>
      </c>
      <c r="BT6" s="21">
        <v>513279</v>
      </c>
      <c r="BU6" s="21">
        <f t="shared" ref="BU6:BU33" si="31">(BT6-BT5)</f>
        <v>96</v>
      </c>
      <c r="BV6" s="21">
        <v>2886</v>
      </c>
      <c r="BW6" s="21">
        <f t="shared" ref="BW6:BW33" si="32">(BV6-BV5)</f>
        <v>0</v>
      </c>
      <c r="BX6" s="21">
        <v>379075</v>
      </c>
      <c r="BY6" s="21">
        <f>(BX6-BX5)</f>
        <v>10</v>
      </c>
      <c r="BZ6" s="12"/>
      <c r="CA6" s="7"/>
    </row>
    <row r="7" spans="1:79" ht="24" customHeight="1">
      <c r="A7" s="11">
        <f t="shared" si="0"/>
        <v>44869</v>
      </c>
      <c r="B7" s="7">
        <v>865706</v>
      </c>
      <c r="C7" s="7">
        <f t="shared" si="1"/>
        <v>4133</v>
      </c>
      <c r="D7" s="7">
        <v>31495407</v>
      </c>
      <c r="E7" s="7">
        <f t="shared" si="2"/>
        <v>8368</v>
      </c>
      <c r="F7" s="7">
        <v>8879518</v>
      </c>
      <c r="G7" s="8">
        <f t="shared" si="3"/>
        <v>3594</v>
      </c>
      <c r="H7" s="12"/>
      <c r="I7" s="7">
        <v>2690</v>
      </c>
      <c r="J7" s="13">
        <f t="shared" si="4"/>
        <v>112.9</v>
      </c>
      <c r="K7" s="7">
        <v>22126</v>
      </c>
      <c r="L7" s="13">
        <f t="shared" si="5"/>
        <v>7.9030000000000005</v>
      </c>
      <c r="M7" s="12"/>
      <c r="N7" s="10">
        <v>65146</v>
      </c>
      <c r="O7" s="13">
        <f t="shared" si="6"/>
        <v>6818.181818181818</v>
      </c>
      <c r="P7" s="10">
        <v>242804</v>
      </c>
      <c r="Q7" s="13">
        <f t="shared" si="7"/>
        <v>50</v>
      </c>
      <c r="R7" s="13">
        <v>54481029</v>
      </c>
      <c r="S7" s="13">
        <f t="shared" si="8"/>
        <v>6332</v>
      </c>
      <c r="T7" s="14"/>
      <c r="U7" s="13">
        <v>73194</v>
      </c>
      <c r="V7" s="7">
        <f t="shared" si="9"/>
        <v>361</v>
      </c>
      <c r="W7" s="13">
        <v>2305</v>
      </c>
      <c r="X7" s="7">
        <f t="shared" si="10"/>
        <v>20</v>
      </c>
      <c r="Y7" s="13">
        <v>915</v>
      </c>
      <c r="Z7" s="7">
        <f t="shared" si="11"/>
        <v>10</v>
      </c>
      <c r="AA7" s="7">
        <v>858329</v>
      </c>
      <c r="AB7" s="7">
        <f t="shared" ref="AB6:AB33" si="33">(AA7-AA6)*10000</f>
        <v>2920000</v>
      </c>
      <c r="AC7" s="23">
        <v>372900</v>
      </c>
      <c r="AD7" s="7">
        <f t="shared" si="12"/>
        <v>750000</v>
      </c>
      <c r="AE7" s="14"/>
      <c r="AF7" s="10">
        <v>67217</v>
      </c>
      <c r="AG7" s="7">
        <f t="shared" si="13"/>
        <v>0</v>
      </c>
      <c r="AH7" s="10">
        <v>253696</v>
      </c>
      <c r="AI7" s="13">
        <f t="shared" si="14"/>
        <v>188</v>
      </c>
      <c r="AJ7" s="10">
        <v>12043689</v>
      </c>
      <c r="AK7" s="13">
        <f t="shared" si="15"/>
        <v>7251</v>
      </c>
      <c r="AL7" s="10">
        <v>29052</v>
      </c>
      <c r="AM7" s="13">
        <f t="shared" si="16"/>
        <v>1</v>
      </c>
      <c r="AN7" s="13">
        <v>14051</v>
      </c>
      <c r="AO7" s="13">
        <f t="shared" si="17"/>
        <v>894</v>
      </c>
      <c r="AP7" s="14"/>
      <c r="AQ7" s="21">
        <v>643857</v>
      </c>
      <c r="AR7" s="21">
        <f t="shared" ref="AR7:AR33" si="34">(AQ7-AQ6)*10000</f>
        <v>510000</v>
      </c>
      <c r="AS7" s="21">
        <v>234978</v>
      </c>
      <c r="AT7" s="21">
        <f t="shared" si="18"/>
        <v>0</v>
      </c>
      <c r="AU7" s="21">
        <v>99193</v>
      </c>
      <c r="AV7" s="21">
        <f t="shared" si="19"/>
        <v>1810000</v>
      </c>
      <c r="AW7" s="21">
        <v>269541</v>
      </c>
      <c r="AX7" s="21">
        <f t="shared" si="20"/>
        <v>0</v>
      </c>
      <c r="AY7" s="21">
        <v>487661</v>
      </c>
      <c r="AZ7" s="21">
        <f t="shared" si="21"/>
        <v>710000</v>
      </c>
      <c r="BA7" s="21">
        <v>19321</v>
      </c>
      <c r="BB7" s="21">
        <f t="shared" si="22"/>
        <v>0</v>
      </c>
      <c r="BC7" s="21">
        <v>485446</v>
      </c>
      <c r="BD7" s="21">
        <f t="shared" si="23"/>
        <v>140000</v>
      </c>
      <c r="BE7" s="21">
        <v>124015</v>
      </c>
      <c r="BF7" s="21">
        <f t="shared" si="24"/>
        <v>0</v>
      </c>
      <c r="BG7" s="14"/>
      <c r="BH7" s="21">
        <v>1075753</v>
      </c>
      <c r="BI7" s="21">
        <f t="shared" si="25"/>
        <v>860</v>
      </c>
      <c r="BJ7" s="21">
        <v>581089</v>
      </c>
      <c r="BK7" s="21">
        <f t="shared" si="26"/>
        <v>518</v>
      </c>
      <c r="BL7" s="21">
        <v>293899</v>
      </c>
      <c r="BM7" s="21">
        <f t="shared" si="27"/>
        <v>170</v>
      </c>
      <c r="BN7" s="21">
        <v>160103</v>
      </c>
      <c r="BO7" s="21">
        <f t="shared" si="28"/>
        <v>157</v>
      </c>
      <c r="BP7" s="21">
        <v>148919</v>
      </c>
      <c r="BQ7" s="21">
        <f t="shared" si="29"/>
        <v>48</v>
      </c>
      <c r="BR7" s="21">
        <v>90922</v>
      </c>
      <c r="BS7" s="21">
        <f t="shared" si="30"/>
        <v>14</v>
      </c>
      <c r="BT7" s="21">
        <v>513377</v>
      </c>
      <c r="BU7" s="21">
        <f t="shared" si="31"/>
        <v>98</v>
      </c>
      <c r="BV7" s="21">
        <v>2887</v>
      </c>
      <c r="BW7" s="21">
        <f t="shared" si="32"/>
        <v>1</v>
      </c>
      <c r="BX7" s="21">
        <v>379096</v>
      </c>
      <c r="BY7" s="21">
        <f t="shared" ref="BY7:BY33" si="35">(BX7-BX6)</f>
        <v>21</v>
      </c>
      <c r="BZ7" s="14"/>
      <c r="CA7" s="7"/>
    </row>
    <row r="8" spans="1:79" ht="24" customHeight="1">
      <c r="A8" s="11">
        <f t="shared" si="0"/>
        <v>44870</v>
      </c>
      <c r="B8" s="7">
        <v>869672</v>
      </c>
      <c r="C8" s="7">
        <f t="shared" si="1"/>
        <v>3966</v>
      </c>
      <c r="D8" s="7">
        <v>31503558</v>
      </c>
      <c r="E8" s="7">
        <f t="shared" si="2"/>
        <v>8151</v>
      </c>
      <c r="F8" s="7">
        <v>8882930</v>
      </c>
      <c r="G8" s="8">
        <f t="shared" si="3"/>
        <v>3412</v>
      </c>
      <c r="H8" s="12"/>
      <c r="I8" s="7">
        <v>2806</v>
      </c>
      <c r="J8" s="13">
        <f t="shared" si="4"/>
        <v>130.964</v>
      </c>
      <c r="K8" s="13">
        <v>22133</v>
      </c>
      <c r="L8" s="13">
        <f t="shared" si="5"/>
        <v>7.9030000000000005</v>
      </c>
      <c r="M8" s="14"/>
      <c r="N8" s="10">
        <v>65206</v>
      </c>
      <c r="O8" s="13">
        <f t="shared" si="6"/>
        <v>8021.3903743315504</v>
      </c>
      <c r="P8" s="10">
        <v>242856</v>
      </c>
      <c r="Q8" s="13">
        <f t="shared" si="7"/>
        <v>52</v>
      </c>
      <c r="R8" s="13">
        <v>54487439</v>
      </c>
      <c r="S8" s="13">
        <f t="shared" si="8"/>
        <v>6410</v>
      </c>
      <c r="T8" s="14"/>
      <c r="U8" s="13">
        <v>73540</v>
      </c>
      <c r="V8" s="7">
        <f t="shared" si="9"/>
        <v>346</v>
      </c>
      <c r="W8" s="13">
        <v>2324</v>
      </c>
      <c r="X8" s="7">
        <f t="shared" si="10"/>
        <v>19</v>
      </c>
      <c r="Y8" s="13">
        <v>925</v>
      </c>
      <c r="Z8" s="7">
        <f t="shared" si="11"/>
        <v>10</v>
      </c>
      <c r="AA8" s="10">
        <v>858627</v>
      </c>
      <c r="AB8" s="7">
        <f t="shared" si="33"/>
        <v>2980000</v>
      </c>
      <c r="AC8" s="10">
        <v>373035</v>
      </c>
      <c r="AD8" s="7">
        <f t="shared" si="12"/>
        <v>1350000</v>
      </c>
      <c r="AE8" s="14"/>
      <c r="AF8" s="10">
        <v>67217</v>
      </c>
      <c r="AG8" s="7">
        <f t="shared" si="13"/>
        <v>0</v>
      </c>
      <c r="AH8" s="10">
        <v>253853</v>
      </c>
      <c r="AI8" s="13">
        <f t="shared" si="14"/>
        <v>157</v>
      </c>
      <c r="AJ8" s="10">
        <v>12051424</v>
      </c>
      <c r="AK8" s="13">
        <f t="shared" si="15"/>
        <v>7735</v>
      </c>
      <c r="AL8" s="10">
        <v>29055</v>
      </c>
      <c r="AM8" s="13">
        <f t="shared" si="16"/>
        <v>3</v>
      </c>
      <c r="AN8" s="13">
        <v>14842</v>
      </c>
      <c r="AO8" s="13">
        <f t="shared" si="17"/>
        <v>791</v>
      </c>
      <c r="AP8" s="14"/>
      <c r="AQ8" s="21">
        <v>643970</v>
      </c>
      <c r="AR8" s="21">
        <f t="shared" si="34"/>
        <v>1130000</v>
      </c>
      <c r="AS8" s="21">
        <v>234978</v>
      </c>
      <c r="AT8" s="21">
        <f t="shared" si="18"/>
        <v>0</v>
      </c>
      <c r="AU8" s="21">
        <v>99317</v>
      </c>
      <c r="AV8" s="21">
        <f t="shared" si="19"/>
        <v>1240000</v>
      </c>
      <c r="AW8" s="21">
        <v>269541</v>
      </c>
      <c r="AX8" s="21">
        <f t="shared" si="20"/>
        <v>0</v>
      </c>
      <c r="AY8" s="21">
        <v>487744</v>
      </c>
      <c r="AZ8" s="21">
        <f t="shared" si="21"/>
        <v>830000</v>
      </c>
      <c r="BA8" s="21">
        <v>19321</v>
      </c>
      <c r="BB8" s="21">
        <f t="shared" si="22"/>
        <v>0</v>
      </c>
      <c r="BC8" s="21">
        <v>485460</v>
      </c>
      <c r="BD8" s="21">
        <f t="shared" si="23"/>
        <v>140000</v>
      </c>
      <c r="BE8" s="21">
        <v>124015</v>
      </c>
      <c r="BF8" s="21">
        <f t="shared" si="24"/>
        <v>0</v>
      </c>
      <c r="BG8" s="14"/>
      <c r="BH8" s="21">
        <v>1076628</v>
      </c>
      <c r="BI8" s="21">
        <f t="shared" si="25"/>
        <v>875</v>
      </c>
      <c r="BJ8" s="21">
        <v>581608</v>
      </c>
      <c r="BK8" s="21">
        <f t="shared" si="26"/>
        <v>519</v>
      </c>
      <c r="BL8" s="21">
        <v>294089</v>
      </c>
      <c r="BM8" s="21">
        <f t="shared" si="27"/>
        <v>190</v>
      </c>
      <c r="BN8" s="21">
        <v>160259</v>
      </c>
      <c r="BO8" s="21">
        <f t="shared" si="28"/>
        <v>156</v>
      </c>
      <c r="BP8" s="21">
        <v>148957</v>
      </c>
      <c r="BQ8" s="21">
        <f t="shared" si="29"/>
        <v>38</v>
      </c>
      <c r="BR8" s="21">
        <v>90933</v>
      </c>
      <c r="BS8" s="21">
        <f t="shared" si="30"/>
        <v>11</v>
      </c>
      <c r="BT8" s="21">
        <v>513482</v>
      </c>
      <c r="BU8" s="21">
        <f t="shared" si="31"/>
        <v>105</v>
      </c>
      <c r="BV8" s="21">
        <v>2888</v>
      </c>
      <c r="BW8" s="21">
        <f t="shared" si="32"/>
        <v>1</v>
      </c>
      <c r="BX8" s="21">
        <v>379116</v>
      </c>
      <c r="BY8" s="21">
        <f t="shared" si="35"/>
        <v>20</v>
      </c>
      <c r="BZ8" s="14"/>
      <c r="CA8" s="7"/>
    </row>
    <row r="9" spans="1:79" ht="22.5" customHeight="1">
      <c r="A9" s="11">
        <f t="shared" si="0"/>
        <v>44871</v>
      </c>
      <c r="B9" s="10">
        <v>874281</v>
      </c>
      <c r="C9" s="7">
        <f t="shared" si="1"/>
        <v>4609</v>
      </c>
      <c r="D9" s="7">
        <v>31512737</v>
      </c>
      <c r="E9" s="7">
        <f t="shared" si="2"/>
        <v>9179</v>
      </c>
      <c r="F9" s="7">
        <v>8885791</v>
      </c>
      <c r="G9" s="8">
        <f t="shared" si="3"/>
        <v>2861</v>
      </c>
      <c r="H9" s="12"/>
      <c r="I9" s="50">
        <f>I8+((AVERAGE(J4:J8,J11))/1.129)</f>
        <v>2898.876439326838</v>
      </c>
      <c r="J9" s="13">
        <f t="shared" si="4"/>
        <v>104.85750000000004</v>
      </c>
      <c r="K9" s="13">
        <v>22140</v>
      </c>
      <c r="L9" s="13">
        <f t="shared" si="5"/>
        <v>7.9030000000000005</v>
      </c>
      <c r="M9" s="14"/>
      <c r="N9" s="10">
        <v>65276</v>
      </c>
      <c r="O9" s="13">
        <f t="shared" si="6"/>
        <v>9358.2887700534757</v>
      </c>
      <c r="P9" s="10">
        <v>242904</v>
      </c>
      <c r="Q9" s="13">
        <f t="shared" si="7"/>
        <v>48</v>
      </c>
      <c r="R9" s="13">
        <v>54497284</v>
      </c>
      <c r="S9" s="13">
        <f t="shared" si="8"/>
        <v>9845</v>
      </c>
      <c r="T9" s="14"/>
      <c r="U9" s="13">
        <v>73912</v>
      </c>
      <c r="V9" s="7">
        <f t="shared" si="9"/>
        <v>372</v>
      </c>
      <c r="W9" s="13">
        <v>2345</v>
      </c>
      <c r="X9" s="7">
        <f t="shared" si="10"/>
        <v>21</v>
      </c>
      <c r="Y9" s="13">
        <v>935</v>
      </c>
      <c r="Z9" s="7">
        <f t="shared" si="11"/>
        <v>10</v>
      </c>
      <c r="AA9" s="10">
        <v>858961</v>
      </c>
      <c r="AB9" s="7">
        <f t="shared" si="33"/>
        <v>3340000</v>
      </c>
      <c r="AC9" s="10">
        <v>373149</v>
      </c>
      <c r="AD9" s="7">
        <f t="shared" si="12"/>
        <v>1140000</v>
      </c>
      <c r="AE9" s="14"/>
      <c r="AF9" s="10">
        <v>67217</v>
      </c>
      <c r="AG9" s="7">
        <f t="shared" si="13"/>
        <v>0</v>
      </c>
      <c r="AH9" s="10">
        <v>254032</v>
      </c>
      <c r="AI9" s="13">
        <f t="shared" si="14"/>
        <v>179</v>
      </c>
      <c r="AJ9" s="13">
        <v>12057176</v>
      </c>
      <c r="AK9" s="13">
        <f t="shared" si="15"/>
        <v>5752</v>
      </c>
      <c r="AL9" s="10">
        <v>29061</v>
      </c>
      <c r="AM9" s="13">
        <f t="shared" si="16"/>
        <v>6</v>
      </c>
      <c r="AN9" s="13">
        <v>15550</v>
      </c>
      <c r="AO9" s="13">
        <f t="shared" si="17"/>
        <v>708</v>
      </c>
      <c r="AP9" s="14"/>
      <c r="AQ9" s="21">
        <v>644109</v>
      </c>
      <c r="AR9" s="21">
        <f t="shared" si="34"/>
        <v>1390000</v>
      </c>
      <c r="AS9" s="21">
        <v>234978</v>
      </c>
      <c r="AT9" s="21">
        <f t="shared" si="18"/>
        <v>0</v>
      </c>
      <c r="AU9" s="21">
        <v>99610</v>
      </c>
      <c r="AV9" s="21">
        <f t="shared" si="19"/>
        <v>2930000</v>
      </c>
      <c r="AW9" s="21">
        <v>269541</v>
      </c>
      <c r="AX9" s="21">
        <f t="shared" si="20"/>
        <v>0</v>
      </c>
      <c r="AY9" s="21">
        <v>487874</v>
      </c>
      <c r="AZ9" s="21">
        <f t="shared" si="21"/>
        <v>1300000</v>
      </c>
      <c r="BA9" s="21">
        <v>19321</v>
      </c>
      <c r="BB9" s="21">
        <f t="shared" si="22"/>
        <v>0</v>
      </c>
      <c r="BC9" s="21">
        <v>485471</v>
      </c>
      <c r="BD9" s="21">
        <f t="shared" si="23"/>
        <v>110000</v>
      </c>
      <c r="BE9" s="21">
        <v>124015</v>
      </c>
      <c r="BF9" s="21">
        <f t="shared" si="24"/>
        <v>0</v>
      </c>
      <c r="BG9" s="14"/>
      <c r="BH9" s="21">
        <v>1077635</v>
      </c>
      <c r="BI9" s="21">
        <f t="shared" si="25"/>
        <v>1007</v>
      </c>
      <c r="BJ9" s="21">
        <v>582134</v>
      </c>
      <c r="BK9" s="21">
        <f t="shared" si="26"/>
        <v>526</v>
      </c>
      <c r="BL9" s="21">
        <v>294295</v>
      </c>
      <c r="BM9" s="21">
        <f t="shared" si="27"/>
        <v>206</v>
      </c>
      <c r="BN9" s="21">
        <v>160418</v>
      </c>
      <c r="BO9" s="21">
        <f t="shared" si="28"/>
        <v>159</v>
      </c>
      <c r="BP9" s="21">
        <v>149003</v>
      </c>
      <c r="BQ9" s="21">
        <f t="shared" si="29"/>
        <v>46</v>
      </c>
      <c r="BR9" s="21">
        <v>90948</v>
      </c>
      <c r="BS9" s="21">
        <f t="shared" si="30"/>
        <v>15</v>
      </c>
      <c r="BT9" s="21">
        <v>513573</v>
      </c>
      <c r="BU9" s="21">
        <f t="shared" si="31"/>
        <v>91</v>
      </c>
      <c r="BV9" s="21">
        <v>2889</v>
      </c>
      <c r="BW9" s="21">
        <f t="shared" si="32"/>
        <v>1</v>
      </c>
      <c r="BX9" s="21">
        <v>379155</v>
      </c>
      <c r="BY9" s="21">
        <f t="shared" si="35"/>
        <v>39</v>
      </c>
      <c r="BZ9" s="14"/>
      <c r="CA9" s="7"/>
    </row>
    <row r="10" spans="1:79" ht="22.5" customHeight="1">
      <c r="A10" s="11">
        <f t="shared" si="0"/>
        <v>44872</v>
      </c>
      <c r="B10" s="10">
        <v>878392</v>
      </c>
      <c r="C10" s="7">
        <f t="shared" si="1"/>
        <v>4111</v>
      </c>
      <c r="D10" s="7">
        <v>31521380</v>
      </c>
      <c r="E10" s="7">
        <f t="shared" si="2"/>
        <v>8643</v>
      </c>
      <c r="F10" s="10">
        <v>8890442</v>
      </c>
      <c r="G10" s="8">
        <f t="shared" si="3"/>
        <v>4651</v>
      </c>
      <c r="H10" s="17"/>
      <c r="I10" s="7">
        <v>3043</v>
      </c>
      <c r="J10" s="13">
        <f t="shared" si="4"/>
        <v>162.71549999999996</v>
      </c>
      <c r="K10" s="13">
        <v>22147</v>
      </c>
      <c r="L10" s="13">
        <f t="shared" si="5"/>
        <v>7.9030000000000005</v>
      </c>
      <c r="M10" s="14"/>
      <c r="N10" s="7">
        <v>65340</v>
      </c>
      <c r="O10" s="13">
        <f t="shared" si="6"/>
        <v>8556.1497326203207</v>
      </c>
      <c r="P10" s="7">
        <v>242954</v>
      </c>
      <c r="Q10" s="13">
        <f t="shared" si="7"/>
        <v>50</v>
      </c>
      <c r="R10" s="13">
        <v>54507272</v>
      </c>
      <c r="S10" s="13">
        <f t="shared" si="8"/>
        <v>9988</v>
      </c>
      <c r="T10" s="14"/>
      <c r="U10" s="13">
        <v>74263</v>
      </c>
      <c r="V10" s="7">
        <f t="shared" si="9"/>
        <v>351</v>
      </c>
      <c r="W10" s="13">
        <v>2363</v>
      </c>
      <c r="X10" s="7">
        <f t="shared" si="10"/>
        <v>18</v>
      </c>
      <c r="Y10" s="13">
        <v>944</v>
      </c>
      <c r="Z10" s="7">
        <f t="shared" si="11"/>
        <v>9</v>
      </c>
      <c r="AA10" s="10">
        <v>859307</v>
      </c>
      <c r="AB10" s="7">
        <f t="shared" si="33"/>
        <v>3460000</v>
      </c>
      <c r="AC10" s="10">
        <v>373245</v>
      </c>
      <c r="AD10" s="7">
        <f t="shared" si="12"/>
        <v>960000</v>
      </c>
      <c r="AE10" s="14"/>
      <c r="AF10" s="7">
        <v>67217</v>
      </c>
      <c r="AG10" s="7">
        <f t="shared" si="13"/>
        <v>0</v>
      </c>
      <c r="AH10" s="7">
        <v>254184</v>
      </c>
      <c r="AI10" s="13">
        <f t="shared" si="14"/>
        <v>152</v>
      </c>
      <c r="AJ10" s="7">
        <v>12068026</v>
      </c>
      <c r="AK10" s="13">
        <f t="shared" si="15"/>
        <v>10850</v>
      </c>
      <c r="AL10" s="7">
        <v>29063</v>
      </c>
      <c r="AM10" s="13">
        <f t="shared" si="16"/>
        <v>2</v>
      </c>
      <c r="AN10" s="13">
        <v>16480</v>
      </c>
      <c r="AO10" s="13">
        <f t="shared" si="17"/>
        <v>930</v>
      </c>
      <c r="AP10" s="14"/>
      <c r="AQ10" s="21">
        <v>644232</v>
      </c>
      <c r="AR10" s="21">
        <f>(AQ10-AQ9)*10000</f>
        <v>1230000</v>
      </c>
      <c r="AS10" s="21">
        <v>234978</v>
      </c>
      <c r="AT10" s="21">
        <f t="shared" si="18"/>
        <v>0</v>
      </c>
      <c r="AU10" s="21">
        <v>99801</v>
      </c>
      <c r="AV10" s="21">
        <f t="shared" si="19"/>
        <v>1910000</v>
      </c>
      <c r="AW10" s="21">
        <v>269541</v>
      </c>
      <c r="AX10" s="21">
        <f t="shared" si="20"/>
        <v>0</v>
      </c>
      <c r="AY10" s="21">
        <v>487985</v>
      </c>
      <c r="AZ10" s="21">
        <f t="shared" si="21"/>
        <v>1110000</v>
      </c>
      <c r="BA10" s="21">
        <v>19321</v>
      </c>
      <c r="BB10" s="21">
        <f t="shared" si="22"/>
        <v>0</v>
      </c>
      <c r="BC10" s="21">
        <v>485486</v>
      </c>
      <c r="BD10" s="21">
        <f t="shared" si="23"/>
        <v>150000</v>
      </c>
      <c r="BE10" s="21">
        <v>124015</v>
      </c>
      <c r="BF10" s="21">
        <f t="shared" si="24"/>
        <v>0</v>
      </c>
      <c r="BG10" s="14">
        <v>6</v>
      </c>
      <c r="BH10" s="21">
        <v>1078526</v>
      </c>
      <c r="BI10" s="21">
        <f t="shared" si="25"/>
        <v>891</v>
      </c>
      <c r="BJ10" s="21">
        <v>582653</v>
      </c>
      <c r="BK10" s="21">
        <f t="shared" si="26"/>
        <v>519</v>
      </c>
      <c r="BL10" s="21">
        <v>294468</v>
      </c>
      <c r="BM10" s="21">
        <f t="shared" si="27"/>
        <v>173</v>
      </c>
      <c r="BN10" s="21">
        <v>160591</v>
      </c>
      <c r="BO10" s="21">
        <f t="shared" si="28"/>
        <v>173</v>
      </c>
      <c r="BP10" s="21">
        <v>149049</v>
      </c>
      <c r="BQ10" s="21">
        <f t="shared" si="29"/>
        <v>46</v>
      </c>
      <c r="BR10" s="21">
        <v>90964</v>
      </c>
      <c r="BS10" s="21">
        <f t="shared" si="30"/>
        <v>16</v>
      </c>
      <c r="BT10" s="21">
        <v>513668</v>
      </c>
      <c r="BU10" s="21">
        <f t="shared" si="31"/>
        <v>95</v>
      </c>
      <c r="BV10" s="21">
        <v>2890</v>
      </c>
      <c r="BW10" s="21">
        <f t="shared" si="32"/>
        <v>1</v>
      </c>
      <c r="BX10" s="21">
        <v>379171</v>
      </c>
      <c r="BY10" s="21">
        <f t="shared" si="35"/>
        <v>16</v>
      </c>
      <c r="BZ10" s="14"/>
      <c r="CA10" s="7"/>
    </row>
    <row r="11" spans="1:79" ht="23.25" customHeight="1">
      <c r="A11" s="11">
        <f t="shared" si="0"/>
        <v>44873</v>
      </c>
      <c r="B11" s="10">
        <v>882279</v>
      </c>
      <c r="C11" s="7">
        <f t="shared" si="1"/>
        <v>3887</v>
      </c>
      <c r="D11" s="7">
        <v>31529741</v>
      </c>
      <c r="E11" s="7">
        <f t="shared" si="2"/>
        <v>8361</v>
      </c>
      <c r="F11" s="7">
        <v>8893781</v>
      </c>
      <c r="G11" s="8">
        <f t="shared" si="3"/>
        <v>3339</v>
      </c>
      <c r="H11" s="12"/>
      <c r="I11" s="7">
        <v>3150</v>
      </c>
      <c r="J11" s="13">
        <f t="shared" si="4"/>
        <v>120.803</v>
      </c>
      <c r="K11" s="7">
        <v>22153</v>
      </c>
      <c r="L11" s="13">
        <f t="shared" si="5"/>
        <v>6.774</v>
      </c>
      <c r="M11" s="12"/>
      <c r="N11" s="7">
        <v>65393</v>
      </c>
      <c r="O11" s="13">
        <f t="shared" si="6"/>
        <v>7085.5614973262027</v>
      </c>
      <c r="P11" s="7">
        <v>242996</v>
      </c>
      <c r="Q11" s="13">
        <f t="shared" si="7"/>
        <v>42</v>
      </c>
      <c r="R11" s="7">
        <v>54516220</v>
      </c>
      <c r="S11" s="13">
        <f t="shared" si="8"/>
        <v>8948</v>
      </c>
      <c r="T11" s="12"/>
      <c r="U11" s="7">
        <v>74605</v>
      </c>
      <c r="V11" s="7">
        <f t="shared" si="9"/>
        <v>342</v>
      </c>
      <c r="W11" s="7">
        <v>2382</v>
      </c>
      <c r="X11" s="7">
        <f t="shared" si="10"/>
        <v>19</v>
      </c>
      <c r="Y11" s="7">
        <v>954</v>
      </c>
      <c r="Z11" s="7">
        <f t="shared" si="11"/>
        <v>10</v>
      </c>
      <c r="AA11" s="7">
        <v>859624</v>
      </c>
      <c r="AB11" s="7">
        <f t="shared" si="33"/>
        <v>3170000</v>
      </c>
      <c r="AC11" s="7">
        <v>373360</v>
      </c>
      <c r="AD11" s="7">
        <f t="shared" si="12"/>
        <v>1150000</v>
      </c>
      <c r="AE11" s="12"/>
      <c r="AF11" s="7">
        <v>67217</v>
      </c>
      <c r="AG11" s="7">
        <f t="shared" si="13"/>
        <v>0</v>
      </c>
      <c r="AH11" s="7">
        <v>254353</v>
      </c>
      <c r="AI11" s="13">
        <f t="shared" si="14"/>
        <v>169</v>
      </c>
      <c r="AJ11" s="7">
        <v>12074060</v>
      </c>
      <c r="AK11" s="13">
        <f t="shared" si="15"/>
        <v>6034</v>
      </c>
      <c r="AL11" s="7">
        <v>29064</v>
      </c>
      <c r="AM11" s="13">
        <f t="shared" si="16"/>
        <v>1</v>
      </c>
      <c r="AN11" s="7">
        <v>17272</v>
      </c>
      <c r="AO11" s="13">
        <f t="shared" si="17"/>
        <v>792</v>
      </c>
      <c r="AP11" s="12"/>
      <c r="AQ11" s="21">
        <v>644462</v>
      </c>
      <c r="AR11" s="21">
        <f t="shared" si="34"/>
        <v>2300000</v>
      </c>
      <c r="AS11" s="21">
        <v>234978</v>
      </c>
      <c r="AT11" s="21">
        <f t="shared" si="18"/>
        <v>0</v>
      </c>
      <c r="AU11" s="21">
        <v>99978</v>
      </c>
      <c r="AV11" s="21">
        <f t="shared" si="19"/>
        <v>1770000</v>
      </c>
      <c r="AW11" s="21">
        <v>269541</v>
      </c>
      <c r="AX11" s="21">
        <f t="shared" si="20"/>
        <v>0</v>
      </c>
      <c r="AY11" s="21">
        <v>488114</v>
      </c>
      <c r="AZ11" s="21">
        <f t="shared" si="21"/>
        <v>1290000</v>
      </c>
      <c r="BA11" s="21">
        <v>19321</v>
      </c>
      <c r="BB11" s="21">
        <f t="shared" si="22"/>
        <v>0</v>
      </c>
      <c r="BC11" s="21">
        <v>485501</v>
      </c>
      <c r="BD11" s="21">
        <f t="shared" si="23"/>
        <v>150000</v>
      </c>
      <c r="BE11" s="21">
        <v>124015</v>
      </c>
      <c r="BF11" s="21">
        <f t="shared" si="24"/>
        <v>0</v>
      </c>
      <c r="BG11" s="12"/>
      <c r="BH11" s="21">
        <v>1079307</v>
      </c>
      <c r="BI11" s="21">
        <f t="shared" si="25"/>
        <v>781</v>
      </c>
      <c r="BJ11" s="21">
        <v>583146</v>
      </c>
      <c r="BK11" s="21">
        <f t="shared" si="26"/>
        <v>493</v>
      </c>
      <c r="BL11" s="21">
        <v>294634</v>
      </c>
      <c r="BM11" s="21">
        <f t="shared" si="27"/>
        <v>166</v>
      </c>
      <c r="BN11" s="21">
        <v>160732</v>
      </c>
      <c r="BO11" s="21">
        <f t="shared" si="28"/>
        <v>141</v>
      </c>
      <c r="BP11" s="21">
        <v>149087</v>
      </c>
      <c r="BQ11" s="21">
        <f t="shared" si="29"/>
        <v>38</v>
      </c>
      <c r="BR11" s="21">
        <v>90977</v>
      </c>
      <c r="BS11" s="21">
        <f t="shared" si="30"/>
        <v>13</v>
      </c>
      <c r="BT11" s="21">
        <v>513753</v>
      </c>
      <c r="BU11" s="21">
        <f t="shared" si="31"/>
        <v>85</v>
      </c>
      <c r="BV11" s="21">
        <v>2891</v>
      </c>
      <c r="BW11" s="21">
        <f t="shared" si="32"/>
        <v>1</v>
      </c>
      <c r="BX11" s="21">
        <v>379187</v>
      </c>
      <c r="BY11" s="21">
        <f t="shared" si="35"/>
        <v>16</v>
      </c>
      <c r="BZ11" s="12"/>
      <c r="CA11" s="7"/>
    </row>
    <row r="12" spans="1:79" ht="21.75" customHeight="1">
      <c r="A12" s="11">
        <f t="shared" si="0"/>
        <v>44874</v>
      </c>
      <c r="B12" s="7">
        <v>886350</v>
      </c>
      <c r="C12" s="7">
        <f t="shared" si="1"/>
        <v>4071</v>
      </c>
      <c r="D12" s="7">
        <v>31538079</v>
      </c>
      <c r="E12" s="7">
        <f t="shared" si="2"/>
        <v>8338</v>
      </c>
      <c r="F12" s="7">
        <v>8897408</v>
      </c>
      <c r="G12" s="8">
        <f t="shared" si="3"/>
        <v>3627</v>
      </c>
      <c r="H12" s="12"/>
      <c r="I12" s="7">
        <v>3247</v>
      </c>
      <c r="J12" s="13">
        <f t="shared" si="4"/>
        <v>109.51300000000001</v>
      </c>
      <c r="K12" s="7">
        <v>22161</v>
      </c>
      <c r="L12" s="13">
        <f t="shared" si="5"/>
        <v>9.032</v>
      </c>
      <c r="M12" s="12"/>
      <c r="N12" s="7">
        <v>65446</v>
      </c>
      <c r="O12" s="13">
        <v>243060</v>
      </c>
      <c r="P12" s="7">
        <v>243060</v>
      </c>
      <c r="Q12" s="13">
        <f t="shared" si="7"/>
        <v>64</v>
      </c>
      <c r="R12" s="7">
        <v>54521566</v>
      </c>
      <c r="S12" s="13">
        <f t="shared" si="8"/>
        <v>5346</v>
      </c>
      <c r="T12" s="12"/>
      <c r="U12" s="7">
        <v>74956</v>
      </c>
      <c r="V12" s="7">
        <f t="shared" si="9"/>
        <v>351</v>
      </c>
      <c r="W12" s="7">
        <v>2400</v>
      </c>
      <c r="X12" s="7">
        <f t="shared" si="10"/>
        <v>18</v>
      </c>
      <c r="Y12" s="7">
        <v>963</v>
      </c>
      <c r="Z12" s="7">
        <f t="shared" si="11"/>
        <v>9</v>
      </c>
      <c r="AA12" s="7">
        <v>859958</v>
      </c>
      <c r="AB12" s="7">
        <f t="shared" si="33"/>
        <v>3340000</v>
      </c>
      <c r="AC12" s="7">
        <v>373657</v>
      </c>
      <c r="AD12" s="7">
        <f t="shared" si="12"/>
        <v>2970000</v>
      </c>
      <c r="AE12" s="12"/>
      <c r="AF12" s="7">
        <v>67217</v>
      </c>
      <c r="AG12" s="7">
        <f t="shared" si="13"/>
        <v>0</v>
      </c>
      <c r="AH12" s="7">
        <v>254504</v>
      </c>
      <c r="AI12" s="13">
        <f t="shared" si="14"/>
        <v>151</v>
      </c>
      <c r="AJ12" s="7">
        <v>12080234</v>
      </c>
      <c r="AK12" s="13">
        <f t="shared" si="15"/>
        <v>6174</v>
      </c>
      <c r="AL12" s="7">
        <v>29066</v>
      </c>
      <c r="AM12" s="13">
        <f t="shared" si="16"/>
        <v>2</v>
      </c>
      <c r="AN12" s="7">
        <v>18034</v>
      </c>
      <c r="AO12" s="13">
        <f t="shared" si="17"/>
        <v>762</v>
      </c>
      <c r="AP12" s="12"/>
      <c r="AQ12" s="21">
        <v>644661</v>
      </c>
      <c r="AR12" s="21">
        <f t="shared" si="34"/>
        <v>1990000</v>
      </c>
      <c r="AS12" s="21">
        <v>234978</v>
      </c>
      <c r="AT12" s="21">
        <f t="shared" si="18"/>
        <v>0</v>
      </c>
      <c r="AU12" s="21">
        <v>99978</v>
      </c>
      <c r="AV12" s="21">
        <f t="shared" si="19"/>
        <v>0</v>
      </c>
      <c r="AW12" s="21">
        <v>269541</v>
      </c>
      <c r="AX12" s="21">
        <f t="shared" si="20"/>
        <v>0</v>
      </c>
      <c r="AY12" s="21">
        <v>488159</v>
      </c>
      <c r="AZ12" s="21">
        <f t="shared" si="21"/>
        <v>450000</v>
      </c>
      <c r="BA12" s="21">
        <v>19321</v>
      </c>
      <c r="BB12" s="21">
        <f t="shared" si="22"/>
        <v>0</v>
      </c>
      <c r="BC12" s="21">
        <v>485511</v>
      </c>
      <c r="BD12" s="21">
        <f t="shared" si="23"/>
        <v>100000</v>
      </c>
      <c r="BE12" s="21">
        <v>124015</v>
      </c>
      <c r="BF12" s="21">
        <f t="shared" si="24"/>
        <v>0</v>
      </c>
      <c r="BG12" s="12"/>
      <c r="BH12" s="21">
        <v>1080119</v>
      </c>
      <c r="BI12" s="21">
        <f t="shared" si="25"/>
        <v>812</v>
      </c>
      <c r="BJ12" s="21">
        <v>583647</v>
      </c>
      <c r="BK12" s="21">
        <f t="shared" si="26"/>
        <v>501</v>
      </c>
      <c r="BL12" s="21">
        <v>294788</v>
      </c>
      <c r="BM12" s="21">
        <f t="shared" si="27"/>
        <v>154</v>
      </c>
      <c r="BN12" s="21">
        <v>160893</v>
      </c>
      <c r="BO12" s="21">
        <f t="shared" si="28"/>
        <v>161</v>
      </c>
      <c r="BP12" s="21">
        <v>149133</v>
      </c>
      <c r="BQ12" s="21">
        <f t="shared" si="29"/>
        <v>46</v>
      </c>
      <c r="BR12" s="21">
        <v>90992</v>
      </c>
      <c r="BS12" s="21">
        <f t="shared" si="30"/>
        <v>15</v>
      </c>
      <c r="BT12" s="21">
        <v>513822</v>
      </c>
      <c r="BU12" s="21">
        <f t="shared" si="31"/>
        <v>69</v>
      </c>
      <c r="BV12" s="21">
        <v>2892</v>
      </c>
      <c r="BW12" s="21">
        <f t="shared" si="32"/>
        <v>1</v>
      </c>
      <c r="BX12" s="21">
        <v>379199</v>
      </c>
      <c r="BY12" s="21">
        <f t="shared" si="35"/>
        <v>12</v>
      </c>
      <c r="BZ12" s="12"/>
      <c r="CA12" s="7"/>
    </row>
    <row r="13" spans="1:79" ht="21.75" customHeight="1">
      <c r="A13" s="11">
        <f t="shared" si="0"/>
        <v>44875</v>
      </c>
      <c r="B13" s="7">
        <v>890638</v>
      </c>
      <c r="C13" s="7">
        <f>B13-B12</f>
        <v>4288</v>
      </c>
      <c r="D13" s="7">
        <v>31546445</v>
      </c>
      <c r="E13" s="7">
        <f t="shared" si="2"/>
        <v>8366</v>
      </c>
      <c r="F13" s="7">
        <v>8900832</v>
      </c>
      <c r="G13" s="8">
        <f t="shared" si="3"/>
        <v>3424</v>
      </c>
      <c r="H13" s="12"/>
      <c r="I13" s="7">
        <v>3348</v>
      </c>
      <c r="J13" s="13">
        <f t="shared" si="4"/>
        <v>114.029</v>
      </c>
      <c r="K13" s="7">
        <v>22167</v>
      </c>
      <c r="L13" s="13">
        <f t="shared" si="5"/>
        <v>6.774</v>
      </c>
      <c r="M13" s="12"/>
      <c r="N13" s="7">
        <v>65496</v>
      </c>
      <c r="O13" s="13">
        <f t="shared" si="6"/>
        <v>6684.4919786096252</v>
      </c>
      <c r="P13" s="7">
        <v>243125</v>
      </c>
      <c r="Q13" s="13">
        <f t="shared" si="7"/>
        <v>65</v>
      </c>
      <c r="R13" s="7">
        <v>54526192</v>
      </c>
      <c r="S13" s="13">
        <f t="shared" si="8"/>
        <v>4626</v>
      </c>
      <c r="T13" s="12"/>
      <c r="U13" s="7">
        <v>75319</v>
      </c>
      <c r="V13" s="7">
        <f t="shared" si="9"/>
        <v>363</v>
      </c>
      <c r="W13" s="7">
        <v>2419</v>
      </c>
      <c r="X13" s="7">
        <f t="shared" si="10"/>
        <v>19</v>
      </c>
      <c r="Y13" s="7">
        <v>973</v>
      </c>
      <c r="Z13" s="7">
        <f t="shared" si="11"/>
        <v>10</v>
      </c>
      <c r="AA13" s="7">
        <v>860297</v>
      </c>
      <c r="AB13" s="7">
        <f t="shared" si="33"/>
        <v>3390000</v>
      </c>
      <c r="AC13" s="7">
        <v>373977</v>
      </c>
      <c r="AD13" s="7">
        <f t="shared" ref="AD13:AD29" si="36">(AC13-AC12)*10000</f>
        <v>3200000</v>
      </c>
      <c r="AE13" s="12"/>
      <c r="AF13" s="7">
        <v>67217</v>
      </c>
      <c r="AG13" s="7">
        <f t="shared" si="13"/>
        <v>0</v>
      </c>
      <c r="AH13" s="7">
        <v>254646</v>
      </c>
      <c r="AI13" s="13">
        <f t="shared" si="14"/>
        <v>142</v>
      </c>
      <c r="AJ13" s="7">
        <v>12086474</v>
      </c>
      <c r="AK13" s="13">
        <f t="shared" si="15"/>
        <v>6240</v>
      </c>
      <c r="AL13" s="7">
        <v>29067</v>
      </c>
      <c r="AM13" s="13">
        <f t="shared" si="16"/>
        <v>1</v>
      </c>
      <c r="AN13" s="7">
        <v>18722</v>
      </c>
      <c r="AO13" s="13">
        <f t="shared" si="17"/>
        <v>688</v>
      </c>
      <c r="AP13" s="12"/>
      <c r="AQ13" s="21">
        <v>644804</v>
      </c>
      <c r="AR13" s="21">
        <f t="shared" si="34"/>
        <v>1430000</v>
      </c>
      <c r="AS13" s="21">
        <v>234978</v>
      </c>
      <c r="AT13" s="21">
        <f t="shared" si="18"/>
        <v>0</v>
      </c>
      <c r="AU13" s="21">
        <v>99991</v>
      </c>
      <c r="AV13" s="21">
        <f t="shared" si="19"/>
        <v>130000</v>
      </c>
      <c r="AW13" s="21">
        <v>269541</v>
      </c>
      <c r="AX13" s="21">
        <f t="shared" si="20"/>
        <v>0</v>
      </c>
      <c r="AY13" s="21">
        <v>488220</v>
      </c>
      <c r="AZ13" s="21">
        <f t="shared" si="21"/>
        <v>610000</v>
      </c>
      <c r="BA13" s="21">
        <v>19321</v>
      </c>
      <c r="BB13" s="21">
        <f t="shared" si="22"/>
        <v>0</v>
      </c>
      <c r="BC13" s="21">
        <v>485522</v>
      </c>
      <c r="BD13" s="21">
        <f t="shared" si="23"/>
        <v>110000</v>
      </c>
      <c r="BE13" s="21">
        <v>124015</v>
      </c>
      <c r="BF13" s="21">
        <f t="shared" si="24"/>
        <v>0</v>
      </c>
      <c r="BG13" s="12"/>
      <c r="BH13" s="21">
        <v>1080939</v>
      </c>
      <c r="BI13" s="21">
        <f t="shared" si="25"/>
        <v>820</v>
      </c>
      <c r="BJ13" s="21">
        <v>584158</v>
      </c>
      <c r="BK13" s="21">
        <f t="shared" si="26"/>
        <v>511</v>
      </c>
      <c r="BL13" s="21">
        <v>294953</v>
      </c>
      <c r="BM13" s="21">
        <f t="shared" si="27"/>
        <v>165</v>
      </c>
      <c r="BN13" s="21">
        <v>161021</v>
      </c>
      <c r="BO13" s="21">
        <f t="shared" si="28"/>
        <v>128</v>
      </c>
      <c r="BP13" s="21">
        <v>149181</v>
      </c>
      <c r="BQ13" s="21">
        <f t="shared" si="29"/>
        <v>48</v>
      </c>
      <c r="BR13" s="21">
        <v>91006</v>
      </c>
      <c r="BS13" s="21">
        <f t="shared" si="30"/>
        <v>14</v>
      </c>
      <c r="BT13" s="21">
        <v>513903</v>
      </c>
      <c r="BU13" s="21">
        <f t="shared" si="31"/>
        <v>81</v>
      </c>
      <c r="BV13" s="21">
        <v>2893</v>
      </c>
      <c r="BW13" s="21">
        <f t="shared" si="32"/>
        <v>1</v>
      </c>
      <c r="BX13" s="21">
        <v>379221</v>
      </c>
      <c r="BY13" s="21">
        <f t="shared" si="35"/>
        <v>22</v>
      </c>
      <c r="BZ13" s="12"/>
      <c r="CA13" s="7"/>
    </row>
    <row r="14" spans="1:79" ht="22.5" customHeight="1">
      <c r="A14" s="11">
        <f t="shared" si="0"/>
        <v>44876</v>
      </c>
      <c r="B14" s="7">
        <v>894552</v>
      </c>
      <c r="C14" s="7">
        <f t="shared" si="1"/>
        <v>3914</v>
      </c>
      <c r="D14" s="7">
        <v>31554581</v>
      </c>
      <c r="E14" s="7">
        <f t="shared" si="2"/>
        <v>8136</v>
      </c>
      <c r="F14" s="7">
        <v>8904390</v>
      </c>
      <c r="G14" s="8">
        <f t="shared" si="3"/>
        <v>3558</v>
      </c>
      <c r="H14" s="12"/>
      <c r="I14" s="7">
        <v>3447</v>
      </c>
      <c r="J14" s="13">
        <f t="shared" si="4"/>
        <v>111.771</v>
      </c>
      <c r="K14" s="7">
        <v>22180</v>
      </c>
      <c r="L14" s="13">
        <f t="shared" si="5"/>
        <v>14.677</v>
      </c>
      <c r="M14" s="12"/>
      <c r="N14" s="7">
        <v>65544</v>
      </c>
      <c r="O14" s="13">
        <f t="shared" si="6"/>
        <v>6417.1122994652405</v>
      </c>
      <c r="P14" s="7">
        <v>243185</v>
      </c>
      <c r="Q14" s="13">
        <f t="shared" si="7"/>
        <v>60</v>
      </c>
      <c r="R14" s="13">
        <v>54531912</v>
      </c>
      <c r="S14" s="13">
        <f t="shared" si="8"/>
        <v>5720</v>
      </c>
      <c r="T14" s="14"/>
      <c r="U14" s="7">
        <v>75672</v>
      </c>
      <c r="V14" s="7">
        <f t="shared" si="9"/>
        <v>353</v>
      </c>
      <c r="W14" s="7">
        <v>2438</v>
      </c>
      <c r="X14" s="7">
        <f t="shared" si="10"/>
        <v>19</v>
      </c>
      <c r="Y14" s="7">
        <v>983</v>
      </c>
      <c r="Z14" s="7">
        <f t="shared" si="11"/>
        <v>10</v>
      </c>
      <c r="AA14" s="10">
        <v>860628</v>
      </c>
      <c r="AB14" s="7">
        <f t="shared" si="33"/>
        <v>3310000</v>
      </c>
      <c r="AC14" s="7">
        <v>374239</v>
      </c>
      <c r="AD14" s="7">
        <f t="shared" si="36"/>
        <v>2620000</v>
      </c>
      <c r="AE14" s="14"/>
      <c r="AF14" s="7">
        <v>67217</v>
      </c>
      <c r="AG14" s="7">
        <f t="shared" si="13"/>
        <v>0</v>
      </c>
      <c r="AH14" s="7">
        <v>254834</v>
      </c>
      <c r="AI14" s="13">
        <f t="shared" si="14"/>
        <v>188</v>
      </c>
      <c r="AJ14" s="7">
        <v>12093810</v>
      </c>
      <c r="AK14" s="13">
        <f t="shared" si="15"/>
        <v>7336</v>
      </c>
      <c r="AL14" s="7">
        <v>29068</v>
      </c>
      <c r="AM14" s="13">
        <f t="shared" si="16"/>
        <v>1</v>
      </c>
      <c r="AN14" s="13">
        <v>19577</v>
      </c>
      <c r="AO14" s="13">
        <f t="shared" si="17"/>
        <v>855</v>
      </c>
      <c r="AP14" s="14"/>
      <c r="AQ14" s="21">
        <v>644879</v>
      </c>
      <c r="AR14" s="21">
        <f t="shared" si="34"/>
        <v>750000</v>
      </c>
      <c r="AS14" s="21">
        <v>234978</v>
      </c>
      <c r="AT14" s="21">
        <f t="shared" si="18"/>
        <v>0</v>
      </c>
      <c r="AU14" s="21">
        <v>99996</v>
      </c>
      <c r="AV14" s="21">
        <f t="shared" si="19"/>
        <v>50000</v>
      </c>
      <c r="AW14" s="21">
        <v>269541</v>
      </c>
      <c r="AX14" s="21">
        <f t="shared" si="20"/>
        <v>0</v>
      </c>
      <c r="AY14" s="21">
        <v>488309</v>
      </c>
      <c r="AZ14" s="21">
        <f t="shared" si="21"/>
        <v>890000</v>
      </c>
      <c r="BA14" s="21">
        <v>19321</v>
      </c>
      <c r="BB14" s="21">
        <f t="shared" si="22"/>
        <v>0</v>
      </c>
      <c r="BC14" s="21">
        <v>485535</v>
      </c>
      <c r="BD14" s="21">
        <f t="shared" si="23"/>
        <v>130000</v>
      </c>
      <c r="BE14" s="21">
        <v>124015</v>
      </c>
      <c r="BF14" s="21">
        <f t="shared" si="24"/>
        <v>0</v>
      </c>
      <c r="BG14" s="14"/>
      <c r="BH14" s="21">
        <v>1081801</v>
      </c>
      <c r="BI14" s="21">
        <f t="shared" si="25"/>
        <v>862</v>
      </c>
      <c r="BJ14" s="21">
        <v>584695</v>
      </c>
      <c r="BK14" s="21">
        <f t="shared" si="26"/>
        <v>537</v>
      </c>
      <c r="BL14" s="21">
        <v>295136</v>
      </c>
      <c r="BM14" s="21">
        <f t="shared" si="27"/>
        <v>183</v>
      </c>
      <c r="BN14" s="21">
        <v>161185</v>
      </c>
      <c r="BO14" s="21">
        <f t="shared" si="28"/>
        <v>164</v>
      </c>
      <c r="BP14" s="21">
        <v>149230</v>
      </c>
      <c r="BQ14" s="21">
        <f t="shared" si="29"/>
        <v>49</v>
      </c>
      <c r="BR14" s="21">
        <v>91018</v>
      </c>
      <c r="BS14" s="21">
        <f t="shared" si="30"/>
        <v>12</v>
      </c>
      <c r="BT14" s="21">
        <v>514001</v>
      </c>
      <c r="BU14" s="21">
        <f t="shared" si="31"/>
        <v>98</v>
      </c>
      <c r="BV14" s="21">
        <v>2894</v>
      </c>
      <c r="BW14" s="21">
        <f t="shared" si="32"/>
        <v>1</v>
      </c>
      <c r="BX14" s="21">
        <v>379237</v>
      </c>
      <c r="BY14" s="21">
        <f t="shared" si="35"/>
        <v>16</v>
      </c>
      <c r="BZ14" s="14"/>
      <c r="CA14" s="7"/>
    </row>
    <row r="15" spans="1:79" ht="22.5" customHeight="1">
      <c r="A15" s="11">
        <f t="shared" si="0"/>
        <v>44877</v>
      </c>
      <c r="B15" s="7">
        <v>898600</v>
      </c>
      <c r="C15" s="7">
        <f t="shared" si="1"/>
        <v>4048</v>
      </c>
      <c r="D15" s="7">
        <v>31563168</v>
      </c>
      <c r="E15" s="7">
        <f t="shared" si="2"/>
        <v>8587</v>
      </c>
      <c r="F15" s="7">
        <v>8908277</v>
      </c>
      <c r="G15" s="8">
        <f t="shared" si="3"/>
        <v>3887</v>
      </c>
      <c r="H15" s="12"/>
      <c r="I15" s="7">
        <v>3563</v>
      </c>
      <c r="J15" s="13">
        <f t="shared" si="4"/>
        <v>130.964</v>
      </c>
      <c r="K15" s="7">
        <v>22186</v>
      </c>
      <c r="L15" s="13">
        <f t="shared" si="5"/>
        <v>6.774</v>
      </c>
      <c r="M15" s="12"/>
      <c r="N15" s="7">
        <v>65597</v>
      </c>
      <c r="O15" s="13">
        <f t="shared" si="6"/>
        <v>7085.5614973262027</v>
      </c>
      <c r="P15" s="13">
        <v>243238</v>
      </c>
      <c r="Q15" s="13">
        <f t="shared" si="7"/>
        <v>53</v>
      </c>
      <c r="R15" s="7">
        <v>54540254</v>
      </c>
      <c r="S15" s="13">
        <f t="shared" si="8"/>
        <v>8342</v>
      </c>
      <c r="T15" s="12"/>
      <c r="U15" s="7">
        <v>76047</v>
      </c>
      <c r="V15" s="7">
        <f t="shared" si="9"/>
        <v>375</v>
      </c>
      <c r="W15" s="7">
        <v>2459</v>
      </c>
      <c r="X15" s="7">
        <f t="shared" si="10"/>
        <v>21</v>
      </c>
      <c r="Y15" s="7">
        <v>993</v>
      </c>
      <c r="Z15" s="7">
        <f t="shared" si="11"/>
        <v>10</v>
      </c>
      <c r="AA15" s="7">
        <v>860980</v>
      </c>
      <c r="AB15" s="7">
        <f t="shared" si="33"/>
        <v>3520000</v>
      </c>
      <c r="AC15" s="7">
        <v>374354</v>
      </c>
      <c r="AD15" s="7">
        <f t="shared" si="36"/>
        <v>1150000</v>
      </c>
      <c r="AE15" s="12"/>
      <c r="AF15" s="7">
        <v>67217</v>
      </c>
      <c r="AG15" s="7">
        <f t="shared" si="13"/>
        <v>0</v>
      </c>
      <c r="AH15" s="13">
        <v>255028</v>
      </c>
      <c r="AI15" s="13">
        <f t="shared" si="14"/>
        <v>194</v>
      </c>
      <c r="AJ15" s="13">
        <v>12101959</v>
      </c>
      <c r="AK15" s="13">
        <f t="shared" si="15"/>
        <v>8149</v>
      </c>
      <c r="AL15" s="13">
        <v>29072</v>
      </c>
      <c r="AM15" s="13">
        <f t="shared" si="16"/>
        <v>4</v>
      </c>
      <c r="AN15" s="7">
        <v>20474</v>
      </c>
      <c r="AO15" s="13">
        <f t="shared" si="17"/>
        <v>897</v>
      </c>
      <c r="AP15" s="12"/>
      <c r="AQ15" s="21">
        <v>644969</v>
      </c>
      <c r="AR15" s="21">
        <f t="shared" si="34"/>
        <v>900000</v>
      </c>
      <c r="AS15" s="21">
        <v>234978</v>
      </c>
      <c r="AT15" s="21">
        <f t="shared" si="18"/>
        <v>0</v>
      </c>
      <c r="AU15" s="21">
        <v>100292</v>
      </c>
      <c r="AV15" s="21">
        <f t="shared" si="19"/>
        <v>2960000</v>
      </c>
      <c r="AW15" s="21">
        <v>269541</v>
      </c>
      <c r="AX15" s="21">
        <f t="shared" si="20"/>
        <v>0</v>
      </c>
      <c r="AY15" s="21">
        <v>488406</v>
      </c>
      <c r="AZ15" s="21">
        <f t="shared" si="21"/>
        <v>970000</v>
      </c>
      <c r="BA15" s="21">
        <v>19321</v>
      </c>
      <c r="BB15" s="21">
        <f t="shared" si="22"/>
        <v>0</v>
      </c>
      <c r="BC15" s="21">
        <v>485550</v>
      </c>
      <c r="BD15" s="21">
        <f t="shared" si="23"/>
        <v>150000</v>
      </c>
      <c r="BE15" s="21">
        <v>124015</v>
      </c>
      <c r="BF15" s="21">
        <f t="shared" si="24"/>
        <v>0</v>
      </c>
      <c r="BG15" s="12"/>
      <c r="BH15" s="21">
        <v>1083548</v>
      </c>
      <c r="BI15" s="21">
        <f t="shared" si="25"/>
        <v>1747</v>
      </c>
      <c r="BJ15" s="21">
        <v>585162</v>
      </c>
      <c r="BK15" s="21">
        <f t="shared" si="26"/>
        <v>467</v>
      </c>
      <c r="BL15" s="21">
        <v>295300</v>
      </c>
      <c r="BM15" s="21">
        <f t="shared" si="27"/>
        <v>164</v>
      </c>
      <c r="BN15" s="21">
        <v>161347</v>
      </c>
      <c r="BO15" s="21">
        <f t="shared" si="28"/>
        <v>162</v>
      </c>
      <c r="BP15" s="21">
        <v>149276</v>
      </c>
      <c r="BQ15" s="21">
        <f t="shared" si="29"/>
        <v>46</v>
      </c>
      <c r="BR15" s="21">
        <v>91033</v>
      </c>
      <c r="BS15" s="21">
        <f t="shared" si="30"/>
        <v>15</v>
      </c>
      <c r="BT15" s="21">
        <v>514102</v>
      </c>
      <c r="BU15" s="21">
        <f t="shared" si="31"/>
        <v>101</v>
      </c>
      <c r="BV15" s="21">
        <v>2895</v>
      </c>
      <c r="BW15" s="21">
        <f t="shared" si="32"/>
        <v>1</v>
      </c>
      <c r="BX15" s="21">
        <v>379260</v>
      </c>
      <c r="BY15" s="21">
        <f t="shared" si="35"/>
        <v>23</v>
      </c>
      <c r="BZ15" s="12"/>
      <c r="CA15" s="7"/>
    </row>
    <row r="16" spans="1:79" ht="21" customHeight="1">
      <c r="A16" s="11">
        <f t="shared" si="0"/>
        <v>44878</v>
      </c>
      <c r="B16" s="7">
        <v>902623</v>
      </c>
      <c r="C16" s="7">
        <f t="shared" si="1"/>
        <v>4023</v>
      </c>
      <c r="D16" s="7">
        <v>31571499</v>
      </c>
      <c r="E16" s="7">
        <f t="shared" si="2"/>
        <v>8331</v>
      </c>
      <c r="F16" s="7">
        <v>8911558</v>
      </c>
      <c r="G16" s="8">
        <f t="shared" si="3"/>
        <v>3281</v>
      </c>
      <c r="H16" s="12"/>
      <c r="I16" s="7">
        <v>3678</v>
      </c>
      <c r="J16" s="13">
        <f t="shared" si="4"/>
        <v>129.83500000000001</v>
      </c>
      <c r="K16" s="7">
        <v>22194</v>
      </c>
      <c r="L16" s="13">
        <f t="shared" si="5"/>
        <v>9.032</v>
      </c>
      <c r="M16" s="12"/>
      <c r="N16" s="7">
        <v>65664</v>
      </c>
      <c r="O16" s="13">
        <f t="shared" si="6"/>
        <v>8957.2192513368973</v>
      </c>
      <c r="P16" s="7">
        <v>243291</v>
      </c>
      <c r="Q16" s="13">
        <f t="shared" si="7"/>
        <v>53</v>
      </c>
      <c r="R16" s="13">
        <v>54548135</v>
      </c>
      <c r="S16" s="13">
        <f t="shared" si="8"/>
        <v>7881</v>
      </c>
      <c r="T16" s="14"/>
      <c r="U16" s="7">
        <v>76406</v>
      </c>
      <c r="V16" s="7">
        <f t="shared" si="9"/>
        <v>359</v>
      </c>
      <c r="W16" s="7">
        <v>2478</v>
      </c>
      <c r="X16" s="7">
        <f t="shared" si="10"/>
        <v>19</v>
      </c>
      <c r="Y16" s="7">
        <v>1002</v>
      </c>
      <c r="Z16" s="7">
        <f t="shared" si="11"/>
        <v>9</v>
      </c>
      <c r="AA16" s="7">
        <v>861258</v>
      </c>
      <c r="AB16" s="7">
        <f t="shared" si="33"/>
        <v>2780000</v>
      </c>
      <c r="AC16" s="7">
        <v>374381</v>
      </c>
      <c r="AD16" s="7">
        <f t="shared" si="36"/>
        <v>270000</v>
      </c>
      <c r="AE16" s="14"/>
      <c r="AF16" s="7">
        <v>67217</v>
      </c>
      <c r="AG16" s="7">
        <f t="shared" si="13"/>
        <v>0</v>
      </c>
      <c r="AH16" s="13">
        <v>255185</v>
      </c>
      <c r="AI16" s="13">
        <f t="shared" si="14"/>
        <v>157</v>
      </c>
      <c r="AJ16" s="51">
        <f>AJ15+(AVERAGE(AK4:AK14))</f>
        <v>12108401.181818182</v>
      </c>
      <c r="AK16" s="13">
        <f t="shared" si="15"/>
        <v>6442.1818181816489</v>
      </c>
      <c r="AL16" s="13">
        <v>29074</v>
      </c>
      <c r="AM16" s="13">
        <f t="shared" si="16"/>
        <v>2</v>
      </c>
      <c r="AN16" s="13">
        <v>21219</v>
      </c>
      <c r="AO16" s="13">
        <f t="shared" si="17"/>
        <v>745</v>
      </c>
      <c r="AP16" s="14"/>
      <c r="AQ16" s="21">
        <v>645257</v>
      </c>
      <c r="AR16" s="21">
        <f t="shared" si="34"/>
        <v>2880000</v>
      </c>
      <c r="AS16" s="21">
        <v>234978</v>
      </c>
      <c r="AT16" s="21">
        <f t="shared" si="18"/>
        <v>0</v>
      </c>
      <c r="AU16" s="21">
        <v>100387</v>
      </c>
      <c r="AV16" s="21">
        <f t="shared" si="19"/>
        <v>950000</v>
      </c>
      <c r="AW16" s="21">
        <v>269541</v>
      </c>
      <c r="AX16" s="21">
        <f t="shared" si="20"/>
        <v>0</v>
      </c>
      <c r="AY16" s="21">
        <v>488518</v>
      </c>
      <c r="AZ16" s="21">
        <f t="shared" si="21"/>
        <v>1120000</v>
      </c>
      <c r="BA16" s="21">
        <v>19321</v>
      </c>
      <c r="BB16" s="21">
        <f t="shared" si="22"/>
        <v>0</v>
      </c>
      <c r="BC16" s="21">
        <v>485564</v>
      </c>
      <c r="BD16" s="21">
        <f t="shared" si="23"/>
        <v>140000</v>
      </c>
      <c r="BE16" s="21">
        <v>124015</v>
      </c>
      <c r="BF16" s="21">
        <f t="shared" si="24"/>
        <v>0</v>
      </c>
      <c r="BG16" s="14"/>
      <c r="BH16" s="21">
        <v>1083548</v>
      </c>
      <c r="BI16" s="21">
        <f t="shared" si="25"/>
        <v>0</v>
      </c>
      <c r="BJ16" s="21">
        <v>585668</v>
      </c>
      <c r="BK16" s="21">
        <f t="shared" si="26"/>
        <v>506</v>
      </c>
      <c r="BL16" s="21">
        <v>295487</v>
      </c>
      <c r="BM16" s="21">
        <f t="shared" si="27"/>
        <v>187</v>
      </c>
      <c r="BN16" s="21">
        <v>161515</v>
      </c>
      <c r="BO16" s="21">
        <f t="shared" si="28"/>
        <v>168</v>
      </c>
      <c r="BP16" s="21">
        <v>149314</v>
      </c>
      <c r="BQ16" s="21">
        <f t="shared" si="29"/>
        <v>38</v>
      </c>
      <c r="BR16" s="21">
        <v>91048</v>
      </c>
      <c r="BS16" s="21">
        <f t="shared" si="30"/>
        <v>15</v>
      </c>
      <c r="BT16" s="21">
        <v>514197</v>
      </c>
      <c r="BU16" s="21">
        <f t="shared" si="31"/>
        <v>95</v>
      </c>
      <c r="BV16" s="21">
        <v>2896</v>
      </c>
      <c r="BW16" s="21">
        <f t="shared" si="32"/>
        <v>1</v>
      </c>
      <c r="BX16" s="21">
        <v>379289</v>
      </c>
      <c r="BY16" s="21">
        <f t="shared" si="35"/>
        <v>29</v>
      </c>
      <c r="BZ16" s="14"/>
      <c r="CA16" s="7"/>
    </row>
    <row r="17" spans="1:79" ht="19.5" customHeight="1">
      <c r="A17" s="11">
        <f t="shared" si="0"/>
        <v>44879</v>
      </c>
      <c r="B17" s="7">
        <v>907058</v>
      </c>
      <c r="C17" s="7">
        <f t="shared" si="1"/>
        <v>4435</v>
      </c>
      <c r="D17" s="7">
        <v>31579738</v>
      </c>
      <c r="E17" s="7">
        <f t="shared" si="2"/>
        <v>8239</v>
      </c>
      <c r="F17" s="7">
        <v>8915127</v>
      </c>
      <c r="G17" s="8">
        <f t="shared" si="3"/>
        <v>3569</v>
      </c>
      <c r="H17" s="12"/>
      <c r="I17" s="7">
        <v>3772</v>
      </c>
      <c r="J17" s="13">
        <f t="shared" si="4"/>
        <v>106.126</v>
      </c>
      <c r="K17" s="7">
        <v>22200</v>
      </c>
      <c r="L17" s="13">
        <f t="shared" si="5"/>
        <v>6.774</v>
      </c>
      <c r="M17" s="12">
        <v>6</v>
      </c>
      <c r="N17" s="7">
        <v>65722</v>
      </c>
      <c r="O17" s="13">
        <f t="shared" si="6"/>
        <v>7754.0106951871658</v>
      </c>
      <c r="P17" s="13">
        <v>243365</v>
      </c>
      <c r="Q17" s="13">
        <f t="shared" si="7"/>
        <v>74</v>
      </c>
      <c r="R17" s="7">
        <v>54552160</v>
      </c>
      <c r="S17" s="13">
        <f t="shared" si="8"/>
        <v>4025</v>
      </c>
      <c r="T17" s="12"/>
      <c r="U17" s="7">
        <v>76765</v>
      </c>
      <c r="V17" s="7">
        <f t="shared" si="9"/>
        <v>359</v>
      </c>
      <c r="W17" s="7">
        <v>2497</v>
      </c>
      <c r="X17" s="7">
        <f t="shared" si="10"/>
        <v>19</v>
      </c>
      <c r="Y17" s="7">
        <v>1012</v>
      </c>
      <c r="Z17" s="7">
        <f t="shared" si="11"/>
        <v>10</v>
      </c>
      <c r="AA17" s="7">
        <v>861527</v>
      </c>
      <c r="AB17" s="7">
        <f t="shared" si="33"/>
        <v>2690000</v>
      </c>
      <c r="AC17" s="7">
        <v>374587</v>
      </c>
      <c r="AD17" s="7">
        <f t="shared" si="36"/>
        <v>2060000</v>
      </c>
      <c r="AE17" s="12"/>
      <c r="AF17" s="7">
        <v>67217</v>
      </c>
      <c r="AG17" s="7">
        <f t="shared" si="13"/>
        <v>0</v>
      </c>
      <c r="AH17" s="13">
        <v>255305</v>
      </c>
      <c r="AI17" s="13">
        <f t="shared" si="14"/>
        <v>120</v>
      </c>
      <c r="AJ17" s="13">
        <v>12116791</v>
      </c>
      <c r="AK17" s="13">
        <f t="shared" si="15"/>
        <v>8389.8181818183511</v>
      </c>
      <c r="AL17" s="52">
        <v>29076</v>
      </c>
      <c r="AM17" s="13">
        <f t="shared" si="16"/>
        <v>2</v>
      </c>
      <c r="AN17" s="7">
        <v>21915</v>
      </c>
      <c r="AO17" s="13">
        <f t="shared" si="17"/>
        <v>696</v>
      </c>
      <c r="AP17" s="12"/>
      <c r="AQ17" s="21">
        <v>645286</v>
      </c>
      <c r="AR17" s="21">
        <f t="shared" si="34"/>
        <v>290000</v>
      </c>
      <c r="AS17" s="21">
        <v>234978</v>
      </c>
      <c r="AT17" s="21">
        <f t="shared" si="18"/>
        <v>0</v>
      </c>
      <c r="AU17" s="21">
        <v>100387</v>
      </c>
      <c r="AV17" s="21">
        <f t="shared" si="19"/>
        <v>0</v>
      </c>
      <c r="AW17" s="21">
        <v>269541</v>
      </c>
      <c r="AX17" s="21">
        <f t="shared" si="20"/>
        <v>0</v>
      </c>
      <c r="AY17" s="21">
        <v>488549</v>
      </c>
      <c r="AZ17" s="21">
        <f t="shared" si="21"/>
        <v>310000</v>
      </c>
      <c r="BA17" s="21">
        <v>19321</v>
      </c>
      <c r="BB17" s="21">
        <f t="shared" si="22"/>
        <v>0</v>
      </c>
      <c r="BC17" s="21">
        <v>485570</v>
      </c>
      <c r="BD17" s="21">
        <f t="shared" si="23"/>
        <v>60000</v>
      </c>
      <c r="BE17" s="21">
        <v>124015</v>
      </c>
      <c r="BF17" s="21">
        <f t="shared" si="24"/>
        <v>0</v>
      </c>
      <c r="BG17" s="12"/>
      <c r="BH17" s="21">
        <v>1084440</v>
      </c>
      <c r="BI17" s="21">
        <f t="shared" si="25"/>
        <v>892</v>
      </c>
      <c r="BJ17" s="21">
        <v>586148</v>
      </c>
      <c r="BK17" s="21">
        <f t="shared" si="26"/>
        <v>480</v>
      </c>
      <c r="BL17" s="21">
        <v>295638</v>
      </c>
      <c r="BM17" s="21">
        <f t="shared" si="27"/>
        <v>151</v>
      </c>
      <c r="BN17" s="21">
        <v>161665</v>
      </c>
      <c r="BO17" s="21">
        <f t="shared" si="28"/>
        <v>150</v>
      </c>
      <c r="BP17" s="21">
        <v>149359</v>
      </c>
      <c r="BQ17" s="21">
        <f t="shared" si="29"/>
        <v>45</v>
      </c>
      <c r="BR17" s="21">
        <v>91062</v>
      </c>
      <c r="BS17" s="21">
        <f t="shared" si="30"/>
        <v>14</v>
      </c>
      <c r="BT17" s="21">
        <v>51498</v>
      </c>
      <c r="BU17" s="21">
        <f t="shared" si="31"/>
        <v>-462699</v>
      </c>
      <c r="BV17" s="21">
        <v>2896</v>
      </c>
      <c r="BW17" s="21">
        <f t="shared" si="32"/>
        <v>0</v>
      </c>
      <c r="BX17" s="21">
        <v>379305</v>
      </c>
      <c r="BY17" s="21">
        <f t="shared" si="35"/>
        <v>16</v>
      </c>
      <c r="BZ17" s="12"/>
      <c r="CA17" s="7"/>
    </row>
    <row r="18" spans="1:79" ht="19.5" customHeight="1">
      <c r="A18" s="11">
        <f t="shared" si="0"/>
        <v>44880</v>
      </c>
      <c r="B18" s="7">
        <v>911298</v>
      </c>
      <c r="C18" s="7">
        <f t="shared" si="1"/>
        <v>4240</v>
      </c>
      <c r="D18" s="7">
        <v>31587950</v>
      </c>
      <c r="E18" s="7">
        <f t="shared" si="2"/>
        <v>8212</v>
      </c>
      <c r="F18" s="7">
        <v>8918587</v>
      </c>
      <c r="G18" s="8">
        <f t="shared" si="3"/>
        <v>3460</v>
      </c>
      <c r="H18" s="12"/>
      <c r="I18" s="7">
        <v>3861</v>
      </c>
      <c r="J18" s="13">
        <f t="shared" si="4"/>
        <v>100.48099999999999</v>
      </c>
      <c r="K18" s="7">
        <v>22206</v>
      </c>
      <c r="L18" s="13">
        <f t="shared" si="5"/>
        <v>6.774</v>
      </c>
      <c r="M18" s="12"/>
      <c r="N18" s="7">
        <v>65780</v>
      </c>
      <c r="O18" s="13">
        <f t="shared" si="6"/>
        <v>7754.0106951871658</v>
      </c>
      <c r="P18" s="7">
        <v>243455</v>
      </c>
      <c r="Q18" s="13">
        <f t="shared" si="7"/>
        <v>90</v>
      </c>
      <c r="R18" s="7">
        <v>54555918</v>
      </c>
      <c r="S18" s="13">
        <f t="shared" si="8"/>
        <v>3758</v>
      </c>
      <c r="T18" s="12"/>
      <c r="U18" s="7">
        <v>77136</v>
      </c>
      <c r="V18" s="7">
        <f t="shared" si="9"/>
        <v>371</v>
      </c>
      <c r="W18" s="7">
        <v>2516</v>
      </c>
      <c r="X18" s="7">
        <f t="shared" si="10"/>
        <v>19</v>
      </c>
      <c r="Y18" s="7">
        <v>1021</v>
      </c>
      <c r="Z18" s="7">
        <f t="shared" si="11"/>
        <v>9</v>
      </c>
      <c r="AA18" s="7">
        <v>861839</v>
      </c>
      <c r="AB18" s="7">
        <f t="shared" si="33"/>
        <v>3120000</v>
      </c>
      <c r="AC18" s="7">
        <v>374953</v>
      </c>
      <c r="AD18" s="7">
        <f t="shared" si="36"/>
        <v>3660000</v>
      </c>
      <c r="AE18" s="12"/>
      <c r="AF18" s="7">
        <v>67217</v>
      </c>
      <c r="AG18" s="7">
        <f t="shared" si="13"/>
        <v>0</v>
      </c>
      <c r="AH18" s="7">
        <v>255465</v>
      </c>
      <c r="AI18" s="13">
        <f t="shared" si="14"/>
        <v>160</v>
      </c>
      <c r="AJ18" s="7">
        <v>12122927</v>
      </c>
      <c r="AK18" s="13">
        <f t="shared" si="15"/>
        <v>6136</v>
      </c>
      <c r="AL18" s="7">
        <v>29079</v>
      </c>
      <c r="AM18" s="13">
        <f t="shared" si="16"/>
        <v>3</v>
      </c>
      <c r="AN18" s="7">
        <v>22543</v>
      </c>
      <c r="AO18" s="13">
        <f t="shared" si="17"/>
        <v>628</v>
      </c>
      <c r="AP18" s="12"/>
      <c r="AQ18" s="21">
        <v>645318</v>
      </c>
      <c r="AR18" s="21">
        <f t="shared" si="34"/>
        <v>320000</v>
      </c>
      <c r="AS18" s="21">
        <v>234978</v>
      </c>
      <c r="AT18" s="21">
        <f t="shared" si="18"/>
        <v>0</v>
      </c>
      <c r="AU18" s="21">
        <v>100387</v>
      </c>
      <c r="AV18" s="21">
        <f t="shared" si="19"/>
        <v>0</v>
      </c>
      <c r="AW18" s="21">
        <v>269541</v>
      </c>
      <c r="AX18" s="21">
        <f t="shared" si="20"/>
        <v>0</v>
      </c>
      <c r="AY18" s="21">
        <v>488555</v>
      </c>
      <c r="AZ18" s="21">
        <f t="shared" si="21"/>
        <v>60000</v>
      </c>
      <c r="BA18" s="21">
        <v>19321</v>
      </c>
      <c r="BB18" s="21">
        <f t="shared" si="22"/>
        <v>0</v>
      </c>
      <c r="BC18" s="21">
        <v>485572</v>
      </c>
      <c r="BD18" s="21">
        <f t="shared" si="23"/>
        <v>20000</v>
      </c>
      <c r="BE18" s="21">
        <v>124024</v>
      </c>
      <c r="BF18" s="21">
        <f t="shared" si="24"/>
        <v>90000</v>
      </c>
      <c r="BG18" s="12"/>
      <c r="BH18" s="21">
        <v>1085216</v>
      </c>
      <c r="BI18" s="21">
        <f t="shared" si="25"/>
        <v>776</v>
      </c>
      <c r="BJ18" s="21">
        <v>586639</v>
      </c>
      <c r="BK18" s="21">
        <f t="shared" si="26"/>
        <v>491</v>
      </c>
      <c r="BL18" s="21">
        <v>295790</v>
      </c>
      <c r="BM18" s="21">
        <f t="shared" si="27"/>
        <v>152</v>
      </c>
      <c r="BN18" s="21">
        <v>161797</v>
      </c>
      <c r="BO18" s="21">
        <f t="shared" si="28"/>
        <v>132</v>
      </c>
      <c r="BP18" s="21">
        <v>149407</v>
      </c>
      <c r="BQ18" s="21">
        <f t="shared" si="29"/>
        <v>48</v>
      </c>
      <c r="BR18" s="21">
        <v>91076</v>
      </c>
      <c r="BS18" s="21">
        <f t="shared" si="30"/>
        <v>14</v>
      </c>
      <c r="BT18" s="21">
        <v>514397</v>
      </c>
      <c r="BU18" s="21">
        <f t="shared" si="31"/>
        <v>462899</v>
      </c>
      <c r="BV18" s="21">
        <v>2897</v>
      </c>
      <c r="BW18" s="21">
        <f t="shared" si="32"/>
        <v>1</v>
      </c>
      <c r="BX18" s="21">
        <v>379319</v>
      </c>
      <c r="BY18" s="21">
        <f t="shared" si="35"/>
        <v>14</v>
      </c>
      <c r="BZ18" s="12"/>
      <c r="CA18" s="7"/>
    </row>
    <row r="19" spans="1:79" ht="24" customHeight="1">
      <c r="A19" s="11">
        <f t="shared" si="0"/>
        <v>44881</v>
      </c>
      <c r="B19" s="7">
        <v>915754</v>
      </c>
      <c r="C19" s="7">
        <f t="shared" si="1"/>
        <v>4456</v>
      </c>
      <c r="D19" s="7">
        <v>31596253</v>
      </c>
      <c r="E19" s="7">
        <f t="shared" si="2"/>
        <v>8303</v>
      </c>
      <c r="F19" s="7">
        <v>8922127</v>
      </c>
      <c r="G19" s="8">
        <f t="shared" si="3"/>
        <v>3540</v>
      </c>
      <c r="H19" s="12"/>
      <c r="I19" s="7">
        <v>3948</v>
      </c>
      <c r="J19" s="13">
        <f t="shared" si="4"/>
        <v>98.222999999999999</v>
      </c>
      <c r="K19" s="7">
        <v>22212</v>
      </c>
      <c r="L19" s="13">
        <f t="shared" si="5"/>
        <v>6.774</v>
      </c>
      <c r="M19" s="12"/>
      <c r="N19" s="7">
        <v>65815</v>
      </c>
      <c r="O19" s="13">
        <f t="shared" si="6"/>
        <v>4679.1443850267378</v>
      </c>
      <c r="P19" s="7">
        <v>243547</v>
      </c>
      <c r="Q19" s="13">
        <f t="shared" si="7"/>
        <v>92</v>
      </c>
      <c r="R19" s="7">
        <v>54558680</v>
      </c>
      <c r="S19" s="13">
        <f t="shared" si="8"/>
        <v>2762</v>
      </c>
      <c r="T19" s="12"/>
      <c r="U19" s="7">
        <v>77508</v>
      </c>
      <c r="V19" s="7">
        <f t="shared" si="9"/>
        <v>372</v>
      </c>
      <c r="W19" s="13">
        <v>2536</v>
      </c>
      <c r="X19" s="13">
        <f>W19-W18</f>
        <v>20</v>
      </c>
      <c r="Y19" s="13">
        <v>1031</v>
      </c>
      <c r="Z19" s="13">
        <f>(Y19-Y18)</f>
        <v>10</v>
      </c>
      <c r="AA19" s="7">
        <v>862149</v>
      </c>
      <c r="AB19" s="7">
        <f t="shared" si="33"/>
        <v>3100000</v>
      </c>
      <c r="AC19" s="7">
        <v>375313</v>
      </c>
      <c r="AD19" s="7">
        <f t="shared" si="36"/>
        <v>3600000</v>
      </c>
      <c r="AE19" s="12"/>
      <c r="AF19" s="7">
        <v>67603</v>
      </c>
      <c r="AG19" s="7">
        <f t="shared" si="13"/>
        <v>386</v>
      </c>
      <c r="AH19" s="7">
        <v>255614</v>
      </c>
      <c r="AI19" s="13">
        <f t="shared" si="14"/>
        <v>149</v>
      </c>
      <c r="AJ19" s="7">
        <v>12127443</v>
      </c>
      <c r="AK19" s="13">
        <f t="shared" si="15"/>
        <v>4516</v>
      </c>
      <c r="AL19" s="7">
        <v>29081</v>
      </c>
      <c r="AM19" s="13">
        <f t="shared" si="16"/>
        <v>2</v>
      </c>
      <c r="AN19" s="7">
        <v>22921</v>
      </c>
      <c r="AO19" s="13">
        <f t="shared" si="17"/>
        <v>378</v>
      </c>
      <c r="AP19" s="12"/>
      <c r="AQ19" s="21">
        <v>645353</v>
      </c>
      <c r="AR19" s="21">
        <f t="shared" si="34"/>
        <v>350000</v>
      </c>
      <c r="AS19" s="21">
        <v>234978</v>
      </c>
      <c r="AT19" s="21">
        <f t="shared" si="18"/>
        <v>0</v>
      </c>
      <c r="AU19" s="21">
        <v>100390</v>
      </c>
      <c r="AV19" s="21">
        <f t="shared" si="19"/>
        <v>30000</v>
      </c>
      <c r="AW19" s="21">
        <v>269541</v>
      </c>
      <c r="AX19" s="21">
        <f t="shared" si="20"/>
        <v>0</v>
      </c>
      <c r="AY19" s="21">
        <v>488567</v>
      </c>
      <c r="AZ19" s="21">
        <f t="shared" si="21"/>
        <v>120000</v>
      </c>
      <c r="BA19" s="21">
        <v>19321</v>
      </c>
      <c r="BB19" s="21">
        <f t="shared" si="22"/>
        <v>0</v>
      </c>
      <c r="BC19" s="21">
        <v>485576</v>
      </c>
      <c r="BD19" s="21">
        <f t="shared" si="23"/>
        <v>40000</v>
      </c>
      <c r="BE19" s="21">
        <v>124026</v>
      </c>
      <c r="BF19" s="21">
        <f t="shared" si="24"/>
        <v>20000</v>
      </c>
      <c r="BG19" s="12"/>
      <c r="BH19" s="21">
        <v>1086008</v>
      </c>
      <c r="BI19" s="21">
        <f t="shared" si="25"/>
        <v>792</v>
      </c>
      <c r="BJ19" s="21">
        <v>587076</v>
      </c>
      <c r="BK19" s="21">
        <f t="shared" si="26"/>
        <v>437</v>
      </c>
      <c r="BL19" s="21">
        <v>295945</v>
      </c>
      <c r="BM19" s="21">
        <f t="shared" si="27"/>
        <v>155</v>
      </c>
      <c r="BN19" s="21">
        <v>161923</v>
      </c>
      <c r="BO19" s="21">
        <f t="shared" si="28"/>
        <v>126</v>
      </c>
      <c r="BP19" s="21">
        <v>149454</v>
      </c>
      <c r="BQ19" s="21">
        <f t="shared" si="29"/>
        <v>47</v>
      </c>
      <c r="BR19" s="21">
        <v>91092</v>
      </c>
      <c r="BS19" s="21">
        <f t="shared" si="30"/>
        <v>16</v>
      </c>
      <c r="BT19" s="21">
        <v>514499</v>
      </c>
      <c r="BU19" s="21">
        <f t="shared" si="31"/>
        <v>102</v>
      </c>
      <c r="BV19" s="21">
        <v>2898</v>
      </c>
      <c r="BW19" s="21">
        <f t="shared" si="32"/>
        <v>1</v>
      </c>
      <c r="BX19" s="21">
        <v>379330</v>
      </c>
      <c r="BY19" s="21">
        <f t="shared" si="35"/>
        <v>11</v>
      </c>
      <c r="BZ19" s="12"/>
      <c r="CA19" s="7"/>
    </row>
    <row r="20" spans="1:79" ht="20.25" customHeight="1">
      <c r="A20" s="11">
        <f t="shared" si="0"/>
        <v>44882</v>
      </c>
      <c r="B20" s="7">
        <v>920196</v>
      </c>
      <c r="C20" s="7">
        <f t="shared" si="1"/>
        <v>4442</v>
      </c>
      <c r="D20" s="7">
        <v>31604684</v>
      </c>
      <c r="E20" s="7">
        <f t="shared" si="2"/>
        <v>8431</v>
      </c>
      <c r="F20" s="7">
        <v>8925656</v>
      </c>
      <c r="G20" s="8">
        <f t="shared" si="3"/>
        <v>3529</v>
      </c>
      <c r="H20" s="12"/>
      <c r="I20" s="7">
        <v>4038</v>
      </c>
      <c r="J20" s="13">
        <f t="shared" si="4"/>
        <v>101.61</v>
      </c>
      <c r="K20" s="7">
        <v>22217</v>
      </c>
      <c r="L20" s="13">
        <f t="shared" si="5"/>
        <v>5.6449999999999996</v>
      </c>
      <c r="M20" s="12"/>
      <c r="N20" s="7">
        <v>65860</v>
      </c>
      <c r="O20" s="13">
        <f t="shared" si="6"/>
        <v>6016.0427807486631</v>
      </c>
      <c r="P20" s="7">
        <v>243638</v>
      </c>
      <c r="Q20" s="13">
        <f t="shared" si="7"/>
        <v>91</v>
      </c>
      <c r="R20" s="7">
        <v>54561618</v>
      </c>
      <c r="S20" s="13">
        <f t="shared" si="8"/>
        <v>2938</v>
      </c>
      <c r="T20" s="12"/>
      <c r="U20" s="7">
        <v>77878</v>
      </c>
      <c r="V20" s="7">
        <f t="shared" si="9"/>
        <v>370</v>
      </c>
      <c r="W20" s="7">
        <v>2559</v>
      </c>
      <c r="X20" s="13">
        <f t="shared" ref="X20:X33" si="37">W20-W19</f>
        <v>23</v>
      </c>
      <c r="Y20" s="7">
        <v>1041</v>
      </c>
      <c r="Z20" s="13">
        <f t="shared" ref="Z20:Z33" si="38">(Y20-Y19)</f>
        <v>10</v>
      </c>
      <c r="AA20" s="7">
        <v>862477</v>
      </c>
      <c r="AB20" s="7">
        <f t="shared" si="33"/>
        <v>3280000</v>
      </c>
      <c r="AC20" s="7">
        <v>375710</v>
      </c>
      <c r="AD20" s="7">
        <f t="shared" si="36"/>
        <v>3970000</v>
      </c>
      <c r="AE20" s="12"/>
      <c r="AF20" s="7">
        <v>68188</v>
      </c>
      <c r="AG20" s="7">
        <f t="shared" si="13"/>
        <v>585</v>
      </c>
      <c r="AH20" s="7">
        <v>255756</v>
      </c>
      <c r="AI20" s="13">
        <f t="shared" si="14"/>
        <v>142</v>
      </c>
      <c r="AJ20" s="7">
        <v>12132931</v>
      </c>
      <c r="AK20" s="13">
        <f t="shared" si="15"/>
        <v>5488</v>
      </c>
      <c r="AL20" s="7">
        <v>29082</v>
      </c>
      <c r="AM20" s="13">
        <f t="shared" si="16"/>
        <v>1</v>
      </c>
      <c r="AN20" s="7">
        <v>23259</v>
      </c>
      <c r="AO20" s="13">
        <f t="shared" si="17"/>
        <v>338</v>
      </c>
      <c r="AP20" s="12"/>
      <c r="AQ20" s="21">
        <v>645353</v>
      </c>
      <c r="AR20" s="21">
        <f t="shared" si="34"/>
        <v>0</v>
      </c>
      <c r="AS20" s="21">
        <v>234978</v>
      </c>
      <c r="AT20" s="21">
        <f t="shared" si="18"/>
        <v>0</v>
      </c>
      <c r="AU20" s="21">
        <v>100390</v>
      </c>
      <c r="AV20" s="21">
        <f t="shared" si="19"/>
        <v>0</v>
      </c>
      <c r="AW20" s="21">
        <v>269541</v>
      </c>
      <c r="AX20" s="21">
        <f t="shared" si="20"/>
        <v>0</v>
      </c>
      <c r="AY20" s="21">
        <v>488571</v>
      </c>
      <c r="AZ20" s="21">
        <f t="shared" si="21"/>
        <v>40000</v>
      </c>
      <c r="BA20" s="21">
        <v>19321</v>
      </c>
      <c r="BB20" s="21">
        <f t="shared" si="22"/>
        <v>0</v>
      </c>
      <c r="BC20" s="21">
        <v>485581</v>
      </c>
      <c r="BD20" s="21">
        <f t="shared" si="23"/>
        <v>50000</v>
      </c>
      <c r="BE20" s="21">
        <v>124026</v>
      </c>
      <c r="BF20" s="21">
        <f t="shared" si="24"/>
        <v>0</v>
      </c>
      <c r="BG20" s="12"/>
      <c r="BH20" s="21">
        <v>1086839</v>
      </c>
      <c r="BI20" s="21">
        <f t="shared" si="25"/>
        <v>831</v>
      </c>
      <c r="BJ20" s="21">
        <v>587585</v>
      </c>
      <c r="BK20" s="21">
        <f t="shared" si="26"/>
        <v>509</v>
      </c>
      <c r="BL20" s="21">
        <v>296098</v>
      </c>
      <c r="BM20" s="21">
        <f t="shared" si="27"/>
        <v>153</v>
      </c>
      <c r="BN20" s="21">
        <v>162055</v>
      </c>
      <c r="BO20" s="21">
        <f t="shared" si="28"/>
        <v>132</v>
      </c>
      <c r="BP20" s="21">
        <v>149501</v>
      </c>
      <c r="BQ20" s="21">
        <f t="shared" si="29"/>
        <v>47</v>
      </c>
      <c r="BR20" s="21">
        <v>91108</v>
      </c>
      <c r="BS20" s="21">
        <f t="shared" si="30"/>
        <v>16</v>
      </c>
      <c r="BT20" s="21">
        <v>514596</v>
      </c>
      <c r="BU20" s="21">
        <f t="shared" si="31"/>
        <v>97</v>
      </c>
      <c r="BV20" s="21">
        <v>2899</v>
      </c>
      <c r="BW20" s="21">
        <f t="shared" si="32"/>
        <v>1</v>
      </c>
      <c r="BX20" s="21">
        <v>379346</v>
      </c>
      <c r="BY20" s="21">
        <f t="shared" si="35"/>
        <v>16</v>
      </c>
      <c r="BZ20" s="12"/>
      <c r="CA20" s="7"/>
    </row>
    <row r="21" spans="1:79" ht="21" customHeight="1">
      <c r="A21" s="11">
        <f t="shared" si="0"/>
        <v>44883</v>
      </c>
      <c r="B21" s="7">
        <v>924377</v>
      </c>
      <c r="C21" s="7">
        <f t="shared" si="1"/>
        <v>4181</v>
      </c>
      <c r="D21" s="7">
        <v>31612537</v>
      </c>
      <c r="E21" s="7">
        <f t="shared" si="2"/>
        <v>7853</v>
      </c>
      <c r="F21" s="7">
        <v>8928951</v>
      </c>
      <c r="G21" s="8">
        <f>F21-F20</f>
        <v>3295</v>
      </c>
      <c r="H21" s="12"/>
      <c r="I21" s="7">
        <v>4132</v>
      </c>
      <c r="J21" s="13">
        <f t="shared" si="4"/>
        <v>106.126</v>
      </c>
      <c r="K21" s="7">
        <v>22222</v>
      </c>
      <c r="L21" s="13">
        <f t="shared" si="5"/>
        <v>5.6449999999999996</v>
      </c>
      <c r="M21" s="12"/>
      <c r="N21" s="7">
        <v>65896</v>
      </c>
      <c r="O21" s="13">
        <f t="shared" si="6"/>
        <v>4812.8342245989306</v>
      </c>
      <c r="P21" s="7">
        <v>243734</v>
      </c>
      <c r="Q21" s="13">
        <f t="shared" si="7"/>
        <v>96</v>
      </c>
      <c r="R21" s="7">
        <v>54564593</v>
      </c>
      <c r="S21" s="13">
        <f t="shared" si="8"/>
        <v>2975</v>
      </c>
      <c r="T21" s="12"/>
      <c r="U21" s="7">
        <v>78225</v>
      </c>
      <c r="V21" s="7">
        <f t="shared" si="9"/>
        <v>347</v>
      </c>
      <c r="W21" s="7">
        <v>2582</v>
      </c>
      <c r="X21" s="13">
        <f t="shared" si="37"/>
        <v>23</v>
      </c>
      <c r="Y21" s="7">
        <v>1051</v>
      </c>
      <c r="Z21" s="13">
        <f t="shared" si="38"/>
        <v>10</v>
      </c>
      <c r="AA21" s="7">
        <v>862783</v>
      </c>
      <c r="AB21" s="7">
        <f t="shared" si="33"/>
        <v>3060000</v>
      </c>
      <c r="AC21" s="7">
        <v>376096</v>
      </c>
      <c r="AD21" s="7">
        <f t="shared" si="36"/>
        <v>3860000</v>
      </c>
      <c r="AE21" s="12"/>
      <c r="AF21" s="7">
        <v>68915</v>
      </c>
      <c r="AG21" s="7">
        <f t="shared" si="13"/>
        <v>727</v>
      </c>
      <c r="AH21" s="7">
        <v>255930</v>
      </c>
      <c r="AI21" s="13">
        <f t="shared" si="14"/>
        <v>174</v>
      </c>
      <c r="AJ21" s="7">
        <v>12139819</v>
      </c>
      <c r="AK21" s="13">
        <f t="shared" si="15"/>
        <v>6888</v>
      </c>
      <c r="AL21" s="7">
        <v>29084</v>
      </c>
      <c r="AM21" s="13">
        <f t="shared" si="16"/>
        <v>2</v>
      </c>
      <c r="AN21" s="7">
        <v>23970</v>
      </c>
      <c r="AO21" s="13">
        <f t="shared" si="17"/>
        <v>711</v>
      </c>
      <c r="AP21" s="12"/>
      <c r="AQ21" s="21">
        <v>645353</v>
      </c>
      <c r="AR21" s="21">
        <f t="shared" si="34"/>
        <v>0</v>
      </c>
      <c r="AS21" s="21">
        <v>234978</v>
      </c>
      <c r="AT21" s="21">
        <f t="shared" si="18"/>
        <v>0</v>
      </c>
      <c r="AU21" s="21">
        <v>100390</v>
      </c>
      <c r="AV21" s="21">
        <f t="shared" si="19"/>
        <v>0</v>
      </c>
      <c r="AW21" s="21">
        <v>269541</v>
      </c>
      <c r="AX21" s="21">
        <f t="shared" si="20"/>
        <v>0</v>
      </c>
      <c r="AY21" s="21">
        <v>488577</v>
      </c>
      <c r="AZ21" s="21">
        <f t="shared" si="21"/>
        <v>60000</v>
      </c>
      <c r="BA21" s="21">
        <v>19321</v>
      </c>
      <c r="BB21" s="21">
        <f t="shared" si="22"/>
        <v>0</v>
      </c>
      <c r="BC21" s="21">
        <v>485625</v>
      </c>
      <c r="BD21" s="21">
        <f t="shared" si="23"/>
        <v>440000</v>
      </c>
      <c r="BE21" s="21">
        <v>124039</v>
      </c>
      <c r="BF21" s="21">
        <f t="shared" si="24"/>
        <v>130000</v>
      </c>
      <c r="BG21" s="12"/>
      <c r="BH21" s="21">
        <v>1087727</v>
      </c>
      <c r="BI21" s="21">
        <f t="shared" si="25"/>
        <v>888</v>
      </c>
      <c r="BJ21" s="21">
        <v>588033</v>
      </c>
      <c r="BK21" s="21">
        <f t="shared" si="26"/>
        <v>448</v>
      </c>
      <c r="BL21" s="21">
        <v>296252</v>
      </c>
      <c r="BM21" s="21">
        <f t="shared" si="27"/>
        <v>154</v>
      </c>
      <c r="BN21" s="21">
        <v>162191</v>
      </c>
      <c r="BO21" s="21">
        <f t="shared" si="28"/>
        <v>136</v>
      </c>
      <c r="BP21" s="21">
        <v>149529</v>
      </c>
      <c r="BQ21" s="21">
        <f t="shared" si="29"/>
        <v>28</v>
      </c>
      <c r="BR21" s="21">
        <v>91120</v>
      </c>
      <c r="BS21" s="21">
        <f t="shared" si="30"/>
        <v>12</v>
      </c>
      <c r="BT21" s="21">
        <v>514692</v>
      </c>
      <c r="BU21" s="21">
        <f t="shared" si="31"/>
        <v>96</v>
      </c>
      <c r="BV21" s="21">
        <v>2900</v>
      </c>
      <c r="BW21" s="21">
        <f t="shared" si="32"/>
        <v>1</v>
      </c>
      <c r="BX21" s="21">
        <v>379364</v>
      </c>
      <c r="BY21" s="21">
        <f t="shared" si="35"/>
        <v>18</v>
      </c>
      <c r="BZ21" s="12"/>
      <c r="CA21" s="7"/>
    </row>
    <row r="22" spans="1:79" ht="18.75" customHeight="1">
      <c r="A22" s="11">
        <f t="shared" si="0"/>
        <v>44884</v>
      </c>
      <c r="B22" s="7">
        <v>929005</v>
      </c>
      <c r="C22" s="7">
        <f t="shared" si="1"/>
        <v>4628</v>
      </c>
      <c r="D22" s="7">
        <v>31621088</v>
      </c>
      <c r="E22" s="7">
        <f t="shared" si="2"/>
        <v>8551</v>
      </c>
      <c r="F22" s="7">
        <v>8932300</v>
      </c>
      <c r="G22" s="8">
        <f>F22-F21</f>
        <v>3349</v>
      </c>
      <c r="H22" s="12"/>
      <c r="I22" s="7">
        <v>4232</v>
      </c>
      <c r="J22" s="13">
        <f t="shared" si="4"/>
        <v>112.9</v>
      </c>
      <c r="K22" s="7">
        <v>22228</v>
      </c>
      <c r="L22" s="13">
        <f t="shared" si="5"/>
        <v>6.774</v>
      </c>
      <c r="M22" s="12"/>
      <c r="N22" s="7">
        <v>65958</v>
      </c>
      <c r="O22" s="13">
        <f t="shared" si="6"/>
        <v>8288.7700534759351</v>
      </c>
      <c r="P22" s="13">
        <v>243824</v>
      </c>
      <c r="Q22" s="13">
        <f t="shared" si="7"/>
        <v>90</v>
      </c>
      <c r="R22" s="7">
        <v>54567672</v>
      </c>
      <c r="S22" s="13">
        <f t="shared" si="8"/>
        <v>3079</v>
      </c>
      <c r="T22" s="12"/>
      <c r="U22" s="7">
        <v>78597</v>
      </c>
      <c r="V22" s="7">
        <f t="shared" si="9"/>
        <v>372</v>
      </c>
      <c r="W22" s="7">
        <v>2602</v>
      </c>
      <c r="X22" s="13">
        <f t="shared" si="37"/>
        <v>20</v>
      </c>
      <c r="Y22" s="7">
        <v>1060</v>
      </c>
      <c r="Z22" s="13">
        <f t="shared" si="38"/>
        <v>9</v>
      </c>
      <c r="AA22" s="7">
        <v>863069</v>
      </c>
      <c r="AB22" s="7">
        <f t="shared" si="33"/>
        <v>2860000</v>
      </c>
      <c r="AC22" s="7">
        <v>376472</v>
      </c>
      <c r="AD22" s="7">
        <f t="shared" si="36"/>
        <v>3760000</v>
      </c>
      <c r="AE22" s="12"/>
      <c r="AF22" s="7">
        <v>69713</v>
      </c>
      <c r="AG22" s="7">
        <f t="shared" si="13"/>
        <v>798</v>
      </c>
      <c r="AH22" s="13">
        <v>256100</v>
      </c>
      <c r="AI22" s="13">
        <f t="shared" si="14"/>
        <v>170</v>
      </c>
      <c r="AJ22" s="13">
        <v>12147414</v>
      </c>
      <c r="AK22" s="13">
        <f t="shared" si="15"/>
        <v>7595</v>
      </c>
      <c r="AL22" s="13">
        <v>29087</v>
      </c>
      <c r="AM22" s="13">
        <f t="shared" si="16"/>
        <v>3</v>
      </c>
      <c r="AN22" s="7">
        <v>24735</v>
      </c>
      <c r="AO22" s="13">
        <f t="shared" si="17"/>
        <v>765</v>
      </c>
      <c r="AP22" s="12"/>
      <c r="AQ22" s="21">
        <v>645388</v>
      </c>
      <c r="AR22" s="21">
        <f t="shared" si="34"/>
        <v>350000</v>
      </c>
      <c r="AS22" s="21">
        <v>234978</v>
      </c>
      <c r="AT22" s="21">
        <f t="shared" si="18"/>
        <v>0</v>
      </c>
      <c r="AU22" s="21">
        <v>100390</v>
      </c>
      <c r="AV22" s="21">
        <f t="shared" si="19"/>
        <v>0</v>
      </c>
      <c r="AW22" s="21">
        <v>269566</v>
      </c>
      <c r="AX22" s="21">
        <f t="shared" si="20"/>
        <v>250000</v>
      </c>
      <c r="AY22" s="21">
        <v>488577</v>
      </c>
      <c r="AZ22" s="21">
        <f t="shared" si="21"/>
        <v>0</v>
      </c>
      <c r="BA22" s="21">
        <v>19321</v>
      </c>
      <c r="BB22" s="21">
        <f t="shared" si="22"/>
        <v>0</v>
      </c>
      <c r="BC22" s="21">
        <v>485752</v>
      </c>
      <c r="BD22" s="21">
        <f t="shared" si="23"/>
        <v>1270000</v>
      </c>
      <c r="BE22" s="21">
        <v>124039</v>
      </c>
      <c r="BF22" s="21">
        <f t="shared" si="24"/>
        <v>0</v>
      </c>
      <c r="BG22" s="12"/>
      <c r="BH22" s="21">
        <v>1088933</v>
      </c>
      <c r="BI22" s="21">
        <f t="shared" si="25"/>
        <v>1206</v>
      </c>
      <c r="BJ22" s="21">
        <v>588518</v>
      </c>
      <c r="BK22" s="21">
        <f t="shared" si="26"/>
        <v>485</v>
      </c>
      <c r="BL22" s="21">
        <v>296415</v>
      </c>
      <c r="BM22" s="21">
        <f t="shared" si="27"/>
        <v>163</v>
      </c>
      <c r="BN22" s="21">
        <v>162329</v>
      </c>
      <c r="BO22" s="21">
        <f t="shared" si="28"/>
        <v>138</v>
      </c>
      <c r="BP22" s="21">
        <v>149567</v>
      </c>
      <c r="BQ22" s="21">
        <f t="shared" si="29"/>
        <v>38</v>
      </c>
      <c r="BR22" s="21">
        <v>91134</v>
      </c>
      <c r="BS22" s="21">
        <f t="shared" si="30"/>
        <v>14</v>
      </c>
      <c r="BT22" s="21">
        <v>514792</v>
      </c>
      <c r="BU22" s="21">
        <f t="shared" si="31"/>
        <v>100</v>
      </c>
      <c r="BV22" s="21">
        <v>2901</v>
      </c>
      <c r="BW22" s="21">
        <f t="shared" si="32"/>
        <v>1</v>
      </c>
      <c r="BX22" s="21">
        <v>379381</v>
      </c>
      <c r="BY22" s="21">
        <f t="shared" si="35"/>
        <v>17</v>
      </c>
      <c r="BZ22" s="12"/>
      <c r="CA22" s="7"/>
    </row>
    <row r="23" spans="1:79" ht="21" customHeight="1">
      <c r="A23" s="11">
        <f t="shared" si="0"/>
        <v>44885</v>
      </c>
      <c r="B23" s="7">
        <v>933483</v>
      </c>
      <c r="C23" s="7">
        <f t="shared" si="1"/>
        <v>4478</v>
      </c>
      <c r="D23" s="7">
        <v>31629616</v>
      </c>
      <c r="E23" s="7">
        <f t="shared" si="2"/>
        <v>8528</v>
      </c>
      <c r="F23" s="7">
        <v>8935632</v>
      </c>
      <c r="G23" s="8">
        <f t="shared" si="3"/>
        <v>3332</v>
      </c>
      <c r="H23" s="12"/>
      <c r="I23" s="7">
        <v>4354</v>
      </c>
      <c r="J23" s="13">
        <f t="shared" si="4"/>
        <v>137.738</v>
      </c>
      <c r="K23" s="7">
        <v>22234</v>
      </c>
      <c r="L23" s="13">
        <f t="shared" si="5"/>
        <v>6.774</v>
      </c>
      <c r="M23" s="12"/>
      <c r="N23" s="7">
        <v>66036</v>
      </c>
      <c r="O23" s="13">
        <f t="shared" si="6"/>
        <v>10427.807486631016</v>
      </c>
      <c r="P23" s="13">
        <v>243928</v>
      </c>
      <c r="Q23" s="13">
        <f t="shared" si="7"/>
        <v>104</v>
      </c>
      <c r="R23" s="7">
        <v>54571465</v>
      </c>
      <c r="S23" s="13">
        <f t="shared" si="8"/>
        <v>3793</v>
      </c>
      <c r="T23" s="12"/>
      <c r="U23" s="7">
        <v>78966</v>
      </c>
      <c r="V23" s="7">
        <f t="shared" si="9"/>
        <v>369</v>
      </c>
      <c r="W23" s="7">
        <v>2623</v>
      </c>
      <c r="X23" s="13">
        <f t="shared" si="37"/>
        <v>21</v>
      </c>
      <c r="Y23" s="7">
        <v>1070</v>
      </c>
      <c r="Z23" s="13">
        <f t="shared" si="38"/>
        <v>10</v>
      </c>
      <c r="AA23" s="7">
        <v>863385</v>
      </c>
      <c r="AB23" s="7">
        <f t="shared" si="33"/>
        <v>3160000</v>
      </c>
      <c r="AC23" s="7">
        <v>376886</v>
      </c>
      <c r="AD23" s="7">
        <f t="shared" si="36"/>
        <v>4140000</v>
      </c>
      <c r="AE23" s="12"/>
      <c r="AF23" s="7">
        <v>70169</v>
      </c>
      <c r="AG23" s="7">
        <f t="shared" si="13"/>
        <v>456</v>
      </c>
      <c r="AH23" s="13">
        <v>256254</v>
      </c>
      <c r="AI23" s="13">
        <f t="shared" si="14"/>
        <v>154</v>
      </c>
      <c r="AJ23" s="13">
        <v>12155239</v>
      </c>
      <c r="AK23" s="13">
        <f t="shared" si="15"/>
        <v>7825</v>
      </c>
      <c r="AL23" s="13">
        <v>29091</v>
      </c>
      <c r="AM23" s="13">
        <f t="shared" si="16"/>
        <v>4</v>
      </c>
      <c r="AN23" s="7">
        <v>25450</v>
      </c>
      <c r="AO23" s="13">
        <f t="shared" si="17"/>
        <v>715</v>
      </c>
      <c r="AP23" s="12"/>
      <c r="AQ23" s="21">
        <v>645388</v>
      </c>
      <c r="AR23" s="21">
        <f t="shared" si="34"/>
        <v>0</v>
      </c>
      <c r="AS23" s="21">
        <v>234978</v>
      </c>
      <c r="AT23" s="21">
        <f t="shared" si="18"/>
        <v>0</v>
      </c>
      <c r="AU23" s="21">
        <v>100390</v>
      </c>
      <c r="AV23" s="21">
        <f t="shared" si="19"/>
        <v>0</v>
      </c>
      <c r="AW23" s="21">
        <v>269566</v>
      </c>
      <c r="AX23" s="21">
        <f t="shared" si="20"/>
        <v>0</v>
      </c>
      <c r="AY23" s="21">
        <v>488577</v>
      </c>
      <c r="AZ23" s="21">
        <f t="shared" si="21"/>
        <v>0</v>
      </c>
      <c r="BA23" s="21">
        <v>19321</v>
      </c>
      <c r="BB23" s="21">
        <f t="shared" si="22"/>
        <v>0</v>
      </c>
      <c r="BC23" s="21">
        <v>485950</v>
      </c>
      <c r="BD23" s="21">
        <f t="shared" si="23"/>
        <v>1980000</v>
      </c>
      <c r="BE23" s="21">
        <v>124039</v>
      </c>
      <c r="BF23" s="21">
        <f t="shared" si="24"/>
        <v>0</v>
      </c>
      <c r="BG23" s="12"/>
      <c r="BH23" s="21">
        <v>1089957</v>
      </c>
      <c r="BI23" s="21">
        <f t="shared" si="25"/>
        <v>1024</v>
      </c>
      <c r="BJ23" s="21">
        <v>589040</v>
      </c>
      <c r="BK23" s="21">
        <f t="shared" si="26"/>
        <v>522</v>
      </c>
      <c r="BL23" s="21">
        <v>296591</v>
      </c>
      <c r="BM23" s="21">
        <f t="shared" si="27"/>
        <v>176</v>
      </c>
      <c r="BN23" s="21">
        <v>162496</v>
      </c>
      <c r="BO23" s="21">
        <f t="shared" si="28"/>
        <v>167</v>
      </c>
      <c r="BP23" s="21">
        <v>149614</v>
      </c>
      <c r="BQ23" s="21">
        <f t="shared" si="29"/>
        <v>47</v>
      </c>
      <c r="BR23" s="21">
        <v>91147</v>
      </c>
      <c r="BS23" s="21">
        <f t="shared" si="30"/>
        <v>13</v>
      </c>
      <c r="BT23" s="21">
        <v>514912</v>
      </c>
      <c r="BU23" s="21">
        <f t="shared" si="31"/>
        <v>120</v>
      </c>
      <c r="BV23" s="21">
        <v>2902</v>
      </c>
      <c r="BW23" s="21">
        <f t="shared" si="32"/>
        <v>1</v>
      </c>
      <c r="BX23" s="21">
        <v>379413</v>
      </c>
      <c r="BY23" s="21">
        <f t="shared" si="35"/>
        <v>32</v>
      </c>
      <c r="BZ23" s="12"/>
      <c r="CA23" s="7"/>
    </row>
    <row r="24" spans="1:79" ht="22.5" customHeight="1">
      <c r="A24" s="11">
        <f t="shared" si="0"/>
        <v>44886</v>
      </c>
      <c r="B24" s="7">
        <v>938148</v>
      </c>
      <c r="C24" s="7">
        <f t="shared" si="1"/>
        <v>4665</v>
      </c>
      <c r="D24" s="7">
        <v>31638441</v>
      </c>
      <c r="E24" s="7">
        <f t="shared" si="2"/>
        <v>8825</v>
      </c>
      <c r="F24" s="7">
        <v>8939268</v>
      </c>
      <c r="G24" s="8">
        <f t="shared" si="3"/>
        <v>3636</v>
      </c>
      <c r="H24" s="12"/>
      <c r="I24" s="7">
        <v>4460</v>
      </c>
      <c r="J24" s="13">
        <f t="shared" si="4"/>
        <v>119.67400000000001</v>
      </c>
      <c r="K24" s="7">
        <v>22240</v>
      </c>
      <c r="L24" s="13">
        <f t="shared" si="5"/>
        <v>6.774</v>
      </c>
      <c r="M24" s="12"/>
      <c r="N24" s="7">
        <v>66090</v>
      </c>
      <c r="O24" s="13">
        <f t="shared" si="6"/>
        <v>7219.2513368983955</v>
      </c>
      <c r="P24" s="13">
        <v>244048</v>
      </c>
      <c r="Q24" s="13">
        <f t="shared" si="7"/>
        <v>120</v>
      </c>
      <c r="R24" s="7">
        <v>54575126</v>
      </c>
      <c r="S24" s="13">
        <f t="shared" si="8"/>
        <v>3661</v>
      </c>
      <c r="T24" s="12"/>
      <c r="U24" s="7">
        <v>79353</v>
      </c>
      <c r="V24" s="7">
        <f t="shared" si="9"/>
        <v>387</v>
      </c>
      <c r="W24" s="7">
        <v>2646</v>
      </c>
      <c r="X24" s="13">
        <f t="shared" si="37"/>
        <v>23</v>
      </c>
      <c r="Y24" s="7">
        <v>1081</v>
      </c>
      <c r="Z24" s="13">
        <f t="shared" si="38"/>
        <v>11</v>
      </c>
      <c r="AA24" s="7">
        <v>863709</v>
      </c>
      <c r="AB24" s="7">
        <f t="shared" si="33"/>
        <v>3240000</v>
      </c>
      <c r="AC24" s="7">
        <v>377327</v>
      </c>
      <c r="AD24" s="7">
        <f t="shared" si="36"/>
        <v>4410000</v>
      </c>
      <c r="AE24" s="12"/>
      <c r="AF24" s="7">
        <v>70625</v>
      </c>
      <c r="AG24" s="7">
        <f t="shared" si="13"/>
        <v>456</v>
      </c>
      <c r="AH24" s="13">
        <v>256408</v>
      </c>
      <c r="AI24" s="13">
        <f t="shared" si="14"/>
        <v>154</v>
      </c>
      <c r="AJ24" s="13">
        <v>12163064</v>
      </c>
      <c r="AK24" s="13">
        <f t="shared" si="15"/>
        <v>7825</v>
      </c>
      <c r="AL24" s="13">
        <v>29093</v>
      </c>
      <c r="AM24" s="13">
        <f t="shared" si="16"/>
        <v>2</v>
      </c>
      <c r="AN24" s="7">
        <v>26168</v>
      </c>
      <c r="AO24" s="13">
        <f t="shared" si="17"/>
        <v>718</v>
      </c>
      <c r="AP24" s="12"/>
      <c r="AQ24" s="21">
        <v>645389</v>
      </c>
      <c r="AR24" s="21">
        <f t="shared" si="34"/>
        <v>10000</v>
      </c>
      <c r="AS24" s="21">
        <v>234978</v>
      </c>
      <c r="AT24" s="21">
        <f t="shared" si="18"/>
        <v>0</v>
      </c>
      <c r="AU24" s="21">
        <v>100390</v>
      </c>
      <c r="AV24" s="21">
        <f t="shared" si="19"/>
        <v>0</v>
      </c>
      <c r="AW24" s="21">
        <v>269705</v>
      </c>
      <c r="AX24" s="21">
        <f t="shared" si="20"/>
        <v>1390000</v>
      </c>
      <c r="AY24" s="21">
        <v>488577</v>
      </c>
      <c r="AZ24" s="21">
        <f t="shared" si="21"/>
        <v>0</v>
      </c>
      <c r="BA24" s="21">
        <v>19321</v>
      </c>
      <c r="BB24" s="21">
        <f t="shared" si="22"/>
        <v>0</v>
      </c>
      <c r="BC24" s="21">
        <v>486061</v>
      </c>
      <c r="BD24" s="21">
        <f t="shared" si="23"/>
        <v>1110000</v>
      </c>
      <c r="BE24" s="21">
        <v>124039</v>
      </c>
      <c r="BF24" s="21">
        <f t="shared" si="24"/>
        <v>0</v>
      </c>
      <c r="BG24" s="12"/>
      <c r="BH24" s="21">
        <v>1090841</v>
      </c>
      <c r="BI24" s="21">
        <f t="shared" si="25"/>
        <v>884</v>
      </c>
      <c r="BJ24" s="21">
        <v>589553</v>
      </c>
      <c r="BK24" s="21">
        <f t="shared" si="26"/>
        <v>513</v>
      </c>
      <c r="BL24" s="21">
        <v>296756</v>
      </c>
      <c r="BM24" s="21">
        <f t="shared" si="27"/>
        <v>165</v>
      </c>
      <c r="BN24" s="21">
        <v>162627</v>
      </c>
      <c r="BO24" s="21">
        <f t="shared" si="28"/>
        <v>131</v>
      </c>
      <c r="BP24" s="21">
        <v>149662</v>
      </c>
      <c r="BQ24" s="21">
        <f t="shared" si="29"/>
        <v>48</v>
      </c>
      <c r="BR24" s="21">
        <v>91162</v>
      </c>
      <c r="BS24" s="21">
        <f t="shared" si="30"/>
        <v>15</v>
      </c>
      <c r="BT24" s="21">
        <v>515031</v>
      </c>
      <c r="BU24" s="21">
        <f t="shared" si="31"/>
        <v>119</v>
      </c>
      <c r="BV24" s="21">
        <v>2903</v>
      </c>
      <c r="BW24" s="21">
        <f t="shared" si="32"/>
        <v>1</v>
      </c>
      <c r="BX24" s="21">
        <v>379439</v>
      </c>
      <c r="BY24" s="21">
        <f t="shared" si="35"/>
        <v>26</v>
      </c>
      <c r="BZ24" s="12"/>
      <c r="CA24" s="7"/>
    </row>
    <row r="25" spans="1:79" ht="22.5" customHeight="1">
      <c r="A25" s="11">
        <f t="shared" si="0"/>
        <v>44887</v>
      </c>
      <c r="B25" s="7">
        <v>942101</v>
      </c>
      <c r="C25" s="7">
        <f t="shared" si="1"/>
        <v>3953</v>
      </c>
      <c r="D25" s="7">
        <v>31646198</v>
      </c>
      <c r="E25" s="7">
        <f t="shared" si="2"/>
        <v>7757</v>
      </c>
      <c r="F25" s="7">
        <v>8942376</v>
      </c>
      <c r="G25" s="8">
        <f t="shared" si="3"/>
        <v>3108</v>
      </c>
      <c r="H25" s="12"/>
      <c r="I25" s="7">
        <v>4547</v>
      </c>
      <c r="J25" s="13">
        <f t="shared" si="4"/>
        <v>98.222999999999999</v>
      </c>
      <c r="K25" s="7">
        <v>22244</v>
      </c>
      <c r="L25" s="13">
        <f t="shared" si="5"/>
        <v>4.516</v>
      </c>
      <c r="M25" s="12"/>
      <c r="N25" s="7">
        <v>66129</v>
      </c>
      <c r="O25" s="13">
        <f t="shared" si="6"/>
        <v>5213.9037433155081</v>
      </c>
      <c r="P25" s="7">
        <v>244142</v>
      </c>
      <c r="Q25" s="13">
        <f t="shared" si="7"/>
        <v>94</v>
      </c>
      <c r="R25" s="7">
        <v>54578108</v>
      </c>
      <c r="S25" s="13">
        <f t="shared" si="8"/>
        <v>2982</v>
      </c>
      <c r="T25" s="12"/>
      <c r="U25" s="7">
        <v>79700</v>
      </c>
      <c r="V25" s="7">
        <f t="shared" si="9"/>
        <v>347</v>
      </c>
      <c r="W25" s="7">
        <v>2666</v>
      </c>
      <c r="X25" s="13">
        <f t="shared" si="37"/>
        <v>20</v>
      </c>
      <c r="Y25" s="7">
        <v>1090</v>
      </c>
      <c r="Z25" s="13">
        <f t="shared" si="38"/>
        <v>9</v>
      </c>
      <c r="AA25" s="7">
        <v>863986</v>
      </c>
      <c r="AB25" s="7">
        <f t="shared" si="33"/>
        <v>2770000</v>
      </c>
      <c r="AC25" s="7">
        <v>377704</v>
      </c>
      <c r="AD25" s="7">
        <f t="shared" si="36"/>
        <v>3770000</v>
      </c>
      <c r="AE25" s="12"/>
      <c r="AF25" s="7">
        <v>71636</v>
      </c>
      <c r="AG25" s="7">
        <f t="shared" si="13"/>
        <v>1011</v>
      </c>
      <c r="AH25" s="7">
        <v>256511</v>
      </c>
      <c r="AI25" s="13">
        <f t="shared" si="14"/>
        <v>103</v>
      </c>
      <c r="AJ25" s="7">
        <v>12166770</v>
      </c>
      <c r="AK25" s="13">
        <f t="shared" si="15"/>
        <v>3706</v>
      </c>
      <c r="AL25" s="7">
        <v>29094</v>
      </c>
      <c r="AM25" s="13">
        <f t="shared" si="16"/>
        <v>1</v>
      </c>
      <c r="AN25" s="7">
        <v>26226</v>
      </c>
      <c r="AO25" s="13">
        <f t="shared" si="17"/>
        <v>58</v>
      </c>
      <c r="AP25" s="12"/>
      <c r="AQ25" s="21">
        <v>645389</v>
      </c>
      <c r="AR25" s="21">
        <f t="shared" si="34"/>
        <v>0</v>
      </c>
      <c r="AS25" s="21">
        <v>234978</v>
      </c>
      <c r="AT25" s="21">
        <f t="shared" si="18"/>
        <v>0</v>
      </c>
      <c r="AU25" s="21">
        <v>100390</v>
      </c>
      <c r="AV25" s="21">
        <f t="shared" si="19"/>
        <v>0</v>
      </c>
      <c r="AW25" s="21">
        <v>269777</v>
      </c>
      <c r="AX25" s="21">
        <f t="shared" si="20"/>
        <v>720000</v>
      </c>
      <c r="AY25" s="21">
        <v>488577</v>
      </c>
      <c r="AZ25" s="21">
        <f t="shared" si="21"/>
        <v>0</v>
      </c>
      <c r="BA25" s="21">
        <v>19321</v>
      </c>
      <c r="BB25" s="21">
        <f t="shared" si="22"/>
        <v>0</v>
      </c>
      <c r="BC25" s="21">
        <v>486113</v>
      </c>
      <c r="BD25" s="21">
        <f t="shared" si="23"/>
        <v>520000</v>
      </c>
      <c r="BE25" s="21">
        <v>124039</v>
      </c>
      <c r="BF25" s="21">
        <f t="shared" si="24"/>
        <v>0</v>
      </c>
      <c r="BG25" s="12"/>
      <c r="BH25" s="21">
        <v>1091548</v>
      </c>
      <c r="BI25" s="21">
        <f t="shared" si="25"/>
        <v>707</v>
      </c>
      <c r="BJ25" s="21">
        <v>590010</v>
      </c>
      <c r="BK25" s="21">
        <f t="shared" si="26"/>
        <v>457</v>
      </c>
      <c r="BL25" s="21">
        <v>296895</v>
      </c>
      <c r="BM25" s="21">
        <f t="shared" si="27"/>
        <v>139</v>
      </c>
      <c r="BN25" s="21">
        <v>162745</v>
      </c>
      <c r="BO25" s="21">
        <f t="shared" si="28"/>
        <v>118</v>
      </c>
      <c r="BP25" s="21">
        <v>149706</v>
      </c>
      <c r="BQ25" s="21">
        <f t="shared" si="29"/>
        <v>44</v>
      </c>
      <c r="BR25" s="21">
        <v>91177</v>
      </c>
      <c r="BS25" s="21">
        <f t="shared" si="30"/>
        <v>15</v>
      </c>
      <c r="BT25" s="21">
        <v>515108</v>
      </c>
      <c r="BU25" s="21">
        <f t="shared" si="31"/>
        <v>77</v>
      </c>
      <c r="BV25" s="21">
        <v>2903</v>
      </c>
      <c r="BW25" s="21">
        <f t="shared" si="32"/>
        <v>0</v>
      </c>
      <c r="BX25" s="21">
        <v>379439</v>
      </c>
      <c r="BY25" s="21">
        <f t="shared" si="35"/>
        <v>0</v>
      </c>
      <c r="BZ25" s="12"/>
      <c r="CA25" s="7"/>
    </row>
    <row r="26" spans="1:79" ht="22.5" customHeight="1">
      <c r="A26" s="11">
        <f t="shared" si="0"/>
        <v>44888</v>
      </c>
      <c r="B26" s="7">
        <v>946421</v>
      </c>
      <c r="C26" s="7">
        <f t="shared" si="1"/>
        <v>4320</v>
      </c>
      <c r="D26" s="7">
        <v>31654834</v>
      </c>
      <c r="E26" s="7">
        <f t="shared" si="2"/>
        <v>8636</v>
      </c>
      <c r="F26" s="7">
        <v>8945856</v>
      </c>
      <c r="G26" s="8">
        <f t="shared" si="3"/>
        <v>3480</v>
      </c>
      <c r="H26" s="12"/>
      <c r="I26" s="7">
        <v>4634</v>
      </c>
      <c r="J26" s="13">
        <f t="shared" si="4"/>
        <v>98.222999999999999</v>
      </c>
      <c r="K26" s="7">
        <v>22250</v>
      </c>
      <c r="L26" s="13">
        <f t="shared" si="5"/>
        <v>6.774</v>
      </c>
      <c r="M26" s="12"/>
      <c r="N26" s="7">
        <v>66171</v>
      </c>
      <c r="O26" s="13">
        <f t="shared" si="6"/>
        <v>5614.9732620320856</v>
      </c>
      <c r="P26" s="13">
        <v>244226</v>
      </c>
      <c r="Q26" s="13">
        <f t="shared" si="7"/>
        <v>84</v>
      </c>
      <c r="R26" s="7">
        <v>54581471</v>
      </c>
      <c r="S26" s="13">
        <f t="shared" si="8"/>
        <v>3363</v>
      </c>
      <c r="T26" s="12"/>
      <c r="U26" s="7">
        <v>80084</v>
      </c>
      <c r="V26" s="7">
        <f t="shared" si="9"/>
        <v>384</v>
      </c>
      <c r="W26" s="7">
        <v>2676</v>
      </c>
      <c r="X26" s="13">
        <f t="shared" si="37"/>
        <v>10</v>
      </c>
      <c r="Y26" s="7">
        <v>1099</v>
      </c>
      <c r="Z26" s="13">
        <f t="shared" si="38"/>
        <v>9</v>
      </c>
      <c r="AA26" s="7">
        <v>864302</v>
      </c>
      <c r="AB26" s="7">
        <f t="shared" si="33"/>
        <v>3160000</v>
      </c>
      <c r="AC26" s="7">
        <v>378096</v>
      </c>
      <c r="AD26" s="7">
        <f t="shared" si="36"/>
        <v>3920000</v>
      </c>
      <c r="AE26" s="12"/>
      <c r="AF26" s="7">
        <v>72015</v>
      </c>
      <c r="AG26" s="7">
        <f t="shared" si="13"/>
        <v>379</v>
      </c>
      <c r="AH26" s="13">
        <v>256666</v>
      </c>
      <c r="AI26" s="13">
        <f t="shared" si="14"/>
        <v>155</v>
      </c>
      <c r="AJ26" s="13">
        <v>12171858</v>
      </c>
      <c r="AK26" s="13">
        <f t="shared" si="15"/>
        <v>5088</v>
      </c>
      <c r="AL26" s="13">
        <v>29094</v>
      </c>
      <c r="AM26" s="13">
        <f t="shared" si="16"/>
        <v>0</v>
      </c>
      <c r="AN26" s="7">
        <v>26584</v>
      </c>
      <c r="AO26" s="13">
        <f t="shared" si="17"/>
        <v>358</v>
      </c>
      <c r="AP26" s="12"/>
      <c r="AQ26" s="21">
        <v>645393</v>
      </c>
      <c r="AR26" s="21">
        <f t="shared" si="34"/>
        <v>40000</v>
      </c>
      <c r="AS26" s="21">
        <v>234978</v>
      </c>
      <c r="AT26" s="21">
        <f t="shared" si="18"/>
        <v>0</v>
      </c>
      <c r="AU26" s="21">
        <v>100390</v>
      </c>
      <c r="AV26" s="21">
        <f t="shared" si="19"/>
        <v>0</v>
      </c>
      <c r="AW26" s="21">
        <v>269813</v>
      </c>
      <c r="AX26" s="21">
        <f t="shared" si="20"/>
        <v>360000</v>
      </c>
      <c r="AY26" s="21">
        <v>488584</v>
      </c>
      <c r="AZ26" s="21">
        <f t="shared" si="21"/>
        <v>70000</v>
      </c>
      <c r="BA26" s="21">
        <v>19321</v>
      </c>
      <c r="BB26" s="21">
        <f t="shared" si="22"/>
        <v>0</v>
      </c>
      <c r="BC26" s="21">
        <v>486113</v>
      </c>
      <c r="BD26" s="21">
        <f t="shared" si="23"/>
        <v>0</v>
      </c>
      <c r="BE26" s="21">
        <v>124039</v>
      </c>
      <c r="BF26" s="21">
        <f t="shared" si="24"/>
        <v>0</v>
      </c>
      <c r="BG26" s="12"/>
      <c r="BH26" s="21">
        <v>1092388</v>
      </c>
      <c r="BI26" s="21">
        <f t="shared" si="25"/>
        <v>840</v>
      </c>
      <c r="BJ26" s="21">
        <v>590526</v>
      </c>
      <c r="BK26" s="21">
        <f t="shared" si="26"/>
        <v>516</v>
      </c>
      <c r="BL26" s="21">
        <v>297041</v>
      </c>
      <c r="BM26" s="21">
        <f t="shared" si="27"/>
        <v>146</v>
      </c>
      <c r="BN26" s="21">
        <v>162873</v>
      </c>
      <c r="BO26" s="21">
        <f t="shared" si="28"/>
        <v>128</v>
      </c>
      <c r="BP26" s="21">
        <v>149757</v>
      </c>
      <c r="BQ26" s="21">
        <f t="shared" si="29"/>
        <v>51</v>
      </c>
      <c r="BR26" s="21">
        <v>91193</v>
      </c>
      <c r="BS26" s="21">
        <f t="shared" si="30"/>
        <v>16</v>
      </c>
      <c r="BT26" s="21">
        <v>515200</v>
      </c>
      <c r="BU26" s="21">
        <f t="shared" si="31"/>
        <v>92</v>
      </c>
      <c r="BV26" s="21">
        <v>2904</v>
      </c>
      <c r="BW26" s="21">
        <f t="shared" si="32"/>
        <v>1</v>
      </c>
      <c r="BX26" s="21">
        <v>379456</v>
      </c>
      <c r="BY26" s="21">
        <f t="shared" si="35"/>
        <v>17</v>
      </c>
      <c r="BZ26" s="12"/>
      <c r="CA26" s="7"/>
    </row>
    <row r="27" spans="1:79" ht="21" customHeight="1">
      <c r="A27" s="11">
        <f t="shared" si="0"/>
        <v>44889</v>
      </c>
      <c r="B27" s="7">
        <v>950630</v>
      </c>
      <c r="C27" s="7">
        <f t="shared" si="1"/>
        <v>4209</v>
      </c>
      <c r="D27" s="7">
        <v>31663395</v>
      </c>
      <c r="E27" s="7">
        <f t="shared" si="2"/>
        <v>8561</v>
      </c>
      <c r="F27" s="7">
        <v>8949220</v>
      </c>
      <c r="G27" s="8">
        <f t="shared" si="3"/>
        <v>3364</v>
      </c>
      <c r="H27" s="12"/>
      <c r="I27" s="7">
        <v>4726</v>
      </c>
      <c r="J27" s="13">
        <f t="shared" si="4"/>
        <v>103.86799999999999</v>
      </c>
      <c r="K27" s="7">
        <v>22256</v>
      </c>
      <c r="L27" s="13">
        <f t="shared" si="5"/>
        <v>6.774</v>
      </c>
      <c r="M27" s="12"/>
      <c r="N27" s="7">
        <v>66217</v>
      </c>
      <c r="O27" s="13">
        <f t="shared" si="6"/>
        <v>6149.7326203208549</v>
      </c>
      <c r="P27" s="7">
        <v>244292</v>
      </c>
      <c r="Q27" s="13">
        <f t="shared" si="7"/>
        <v>66</v>
      </c>
      <c r="R27" s="7">
        <v>54584970</v>
      </c>
      <c r="S27" s="13">
        <f t="shared" si="8"/>
        <v>3499</v>
      </c>
      <c r="T27" s="12"/>
      <c r="U27" s="7">
        <v>80449</v>
      </c>
      <c r="V27" s="7">
        <f t="shared" si="9"/>
        <v>365</v>
      </c>
      <c r="W27" s="7">
        <v>2680</v>
      </c>
      <c r="X27" s="13">
        <f t="shared" si="37"/>
        <v>4</v>
      </c>
      <c r="Y27" s="7">
        <v>1109</v>
      </c>
      <c r="Z27" s="13">
        <f t="shared" si="38"/>
        <v>10</v>
      </c>
      <c r="AA27" s="7">
        <v>864396</v>
      </c>
      <c r="AB27" s="7">
        <f t="shared" si="33"/>
        <v>940000</v>
      </c>
      <c r="AC27" s="7">
        <v>378287</v>
      </c>
      <c r="AD27" s="7">
        <f t="shared" si="36"/>
        <v>1910000</v>
      </c>
      <c r="AE27" s="12"/>
      <c r="AF27" s="7">
        <v>72339</v>
      </c>
      <c r="AG27" s="7">
        <f t="shared" si="13"/>
        <v>324</v>
      </c>
      <c r="AH27" s="7">
        <v>256838</v>
      </c>
      <c r="AI27" s="13">
        <f t="shared" si="14"/>
        <v>172</v>
      </c>
      <c r="AJ27" s="7">
        <v>12178081</v>
      </c>
      <c r="AK27" s="13">
        <f t="shared" si="15"/>
        <v>6223</v>
      </c>
      <c r="AL27" s="7">
        <v>29095</v>
      </c>
      <c r="AM27" s="13">
        <f t="shared" si="16"/>
        <v>1</v>
      </c>
      <c r="AN27" s="7">
        <v>26953</v>
      </c>
      <c r="AO27" s="13">
        <f t="shared" si="17"/>
        <v>369</v>
      </c>
      <c r="AP27" s="12"/>
      <c r="AQ27" s="21">
        <v>645473</v>
      </c>
      <c r="AR27" s="21">
        <f t="shared" si="34"/>
        <v>800000</v>
      </c>
      <c r="AS27" s="21">
        <v>234978</v>
      </c>
      <c r="AT27" s="21">
        <f t="shared" si="18"/>
        <v>0</v>
      </c>
      <c r="AU27" s="21">
        <v>100390</v>
      </c>
      <c r="AV27" s="21">
        <f t="shared" si="19"/>
        <v>0</v>
      </c>
      <c r="AW27" s="21">
        <v>269814</v>
      </c>
      <c r="AX27" s="21">
        <f t="shared" si="20"/>
        <v>10000</v>
      </c>
      <c r="AY27" s="21">
        <v>488595</v>
      </c>
      <c r="AZ27" s="21">
        <f t="shared" si="21"/>
        <v>110000</v>
      </c>
      <c r="BA27" s="21">
        <v>19321</v>
      </c>
      <c r="BB27" s="21">
        <f t="shared" si="22"/>
        <v>0</v>
      </c>
      <c r="BC27" s="21">
        <v>486113</v>
      </c>
      <c r="BD27" s="21">
        <f t="shared" si="23"/>
        <v>0</v>
      </c>
      <c r="BE27" s="21">
        <v>124039</v>
      </c>
      <c r="BF27" s="21">
        <f t="shared" si="24"/>
        <v>0</v>
      </c>
      <c r="BG27" s="12"/>
      <c r="BH27" s="21">
        <v>1093156</v>
      </c>
      <c r="BI27" s="21">
        <f t="shared" si="25"/>
        <v>768</v>
      </c>
      <c r="BJ27" s="21">
        <v>591015</v>
      </c>
      <c r="BK27" s="21">
        <f t="shared" si="26"/>
        <v>489</v>
      </c>
      <c r="BL27" s="21">
        <v>297193</v>
      </c>
      <c r="BM27" s="21">
        <f t="shared" si="27"/>
        <v>152</v>
      </c>
      <c r="BN27" s="21">
        <v>162995</v>
      </c>
      <c r="BO27" s="21">
        <f t="shared" si="28"/>
        <v>122</v>
      </c>
      <c r="BP27" s="21">
        <v>149801</v>
      </c>
      <c r="BQ27" s="21">
        <f t="shared" si="29"/>
        <v>44</v>
      </c>
      <c r="BR27" s="21">
        <v>91208</v>
      </c>
      <c r="BS27" s="21">
        <f t="shared" si="30"/>
        <v>15</v>
      </c>
      <c r="BT27" s="21">
        <v>515274</v>
      </c>
      <c r="BU27" s="21">
        <f t="shared" si="31"/>
        <v>74</v>
      </c>
      <c r="BV27" s="21">
        <v>2905</v>
      </c>
      <c r="BW27" s="21">
        <f t="shared" si="32"/>
        <v>1</v>
      </c>
      <c r="BX27" s="21">
        <v>379473</v>
      </c>
      <c r="BY27" s="21">
        <f t="shared" si="35"/>
        <v>17</v>
      </c>
      <c r="BZ27" s="12"/>
      <c r="CA27" s="7"/>
    </row>
    <row r="28" spans="1:79" ht="22.5" customHeight="1">
      <c r="A28" s="11">
        <f t="shared" si="0"/>
        <v>44890</v>
      </c>
      <c r="B28" s="7">
        <v>954439</v>
      </c>
      <c r="C28" s="7">
        <f t="shared" si="1"/>
        <v>3809</v>
      </c>
      <c r="D28" s="7">
        <v>31671376</v>
      </c>
      <c r="E28" s="7">
        <f t="shared" si="2"/>
        <v>7981</v>
      </c>
      <c r="F28" s="7">
        <v>8952225</v>
      </c>
      <c r="G28" s="8">
        <f t="shared" si="3"/>
        <v>3005</v>
      </c>
      <c r="H28" s="12"/>
      <c r="I28" s="7">
        <v>4781</v>
      </c>
      <c r="J28" s="13">
        <f t="shared" si="4"/>
        <v>62.094999999999999</v>
      </c>
      <c r="K28" s="7">
        <v>22262</v>
      </c>
      <c r="L28" s="13">
        <f t="shared" si="5"/>
        <v>6.774</v>
      </c>
      <c r="M28" s="12"/>
      <c r="N28" s="7">
        <v>66261</v>
      </c>
      <c r="O28" s="13">
        <f t="shared" si="6"/>
        <v>5882.3529411764703</v>
      </c>
      <c r="P28" s="7">
        <v>244363</v>
      </c>
      <c r="Q28" s="13">
        <f t="shared" si="7"/>
        <v>71</v>
      </c>
      <c r="R28" s="7">
        <v>54588884</v>
      </c>
      <c r="S28" s="13">
        <f t="shared" si="8"/>
        <v>3914</v>
      </c>
      <c r="T28" s="12"/>
      <c r="U28" s="7">
        <v>80777</v>
      </c>
      <c r="V28" s="7">
        <f t="shared" si="9"/>
        <v>328</v>
      </c>
      <c r="W28" s="7">
        <v>2682</v>
      </c>
      <c r="X28" s="13">
        <f t="shared" si="37"/>
        <v>2</v>
      </c>
      <c r="Y28" s="7">
        <v>1119</v>
      </c>
      <c r="Z28" s="13">
        <f t="shared" si="38"/>
        <v>10</v>
      </c>
      <c r="AA28" s="7">
        <v>864396</v>
      </c>
      <c r="AB28" s="7">
        <f t="shared" si="33"/>
        <v>0</v>
      </c>
      <c r="AC28" s="7">
        <v>378320</v>
      </c>
      <c r="AD28" s="7">
        <f t="shared" si="36"/>
        <v>330000</v>
      </c>
      <c r="AE28" s="12"/>
      <c r="AF28" s="7">
        <v>72465</v>
      </c>
      <c r="AG28" s="7">
        <f t="shared" si="13"/>
        <v>126</v>
      </c>
      <c r="AH28" s="7">
        <v>256930</v>
      </c>
      <c r="AI28" s="13">
        <f t="shared" si="14"/>
        <v>92</v>
      </c>
      <c r="AJ28" s="13">
        <v>12179718</v>
      </c>
      <c r="AK28" s="13">
        <f t="shared" si="15"/>
        <v>1637</v>
      </c>
      <c r="AL28" s="7">
        <v>29095</v>
      </c>
      <c r="AM28" s="13">
        <f t="shared" si="16"/>
        <v>0</v>
      </c>
      <c r="AN28" s="7">
        <v>27156</v>
      </c>
      <c r="AO28" s="13">
        <f t="shared" si="17"/>
        <v>203</v>
      </c>
      <c r="AP28" s="12"/>
      <c r="AQ28" s="21">
        <v>645473</v>
      </c>
      <c r="AR28" s="21">
        <f t="shared" si="34"/>
        <v>0</v>
      </c>
      <c r="AS28" s="21">
        <v>234978</v>
      </c>
      <c r="AT28" s="21">
        <f t="shared" si="18"/>
        <v>0</v>
      </c>
      <c r="AU28" s="21">
        <v>100390</v>
      </c>
      <c r="AV28" s="21">
        <f t="shared" si="19"/>
        <v>0</v>
      </c>
      <c r="AW28" s="21">
        <v>269825</v>
      </c>
      <c r="AX28" s="21">
        <f t="shared" si="20"/>
        <v>110000</v>
      </c>
      <c r="AY28" s="21">
        <v>488598</v>
      </c>
      <c r="AZ28" s="21">
        <f t="shared" si="21"/>
        <v>30000</v>
      </c>
      <c r="BA28" s="21">
        <v>19321</v>
      </c>
      <c r="BB28" s="21">
        <f t="shared" si="22"/>
        <v>0</v>
      </c>
      <c r="BC28" s="21">
        <v>486113</v>
      </c>
      <c r="BD28" s="21">
        <f t="shared" si="23"/>
        <v>0</v>
      </c>
      <c r="BE28" s="21">
        <v>124039</v>
      </c>
      <c r="BF28" s="21">
        <f t="shared" si="24"/>
        <v>0</v>
      </c>
      <c r="BG28" s="12"/>
      <c r="BH28" s="21">
        <v>1093860</v>
      </c>
      <c r="BI28" s="21">
        <f t="shared" si="25"/>
        <v>704</v>
      </c>
      <c r="BJ28" s="21">
        <v>591482</v>
      </c>
      <c r="BK28" s="21">
        <f t="shared" si="26"/>
        <v>467</v>
      </c>
      <c r="BL28" s="21">
        <v>297297</v>
      </c>
      <c r="BM28" s="21">
        <f t="shared" si="27"/>
        <v>104</v>
      </c>
      <c r="BN28" s="21">
        <v>163130</v>
      </c>
      <c r="BO28" s="21">
        <f t="shared" si="28"/>
        <v>135</v>
      </c>
      <c r="BP28" s="21">
        <v>149847</v>
      </c>
      <c r="BQ28" s="21">
        <f t="shared" si="29"/>
        <v>46</v>
      </c>
      <c r="BR28" s="21">
        <v>91218</v>
      </c>
      <c r="BS28" s="21">
        <f t="shared" si="30"/>
        <v>10</v>
      </c>
      <c r="BT28" s="21">
        <v>515335</v>
      </c>
      <c r="BU28" s="21">
        <f t="shared" si="31"/>
        <v>61</v>
      </c>
      <c r="BV28" s="21">
        <v>2906</v>
      </c>
      <c r="BW28" s="21">
        <f t="shared" si="32"/>
        <v>1</v>
      </c>
      <c r="BX28" s="21">
        <v>379477</v>
      </c>
      <c r="BY28" s="21">
        <f t="shared" si="35"/>
        <v>4</v>
      </c>
      <c r="BZ28" s="12"/>
      <c r="CA28" s="7"/>
    </row>
    <row r="29" spans="1:79" ht="21" customHeight="1">
      <c r="A29" s="11">
        <f t="shared" si="0"/>
        <v>44891</v>
      </c>
      <c r="B29" s="7">
        <v>958617</v>
      </c>
      <c r="C29" s="7">
        <f t="shared" si="1"/>
        <v>4178</v>
      </c>
      <c r="D29" s="7">
        <v>31679847</v>
      </c>
      <c r="E29" s="7">
        <f t="shared" si="2"/>
        <v>8471</v>
      </c>
      <c r="F29" s="7">
        <v>8955446</v>
      </c>
      <c r="G29" s="8">
        <f t="shared" si="3"/>
        <v>3221</v>
      </c>
      <c r="H29" s="12"/>
      <c r="I29" s="7">
        <v>4885</v>
      </c>
      <c r="J29" s="13">
        <f t="shared" si="4"/>
        <v>117.416</v>
      </c>
      <c r="K29" s="7">
        <v>22268</v>
      </c>
      <c r="L29" s="13">
        <f t="shared" si="5"/>
        <v>6.774</v>
      </c>
      <c r="M29" s="12"/>
      <c r="N29" s="7">
        <v>66308</v>
      </c>
      <c r="O29" s="13">
        <f t="shared" si="6"/>
        <v>6283.4224598930477</v>
      </c>
      <c r="P29" s="13">
        <v>244423</v>
      </c>
      <c r="Q29" s="13">
        <f t="shared" si="7"/>
        <v>60</v>
      </c>
      <c r="R29" s="7">
        <v>54592044</v>
      </c>
      <c r="S29" s="13">
        <f t="shared" si="8"/>
        <v>3160</v>
      </c>
      <c r="T29" s="12"/>
      <c r="U29" s="7">
        <v>81146</v>
      </c>
      <c r="V29" s="7">
        <f t="shared" si="9"/>
        <v>369</v>
      </c>
      <c r="W29" s="7">
        <v>2684</v>
      </c>
      <c r="X29" s="13">
        <f t="shared" si="37"/>
        <v>2</v>
      </c>
      <c r="Y29" s="7">
        <v>1128</v>
      </c>
      <c r="Z29" s="13">
        <f t="shared" si="38"/>
        <v>9</v>
      </c>
      <c r="AA29" s="7">
        <v>864396</v>
      </c>
      <c r="AB29" s="7">
        <f t="shared" si="33"/>
        <v>0</v>
      </c>
      <c r="AC29" s="7">
        <v>378350</v>
      </c>
      <c r="AD29" s="7">
        <f t="shared" si="36"/>
        <v>300000</v>
      </c>
      <c r="AE29" s="12"/>
      <c r="AF29" s="7">
        <v>72812</v>
      </c>
      <c r="AG29" s="7">
        <f t="shared" si="13"/>
        <v>347</v>
      </c>
      <c r="AH29" s="13">
        <v>257113</v>
      </c>
      <c r="AI29" s="13">
        <f t="shared" si="14"/>
        <v>183</v>
      </c>
      <c r="AJ29" s="13">
        <v>12187702</v>
      </c>
      <c r="AK29" s="13">
        <f t="shared" si="15"/>
        <v>7984</v>
      </c>
      <c r="AL29" s="13">
        <v>29097</v>
      </c>
      <c r="AM29" s="13">
        <f t="shared" si="16"/>
        <v>2</v>
      </c>
      <c r="AN29" s="7">
        <v>27532</v>
      </c>
      <c r="AO29" s="13">
        <f t="shared" si="17"/>
        <v>376</v>
      </c>
      <c r="AP29" s="12"/>
      <c r="AQ29" s="21">
        <v>645522</v>
      </c>
      <c r="AR29" s="21">
        <f t="shared" si="34"/>
        <v>490000</v>
      </c>
      <c r="AS29" s="21">
        <v>234978</v>
      </c>
      <c r="AT29" s="21">
        <f t="shared" si="18"/>
        <v>0</v>
      </c>
      <c r="AU29" s="21">
        <v>100390</v>
      </c>
      <c r="AV29" s="21">
        <f t="shared" si="19"/>
        <v>0</v>
      </c>
      <c r="AW29" s="21">
        <v>269825</v>
      </c>
      <c r="AX29" s="21">
        <f t="shared" si="20"/>
        <v>0</v>
      </c>
      <c r="AY29" s="21">
        <v>488598</v>
      </c>
      <c r="AZ29" s="21">
        <f t="shared" si="21"/>
        <v>0</v>
      </c>
      <c r="BA29" s="21">
        <v>19321</v>
      </c>
      <c r="BB29" s="21">
        <f t="shared" si="22"/>
        <v>0</v>
      </c>
      <c r="BC29" s="21">
        <v>486113</v>
      </c>
      <c r="BD29" s="21">
        <f t="shared" si="23"/>
        <v>0</v>
      </c>
      <c r="BE29" s="21">
        <v>124039</v>
      </c>
      <c r="BF29" s="21">
        <f t="shared" si="24"/>
        <v>0</v>
      </c>
      <c r="BG29" s="12"/>
      <c r="BH29" s="21">
        <v>1094679</v>
      </c>
      <c r="BI29" s="21">
        <f t="shared" si="25"/>
        <v>819</v>
      </c>
      <c r="BJ29" s="21">
        <v>591988</v>
      </c>
      <c r="BK29" s="21">
        <f t="shared" si="26"/>
        <v>506</v>
      </c>
      <c r="BL29" s="21">
        <v>297461</v>
      </c>
      <c r="BM29" s="21">
        <f t="shared" si="27"/>
        <v>164</v>
      </c>
      <c r="BN29" s="21">
        <v>163269</v>
      </c>
      <c r="BO29" s="21">
        <f t="shared" si="28"/>
        <v>139</v>
      </c>
      <c r="BP29" s="21">
        <v>149889</v>
      </c>
      <c r="BQ29" s="21">
        <f t="shared" si="29"/>
        <v>42</v>
      </c>
      <c r="BR29" s="21">
        <v>91233</v>
      </c>
      <c r="BS29" s="21">
        <f t="shared" si="30"/>
        <v>15</v>
      </c>
      <c r="BT29" s="21">
        <v>515425</v>
      </c>
      <c r="BU29" s="21">
        <f t="shared" si="31"/>
        <v>90</v>
      </c>
      <c r="BV29" s="21">
        <v>2907</v>
      </c>
      <c r="BW29" s="21">
        <f t="shared" si="32"/>
        <v>1</v>
      </c>
      <c r="BX29" s="21">
        <v>379499</v>
      </c>
      <c r="BY29" s="21">
        <f t="shared" si="35"/>
        <v>22</v>
      </c>
      <c r="BZ29" s="12"/>
      <c r="CA29" s="7"/>
    </row>
    <row r="30" spans="1:79" ht="22.5" customHeight="1">
      <c r="A30" s="11">
        <f t="shared" si="0"/>
        <v>44892</v>
      </c>
      <c r="B30" s="7">
        <v>962920</v>
      </c>
      <c r="C30" s="7">
        <f t="shared" si="1"/>
        <v>4303</v>
      </c>
      <c r="D30" s="7">
        <v>31688728</v>
      </c>
      <c r="E30" s="7">
        <f t="shared" si="2"/>
        <v>8881</v>
      </c>
      <c r="F30" s="7">
        <v>8959002</v>
      </c>
      <c r="G30" s="8">
        <f t="shared" si="3"/>
        <v>3556</v>
      </c>
      <c r="H30" s="12"/>
      <c r="I30" s="7">
        <v>4996</v>
      </c>
      <c r="J30" s="13">
        <f t="shared" si="4"/>
        <v>125.319</v>
      </c>
      <c r="K30" s="7">
        <v>22273</v>
      </c>
      <c r="L30" s="13">
        <f t="shared" si="5"/>
        <v>5.6449999999999996</v>
      </c>
      <c r="M30" s="12"/>
      <c r="N30" s="7">
        <v>66355</v>
      </c>
      <c r="O30" s="13">
        <f t="shared" si="6"/>
        <v>6283.4224598930477</v>
      </c>
      <c r="P30" s="13">
        <v>244491</v>
      </c>
      <c r="Q30" s="13">
        <f t="shared" si="7"/>
        <v>68</v>
      </c>
      <c r="R30" s="7">
        <v>54596391</v>
      </c>
      <c r="S30" s="13">
        <f t="shared" si="8"/>
        <v>4347</v>
      </c>
      <c r="T30" s="12"/>
      <c r="U30" s="7">
        <v>81531</v>
      </c>
      <c r="V30" s="7">
        <f t="shared" si="9"/>
        <v>385</v>
      </c>
      <c r="W30" s="7">
        <v>2688</v>
      </c>
      <c r="X30" s="13">
        <f t="shared" si="37"/>
        <v>4</v>
      </c>
      <c r="Y30" s="7">
        <v>1138</v>
      </c>
      <c r="Z30" s="13">
        <f t="shared" si="38"/>
        <v>10</v>
      </c>
      <c r="AA30" s="7">
        <v>864443</v>
      </c>
      <c r="AB30" s="7">
        <f t="shared" si="33"/>
        <v>470000</v>
      </c>
      <c r="AC30" s="7">
        <v>378431</v>
      </c>
      <c r="AD30" s="7">
        <f t="shared" si="12"/>
        <v>810000</v>
      </c>
      <c r="AE30" s="12"/>
      <c r="AF30" s="7">
        <v>72961</v>
      </c>
      <c r="AG30" s="7">
        <f t="shared" si="13"/>
        <v>149</v>
      </c>
      <c r="AH30" s="13">
        <v>257269</v>
      </c>
      <c r="AI30" s="13">
        <f t="shared" si="14"/>
        <v>156</v>
      </c>
      <c r="AJ30" s="13">
        <v>12195479</v>
      </c>
      <c r="AK30" s="13">
        <f t="shared" si="15"/>
        <v>7777</v>
      </c>
      <c r="AL30" s="13">
        <v>29100</v>
      </c>
      <c r="AM30" s="13">
        <f t="shared" si="16"/>
        <v>3</v>
      </c>
      <c r="AN30" s="7">
        <v>27896</v>
      </c>
      <c r="AO30" s="13">
        <f t="shared" si="17"/>
        <v>364</v>
      </c>
      <c r="AP30" s="12"/>
      <c r="AQ30" s="21">
        <v>645670</v>
      </c>
      <c r="AR30" s="21">
        <f t="shared" si="34"/>
        <v>1480000</v>
      </c>
      <c r="AS30" s="21">
        <v>234978</v>
      </c>
      <c r="AT30" s="21">
        <f t="shared" si="18"/>
        <v>0</v>
      </c>
      <c r="AU30" s="21">
        <v>100390</v>
      </c>
      <c r="AV30" s="21">
        <f t="shared" si="19"/>
        <v>0</v>
      </c>
      <c r="AW30" s="21">
        <v>269825</v>
      </c>
      <c r="AX30" s="21">
        <f t="shared" si="20"/>
        <v>0</v>
      </c>
      <c r="AY30" s="21">
        <v>488598</v>
      </c>
      <c r="AZ30" s="21">
        <f t="shared" si="21"/>
        <v>0</v>
      </c>
      <c r="BA30" s="21">
        <v>19321</v>
      </c>
      <c r="BB30" s="21">
        <f t="shared" si="22"/>
        <v>0</v>
      </c>
      <c r="BC30" s="21">
        <v>486113</v>
      </c>
      <c r="BD30" s="21">
        <f t="shared" si="23"/>
        <v>0</v>
      </c>
      <c r="BE30" s="21">
        <v>124039</v>
      </c>
      <c r="BF30" s="21">
        <f t="shared" si="24"/>
        <v>0</v>
      </c>
      <c r="BG30" s="12"/>
      <c r="BH30" s="21">
        <v>1095521</v>
      </c>
      <c r="BI30" s="21">
        <f t="shared" si="25"/>
        <v>842</v>
      </c>
      <c r="BJ30" s="21">
        <v>592468</v>
      </c>
      <c r="BK30" s="21">
        <f t="shared" si="26"/>
        <v>480</v>
      </c>
      <c r="BL30" s="21">
        <v>297628</v>
      </c>
      <c r="BM30" s="21">
        <f t="shared" si="27"/>
        <v>167</v>
      </c>
      <c r="BN30" s="21">
        <v>163418</v>
      </c>
      <c r="BO30" s="21">
        <f t="shared" si="28"/>
        <v>149</v>
      </c>
      <c r="BP30" s="21">
        <v>149935</v>
      </c>
      <c r="BQ30" s="21">
        <f t="shared" si="29"/>
        <v>46</v>
      </c>
      <c r="BR30" s="21">
        <v>91245</v>
      </c>
      <c r="BS30" s="21">
        <f t="shared" si="30"/>
        <v>12</v>
      </c>
      <c r="BT30" s="21">
        <v>515520</v>
      </c>
      <c r="BU30" s="21">
        <f t="shared" si="31"/>
        <v>95</v>
      </c>
      <c r="BV30" s="21">
        <v>2908</v>
      </c>
      <c r="BW30" s="21">
        <f t="shared" si="32"/>
        <v>1</v>
      </c>
      <c r="BX30" s="21">
        <v>379526</v>
      </c>
      <c r="BY30" s="21">
        <f t="shared" si="35"/>
        <v>27</v>
      </c>
      <c r="BZ30" s="12"/>
      <c r="CA30" s="7"/>
    </row>
    <row r="31" spans="1:79" ht="23.25" customHeight="1">
      <c r="A31" s="11">
        <f t="shared" si="0"/>
        <v>44893</v>
      </c>
      <c r="B31" s="7">
        <v>967017</v>
      </c>
      <c r="C31" s="7">
        <f t="shared" si="1"/>
        <v>4097</v>
      </c>
      <c r="D31" s="7">
        <v>31697089</v>
      </c>
      <c r="E31" s="7">
        <f t="shared" si="2"/>
        <v>8361</v>
      </c>
      <c r="F31" s="7">
        <v>8962461</v>
      </c>
      <c r="G31" s="8">
        <f t="shared" si="3"/>
        <v>3459</v>
      </c>
      <c r="H31" s="12"/>
      <c r="I31" s="7">
        <v>5096</v>
      </c>
      <c r="J31" s="13">
        <f t="shared" si="4"/>
        <v>112.9</v>
      </c>
      <c r="K31" s="7">
        <v>22279</v>
      </c>
      <c r="L31" s="13">
        <f t="shared" si="5"/>
        <v>6.774</v>
      </c>
      <c r="M31" s="12"/>
      <c r="N31" s="7">
        <v>66398</v>
      </c>
      <c r="O31" s="13">
        <f t="shared" si="6"/>
        <v>5748.6631016042775</v>
      </c>
      <c r="P31" s="13">
        <v>244555</v>
      </c>
      <c r="Q31" s="13">
        <f t="shared" si="7"/>
        <v>64</v>
      </c>
      <c r="R31" s="7">
        <v>54599795</v>
      </c>
      <c r="S31" s="13">
        <f t="shared" si="8"/>
        <v>3404</v>
      </c>
      <c r="T31" s="12"/>
      <c r="U31" s="7">
        <v>81890</v>
      </c>
      <c r="V31" s="7">
        <f t="shared" si="9"/>
        <v>359</v>
      </c>
      <c r="W31" s="7">
        <v>2696</v>
      </c>
      <c r="X31" s="13">
        <f t="shared" si="37"/>
        <v>8</v>
      </c>
      <c r="Y31" s="7">
        <v>1147</v>
      </c>
      <c r="Z31" s="13">
        <f t="shared" si="38"/>
        <v>9</v>
      </c>
      <c r="AA31" s="7">
        <v>864594</v>
      </c>
      <c r="AB31" s="7">
        <f t="shared" si="33"/>
        <v>1510000</v>
      </c>
      <c r="AC31" s="7">
        <v>378607</v>
      </c>
      <c r="AD31" s="7">
        <f t="shared" si="12"/>
        <v>1760000</v>
      </c>
      <c r="AE31" s="12"/>
      <c r="AF31" s="7">
        <v>72961</v>
      </c>
      <c r="AG31" s="7">
        <f t="shared" si="13"/>
        <v>0</v>
      </c>
      <c r="AH31" s="13">
        <v>257401</v>
      </c>
      <c r="AI31" s="13">
        <f t="shared" si="14"/>
        <v>132</v>
      </c>
      <c r="AJ31" s="13">
        <v>12201558</v>
      </c>
      <c r="AK31" s="13">
        <f t="shared" si="15"/>
        <v>6079</v>
      </c>
      <c r="AL31" s="13">
        <v>29101</v>
      </c>
      <c r="AM31" s="13">
        <f t="shared" si="16"/>
        <v>1</v>
      </c>
      <c r="AN31" s="7">
        <v>28396</v>
      </c>
      <c r="AO31" s="13">
        <f t="shared" si="17"/>
        <v>500</v>
      </c>
      <c r="AP31" s="12"/>
      <c r="AQ31" s="21">
        <v>645828</v>
      </c>
      <c r="AR31" s="21">
        <f t="shared" si="34"/>
        <v>1580000</v>
      </c>
      <c r="AS31" s="21">
        <v>234978</v>
      </c>
      <c r="AT31" s="21">
        <f t="shared" si="18"/>
        <v>0</v>
      </c>
      <c r="AU31" s="21">
        <v>100395</v>
      </c>
      <c r="AV31" s="21">
        <f t="shared" si="19"/>
        <v>50000</v>
      </c>
      <c r="AW31" s="21">
        <v>269825</v>
      </c>
      <c r="AX31" s="21">
        <f t="shared" si="20"/>
        <v>0</v>
      </c>
      <c r="AY31" s="21">
        <v>488598</v>
      </c>
      <c r="AZ31" s="21">
        <f t="shared" si="21"/>
        <v>0</v>
      </c>
      <c r="BA31" s="21">
        <v>19321</v>
      </c>
      <c r="BB31" s="21">
        <f t="shared" si="22"/>
        <v>0</v>
      </c>
      <c r="BC31" s="21">
        <v>486113</v>
      </c>
      <c r="BD31" s="21">
        <f t="shared" si="23"/>
        <v>0</v>
      </c>
      <c r="BE31" s="21">
        <v>124039</v>
      </c>
      <c r="BF31" s="21">
        <f t="shared" si="24"/>
        <v>0</v>
      </c>
      <c r="BG31" s="12"/>
      <c r="BH31" s="21">
        <v>1096319</v>
      </c>
      <c r="BI31" s="21">
        <f t="shared" si="25"/>
        <v>798</v>
      </c>
      <c r="BJ31" s="21">
        <v>592948</v>
      </c>
      <c r="BK31" s="21">
        <f t="shared" si="26"/>
        <v>480</v>
      </c>
      <c r="BL31" s="21">
        <v>297777</v>
      </c>
      <c r="BM31" s="21">
        <f t="shared" si="27"/>
        <v>149</v>
      </c>
      <c r="BN31" s="21">
        <v>163545</v>
      </c>
      <c r="BO31" s="21">
        <f t="shared" si="28"/>
        <v>127</v>
      </c>
      <c r="BP31" s="21">
        <v>149980</v>
      </c>
      <c r="BQ31" s="21">
        <f t="shared" si="29"/>
        <v>45</v>
      </c>
      <c r="BR31" s="21">
        <v>91260</v>
      </c>
      <c r="BS31" s="21">
        <f t="shared" si="30"/>
        <v>15</v>
      </c>
      <c r="BT31" s="21">
        <v>515614</v>
      </c>
      <c r="BU31" s="21">
        <f t="shared" si="31"/>
        <v>94</v>
      </c>
      <c r="BV31" s="21">
        <v>2909</v>
      </c>
      <c r="BW31" s="21">
        <f t="shared" si="32"/>
        <v>1</v>
      </c>
      <c r="BX31" s="21">
        <v>379546</v>
      </c>
      <c r="BY31" s="21">
        <f t="shared" si="35"/>
        <v>20</v>
      </c>
      <c r="BZ31" s="12"/>
      <c r="CA31" s="7"/>
    </row>
    <row r="32" spans="1:79" ht="23.25" customHeight="1">
      <c r="A32" s="11">
        <f t="shared" si="0"/>
        <v>44894</v>
      </c>
      <c r="B32" s="7">
        <v>971184</v>
      </c>
      <c r="C32" s="7">
        <f t="shared" si="1"/>
        <v>4167</v>
      </c>
      <c r="D32" s="7">
        <v>31705599</v>
      </c>
      <c r="E32" s="7">
        <f t="shared" si="2"/>
        <v>8510</v>
      </c>
      <c r="F32" s="7">
        <v>8965814</v>
      </c>
      <c r="G32" s="8">
        <f t="shared" si="3"/>
        <v>3353</v>
      </c>
      <c r="H32" s="12"/>
      <c r="I32" s="7">
        <v>5188</v>
      </c>
      <c r="J32" s="13">
        <f t="shared" si="4"/>
        <v>103.86799999999999</v>
      </c>
      <c r="K32" s="7">
        <v>22284</v>
      </c>
      <c r="L32" s="13">
        <f t="shared" si="5"/>
        <v>5.6449999999999996</v>
      </c>
      <c r="M32" s="12"/>
      <c r="N32" s="7">
        <v>66431</v>
      </c>
      <c r="O32" s="13">
        <f t="shared" si="6"/>
        <v>4411.7647058823522</v>
      </c>
      <c r="P32" s="7">
        <v>244618</v>
      </c>
      <c r="Q32" s="13">
        <f t="shared" si="7"/>
        <v>63</v>
      </c>
      <c r="R32" s="7">
        <v>54603410</v>
      </c>
      <c r="S32" s="13">
        <f t="shared" si="8"/>
        <v>3615</v>
      </c>
      <c r="T32" s="12"/>
      <c r="U32" s="7">
        <v>82256</v>
      </c>
      <c r="V32" s="7">
        <f t="shared" si="9"/>
        <v>366</v>
      </c>
      <c r="W32" s="7">
        <v>2715</v>
      </c>
      <c r="X32" s="13">
        <f t="shared" si="37"/>
        <v>19</v>
      </c>
      <c r="Y32" s="7">
        <v>1156</v>
      </c>
      <c r="Z32" s="13">
        <f t="shared" si="38"/>
        <v>9</v>
      </c>
      <c r="AA32" s="7">
        <v>864957</v>
      </c>
      <c r="AB32" s="7">
        <f t="shared" si="33"/>
        <v>3630000</v>
      </c>
      <c r="AC32" s="7">
        <v>378883</v>
      </c>
      <c r="AD32" s="7">
        <f t="shared" si="12"/>
        <v>2760000</v>
      </c>
      <c r="AE32" s="12"/>
      <c r="AF32" s="7">
        <v>72961</v>
      </c>
      <c r="AG32" s="7">
        <f t="shared" si="13"/>
        <v>0</v>
      </c>
      <c r="AH32" s="7">
        <v>257551</v>
      </c>
      <c r="AI32" s="13">
        <f t="shared" si="14"/>
        <v>150</v>
      </c>
      <c r="AJ32" s="7">
        <v>12207222</v>
      </c>
      <c r="AK32" s="13">
        <f t="shared" si="15"/>
        <v>5664</v>
      </c>
      <c r="AL32" s="7">
        <v>29102</v>
      </c>
      <c r="AM32" s="13">
        <f t="shared" si="16"/>
        <v>1</v>
      </c>
      <c r="AN32" s="7">
        <v>29046</v>
      </c>
      <c r="AO32" s="13">
        <f t="shared" si="17"/>
        <v>650</v>
      </c>
      <c r="AP32" s="12"/>
      <c r="AQ32" s="21">
        <v>646042</v>
      </c>
      <c r="AR32" s="21">
        <f t="shared" si="34"/>
        <v>2140000</v>
      </c>
      <c r="AS32" s="21">
        <v>234978</v>
      </c>
      <c r="AT32" s="21">
        <f t="shared" si="18"/>
        <v>0</v>
      </c>
      <c r="AU32" s="21">
        <v>100395</v>
      </c>
      <c r="AV32" s="21">
        <f t="shared" si="19"/>
        <v>0</v>
      </c>
      <c r="AW32" s="21">
        <v>269825</v>
      </c>
      <c r="AX32" s="21">
        <f t="shared" si="20"/>
        <v>0</v>
      </c>
      <c r="AY32" s="21">
        <v>488599</v>
      </c>
      <c r="AZ32" s="21">
        <f t="shared" si="21"/>
        <v>10000</v>
      </c>
      <c r="BA32" s="21">
        <v>19321</v>
      </c>
      <c r="BB32" s="21">
        <f t="shared" si="22"/>
        <v>0</v>
      </c>
      <c r="BC32" s="21">
        <v>486113</v>
      </c>
      <c r="BD32" s="21">
        <f t="shared" si="23"/>
        <v>0</v>
      </c>
      <c r="BE32" s="21">
        <v>124039</v>
      </c>
      <c r="BF32" s="21">
        <f t="shared" si="24"/>
        <v>0</v>
      </c>
      <c r="BG32" s="12"/>
      <c r="BH32" s="21">
        <v>1097076</v>
      </c>
      <c r="BI32" s="21">
        <f t="shared" si="25"/>
        <v>757</v>
      </c>
      <c r="BJ32" s="21">
        <v>593432</v>
      </c>
      <c r="BK32" s="21">
        <f t="shared" si="26"/>
        <v>484</v>
      </c>
      <c r="BL32" s="21">
        <v>297919</v>
      </c>
      <c r="BM32" s="21">
        <f t="shared" si="27"/>
        <v>142</v>
      </c>
      <c r="BN32" s="21">
        <v>163658</v>
      </c>
      <c r="BO32" s="21">
        <f t="shared" si="28"/>
        <v>113</v>
      </c>
      <c r="BP32" s="21">
        <v>150032</v>
      </c>
      <c r="BQ32" s="21">
        <f t="shared" si="29"/>
        <v>52</v>
      </c>
      <c r="BR32" s="21">
        <v>91275</v>
      </c>
      <c r="BS32" s="21">
        <f t="shared" si="30"/>
        <v>15</v>
      </c>
      <c r="BT32" s="21">
        <v>515706</v>
      </c>
      <c r="BU32" s="21">
        <f t="shared" si="31"/>
        <v>92</v>
      </c>
      <c r="BV32" s="21">
        <v>2910</v>
      </c>
      <c r="BW32" s="21">
        <f t="shared" si="32"/>
        <v>1</v>
      </c>
      <c r="BX32" s="21">
        <v>379553</v>
      </c>
      <c r="BY32" s="21">
        <f t="shared" si="35"/>
        <v>7</v>
      </c>
      <c r="BZ32" s="12"/>
      <c r="CA32" s="7"/>
    </row>
    <row r="33" spans="1:79" ht="21.75" customHeight="1">
      <c r="A33" s="11">
        <f t="shared" si="0"/>
        <v>44895</v>
      </c>
      <c r="B33" s="18">
        <v>975464</v>
      </c>
      <c r="C33" s="7">
        <f t="shared" si="1"/>
        <v>4280</v>
      </c>
      <c r="D33" s="7">
        <v>31714509</v>
      </c>
      <c r="E33" s="7">
        <f t="shared" si="2"/>
        <v>8910</v>
      </c>
      <c r="F33" s="18">
        <v>8969318</v>
      </c>
      <c r="G33" s="8">
        <f t="shared" si="3"/>
        <v>3504</v>
      </c>
      <c r="H33" s="12"/>
      <c r="I33" s="7">
        <v>5274</v>
      </c>
      <c r="J33" s="13">
        <f t="shared" si="4"/>
        <v>97.093999999999994</v>
      </c>
      <c r="K33" s="7">
        <v>22289</v>
      </c>
      <c r="L33" s="13">
        <f t="shared" si="5"/>
        <v>5.6449999999999996</v>
      </c>
      <c r="M33" s="12"/>
      <c r="N33" s="7">
        <v>66466</v>
      </c>
      <c r="O33" s="13">
        <f t="shared" si="6"/>
        <v>4679.1443850267378</v>
      </c>
      <c r="P33" s="7">
        <v>244693</v>
      </c>
      <c r="Q33" s="13">
        <f t="shared" si="7"/>
        <v>75</v>
      </c>
      <c r="R33" s="7">
        <v>54606734</v>
      </c>
      <c r="S33" s="13">
        <f t="shared" si="8"/>
        <v>3324</v>
      </c>
      <c r="T33" s="12"/>
      <c r="U33" s="7">
        <v>82642</v>
      </c>
      <c r="V33" s="7">
        <f t="shared" si="9"/>
        <v>386</v>
      </c>
      <c r="W33" s="7">
        <v>2734</v>
      </c>
      <c r="X33" s="13">
        <f t="shared" si="37"/>
        <v>19</v>
      </c>
      <c r="Y33" s="7">
        <v>1165</v>
      </c>
      <c r="Z33" s="13">
        <f t="shared" si="38"/>
        <v>9</v>
      </c>
      <c r="AA33" s="7">
        <v>865319</v>
      </c>
      <c r="AB33" s="7">
        <f t="shared" si="33"/>
        <v>3620000</v>
      </c>
      <c r="AC33" s="7">
        <v>379282</v>
      </c>
      <c r="AD33" s="7">
        <f t="shared" si="12"/>
        <v>3990000</v>
      </c>
      <c r="AE33" s="12"/>
      <c r="AF33" s="7">
        <v>72961</v>
      </c>
      <c r="AG33" s="7">
        <f t="shared" si="13"/>
        <v>0</v>
      </c>
      <c r="AH33" s="7">
        <v>257686</v>
      </c>
      <c r="AI33" s="13">
        <f t="shared" si="14"/>
        <v>135</v>
      </c>
      <c r="AJ33" s="7">
        <v>12212688</v>
      </c>
      <c r="AK33" s="13">
        <f t="shared" si="15"/>
        <v>5466</v>
      </c>
      <c r="AL33" s="7">
        <v>29103</v>
      </c>
      <c r="AM33" s="13">
        <f t="shared" si="16"/>
        <v>1</v>
      </c>
      <c r="AN33" s="7">
        <v>29665</v>
      </c>
      <c r="AO33" s="13">
        <f t="shared" si="17"/>
        <v>619</v>
      </c>
      <c r="AP33" s="12"/>
      <c r="AQ33" s="21">
        <v>646138</v>
      </c>
      <c r="AR33" s="21">
        <f t="shared" si="34"/>
        <v>960000</v>
      </c>
      <c r="AS33" s="21">
        <v>234978</v>
      </c>
      <c r="AT33" s="21">
        <f t="shared" si="18"/>
        <v>0</v>
      </c>
      <c r="AU33" s="21">
        <v>100400</v>
      </c>
      <c r="AV33" s="21">
        <f t="shared" si="19"/>
        <v>50000</v>
      </c>
      <c r="AW33" s="21">
        <v>269826</v>
      </c>
      <c r="AX33" s="21">
        <f t="shared" si="20"/>
        <v>10000</v>
      </c>
      <c r="AY33" s="21">
        <v>488599</v>
      </c>
      <c r="AZ33" s="21">
        <f t="shared" si="21"/>
        <v>0</v>
      </c>
      <c r="BA33" s="21">
        <v>19321</v>
      </c>
      <c r="BB33" s="21">
        <f t="shared" si="22"/>
        <v>0</v>
      </c>
      <c r="BC33" s="21">
        <v>486113</v>
      </c>
      <c r="BD33" s="21">
        <f t="shared" si="23"/>
        <v>0</v>
      </c>
      <c r="BE33" s="21">
        <v>124039</v>
      </c>
      <c r="BF33" s="21">
        <f t="shared" si="24"/>
        <v>0</v>
      </c>
      <c r="BG33" s="12"/>
      <c r="BH33" s="21">
        <v>10978891</v>
      </c>
      <c r="BI33" s="21">
        <f t="shared" si="25"/>
        <v>9881815</v>
      </c>
      <c r="BJ33" s="21">
        <v>593936</v>
      </c>
      <c r="BK33" s="21">
        <f t="shared" si="26"/>
        <v>504</v>
      </c>
      <c r="BL33" s="21">
        <v>298077</v>
      </c>
      <c r="BM33" s="21">
        <f t="shared" si="27"/>
        <v>158</v>
      </c>
      <c r="BN33" s="21">
        <v>163790</v>
      </c>
      <c r="BO33" s="21">
        <f t="shared" si="28"/>
        <v>132</v>
      </c>
      <c r="BP33" s="21">
        <v>150083</v>
      </c>
      <c r="BQ33" s="21">
        <f t="shared" si="29"/>
        <v>51</v>
      </c>
      <c r="BR33" s="21">
        <v>91290</v>
      </c>
      <c r="BS33" s="21">
        <f t="shared" si="30"/>
        <v>15</v>
      </c>
      <c r="BT33" s="21">
        <v>515795</v>
      </c>
      <c r="BU33" s="21">
        <f t="shared" si="31"/>
        <v>89</v>
      </c>
      <c r="BV33" s="21">
        <v>2911</v>
      </c>
      <c r="BW33" s="21">
        <f t="shared" si="32"/>
        <v>1</v>
      </c>
      <c r="BX33" s="21">
        <v>379564</v>
      </c>
      <c r="BY33" s="21">
        <f t="shared" si="35"/>
        <v>11</v>
      </c>
      <c r="BZ33" s="12"/>
      <c r="CA33" s="7"/>
    </row>
    <row r="34" spans="1:79" ht="21" customHeight="1">
      <c r="A34" s="11"/>
      <c r="B34" s="25"/>
      <c r="C34" s="7"/>
      <c r="D34" s="25"/>
      <c r="E34" s="7"/>
      <c r="F34" s="25"/>
      <c r="G34" s="8"/>
      <c r="H34" s="12"/>
      <c r="I34" s="25"/>
      <c r="J34" s="13"/>
      <c r="K34" s="25"/>
      <c r="L34" s="13"/>
      <c r="M34" s="12"/>
      <c r="N34" s="7"/>
      <c r="O34" s="13"/>
      <c r="P34" s="7"/>
      <c r="Q34" s="13"/>
      <c r="R34" s="7"/>
      <c r="S34" s="13"/>
      <c r="T34" s="12"/>
      <c r="U34" s="7"/>
      <c r="V34" s="7"/>
      <c r="W34" s="7"/>
      <c r="X34" s="13"/>
      <c r="Y34" s="7"/>
      <c r="Z34" s="13"/>
      <c r="AA34" s="7"/>
      <c r="AB34" s="7"/>
      <c r="AC34" s="7"/>
      <c r="AD34" s="7"/>
      <c r="AE34" s="12"/>
      <c r="AF34" s="7"/>
      <c r="AG34" s="7"/>
      <c r="AH34" s="7"/>
      <c r="AI34" s="13"/>
      <c r="AJ34" s="7"/>
      <c r="AK34" s="13"/>
      <c r="AL34" s="7"/>
      <c r="AM34" s="13"/>
      <c r="AN34" s="7"/>
      <c r="AO34" s="13"/>
      <c r="AP34" s="12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12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12"/>
      <c r="CA34" s="7"/>
    </row>
    <row r="35" spans="1:79" ht="19.5" customHeight="1">
      <c r="A35" s="86"/>
      <c r="B35" s="87"/>
      <c r="C35" s="87"/>
      <c r="D35" s="87"/>
      <c r="E35" s="87"/>
      <c r="F35" s="87"/>
      <c r="G35" s="88"/>
      <c r="H35" s="29"/>
      <c r="I35" s="89"/>
      <c r="J35" s="90"/>
      <c r="K35" s="90"/>
      <c r="L35" s="91"/>
      <c r="M35" s="24"/>
      <c r="N35" s="92"/>
      <c r="O35" s="93"/>
      <c r="P35" s="93"/>
      <c r="Q35" s="93"/>
      <c r="R35" s="93"/>
      <c r="S35" s="94"/>
      <c r="T35" s="20"/>
      <c r="U35" s="89"/>
      <c r="V35" s="90"/>
      <c r="W35" s="90"/>
      <c r="X35" s="90"/>
      <c r="Y35" s="90"/>
      <c r="Z35" s="90"/>
      <c r="AA35" s="90"/>
      <c r="AB35" s="90"/>
      <c r="AC35" s="90"/>
      <c r="AD35" s="91"/>
      <c r="AE35" s="20"/>
      <c r="AF35" s="89"/>
      <c r="AG35" s="90"/>
      <c r="AH35" s="90"/>
      <c r="AI35" s="90"/>
      <c r="AJ35" s="90"/>
      <c r="AK35" s="90"/>
      <c r="AL35" s="90"/>
      <c r="AM35" s="90"/>
      <c r="AN35" s="90"/>
      <c r="AO35" s="91"/>
      <c r="AP35" s="20"/>
      <c r="AQ35" s="60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2"/>
      <c r="BG35" s="20"/>
      <c r="BH35" s="60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2"/>
      <c r="BX35" s="47"/>
      <c r="BY35" s="47"/>
      <c r="BZ35" s="20"/>
      <c r="CA35" s="19"/>
    </row>
    <row r="36" spans="1:79" ht="15.75">
      <c r="A36" s="26" t="s">
        <v>40</v>
      </c>
      <c r="B36" s="27"/>
      <c r="C36" s="28">
        <f>SUM(C4:C34)</f>
        <v>123381</v>
      </c>
      <c r="D36" s="27"/>
      <c r="E36" s="28">
        <f t="shared" ref="E36:G36" si="39">SUM(E4:E34)</f>
        <v>248238</v>
      </c>
      <c r="F36" s="27"/>
      <c r="G36" s="28">
        <f t="shared" si="39"/>
        <v>101853</v>
      </c>
      <c r="H36" s="36"/>
      <c r="I36" s="27"/>
      <c r="J36" s="15">
        <f>SUM(J4:J34)</f>
        <v>3294.7139999999995</v>
      </c>
      <c r="K36" s="27"/>
      <c r="L36" s="15">
        <f>SUM(L4:L34)</f>
        <v>209.60700000000003</v>
      </c>
      <c r="M36" s="37"/>
      <c r="N36" s="27"/>
      <c r="O36" s="41">
        <f>SUM(O4:O34)</f>
        <v>430092.0855614972</v>
      </c>
      <c r="P36" s="27"/>
      <c r="Q36" s="38">
        <f t="shared" ref="Q36" si="40">SUM(Q4:Q35)</f>
        <v>2052</v>
      </c>
      <c r="R36" s="27"/>
      <c r="S36" s="39">
        <f>SUM(S4:S35)</f>
        <v>147082</v>
      </c>
      <c r="T36" s="36"/>
      <c r="U36" s="27"/>
      <c r="V36" s="28">
        <f>SUM(V4:V34)</f>
        <v>10640</v>
      </c>
      <c r="W36" s="27"/>
      <c r="X36" s="28">
        <f>SUM(X4:X34)</f>
        <v>465</v>
      </c>
      <c r="Y36" s="27"/>
      <c r="Z36" s="28">
        <f>SUM(Z4:Z34)</f>
        <v>284</v>
      </c>
      <c r="AA36" s="27"/>
      <c r="AB36" s="28">
        <f>SUM(AB4:AB34)</f>
        <v>72150000</v>
      </c>
      <c r="AC36" s="27"/>
      <c r="AD36" s="28">
        <f>SUM(AD4:AD34)</f>
        <v>62930000</v>
      </c>
      <c r="AE36" s="36"/>
      <c r="AF36" s="27"/>
      <c r="AG36" s="28">
        <f>SUM(AG4:AG34)</f>
        <v>5744</v>
      </c>
      <c r="AH36" s="27"/>
      <c r="AI36" s="15">
        <f>SUM(AI4:AI34)</f>
        <v>4583</v>
      </c>
      <c r="AJ36" s="27"/>
      <c r="AK36" s="15">
        <f>SUM(AK4:AK34)</f>
        <v>189742</v>
      </c>
      <c r="AL36" s="27"/>
      <c r="AM36" s="15">
        <f>SUM(AM4:AM34)</f>
        <v>55</v>
      </c>
      <c r="AN36" s="27"/>
      <c r="AO36" s="15">
        <f>SUM(AO4:AO34)</f>
        <v>18280</v>
      </c>
      <c r="AP36" s="36"/>
      <c r="AQ36" s="44"/>
      <c r="AR36" s="21">
        <f>SUM(AR4:AR34)</f>
        <v>24460000</v>
      </c>
      <c r="AS36" s="44"/>
      <c r="AT36" s="21">
        <f t="shared" ref="AT36:BB36" si="41">SUM(AT4:AT34)</f>
        <v>0</v>
      </c>
      <c r="AU36" s="44"/>
      <c r="AV36" s="21">
        <f t="shared" si="41"/>
        <v>17440000</v>
      </c>
      <c r="AW36" s="44"/>
      <c r="AX36" s="21">
        <f t="shared" si="41"/>
        <v>2850000</v>
      </c>
      <c r="AY36" s="44"/>
      <c r="AZ36" s="21">
        <f t="shared" si="41"/>
        <v>11710000</v>
      </c>
      <c r="BA36" s="44"/>
      <c r="BB36" s="21">
        <f t="shared" si="41"/>
        <v>0</v>
      </c>
      <c r="BC36" s="44"/>
      <c r="BD36" s="21">
        <f>SUM(BD4:BD34)</f>
        <v>7100000</v>
      </c>
      <c r="BE36" s="44"/>
      <c r="BF36" s="21">
        <f>SUM(BF4:BF34)</f>
        <v>240000</v>
      </c>
      <c r="BG36" s="20"/>
      <c r="BH36" s="44"/>
      <c r="BI36" s="21">
        <f>SUM(BI4:BI34)</f>
        <v>9905979</v>
      </c>
      <c r="BJ36" s="44"/>
      <c r="BK36" s="21">
        <f t="shared" ref="BK36" si="42">SUM(BK4:BK34)</f>
        <v>14566</v>
      </c>
      <c r="BL36" s="44"/>
      <c r="BM36" s="21">
        <f t="shared" ref="BM36" si="43">SUM(BM4:BM34)</f>
        <v>4758</v>
      </c>
      <c r="BN36" s="44"/>
      <c r="BO36" s="21">
        <f t="shared" ref="BO36" si="44">SUM(BO4:BO34)</f>
        <v>4197</v>
      </c>
      <c r="BP36" s="44"/>
      <c r="BQ36" s="21">
        <f t="shared" ref="BQ36" si="45">SUM(BQ4:BQ34)</f>
        <v>1321</v>
      </c>
      <c r="BR36" s="44"/>
      <c r="BS36" s="21">
        <f t="shared" ref="BS36" si="46">SUM(BS4:BS34)</f>
        <v>413</v>
      </c>
      <c r="BT36" s="44"/>
      <c r="BU36" s="21">
        <f>SUM(BU4:BU34)</f>
        <v>2761</v>
      </c>
      <c r="BV36" s="44"/>
      <c r="BW36" s="21">
        <f>SUM(BW4:BW34)</f>
        <v>27</v>
      </c>
      <c r="BX36" s="44"/>
      <c r="BY36" s="21">
        <f>SUM(BY4:BY34)</f>
        <v>515</v>
      </c>
      <c r="BZ36" s="20"/>
      <c r="CA36" s="7"/>
    </row>
    <row r="37" spans="1:79">
      <c r="A37" s="21" t="s">
        <v>41</v>
      </c>
      <c r="B37" s="32"/>
      <c r="C37" s="30">
        <v>127143</v>
      </c>
      <c r="D37" s="32"/>
      <c r="E37" s="30">
        <v>264938</v>
      </c>
      <c r="F37" s="32"/>
      <c r="G37" s="30">
        <v>112455</v>
      </c>
      <c r="H37" s="31"/>
      <c r="I37" s="32"/>
      <c r="J37" s="30">
        <v>3771</v>
      </c>
      <c r="K37" s="32"/>
      <c r="L37" s="30">
        <v>234</v>
      </c>
      <c r="M37" s="31"/>
      <c r="N37" s="32"/>
      <c r="O37" s="30">
        <v>229679</v>
      </c>
      <c r="P37" s="32"/>
      <c r="Q37" s="30">
        <v>1795</v>
      </c>
      <c r="R37" s="32"/>
      <c r="S37" s="30">
        <v>174245</v>
      </c>
      <c r="T37" s="31"/>
      <c r="U37" s="32"/>
      <c r="V37" s="30">
        <v>10498</v>
      </c>
      <c r="W37" s="32"/>
      <c r="X37" s="30">
        <v>477</v>
      </c>
      <c r="Y37" s="32"/>
      <c r="Z37" s="30">
        <v>558</v>
      </c>
      <c r="AA37" s="43"/>
      <c r="AB37" s="30">
        <v>68010000</v>
      </c>
      <c r="AC37" s="43"/>
      <c r="AD37" s="30">
        <v>44040000</v>
      </c>
      <c r="AE37" s="31">
        <v>12241</v>
      </c>
      <c r="AF37" s="32"/>
      <c r="AG37" s="30"/>
      <c r="AH37" s="32"/>
      <c r="AI37" s="30"/>
      <c r="AJ37" s="32"/>
      <c r="AK37" s="30"/>
      <c r="AL37" s="32"/>
      <c r="AM37" s="30"/>
      <c r="AN37" s="32"/>
      <c r="AO37" s="30"/>
      <c r="AP37" s="40"/>
      <c r="AQ37" s="44"/>
      <c r="AR37" s="21">
        <v>68120000</v>
      </c>
      <c r="AS37" s="44"/>
      <c r="AT37" s="21">
        <v>0</v>
      </c>
      <c r="AU37" s="44"/>
      <c r="AV37" s="21">
        <v>22390000</v>
      </c>
      <c r="AW37" s="44"/>
      <c r="AX37" s="21">
        <v>140000</v>
      </c>
      <c r="AY37" s="44"/>
      <c r="AZ37" s="21">
        <v>15170000</v>
      </c>
      <c r="BA37" s="44"/>
      <c r="BB37" s="21">
        <v>0</v>
      </c>
      <c r="BC37" s="44"/>
      <c r="BD37" s="21">
        <v>12140000</v>
      </c>
      <c r="BE37" s="44"/>
      <c r="BF37" s="21">
        <v>0</v>
      </c>
      <c r="BG37" s="46"/>
      <c r="BH37" s="44"/>
      <c r="BI37" s="21">
        <v>27558</v>
      </c>
      <c r="BJ37" s="44"/>
      <c r="BK37" s="21">
        <v>15474</v>
      </c>
      <c r="BL37" s="44"/>
      <c r="BM37" s="21">
        <v>5618</v>
      </c>
      <c r="BN37" s="44"/>
      <c r="BO37" s="21">
        <v>4978</v>
      </c>
      <c r="BP37" s="44"/>
      <c r="BQ37" s="21">
        <v>1523</v>
      </c>
      <c r="BR37" s="44"/>
      <c r="BS37" s="21">
        <v>440</v>
      </c>
      <c r="BT37" s="44"/>
      <c r="BU37" s="21">
        <v>3399</v>
      </c>
      <c r="BV37" s="44"/>
      <c r="BW37" s="21">
        <v>27</v>
      </c>
      <c r="BX37" s="44"/>
      <c r="BY37" s="21">
        <v>667</v>
      </c>
      <c r="BZ37" s="46"/>
      <c r="CA37" s="45"/>
    </row>
    <row r="38" spans="1:79" ht="15.75">
      <c r="A38" s="21" t="s">
        <v>42</v>
      </c>
      <c r="B38" s="22"/>
      <c r="C38" s="7">
        <f>C36-C37</f>
        <v>-3762</v>
      </c>
      <c r="D38" s="22"/>
      <c r="E38" s="7">
        <f>E36-E37</f>
        <v>-16700</v>
      </c>
      <c r="F38" s="22"/>
      <c r="G38" s="7">
        <f>G36-G37</f>
        <v>-10602</v>
      </c>
      <c r="H38" s="12"/>
      <c r="I38" s="22"/>
      <c r="J38" s="13">
        <f>J36-J37</f>
        <v>-476.28600000000051</v>
      </c>
      <c r="K38" s="22"/>
      <c r="L38" s="13">
        <f>L36-L37</f>
        <v>-24.392999999999972</v>
      </c>
      <c r="M38" s="12"/>
      <c r="N38" s="22"/>
      <c r="O38" s="7">
        <f>O36-O37</f>
        <v>200413.0855614972</v>
      </c>
      <c r="P38" s="22"/>
      <c r="Q38" s="7">
        <f>Q36-Q37</f>
        <v>257</v>
      </c>
      <c r="R38" s="22"/>
      <c r="S38" s="13">
        <f>S36-S37</f>
        <v>-27163</v>
      </c>
      <c r="T38" s="12"/>
      <c r="U38" s="22"/>
      <c r="V38" s="7">
        <f>V36-V37</f>
        <v>142</v>
      </c>
      <c r="W38" s="22"/>
      <c r="X38" s="7">
        <f>X36-X37</f>
        <v>-12</v>
      </c>
      <c r="Y38" s="22"/>
      <c r="Z38" s="7">
        <f>Z36-Z37</f>
        <v>-274</v>
      </c>
      <c r="AA38" s="22"/>
      <c r="AB38" s="7">
        <f>AB36-AB37</f>
        <v>4140000</v>
      </c>
      <c r="AC38" s="22"/>
      <c r="AD38" s="7">
        <f>AD36-AD37</f>
        <v>18890000</v>
      </c>
      <c r="AE38" s="12">
        <f t="shared" ref="AE38" si="47">AE36-AE37</f>
        <v>-12241</v>
      </c>
      <c r="AF38" s="22"/>
      <c r="AG38" s="7">
        <f>AG36-AG37</f>
        <v>5744</v>
      </c>
      <c r="AH38" s="22"/>
      <c r="AI38" s="7">
        <f t="shared" ref="AI38:BF38" si="48">AI36-AI37</f>
        <v>4583</v>
      </c>
      <c r="AJ38" s="22"/>
      <c r="AK38" s="7">
        <f t="shared" si="48"/>
        <v>189742</v>
      </c>
      <c r="AL38" s="22"/>
      <c r="AM38" s="7">
        <f t="shared" si="48"/>
        <v>55</v>
      </c>
      <c r="AN38" s="22"/>
      <c r="AO38" s="7">
        <f t="shared" si="48"/>
        <v>18280</v>
      </c>
      <c r="AP38" s="12"/>
      <c r="AQ38" s="22"/>
      <c r="AR38" s="7">
        <f t="shared" si="48"/>
        <v>-43660000</v>
      </c>
      <c r="AS38" s="22"/>
      <c r="AT38" s="7">
        <f t="shared" si="48"/>
        <v>0</v>
      </c>
      <c r="AU38" s="22"/>
      <c r="AV38" s="7">
        <f t="shared" si="48"/>
        <v>-4950000</v>
      </c>
      <c r="AW38" s="22"/>
      <c r="AX38" s="7">
        <f t="shared" si="48"/>
        <v>2710000</v>
      </c>
      <c r="AY38" s="22"/>
      <c r="AZ38" s="7">
        <f t="shared" si="48"/>
        <v>-3460000</v>
      </c>
      <c r="BA38" s="22"/>
      <c r="BB38" s="7">
        <f t="shared" si="48"/>
        <v>0</v>
      </c>
      <c r="BC38" s="22"/>
      <c r="BD38" s="7">
        <f t="shared" si="48"/>
        <v>-5040000</v>
      </c>
      <c r="BE38" s="22"/>
      <c r="BF38" s="7">
        <f t="shared" si="48"/>
        <v>240000</v>
      </c>
      <c r="BG38" s="46"/>
      <c r="BH38" s="22"/>
      <c r="BI38" s="7">
        <f t="shared" ref="BI38" si="49">BI36-BI37</f>
        <v>9878421</v>
      </c>
      <c r="BJ38" s="22"/>
      <c r="BK38" s="7">
        <f t="shared" ref="BK38" si="50">BK36-BK37</f>
        <v>-908</v>
      </c>
      <c r="BL38" s="22"/>
      <c r="BM38" s="7">
        <f t="shared" ref="BM38" si="51">BM36-BM37</f>
        <v>-860</v>
      </c>
      <c r="BN38" s="22"/>
      <c r="BO38" s="7">
        <f t="shared" ref="BO38" si="52">BO36-BO37</f>
        <v>-781</v>
      </c>
      <c r="BP38" s="22"/>
      <c r="BQ38" s="7">
        <f t="shared" ref="BQ38" si="53">BQ36-BQ37</f>
        <v>-202</v>
      </c>
      <c r="BR38" s="22"/>
      <c r="BS38" s="7">
        <f t="shared" ref="BS38" si="54">BS36-BS37</f>
        <v>-27</v>
      </c>
      <c r="BT38" s="22"/>
      <c r="BU38" s="7">
        <f t="shared" ref="BU38" si="55">BU36-BU37</f>
        <v>-638</v>
      </c>
      <c r="BV38" s="22"/>
      <c r="BW38" s="7">
        <f t="shared" ref="BW38" si="56">BW36-BW37</f>
        <v>0</v>
      </c>
      <c r="BX38" s="22"/>
      <c r="BY38" s="7">
        <f t="shared" ref="BY38" si="57">BY36-BY37</f>
        <v>-152</v>
      </c>
      <c r="BZ38" s="46"/>
      <c r="CA38" s="45"/>
    </row>
    <row r="39" spans="1:79">
      <c r="A39" s="21" t="s">
        <v>43</v>
      </c>
      <c r="B39" s="35"/>
      <c r="C39" s="33">
        <f>C38/C37</f>
        <v>-2.9588730799178876E-2</v>
      </c>
      <c r="D39" s="35"/>
      <c r="E39" s="33">
        <f>E38/E37</f>
        <v>-6.303361541190769E-2</v>
      </c>
      <c r="F39" s="35"/>
      <c r="G39" s="33">
        <f>G38/G37</f>
        <v>-9.427771108443378E-2</v>
      </c>
      <c r="H39" s="34"/>
      <c r="I39" s="35"/>
      <c r="J39" s="33">
        <f>J38/J37</f>
        <v>-0.12630230708035017</v>
      </c>
      <c r="K39" s="35"/>
      <c r="L39" s="33">
        <f>L38/L37</f>
        <v>-0.10424358974358963</v>
      </c>
      <c r="M39" s="34"/>
      <c r="N39" s="35"/>
      <c r="O39" s="33">
        <f>O38/O37</f>
        <v>0.87257905843153794</v>
      </c>
      <c r="P39" s="35"/>
      <c r="Q39" s="33">
        <f>Q38/Q37</f>
        <v>0.14317548746518105</v>
      </c>
      <c r="R39" s="35"/>
      <c r="S39" s="33">
        <f>S38/S37</f>
        <v>-0.15588969554363111</v>
      </c>
      <c r="T39" s="34"/>
      <c r="U39" s="35"/>
      <c r="V39" s="42">
        <f>V38/V37</f>
        <v>1.3526385978281577E-2</v>
      </c>
      <c r="W39" s="35"/>
      <c r="X39" s="42">
        <f>X38/X37</f>
        <v>-2.5157232704402517E-2</v>
      </c>
      <c r="Y39" s="35"/>
      <c r="Z39" s="42">
        <f>Z38/Z37</f>
        <v>-0.49103942652329752</v>
      </c>
      <c r="AA39" s="35"/>
      <c r="AB39" s="42">
        <f>AB38/AB37</f>
        <v>6.0873400970445524E-2</v>
      </c>
      <c r="AC39" s="35"/>
      <c r="AD39" s="42">
        <f>AD38/AD37</f>
        <v>0.42892824704813803</v>
      </c>
      <c r="AE39" s="34"/>
      <c r="AF39" s="35"/>
      <c r="AG39" s="33" t="e">
        <f>AG38/AG37</f>
        <v>#DIV/0!</v>
      </c>
      <c r="AH39" s="35"/>
      <c r="AI39" s="33" t="e">
        <f t="shared" ref="AI39:BF39" si="58">AI38/AI37</f>
        <v>#DIV/0!</v>
      </c>
      <c r="AJ39" s="35"/>
      <c r="AK39" s="33" t="e">
        <f t="shared" si="58"/>
        <v>#DIV/0!</v>
      </c>
      <c r="AL39" s="35"/>
      <c r="AM39" s="33" t="e">
        <f t="shared" si="58"/>
        <v>#DIV/0!</v>
      </c>
      <c r="AN39" s="35"/>
      <c r="AO39" s="33" t="e">
        <f t="shared" si="58"/>
        <v>#DIV/0!</v>
      </c>
      <c r="AP39" s="34"/>
      <c r="AQ39" s="35"/>
      <c r="AR39" s="33">
        <f t="shared" si="58"/>
        <v>-0.64092777451556082</v>
      </c>
      <c r="AS39" s="35"/>
      <c r="AT39" s="33" t="e">
        <f t="shared" si="58"/>
        <v>#DIV/0!</v>
      </c>
      <c r="AU39" s="35"/>
      <c r="AV39" s="33">
        <f t="shared" si="58"/>
        <v>-0.22108083966056274</v>
      </c>
      <c r="AW39" s="35"/>
      <c r="AX39" s="33">
        <f t="shared" si="58"/>
        <v>19.357142857142858</v>
      </c>
      <c r="AY39" s="35"/>
      <c r="AZ39" s="33">
        <f t="shared" si="58"/>
        <v>-0.22808174027686223</v>
      </c>
      <c r="BA39" s="35"/>
      <c r="BB39" s="33" t="e">
        <f t="shared" si="58"/>
        <v>#DIV/0!</v>
      </c>
      <c r="BC39" s="35"/>
      <c r="BD39" s="33">
        <f t="shared" si="58"/>
        <v>-0.41515650741350907</v>
      </c>
      <c r="BE39" s="35"/>
      <c r="BF39" s="33" t="e">
        <f t="shared" si="58"/>
        <v>#DIV/0!</v>
      </c>
      <c r="BG39" s="46"/>
      <c r="BH39" s="35"/>
      <c r="BI39" s="33">
        <f t="shared" ref="BI39" si="59">BI38/BI37</f>
        <v>358.45928586980187</v>
      </c>
      <c r="BJ39" s="35"/>
      <c r="BK39" s="33">
        <f t="shared" ref="BK39" si="60">BK38/BK37</f>
        <v>-5.8679074576709317E-2</v>
      </c>
      <c r="BL39" s="35"/>
      <c r="BM39" s="33">
        <f t="shared" ref="BM39" si="61">BM38/BM37</f>
        <v>-0.15307938768244927</v>
      </c>
      <c r="BN39" s="35"/>
      <c r="BO39" s="33">
        <f t="shared" ref="BO39" si="62">BO38/BO37</f>
        <v>-0.1568903173965448</v>
      </c>
      <c r="BP39" s="35"/>
      <c r="BQ39" s="33">
        <f t="shared" ref="BQ39" si="63">BQ38/BQ37</f>
        <v>-0.13263296126066973</v>
      </c>
      <c r="BR39" s="35"/>
      <c r="BS39" s="33">
        <f t="shared" ref="BS39" si="64">BS38/BS37</f>
        <v>-6.1363636363636363E-2</v>
      </c>
      <c r="BT39" s="35"/>
      <c r="BU39" s="33">
        <f t="shared" ref="BU39" si="65">BU38/BU37</f>
        <v>-0.18770226537216828</v>
      </c>
      <c r="BV39" s="35"/>
      <c r="BW39" s="33">
        <f t="shared" ref="BW39" si="66">BW38/BW37</f>
        <v>0</v>
      </c>
      <c r="BX39" s="35"/>
      <c r="BY39" s="33">
        <f t="shared" ref="BY39" si="67">BY38/BY37</f>
        <v>-0.22788605697151423</v>
      </c>
      <c r="BZ39" s="46"/>
      <c r="CA39" s="45"/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B0D872-AD42-4F6F-B5EC-822A49D51E63}"/>
</file>

<file path=customXml/itemProps2.xml><?xml version="1.0" encoding="utf-8"?>
<ds:datastoreItem xmlns:ds="http://schemas.openxmlformats.org/officeDocument/2006/customXml" ds:itemID="{FFF47B0E-E6EC-47A0-9EBA-17DDB15B0F5C}"/>
</file>

<file path=customXml/itemProps3.xml><?xml version="1.0" encoding="utf-8"?>
<ds:datastoreItem xmlns:ds="http://schemas.openxmlformats.org/officeDocument/2006/customXml" ds:itemID="{3704597D-A134-4967-A415-1BAB2233E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Baltimore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/>
  <cp:revision/>
  <dcterms:created xsi:type="dcterms:W3CDTF">2014-07-01T13:26:04Z</dcterms:created>
  <dcterms:modified xsi:type="dcterms:W3CDTF">2022-12-01T16:50:38Z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