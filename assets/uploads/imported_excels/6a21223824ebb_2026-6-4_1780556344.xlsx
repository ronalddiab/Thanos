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thanoshotels-my.sharepoint.com/personal/engcoor_almyra_thanoshotels_com/Documents/Consumptions Energy Reports/"/>
    </mc:Choice>
  </mc:AlternateContent>
  <xr:revisionPtr revIDLastSave="4594" documentId="13_ncr:1_{A06AFBD3-09F3-4273-976F-F2CDDC29F910}" xr6:coauthVersionLast="47" xr6:coauthVersionMax="47" xr10:uidLastSave="{5D4356E9-84CD-4C30-86AE-A421810B352A}"/>
  <bookViews>
    <workbookView xWindow="-120" yWindow="-120" windowWidth="29040" windowHeight="15720" tabRatio="296" firstSheet="1" activeTab="1" xr2:uid="{00000000-000D-0000-FFFF-FFFF00000000}"/>
  </bookViews>
  <sheets>
    <sheet name="Total" sheetId="2" r:id="rId1"/>
    <sheet name="ALMYRA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" i="2" l="1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4" i="2"/>
  <c r="F3" i="2"/>
  <c r="N32" i="2"/>
  <c r="M32" i="2"/>
  <c r="M3" i="1" l="1"/>
  <c r="AK34" i="1"/>
  <c r="M31" i="2"/>
  <c r="N31" i="2"/>
  <c r="N30" i="2"/>
  <c r="M30" i="2"/>
  <c r="X34" i="1"/>
  <c r="C2" i="1"/>
  <c r="E2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K30" i="2" s="1"/>
  <c r="U31" i="1"/>
  <c r="K31" i="2" s="1"/>
  <c r="U32" i="1"/>
  <c r="K32" i="2" s="1"/>
  <c r="U33" i="1"/>
  <c r="U4" i="1"/>
  <c r="U3" i="1"/>
  <c r="U2" i="1"/>
  <c r="X3" i="1"/>
  <c r="X4" i="1"/>
  <c r="X5" i="1"/>
  <c r="X6" i="1"/>
  <c r="X7" i="1"/>
  <c r="X8" i="1"/>
  <c r="X9" i="1"/>
  <c r="X10" i="1"/>
  <c r="X11" i="1"/>
  <c r="X12" i="1"/>
  <c r="X13" i="1"/>
  <c r="X14" i="1"/>
  <c r="X15" i="1"/>
  <c r="X16" i="1"/>
  <c r="X17" i="1"/>
  <c r="X18" i="1"/>
  <c r="X19" i="1"/>
  <c r="X20" i="1"/>
  <c r="X21" i="1"/>
  <c r="X22" i="1"/>
  <c r="X23" i="1"/>
  <c r="X24" i="1"/>
  <c r="X25" i="1"/>
  <c r="X26" i="1"/>
  <c r="X27" i="1"/>
  <c r="X28" i="1"/>
  <c r="X29" i="1"/>
  <c r="X30" i="1"/>
  <c r="X31" i="1"/>
  <c r="X32" i="1"/>
  <c r="X33" i="1"/>
  <c r="X2" i="1"/>
  <c r="Z21" i="1" l="1"/>
  <c r="Z33" i="1"/>
  <c r="Z4" i="1"/>
  <c r="Z5" i="1"/>
  <c r="Z3" i="1"/>
  <c r="Z2" i="1"/>
  <c r="Z10" i="1"/>
  <c r="Z8" i="1"/>
  <c r="Z31" i="1"/>
  <c r="G31" i="2" s="1"/>
  <c r="Z29" i="1"/>
  <c r="Z28" i="1"/>
  <c r="Z7" i="1"/>
  <c r="Z26" i="1"/>
  <c r="Z25" i="1"/>
  <c r="Z24" i="1"/>
  <c r="Z23" i="1"/>
  <c r="Z22" i="1"/>
  <c r="Z20" i="1"/>
  <c r="Z19" i="1"/>
  <c r="Z18" i="1"/>
  <c r="Z17" i="1"/>
  <c r="Z15" i="1"/>
  <c r="Z13" i="1"/>
  <c r="Z12" i="1"/>
  <c r="Z11" i="1"/>
  <c r="Z14" i="1"/>
  <c r="Z30" i="1"/>
  <c r="G30" i="2" s="1"/>
  <c r="Z27" i="1"/>
  <c r="Z9" i="1"/>
  <c r="Z6" i="1"/>
  <c r="Z16" i="1"/>
  <c r="Z32" i="1"/>
  <c r="G32" i="2" s="1"/>
  <c r="E3" i="1"/>
  <c r="E4" i="1"/>
  <c r="E5" i="1"/>
  <c r="E6" i="1"/>
  <c r="E7" i="1"/>
  <c r="E8" i="1"/>
  <c r="E9" i="1"/>
  <c r="E10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G2" i="1"/>
  <c r="G3" i="1"/>
  <c r="G4" i="1"/>
  <c r="G5" i="1"/>
  <c r="G6" i="1"/>
  <c r="G7" i="1"/>
  <c r="G8" i="1"/>
  <c r="G9" i="1"/>
  <c r="G10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K2" i="1"/>
  <c r="K3" i="1"/>
  <c r="K4" i="1"/>
  <c r="K5" i="1"/>
  <c r="K6" i="1"/>
  <c r="K7" i="1"/>
  <c r="K8" i="1"/>
  <c r="K9" i="1"/>
  <c r="K10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M2" i="1"/>
  <c r="M4" i="1"/>
  <c r="M5" i="1"/>
  <c r="M6" i="1"/>
  <c r="M7" i="1"/>
  <c r="M8" i="1"/>
  <c r="M9" i="1"/>
  <c r="M10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O2" i="1"/>
  <c r="O3" i="1"/>
  <c r="O4" i="1"/>
  <c r="O5" i="1"/>
  <c r="O6" i="1"/>
  <c r="O7" i="1"/>
  <c r="O8" i="1"/>
  <c r="O9" i="1"/>
  <c r="O10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Q2" i="1"/>
  <c r="Q3" i="1"/>
  <c r="Q4" i="1"/>
  <c r="Q5" i="1"/>
  <c r="Q6" i="1"/>
  <c r="Q7" i="1"/>
  <c r="Q8" i="1"/>
  <c r="Q9" i="1"/>
  <c r="Q10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AB2" i="1"/>
  <c r="AB3" i="1"/>
  <c r="AB4" i="1"/>
  <c r="AB5" i="1"/>
  <c r="AB6" i="1"/>
  <c r="AB7" i="1"/>
  <c r="AB8" i="1"/>
  <c r="AB9" i="1"/>
  <c r="AB10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I30" i="2" s="1"/>
  <c r="AB31" i="1"/>
  <c r="I31" i="2" s="1"/>
  <c r="AB32" i="1"/>
  <c r="I32" i="2" s="1"/>
  <c r="AB33" i="1"/>
  <c r="AD2" i="1"/>
  <c r="AD3" i="1"/>
  <c r="AD4" i="1"/>
  <c r="AD5" i="1"/>
  <c r="AD6" i="1"/>
  <c r="AD7" i="1"/>
  <c r="AD8" i="1"/>
  <c r="AD9" i="1"/>
  <c r="AD10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3" i="1"/>
  <c r="AF2" i="1"/>
  <c r="AF3" i="1"/>
  <c r="AF4" i="1"/>
  <c r="AF5" i="1"/>
  <c r="AF6" i="1"/>
  <c r="AF7" i="1"/>
  <c r="AF8" i="1"/>
  <c r="AF9" i="1"/>
  <c r="AF10" i="1"/>
  <c r="AF12" i="1"/>
  <c r="AF13" i="1"/>
  <c r="AF14" i="1"/>
  <c r="AF15" i="1"/>
  <c r="AF16" i="1"/>
  <c r="AF17" i="1"/>
  <c r="AF18" i="1"/>
  <c r="AF19" i="1"/>
  <c r="AF20" i="1"/>
  <c r="AF21" i="1"/>
  <c r="AF22" i="1"/>
  <c r="AF23" i="1"/>
  <c r="AF24" i="1"/>
  <c r="AF25" i="1"/>
  <c r="AF26" i="1"/>
  <c r="AF27" i="1"/>
  <c r="AF28" i="1"/>
  <c r="AF29" i="1"/>
  <c r="AF30" i="1"/>
  <c r="AF31" i="1"/>
  <c r="AF32" i="1"/>
  <c r="AF33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2" i="1"/>
  <c r="AI3" i="1"/>
  <c r="AI4" i="1"/>
  <c r="AI5" i="1"/>
  <c r="AI6" i="1"/>
  <c r="AI7" i="1"/>
  <c r="AI8" i="1"/>
  <c r="AI9" i="1"/>
  <c r="AI10" i="1"/>
  <c r="AI11" i="1"/>
  <c r="AF11" i="1"/>
  <c r="AD11" i="1"/>
  <c r="AB11" i="1"/>
  <c r="Q11" i="1"/>
  <c r="O11" i="1"/>
  <c r="M11" i="1"/>
  <c r="K11" i="1"/>
  <c r="G11" i="1"/>
  <c r="E11" i="1"/>
  <c r="C3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4" i="1"/>
  <c r="C5" i="1"/>
  <c r="C6" i="1"/>
  <c r="C7" i="1"/>
  <c r="C8" i="1"/>
  <c r="C9" i="1"/>
  <c r="C10" i="1"/>
  <c r="H33" i="1" l="1"/>
  <c r="I33" i="1" s="1"/>
  <c r="H32" i="1"/>
  <c r="E32" i="2" s="1"/>
  <c r="H9" i="1"/>
  <c r="I9" i="1" s="1"/>
  <c r="H31" i="1"/>
  <c r="H28" i="1"/>
  <c r="I28" i="1" s="1"/>
  <c r="H2" i="1"/>
  <c r="I2" i="1" s="1"/>
  <c r="H3" i="1"/>
  <c r="I3" i="1" s="1"/>
  <c r="H4" i="1"/>
  <c r="I4" i="1" s="1"/>
  <c r="H8" i="1"/>
  <c r="I8" i="1" s="1"/>
  <c r="H10" i="1"/>
  <c r="I10" i="1" s="1"/>
  <c r="H7" i="1"/>
  <c r="I7" i="1" s="1"/>
  <c r="H6" i="1"/>
  <c r="I6" i="1" s="1"/>
  <c r="H5" i="1"/>
  <c r="I5" i="1" s="1"/>
  <c r="H29" i="1"/>
  <c r="H30" i="1"/>
  <c r="H27" i="1"/>
  <c r="I27" i="1" s="1"/>
  <c r="H25" i="1"/>
  <c r="I25" i="1" s="1"/>
  <c r="H26" i="1"/>
  <c r="I26" i="1" s="1"/>
  <c r="H24" i="1"/>
  <c r="I24" i="1" s="1"/>
  <c r="H23" i="1"/>
  <c r="I23" i="1" s="1"/>
  <c r="H22" i="1"/>
  <c r="I22" i="1" s="1"/>
  <c r="H21" i="1"/>
  <c r="I21" i="1" s="1"/>
  <c r="H20" i="1"/>
  <c r="I20" i="1" s="1"/>
  <c r="H19" i="1"/>
  <c r="I19" i="1" s="1"/>
  <c r="H18" i="1"/>
  <c r="I18" i="1" s="1"/>
  <c r="H17" i="1"/>
  <c r="I17" i="1" s="1"/>
  <c r="H15" i="1"/>
  <c r="I15" i="1" s="1"/>
  <c r="H16" i="1"/>
  <c r="I16" i="1" s="1"/>
  <c r="H13" i="1"/>
  <c r="I13" i="1" s="1"/>
  <c r="H11" i="1"/>
  <c r="I11" i="1" s="1"/>
  <c r="H12" i="1"/>
  <c r="I12" i="1" s="1"/>
  <c r="H14" i="1"/>
  <c r="I14" i="1" s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l="1"/>
  <c r="A29" i="1" s="1"/>
  <c r="A30" i="1" s="1"/>
  <c r="A31" i="1" s="1"/>
  <c r="A32" i="1" s="1"/>
  <c r="A33" i="1" s="1"/>
  <c r="R27" i="1"/>
  <c r="I32" i="1"/>
  <c r="I31" i="1"/>
  <c r="E31" i="2"/>
  <c r="I30" i="1"/>
  <c r="E30" i="2"/>
  <c r="I29" i="1"/>
  <c r="K28" i="2" l="1"/>
  <c r="K29" i="2"/>
  <c r="K20" i="2"/>
  <c r="K22" i="2"/>
  <c r="K23" i="2"/>
  <c r="K24" i="2"/>
  <c r="K26" i="2"/>
  <c r="K14" i="2"/>
  <c r="K15" i="2"/>
  <c r="K16" i="2"/>
  <c r="K17" i="2"/>
  <c r="K18" i="2"/>
  <c r="K13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M15" i="2"/>
  <c r="N15" i="2"/>
  <c r="M16" i="2"/>
  <c r="N16" i="2"/>
  <c r="M17" i="2"/>
  <c r="N17" i="2"/>
  <c r="M18" i="2"/>
  <c r="N18" i="2"/>
  <c r="M19" i="2"/>
  <c r="N19" i="2"/>
  <c r="M20" i="2"/>
  <c r="N20" i="2"/>
  <c r="M21" i="2"/>
  <c r="N21" i="2"/>
  <c r="M22" i="2"/>
  <c r="N22" i="2"/>
  <c r="M23" i="2"/>
  <c r="N23" i="2"/>
  <c r="M24" i="2"/>
  <c r="N24" i="2"/>
  <c r="M25" i="2"/>
  <c r="N25" i="2"/>
  <c r="M26" i="2"/>
  <c r="N26" i="2"/>
  <c r="M27" i="2"/>
  <c r="N27" i="2"/>
  <c r="M28" i="2"/>
  <c r="N28" i="2"/>
  <c r="M29" i="2"/>
  <c r="N29" i="2"/>
  <c r="N2" i="2"/>
  <c r="M2" i="2"/>
  <c r="K19" i="2"/>
  <c r="K21" i="2"/>
  <c r="K25" i="2"/>
  <c r="K27" i="2"/>
  <c r="I13" i="2" l="1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2" i="2" s="1"/>
  <c r="AH34" i="1" l="1"/>
  <c r="AI33" i="1" s="1"/>
  <c r="Y34" i="1"/>
  <c r="AJ34" i="1"/>
  <c r="R2" i="1"/>
  <c r="K2" i="2"/>
  <c r="I2" i="2"/>
  <c r="AI34" i="1" l="1"/>
  <c r="R3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8" i="1"/>
  <c r="R29" i="1"/>
  <c r="R30" i="1"/>
  <c r="R31" i="1"/>
  <c r="R32" i="1"/>
  <c r="R3" i="1"/>
  <c r="K4" i="2"/>
  <c r="K5" i="2"/>
  <c r="K6" i="2"/>
  <c r="K7" i="2"/>
  <c r="K8" i="2"/>
  <c r="K9" i="2"/>
  <c r="K10" i="2"/>
  <c r="K11" i="2"/>
  <c r="K12" i="2"/>
  <c r="K3" i="2"/>
  <c r="G24" i="2" l="1"/>
  <c r="G12" i="2"/>
  <c r="G23" i="2"/>
  <c r="G20" i="2"/>
  <c r="G17" i="2"/>
  <c r="G16" i="2"/>
  <c r="G15" i="2"/>
  <c r="G9" i="2"/>
  <c r="G7" i="2"/>
  <c r="G5" i="2"/>
  <c r="G6" i="2"/>
  <c r="G28" i="2"/>
  <c r="G14" i="2"/>
  <c r="G4" i="2"/>
  <c r="G18" i="2"/>
  <c r="G29" i="2"/>
  <c r="G22" i="2"/>
  <c r="G21" i="2"/>
  <c r="G27" i="2"/>
  <c r="G10" i="2"/>
  <c r="G25" i="2"/>
  <c r="G13" i="2"/>
  <c r="G19" i="2"/>
  <c r="G8" i="2"/>
  <c r="G11" i="2"/>
  <c r="G26" i="2"/>
  <c r="U34" i="1"/>
  <c r="G3" i="2"/>
  <c r="G2" i="2"/>
  <c r="I12" i="2"/>
  <c r="I11" i="2"/>
  <c r="I10" i="2"/>
  <c r="I9" i="2"/>
  <c r="I8" i="2"/>
  <c r="I7" i="2"/>
  <c r="I6" i="2"/>
  <c r="I5" i="2"/>
  <c r="I4" i="2"/>
  <c r="I3" i="2"/>
  <c r="E15" i="2"/>
  <c r="E17" i="2"/>
  <c r="E19" i="2"/>
  <c r="E21" i="2"/>
  <c r="E23" i="2"/>
  <c r="E25" i="2"/>
  <c r="E27" i="2"/>
  <c r="E29" i="2"/>
  <c r="E3" i="2" l="1"/>
  <c r="E13" i="2"/>
  <c r="E9" i="2"/>
  <c r="E7" i="2"/>
  <c r="AF34" i="1"/>
  <c r="AD34" i="1"/>
  <c r="AB34" i="1"/>
  <c r="Z34" i="1"/>
  <c r="K34" i="1"/>
  <c r="G34" i="1"/>
  <c r="E34" i="1"/>
  <c r="E2" i="2"/>
  <c r="C34" i="1"/>
  <c r="E8" i="2" l="1"/>
  <c r="E4" i="2"/>
  <c r="E12" i="2"/>
  <c r="E6" i="2"/>
  <c r="E10" i="2"/>
  <c r="E11" i="2"/>
  <c r="E5" i="2"/>
  <c r="E24" i="2"/>
  <c r="E14" i="2"/>
  <c r="E28" i="2"/>
  <c r="E18" i="2"/>
  <c r="E20" i="2"/>
  <c r="E22" i="2"/>
  <c r="E16" i="2"/>
  <c r="E26" i="2"/>
  <c r="H34" i="1"/>
  <c r="Q34" i="1" l="1"/>
  <c r="O34" i="1"/>
  <c r="M34" i="1" l="1"/>
  <c r="I34" i="1" l="1"/>
</calcChain>
</file>

<file path=xl/sharedStrings.xml><?xml version="1.0" encoding="utf-8"?>
<sst xmlns="http://schemas.openxmlformats.org/spreadsheetml/2006/main" count="82" uniqueCount="41">
  <si>
    <t>Site Name</t>
  </si>
  <si>
    <t>Day</t>
  </si>
  <si>
    <t>Month</t>
  </si>
  <si>
    <t>Year</t>
  </si>
  <si>
    <t>Total Electricity Kwh</t>
  </si>
  <si>
    <t>Electricity Tariff ($/Kwh)</t>
  </si>
  <si>
    <t xml:space="preserve">LPG (Liters) </t>
  </si>
  <si>
    <t>Water Utility Supply (m3) m3</t>
  </si>
  <si>
    <t>Water Utility Supply (m3) $/m3</t>
  </si>
  <si>
    <t xml:space="preserve">Total Fuel Oil  (Liter) </t>
  </si>
  <si>
    <t>Fuel Oil  $/Liter</t>
  </si>
  <si>
    <t xml:space="preserve">Room Nights </t>
  </si>
  <si>
    <t xml:space="preserve">Total Guests </t>
  </si>
  <si>
    <t>Almyra</t>
  </si>
  <si>
    <t>Date</t>
  </si>
  <si>
    <t>Purchased Electricity (Kwh) Reading</t>
  </si>
  <si>
    <t>BOUGHT</t>
  </si>
  <si>
    <t>Total Renewable Energy Production (Kwh) Reading</t>
  </si>
  <si>
    <t>PRODUCED</t>
  </si>
  <si>
    <t>Total Renewable Energy Exported (KWh) Reading</t>
  </si>
  <si>
    <t>SOLD</t>
  </si>
  <si>
    <t>HOTEL Electricity (KWh) Consumed incl. --&gt;</t>
  </si>
  <si>
    <t>HOTEL Electricity (KWh) Consumed excl. --&gt;</t>
  </si>
  <si>
    <t>SPA Electricity (KWh) Reading</t>
  </si>
  <si>
    <t>Consumed</t>
  </si>
  <si>
    <t>Boutique Electricity (KWh) Reading</t>
  </si>
  <si>
    <t>Primetel Electricity (KWh) Reading</t>
  </si>
  <si>
    <t>Epic Electricity (KWh) Reading</t>
  </si>
  <si>
    <t>Fuel Oil Hot-Water Boilers (Liter)  Reading</t>
  </si>
  <si>
    <t>Fuel Oil (Liter) Received</t>
  </si>
  <si>
    <t>LPG % A</t>
  </si>
  <si>
    <t>LPG % B</t>
  </si>
  <si>
    <t>LPG Kitchen (Liter)  Reading</t>
  </si>
  <si>
    <t>LPG (Liter) Received</t>
  </si>
  <si>
    <t>Water Utility Supply (m3) Reading</t>
  </si>
  <si>
    <t>SPA Water   (m3) Reading</t>
  </si>
  <si>
    <t>Irrigation Water  Supply (m3) Reading</t>
  </si>
  <si>
    <t>Pellets (Kg) Reading</t>
  </si>
  <si>
    <t>Pellets (Kg) Received</t>
  </si>
  <si>
    <t xml:space="preserve">Guest Nights </t>
  </si>
  <si>
    <t>LPG $/Liters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</si>
</sst>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_);\(0.00\)"/>
    <numFmt numFmtId="165" formatCode="0.0000"/>
    <numFmt numFmtId="166" formatCode="\ ddd\ dd/mm/yyyy"/>
  </numFmts>
  <fonts count="43" x14ac:knownFonts="1">
    <font>
      <sz val="10"/>
      <name val="Arial"/>
      <family val="2"/>
    </font>
    <font>
      <b/>
      <sz val="10"/>
      <name val="Arial"/>
      <family val="2"/>
    </font>
    <font>
      <b/>
      <sz val="10"/>
      <color rgb="FF0070C0"/>
      <name val="Arial"/>
      <family val="2"/>
    </font>
    <font>
      <sz val="10"/>
      <color theme="1"/>
      <name val="Arial"/>
      <family val="2"/>
    </font>
    <font>
      <sz val="10"/>
      <color rgb="FF0070C0"/>
      <name val="Arial"/>
      <family val="2"/>
    </font>
    <font>
      <sz val="10"/>
      <color theme="5"/>
      <name val="Arial"/>
      <family val="2"/>
    </font>
    <font>
      <sz val="10"/>
      <color rgb="FF7030A0"/>
      <name val="Arial"/>
      <family val="2"/>
    </font>
    <font>
      <sz val="10"/>
      <color rgb="FFFF0000"/>
      <name val="Arial"/>
      <family val="2"/>
    </font>
    <font>
      <b/>
      <sz val="10"/>
      <color theme="5" tint="-0.499984740745262"/>
      <name val="Arial"/>
      <family val="2"/>
    </font>
    <font>
      <sz val="10"/>
      <color rgb="FF002060"/>
      <name val="Arial"/>
      <family val="2"/>
    </font>
    <font>
      <sz val="10"/>
      <color rgb="FF800080"/>
      <name val="Arial"/>
      <family val="2"/>
    </font>
    <font>
      <sz val="10"/>
      <color rgb="FF800080"/>
      <name val="Arial"/>
      <family val="2"/>
      <charset val="161"/>
    </font>
    <font>
      <sz val="8"/>
      <color rgb="FF7030A0"/>
      <name val="Arial"/>
      <family val="2"/>
      <charset val="161"/>
    </font>
    <font>
      <b/>
      <sz val="11"/>
      <color theme="1"/>
      <name val="Arial"/>
      <family val="2"/>
      <charset val="161"/>
    </font>
    <font>
      <sz val="8"/>
      <color rgb="FFFF0000"/>
      <name val="Arial"/>
      <family val="2"/>
      <charset val="161"/>
    </font>
    <font>
      <sz val="8"/>
      <color theme="5"/>
      <name val="Arial"/>
      <family val="2"/>
      <charset val="161"/>
    </font>
    <font>
      <sz val="10"/>
      <name val="Arial"/>
      <family val="2"/>
      <charset val="161"/>
    </font>
    <font>
      <sz val="11"/>
      <name val="Arial"/>
      <family val="2"/>
      <charset val="161"/>
    </font>
    <font>
      <sz val="10"/>
      <color rgb="FF7030A0"/>
      <name val="Arial"/>
      <family val="2"/>
      <charset val="161"/>
    </font>
    <font>
      <sz val="10"/>
      <color theme="5"/>
      <name val="Arial"/>
      <family val="2"/>
      <charset val="161"/>
    </font>
    <font>
      <sz val="10"/>
      <color rgb="FF0070C0"/>
      <name val="Arial"/>
      <family val="2"/>
      <charset val="161"/>
    </font>
    <font>
      <sz val="10"/>
      <color rgb="FF002060"/>
      <name val="Arial"/>
      <family val="2"/>
      <charset val="161"/>
    </font>
    <font>
      <sz val="10"/>
      <color theme="5" tint="-0.499984740745262"/>
      <name val="Arial"/>
      <family val="2"/>
      <charset val="161"/>
    </font>
    <font>
      <sz val="8"/>
      <color theme="5" tint="-0.499984740745262"/>
      <name val="Arial"/>
      <family val="2"/>
      <charset val="161"/>
    </font>
    <font>
      <sz val="7"/>
      <color rgb="FFFF0000"/>
      <name val="Arial"/>
      <family val="2"/>
      <charset val="161"/>
    </font>
    <font>
      <sz val="8"/>
      <color rgb="FF800080"/>
      <name val="Arial"/>
      <family val="2"/>
      <charset val="161"/>
    </font>
    <font>
      <sz val="10"/>
      <name val="Arial"/>
      <family val="2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444444"/>
      <name val="Calibri"/>
      <family val="2"/>
      <charset val="1"/>
    </font>
    <font>
      <b/>
      <sz val="11"/>
      <color rgb="FFFF0000"/>
      <name val="Calibri"/>
      <family val="2"/>
    </font>
    <font>
      <b/>
      <sz val="7"/>
      <name val="Arial"/>
      <family val="2"/>
      <charset val="161"/>
    </font>
    <font>
      <b/>
      <sz val="7"/>
      <color theme="0"/>
      <name val="Arial"/>
      <family val="2"/>
      <charset val="161"/>
    </font>
    <font>
      <sz val="10"/>
      <color theme="5" tint="0.39997558519241921"/>
      <name val="Arial"/>
      <family val="2"/>
    </font>
    <font>
      <b/>
      <sz val="10"/>
      <color theme="5" tint="-0.249977111117893"/>
      <name val="Arial"/>
      <family val="2"/>
    </font>
    <font>
      <b/>
      <sz val="11"/>
      <color rgb="FF7030A0"/>
      <name val="Arial"/>
      <family val="2"/>
    </font>
    <font>
      <b/>
      <sz val="11"/>
      <color rgb="FF7030A0"/>
      <name val="Arial"/>
      <family val="2"/>
      <charset val="161"/>
    </font>
    <font>
      <b/>
      <sz val="10"/>
      <color rgb="FF7030A0"/>
      <name val="Arial"/>
      <family val="2"/>
      <charset val="161"/>
    </font>
    <font>
      <b/>
      <sz val="10"/>
      <color theme="1"/>
      <name val="Arial"/>
      <family val="2"/>
      <charset val="161"/>
    </font>
    <font>
      <b/>
      <sz val="11"/>
      <color rgb="FF800080"/>
      <name val="Arial"/>
      <family val="2"/>
      <charset val="161"/>
    </font>
    <font>
      <b/>
      <sz val="9"/>
      <color rgb="FF7030A0"/>
      <name val="Arial"/>
      <family val="2"/>
      <charset val="161"/>
    </font>
    <font>
      <sz val="9"/>
      <color rgb="FF800080"/>
      <name val="Arial"/>
      <family val="2"/>
      <charset val="161"/>
    </font>
    <font>
      <sz val="10"/>
      <color theme="5" tint="-0.249977111117893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thin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double">
        <color indexed="64"/>
      </top>
      <bottom style="thin">
        <color indexed="64"/>
      </bottom>
      <diagonal/>
    </border>
    <border>
      <left style="hair">
        <color auto="1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auto="1"/>
      </right>
      <top style="thin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thin">
        <color indexed="64"/>
      </top>
      <bottom style="hair">
        <color indexed="64"/>
      </bottom>
      <diagonal/>
    </border>
    <border>
      <left style="double">
        <color indexed="64"/>
      </left>
      <right style="thin">
        <color auto="1"/>
      </right>
      <top style="hair">
        <color indexed="64"/>
      </top>
      <bottom style="hair">
        <color indexed="64"/>
      </bottom>
      <diagonal/>
    </border>
    <border>
      <left style="hair">
        <color auto="1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auto="1"/>
      </right>
      <top style="double">
        <color indexed="64"/>
      </top>
      <bottom style="thin">
        <color indexed="64"/>
      </bottom>
      <diagonal/>
    </border>
    <border>
      <left/>
      <right style="hair">
        <color auto="1"/>
      </right>
      <top style="hair">
        <color indexed="64"/>
      </top>
      <bottom style="hair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hair">
        <color auto="1"/>
      </left>
      <right style="thin">
        <color auto="1"/>
      </right>
      <top style="hair">
        <color indexed="64"/>
      </top>
      <bottom/>
      <diagonal/>
    </border>
    <border>
      <left style="hair">
        <color auto="1"/>
      </left>
      <right style="double">
        <color indexed="64"/>
      </right>
      <top style="hair">
        <color indexed="64"/>
      </top>
      <bottom/>
      <diagonal/>
    </border>
    <border>
      <left style="double">
        <color auto="1"/>
      </left>
      <right style="double">
        <color auto="1"/>
      </right>
      <top style="double">
        <color indexed="64"/>
      </top>
      <bottom style="thin">
        <color indexed="64"/>
      </bottom>
      <diagonal/>
    </border>
    <border>
      <left style="double">
        <color auto="1"/>
      </left>
      <right style="double">
        <color auto="1"/>
      </right>
      <top style="hair">
        <color indexed="64"/>
      </top>
      <bottom style="hair">
        <color indexed="64"/>
      </bottom>
      <diagonal/>
    </border>
    <border>
      <left/>
      <right/>
      <top/>
      <bottom style="thick">
        <color auto="1"/>
      </bottom>
      <diagonal/>
    </border>
    <border>
      <left style="hair">
        <color auto="1"/>
      </left>
      <right style="hair">
        <color auto="1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auto="1"/>
      </left>
      <right/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auto="1"/>
      </right>
      <top style="hair">
        <color indexed="64"/>
      </top>
      <bottom/>
      <diagonal/>
    </border>
  </borders>
  <cellStyleXfs count="1">
    <xf numFmtId="0" fontId="0" fillId="0" borderId="0"/>
  </cellStyleXfs>
  <cellXfs count="114">
    <xf numFmtId="0" fontId="0" fillId="0" borderId="0" xfId="0"/>
    <xf numFmtId="1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1" fontId="6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3" fontId="3" fillId="0" borderId="0" xfId="0" applyNumberFormat="1" applyFont="1" applyAlignment="1">
      <alignment horizontal="center"/>
    </xf>
    <xf numFmtId="9" fontId="5" fillId="0" borderId="3" xfId="0" applyNumberFormat="1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12" fillId="0" borderId="7" xfId="0" applyFont="1" applyBorder="1" applyAlignment="1">
      <alignment horizontal="center" vertical="center" wrapText="1"/>
    </xf>
    <xf numFmtId="0" fontId="16" fillId="0" borderId="6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7" fillId="4" borderId="5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1" fontId="6" fillId="0" borderId="4" xfId="0" applyNumberFormat="1" applyFont="1" applyBorder="1" applyAlignment="1">
      <alignment horizontal="center" vertical="center"/>
    </xf>
    <xf numFmtId="1" fontId="14" fillId="0" borderId="6" xfId="0" applyNumberFormat="1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1" fontId="15" fillId="0" borderId="7" xfId="0" applyNumberFormat="1" applyFont="1" applyBorder="1" applyAlignment="1">
      <alignment horizontal="center" vertical="center" wrapText="1"/>
    </xf>
    <xf numFmtId="0" fontId="19" fillId="4" borderId="7" xfId="0" applyFont="1" applyFill="1" applyBorder="1" applyAlignment="1">
      <alignment horizontal="center" vertical="center" wrapText="1"/>
    </xf>
    <xf numFmtId="1" fontId="5" fillId="4" borderId="2" xfId="0" applyNumberFormat="1" applyFont="1" applyFill="1" applyBorder="1" applyAlignment="1">
      <alignment horizontal="center" vertical="center"/>
    </xf>
    <xf numFmtId="9" fontId="5" fillId="0" borderId="4" xfId="0" applyNumberFormat="1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 wrapText="1"/>
    </xf>
    <xf numFmtId="1" fontId="4" fillId="0" borderId="3" xfId="0" applyNumberFormat="1" applyFont="1" applyBorder="1" applyAlignment="1">
      <alignment horizontal="center" vertical="center"/>
    </xf>
    <xf numFmtId="0" fontId="21" fillId="0" borderId="6" xfId="0" applyFont="1" applyBorder="1" applyAlignment="1">
      <alignment horizontal="center" vertical="center" wrapText="1"/>
    </xf>
    <xf numFmtId="1" fontId="9" fillId="0" borderId="3" xfId="0" applyNumberFormat="1" applyFont="1" applyBorder="1" applyAlignment="1">
      <alignment horizontal="center" vertical="center"/>
    </xf>
    <xf numFmtId="0" fontId="22" fillId="0" borderId="6" xfId="0" applyFont="1" applyBorder="1" applyAlignment="1">
      <alignment horizontal="center" vertical="center" wrapText="1"/>
    </xf>
    <xf numFmtId="1" fontId="8" fillId="0" borderId="1" xfId="0" applyNumberFormat="1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 wrapText="1"/>
    </xf>
    <xf numFmtId="1" fontId="10" fillId="0" borderId="15" xfId="0" applyNumberFormat="1" applyFont="1" applyBorder="1" applyAlignment="1">
      <alignment horizontal="center" vertical="center"/>
    </xf>
    <xf numFmtId="1" fontId="24" fillId="0" borderId="7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6" fillId="0" borderId="0" xfId="0" applyFont="1" applyAlignment="1">
      <alignment horizontal="center"/>
    </xf>
    <xf numFmtId="0" fontId="27" fillId="0" borderId="22" xfId="0" applyFont="1" applyBorder="1" applyAlignment="1">
      <alignment horizontal="center" vertical="center"/>
    </xf>
    <xf numFmtId="1" fontId="27" fillId="5" borderId="22" xfId="0" applyNumberFormat="1" applyFont="1" applyFill="1" applyBorder="1" applyAlignment="1">
      <alignment horizontal="center" vertical="center" wrapText="1"/>
    </xf>
    <xf numFmtId="0" fontId="27" fillId="5" borderId="22" xfId="0" applyFont="1" applyFill="1" applyBorder="1" applyAlignment="1">
      <alignment horizontal="center" vertical="center" wrapText="1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0" fontId="0" fillId="5" borderId="0" xfId="0" applyFill="1" applyAlignment="1">
      <alignment horizontal="center"/>
    </xf>
    <xf numFmtId="1" fontId="27" fillId="6" borderId="22" xfId="0" applyNumberFormat="1" applyFont="1" applyFill="1" applyBorder="1" applyAlignment="1">
      <alignment horizontal="center" vertical="center" wrapText="1"/>
    </xf>
    <xf numFmtId="164" fontId="27" fillId="6" borderId="22" xfId="0" applyNumberFormat="1" applyFont="1" applyFill="1" applyBorder="1" applyAlignment="1">
      <alignment horizontal="center" vertical="center" wrapText="1"/>
    </xf>
    <xf numFmtId="1" fontId="0" fillId="6" borderId="0" xfId="0" applyNumberFormat="1" applyFill="1" applyAlignment="1">
      <alignment horizontal="center"/>
    </xf>
    <xf numFmtId="164" fontId="29" fillId="6" borderId="0" xfId="0" applyNumberFormat="1" applyFont="1" applyFill="1" applyAlignment="1">
      <alignment horizontal="center"/>
    </xf>
    <xf numFmtId="164" fontId="0" fillId="6" borderId="0" xfId="0" applyNumberFormat="1" applyFill="1" applyAlignment="1">
      <alignment horizontal="center"/>
    </xf>
    <xf numFmtId="0" fontId="27" fillId="7" borderId="22" xfId="0" applyFont="1" applyFill="1" applyBorder="1" applyAlignment="1">
      <alignment horizontal="center" vertical="center" wrapText="1"/>
    </xf>
    <xf numFmtId="1" fontId="0" fillId="7" borderId="0" xfId="0" applyNumberFormat="1" applyFill="1" applyAlignment="1">
      <alignment horizontal="center"/>
    </xf>
    <xf numFmtId="2" fontId="0" fillId="7" borderId="0" xfId="0" applyNumberFormat="1" applyFill="1" applyAlignment="1">
      <alignment horizontal="center"/>
    </xf>
    <xf numFmtId="0" fontId="0" fillId="7" borderId="0" xfId="0" applyFill="1" applyAlignment="1">
      <alignment horizontal="center"/>
    </xf>
    <xf numFmtId="0" fontId="28" fillId="3" borderId="22" xfId="0" applyFont="1" applyFill="1" applyBorder="1" applyAlignment="1">
      <alignment horizontal="center" vertical="center" wrapText="1"/>
    </xf>
    <xf numFmtId="1" fontId="0" fillId="3" borderId="0" xfId="0" applyNumberFormat="1" applyFill="1"/>
    <xf numFmtId="165" fontId="0" fillId="3" borderId="0" xfId="0" applyNumberFormat="1" applyFill="1" applyAlignment="1">
      <alignment horizontal="right"/>
    </xf>
    <xf numFmtId="0" fontId="0" fillId="3" borderId="0" xfId="0" applyFill="1"/>
    <xf numFmtId="0" fontId="27" fillId="8" borderId="22" xfId="0" applyFont="1" applyFill="1" applyBorder="1" applyAlignment="1">
      <alignment horizontal="center" vertical="center" wrapText="1"/>
    </xf>
    <xf numFmtId="1" fontId="0" fillId="8" borderId="0" xfId="0" applyNumberFormat="1" applyFill="1" applyAlignment="1">
      <alignment horizontal="center"/>
    </xf>
    <xf numFmtId="0" fontId="0" fillId="8" borderId="0" xfId="0" applyFill="1" applyAlignment="1">
      <alignment horizontal="center"/>
    </xf>
    <xf numFmtId="0" fontId="30" fillId="0" borderId="22" xfId="0" applyFont="1" applyBorder="1" applyAlignment="1">
      <alignment horizontal="center" vertical="center"/>
    </xf>
    <xf numFmtId="0" fontId="7" fillId="0" borderId="0" xfId="0" applyFont="1" applyAlignment="1">
      <alignment horizontal="center"/>
    </xf>
    <xf numFmtId="1" fontId="7" fillId="0" borderId="0" xfId="0" applyNumberFormat="1" applyFont="1" applyAlignment="1">
      <alignment horizontal="center"/>
    </xf>
    <xf numFmtId="2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" fontId="31" fillId="0" borderId="0" xfId="0" applyNumberFormat="1" applyFont="1" applyAlignment="1">
      <alignment horizontal="center" vertical="center"/>
    </xf>
    <xf numFmtId="1" fontId="31" fillId="0" borderId="24" xfId="0" applyNumberFormat="1" applyFont="1" applyBorder="1" applyAlignment="1">
      <alignment horizontal="center" vertical="center"/>
    </xf>
    <xf numFmtId="0" fontId="31" fillId="0" borderId="0" xfId="0" applyFont="1"/>
    <xf numFmtId="1" fontId="34" fillId="0" borderId="2" xfId="0" applyNumberFormat="1" applyFont="1" applyBorder="1" applyAlignment="1">
      <alignment horizontal="center" vertical="center"/>
    </xf>
    <xf numFmtId="1" fontId="34" fillId="0" borderId="4" xfId="0" applyNumberFormat="1" applyFont="1" applyBorder="1" applyAlignment="1">
      <alignment horizontal="center" vertical="center"/>
    </xf>
    <xf numFmtId="3" fontId="35" fillId="2" borderId="7" xfId="0" applyNumberFormat="1" applyFont="1" applyFill="1" applyBorder="1" applyAlignment="1">
      <alignment horizontal="center" vertical="center" textRotation="90" wrapText="1"/>
    </xf>
    <xf numFmtId="3" fontId="35" fillId="2" borderId="17" xfId="0" applyNumberFormat="1" applyFont="1" applyFill="1" applyBorder="1" applyAlignment="1">
      <alignment horizontal="center" vertical="center" textRotation="90" wrapText="1"/>
    </xf>
    <xf numFmtId="3" fontId="36" fillId="2" borderId="7" xfId="0" applyNumberFormat="1" applyFont="1" applyFill="1" applyBorder="1" applyAlignment="1">
      <alignment horizontal="center" vertical="center" textRotation="90" wrapText="1"/>
    </xf>
    <xf numFmtId="3" fontId="37" fillId="2" borderId="4" xfId="0" applyNumberFormat="1" applyFont="1" applyFill="1" applyBorder="1" applyAlignment="1">
      <alignment horizontal="center" vertical="center"/>
    </xf>
    <xf numFmtId="3" fontId="13" fillId="2" borderId="8" xfId="0" applyNumberFormat="1" applyFont="1" applyFill="1" applyBorder="1" applyAlignment="1">
      <alignment horizontal="center" vertical="center" textRotation="90" wrapText="1"/>
    </xf>
    <xf numFmtId="3" fontId="39" fillId="2" borderId="16" xfId="0" applyNumberFormat="1" applyFont="1" applyFill="1" applyBorder="1" applyAlignment="1">
      <alignment horizontal="center" vertical="center" textRotation="90" wrapText="1"/>
    </xf>
    <xf numFmtId="3" fontId="39" fillId="2" borderId="8" xfId="0" applyNumberFormat="1" applyFont="1" applyFill="1" applyBorder="1" applyAlignment="1">
      <alignment horizontal="center" vertical="center" textRotation="90" wrapText="1"/>
    </xf>
    <xf numFmtId="1" fontId="37" fillId="3" borderId="21" xfId="0" applyNumberFormat="1" applyFont="1" applyFill="1" applyBorder="1" applyAlignment="1">
      <alignment horizontal="center" vertical="center"/>
    </xf>
    <xf numFmtId="1" fontId="11" fillId="5" borderId="21" xfId="0" applyNumberFormat="1" applyFont="1" applyFill="1" applyBorder="1" applyAlignment="1">
      <alignment horizontal="center" vertical="center"/>
    </xf>
    <xf numFmtId="0" fontId="40" fillId="3" borderId="20" xfId="0" applyFont="1" applyFill="1" applyBorder="1" applyAlignment="1">
      <alignment horizontal="center" vertical="center" wrapText="1"/>
    </xf>
    <xf numFmtId="0" fontId="41" fillId="5" borderId="20" xfId="0" applyFont="1" applyFill="1" applyBorder="1" applyAlignment="1">
      <alignment horizontal="center" vertical="center" wrapText="1"/>
    </xf>
    <xf numFmtId="3" fontId="38" fillId="0" borderId="0" xfId="0" applyNumberFormat="1" applyFont="1" applyAlignment="1">
      <alignment horizontal="center"/>
    </xf>
    <xf numFmtId="1" fontId="33" fillId="0" borderId="4" xfId="0" applyNumberFormat="1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1" fontId="7" fillId="0" borderId="3" xfId="0" applyNumberFormat="1" applyFont="1" applyBorder="1" applyAlignment="1">
      <alignment horizontal="center" vertical="center"/>
    </xf>
    <xf numFmtId="1" fontId="7" fillId="0" borderId="2" xfId="0" applyNumberFormat="1" applyFont="1" applyBorder="1" applyAlignment="1">
      <alignment horizontal="center" vertical="center"/>
    </xf>
    <xf numFmtId="1" fontId="7" fillId="0" borderId="4" xfId="0" applyNumberFormat="1" applyFont="1" applyBorder="1" applyAlignment="1">
      <alignment horizontal="center" vertical="center"/>
    </xf>
    <xf numFmtId="1" fontId="7" fillId="0" borderId="15" xfId="0" applyNumberFormat="1" applyFont="1" applyBorder="1" applyAlignment="1">
      <alignment horizontal="center" vertical="center"/>
    </xf>
    <xf numFmtId="0" fontId="31" fillId="0" borderId="24" xfId="0" applyFont="1" applyBorder="1" applyAlignment="1">
      <alignment horizontal="center" vertical="center"/>
    </xf>
    <xf numFmtId="3" fontId="32" fillId="14" borderId="18" xfId="0" applyNumberFormat="1" applyFont="1" applyFill="1" applyBorder="1" applyAlignment="1">
      <alignment horizontal="center" vertical="center"/>
    </xf>
    <xf numFmtId="3" fontId="32" fillId="16" borderId="18" xfId="0" applyNumberFormat="1" applyFont="1" applyFill="1" applyBorder="1" applyAlignment="1">
      <alignment horizontal="center" vertical="center"/>
    </xf>
    <xf numFmtId="166" fontId="0" fillId="4" borderId="12" xfId="0" applyNumberFormat="1" applyFill="1" applyBorder="1" applyAlignment="1">
      <alignment horizontal="right" vertical="center"/>
    </xf>
    <xf numFmtId="166" fontId="0" fillId="4" borderId="10" xfId="0" applyNumberFormat="1" applyFill="1" applyBorder="1" applyAlignment="1">
      <alignment horizontal="right" vertical="center"/>
    </xf>
    <xf numFmtId="1" fontId="5" fillId="4" borderId="4" xfId="0" applyNumberFormat="1" applyFont="1" applyFill="1" applyBorder="1" applyAlignment="1">
      <alignment horizontal="center" vertical="center"/>
    </xf>
    <xf numFmtId="3" fontId="32" fillId="10" borderId="23" xfId="0" applyNumberFormat="1" applyFont="1" applyFill="1" applyBorder="1" applyAlignment="1">
      <alignment horizontal="center" vertical="center"/>
    </xf>
    <xf numFmtId="3" fontId="32" fillId="10" borderId="18" xfId="0" applyNumberFormat="1" applyFont="1" applyFill="1" applyBorder="1" applyAlignment="1">
      <alignment horizontal="center" vertical="center"/>
    </xf>
    <xf numFmtId="3" fontId="32" fillId="10" borderId="25" xfId="0" applyNumberFormat="1" applyFont="1" applyFill="1" applyBorder="1" applyAlignment="1">
      <alignment horizontal="center" vertical="center"/>
    </xf>
    <xf numFmtId="3" fontId="32" fillId="13" borderId="26" xfId="0" applyNumberFormat="1" applyFont="1" applyFill="1" applyBorder="1" applyAlignment="1">
      <alignment horizontal="center" vertical="center"/>
    </xf>
    <xf numFmtId="3" fontId="32" fillId="11" borderId="26" xfId="0" applyNumberFormat="1" applyFont="1" applyFill="1" applyBorder="1" applyAlignment="1">
      <alignment horizontal="center" vertical="center"/>
    </xf>
    <xf numFmtId="3" fontId="32" fillId="10" borderId="19" xfId="0" applyNumberFormat="1" applyFont="1" applyFill="1" applyBorder="1" applyAlignment="1">
      <alignment horizontal="center" vertical="center"/>
    </xf>
    <xf numFmtId="1" fontId="31" fillId="15" borderId="23" xfId="0" applyNumberFormat="1" applyFont="1" applyFill="1" applyBorder="1" applyAlignment="1">
      <alignment horizontal="center" vertical="center"/>
    </xf>
    <xf numFmtId="3" fontId="31" fillId="12" borderId="18" xfId="0" applyNumberFormat="1" applyFont="1" applyFill="1" applyBorder="1" applyAlignment="1">
      <alignment horizontal="center" vertical="center"/>
    </xf>
    <xf numFmtId="1" fontId="32" fillId="18" borderId="23" xfId="0" applyNumberFormat="1" applyFont="1" applyFill="1" applyBorder="1" applyAlignment="1">
      <alignment horizontal="center" vertical="center"/>
    </xf>
    <xf numFmtId="3" fontId="32" fillId="17" borderId="18" xfId="0" applyNumberFormat="1" applyFont="1" applyFill="1" applyBorder="1" applyAlignment="1">
      <alignment horizontal="center" vertical="center"/>
    </xf>
    <xf numFmtId="3" fontId="31" fillId="9" borderId="27" xfId="0" applyNumberFormat="1" applyFont="1" applyFill="1" applyBorder="1" applyAlignment="1">
      <alignment horizontal="center" vertical="center"/>
    </xf>
    <xf numFmtId="3" fontId="31" fillId="9" borderId="19" xfId="0" applyNumberFormat="1" applyFont="1" applyFill="1" applyBorder="1" applyAlignment="1">
      <alignment horizontal="center" vertical="center"/>
    </xf>
    <xf numFmtId="1" fontId="0" fillId="0" borderId="0" xfId="0" applyNumberFormat="1"/>
    <xf numFmtId="3" fontId="6" fillId="2" borderId="4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1" fontId="10" fillId="5" borderId="21" xfId="0" applyNumberFormat="1" applyFont="1" applyFill="1" applyBorder="1" applyAlignment="1">
      <alignment horizontal="center" vertical="center"/>
    </xf>
    <xf numFmtId="1" fontId="42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000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37</xdr:col>
      <xdr:colOff>0</xdr:colOff>
      <xdr:row>1</xdr:row>
      <xdr:rowOff>0</xdr:rowOff>
    </xdr:from>
    <xdr:to>
      <xdr:col>37</xdr:col>
      <xdr:colOff>138749</xdr:colOff>
      <xdr:row>2</xdr:row>
      <xdr:rowOff>74163</xdr:rowOff>
    </xdr:to>
    <xdr:sp macro="" textlink="">
      <xdr:nvSpPr>
        <xdr:cNvPr id="1119" name="AutoShape 1" descr="https://eegroup.info:2096/cpsess2431181428/3rdparty/roundcube/?_task=mail&amp;_action=get&amp;_mbox=INBOX&amp;_uid=6780&amp;_token=JHcWM9h7AU3b5DOVpmPtr8MVrz7cR4dX&amp;_part=1.2&amp;_embed=1&amp;_mimeclass=image">
          <a:extLst>
            <a:ext uri="{FF2B5EF4-FFF2-40B4-BE49-F238E27FC236}">
              <a16:creationId xmlns:a16="http://schemas.microsoft.com/office/drawing/2014/main" id="{522BC284-1341-47A3-A411-F3ABD0CF704C}"/>
            </a:ext>
          </a:extLst>
        </xdr:cNvPr>
        <xdr:cNvSpPr>
          <a:spLocks noChangeAspect="1" noChangeArrowheads="1"/>
        </xdr:cNvSpPr>
      </xdr:nvSpPr>
      <xdr:spPr bwMode="auto">
        <a:xfrm>
          <a:off x="21564600" y="1720850"/>
          <a:ext cx="133350" cy="231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66B43-399D-4C88-9357-742CAC458B6A}">
  <sheetPr codeName="Sheet1">
    <tabColor rgb="FFFFC000"/>
  </sheetPr>
  <dimension ref="A1:N1724"/>
  <sheetViews>
    <sheetView topLeftCell="C1" workbookViewId="0">
      <selection activeCell="N9" sqref="N9"/>
    </sheetView>
  </sheetViews>
  <sheetFormatPr defaultColWidth="8.85546875" defaultRowHeight="12.75" x14ac:dyDescent="0.2"/>
  <cols>
    <col min="1" max="1" width="23" style="4" customWidth="1"/>
    <col min="2" max="2" width="11.5703125" style="4" customWidth="1"/>
    <col min="3" max="3" width="8.85546875" style="4"/>
    <col min="4" max="4" width="13.42578125" style="4" customWidth="1"/>
    <col min="5" max="5" width="12.5703125" style="43" customWidth="1"/>
    <col min="6" max="6" width="12.5703125" style="45" customWidth="1"/>
    <col min="7" max="7" width="8.85546875" style="48"/>
    <col min="8" max="8" width="8.85546875" style="50"/>
    <col min="9" max="10" width="8.85546875" style="54"/>
    <col min="11" max="12" width="12.28515625" style="58" bestFit="1" customWidth="1"/>
    <col min="13" max="13" width="8.85546875" style="61"/>
    <col min="14" max="14" width="11.5703125" style="61" customWidth="1"/>
    <col min="15" max="16384" width="8.85546875" style="4"/>
  </cols>
  <sheetData>
    <row r="1" spans="1:14" ht="75.75" thickBot="1" x14ac:dyDescent="0.25">
      <c r="A1" s="40" t="s">
        <v>0</v>
      </c>
      <c r="B1" s="40" t="s">
        <v>1</v>
      </c>
      <c r="C1" s="62" t="s">
        <v>2</v>
      </c>
      <c r="D1" s="62" t="s">
        <v>3</v>
      </c>
      <c r="E1" s="41" t="s">
        <v>4</v>
      </c>
      <c r="F1" s="42" t="s">
        <v>5</v>
      </c>
      <c r="G1" s="46" t="s">
        <v>6</v>
      </c>
      <c r="H1" s="47" t="s">
        <v>40</v>
      </c>
      <c r="I1" s="51" t="s">
        <v>7</v>
      </c>
      <c r="J1" s="51" t="s">
        <v>8</v>
      </c>
      <c r="K1" s="55" t="s">
        <v>9</v>
      </c>
      <c r="L1" s="55" t="s">
        <v>10</v>
      </c>
      <c r="M1" s="59" t="s">
        <v>11</v>
      </c>
      <c r="N1" s="59" t="s">
        <v>12</v>
      </c>
    </row>
    <row r="2" spans="1:14" ht="15.75" thickTop="1" x14ac:dyDescent="0.25">
      <c r="A2" s="39" t="s">
        <v>13</v>
      </c>
      <c r="B2" s="4">
        <v>1</v>
      </c>
      <c r="C2" s="63">
        <v>5</v>
      </c>
      <c r="D2" s="64">
        <v>2026</v>
      </c>
      <c r="E2" s="43">
        <f>IF(ALMYRA!H2&lt;0,"0",ALMYRA!H2)</f>
        <v>4778</v>
      </c>
      <c r="F2" s="44">
        <f>(ALMYRA!C2*0.1958)/E2</f>
        <v>0.18338321473419841</v>
      </c>
      <c r="G2" s="48">
        <f>ALMYRA!Z2</f>
        <v>200</v>
      </c>
      <c r="H2" s="49">
        <v>1.0456000000000001</v>
      </c>
      <c r="I2" s="52">
        <f>IF(ALMYRA!AB2&lt;0,"0",ALMYRA!AB2)</f>
        <v>60</v>
      </c>
      <c r="J2" s="53">
        <v>2.8565999999999998</v>
      </c>
      <c r="K2" s="56">
        <f>ALMYRA!U2</f>
        <v>90</v>
      </c>
      <c r="L2" s="57">
        <v>0.93500000000000005</v>
      </c>
      <c r="M2" s="60">
        <f>ALMYRA!AJ2</f>
        <v>156</v>
      </c>
      <c r="N2" s="60">
        <f>ALMYRA!AK2</f>
        <v>234</v>
      </c>
    </row>
    <row r="3" spans="1:14" ht="15" x14ac:dyDescent="0.25">
      <c r="A3" s="39" t="s">
        <v>13</v>
      </c>
      <c r="B3" s="4">
        <f>B2+1</f>
        <v>2</v>
      </c>
      <c r="C3" s="63">
        <v>5</v>
      </c>
      <c r="D3" s="64">
        <v>2026</v>
      </c>
      <c r="E3" s="43">
        <f>IF(ALMYRA!H3&lt;0,"0",ALMYRA!H3)</f>
        <v>5008</v>
      </c>
      <c r="F3" s="44">
        <f>(ALMYRA!C3*0.1958)/E3</f>
        <v>0.16221529552715655</v>
      </c>
      <c r="G3" s="48">
        <f>ALMYRA!Z3</f>
        <v>475</v>
      </c>
      <c r="H3" s="49">
        <v>1.0456000000000001</v>
      </c>
      <c r="I3" s="52">
        <f>IF(ALMYRA!AB3&lt;0,"0",ALMYRA!AB3)</f>
        <v>68</v>
      </c>
      <c r="J3" s="53">
        <v>2.8565999999999998</v>
      </c>
      <c r="K3" s="56">
        <f>ALMYRA!U3</f>
        <v>99</v>
      </c>
      <c r="L3" s="57">
        <v>0.93500000000000005</v>
      </c>
      <c r="M3" s="60">
        <f>ALMYRA!AJ3</f>
        <v>181</v>
      </c>
      <c r="N3" s="60">
        <f>ALMYRA!AK3</f>
        <v>272</v>
      </c>
    </row>
    <row r="4" spans="1:14" ht="15" x14ac:dyDescent="0.25">
      <c r="A4" s="39" t="s">
        <v>13</v>
      </c>
      <c r="B4" s="4">
        <f t="shared" ref="B4:B32" si="0">B3+1</f>
        <v>3</v>
      </c>
      <c r="C4" s="63">
        <v>5</v>
      </c>
      <c r="D4" s="64">
        <v>2026</v>
      </c>
      <c r="E4" s="43">
        <f>IF(ALMYRA!H4&lt;0,"0",ALMYRA!H4)</f>
        <v>4733</v>
      </c>
      <c r="F4" s="44">
        <f>(ALMYRA!C4*0.1958)/E4</f>
        <v>0.17950057046270865</v>
      </c>
      <c r="G4" s="48">
        <f>ALMYRA!Z4</f>
        <v>250</v>
      </c>
      <c r="H4" s="49">
        <v>1.0456000000000001</v>
      </c>
      <c r="I4" s="52">
        <f>IF(ALMYRA!AB4&lt;0,"0",ALMYRA!AB4)</f>
        <v>59</v>
      </c>
      <c r="J4" s="53">
        <v>2.8565999999999998</v>
      </c>
      <c r="K4" s="56">
        <f>ALMYRA!U4</f>
        <v>188</v>
      </c>
      <c r="L4" s="57">
        <v>0.93500000000000005</v>
      </c>
      <c r="M4" s="60">
        <f>ALMYRA!AJ4</f>
        <v>160</v>
      </c>
      <c r="N4" s="60">
        <f>ALMYRA!AK4</f>
        <v>228</v>
      </c>
    </row>
    <row r="5" spans="1:14" ht="15" x14ac:dyDescent="0.25">
      <c r="A5" s="39" t="s">
        <v>13</v>
      </c>
      <c r="B5" s="4">
        <f t="shared" si="0"/>
        <v>4</v>
      </c>
      <c r="C5" s="63">
        <v>5</v>
      </c>
      <c r="D5" s="64">
        <v>2026</v>
      </c>
      <c r="E5" s="43">
        <f>IF(ALMYRA!H5&lt;0,"0",ALMYRA!H5)</f>
        <v>4762</v>
      </c>
      <c r="F5" s="44">
        <f>(ALMYRA!C5*0.1958)/E5</f>
        <v>0.1622895002099958</v>
      </c>
      <c r="G5" s="48">
        <f>ALMYRA!Z5</f>
        <v>492.53999999999996</v>
      </c>
      <c r="H5" s="49">
        <v>1.0456000000000001</v>
      </c>
      <c r="I5" s="52">
        <f>IF(ALMYRA!AB5&lt;0,"0",ALMYRA!AB5)</f>
        <v>64</v>
      </c>
      <c r="J5" s="53">
        <v>2.8565999999999998</v>
      </c>
      <c r="K5" s="56">
        <f>ALMYRA!U5</f>
        <v>186</v>
      </c>
      <c r="L5" s="57">
        <v>0.93500000000000005</v>
      </c>
      <c r="M5" s="60">
        <f>ALMYRA!AJ5</f>
        <v>161</v>
      </c>
      <c r="N5" s="60">
        <f>ALMYRA!AK5</f>
        <v>222</v>
      </c>
    </row>
    <row r="6" spans="1:14" ht="15" x14ac:dyDescent="0.25">
      <c r="A6" s="39" t="s">
        <v>13</v>
      </c>
      <c r="B6" s="4">
        <f t="shared" si="0"/>
        <v>5</v>
      </c>
      <c r="C6" s="63">
        <v>5</v>
      </c>
      <c r="D6" s="64">
        <v>2026</v>
      </c>
      <c r="E6" s="43">
        <f>IF(ALMYRA!H6&lt;0,"0",ALMYRA!H6)</f>
        <v>4615</v>
      </c>
      <c r="F6" s="44">
        <f>(ALMYRA!C6*0.1958)/E6</f>
        <v>0.17140455037919827</v>
      </c>
      <c r="G6" s="48">
        <f>ALMYRA!Z6</f>
        <v>250</v>
      </c>
      <c r="H6" s="49">
        <v>1.0456000000000001</v>
      </c>
      <c r="I6" s="52">
        <f>IF(ALMYRA!AB6&lt;0,"0",ALMYRA!AB6)</f>
        <v>67</v>
      </c>
      <c r="J6" s="53">
        <v>2.8565999999999998</v>
      </c>
      <c r="K6" s="56">
        <f>ALMYRA!U6</f>
        <v>185</v>
      </c>
      <c r="L6" s="57">
        <v>0.93500000000000005</v>
      </c>
      <c r="M6" s="60">
        <f>ALMYRA!AJ6</f>
        <v>159</v>
      </c>
      <c r="N6" s="60">
        <f>ALMYRA!AK6</f>
        <v>212</v>
      </c>
    </row>
    <row r="7" spans="1:14" ht="15" x14ac:dyDescent="0.25">
      <c r="A7" s="39" t="s">
        <v>13</v>
      </c>
      <c r="B7" s="4">
        <f t="shared" si="0"/>
        <v>6</v>
      </c>
      <c r="C7" s="63">
        <v>5</v>
      </c>
      <c r="D7" s="64">
        <v>2026</v>
      </c>
      <c r="E7" s="43">
        <f>IF(ALMYRA!H7&lt;0,"0",ALMYRA!H7)</f>
        <v>4730</v>
      </c>
      <c r="F7" s="44">
        <f>(ALMYRA!C7*0.1958)/E7</f>
        <v>0.16438093023255815</v>
      </c>
      <c r="G7" s="48">
        <f>ALMYRA!Z7</f>
        <v>325</v>
      </c>
      <c r="H7" s="49">
        <v>1.0456000000000001</v>
      </c>
      <c r="I7" s="52">
        <f>IF(ALMYRA!AB7&lt;0,"0",ALMYRA!AB7)</f>
        <v>58</v>
      </c>
      <c r="J7" s="53">
        <v>2.8565999999999998</v>
      </c>
      <c r="K7" s="56">
        <f>ALMYRA!U7</f>
        <v>78</v>
      </c>
      <c r="L7" s="57">
        <v>0.93500000000000005</v>
      </c>
      <c r="M7" s="60">
        <f>ALMYRA!AJ7</f>
        <v>179</v>
      </c>
      <c r="N7" s="60">
        <f>ALMYRA!AK7</f>
        <v>244</v>
      </c>
    </row>
    <row r="8" spans="1:14" ht="15" x14ac:dyDescent="0.25">
      <c r="A8" s="39" t="s">
        <v>13</v>
      </c>
      <c r="B8" s="4">
        <f t="shared" si="0"/>
        <v>7</v>
      </c>
      <c r="C8" s="63">
        <v>5</v>
      </c>
      <c r="D8" s="64">
        <v>2026</v>
      </c>
      <c r="E8" s="43">
        <f>IF(ALMYRA!H8&lt;0,"0",ALMYRA!H8)</f>
        <v>4975</v>
      </c>
      <c r="F8" s="44">
        <f>(ALMYRA!C8*0.1958)/E8</f>
        <v>0.18111991959798995</v>
      </c>
      <c r="G8" s="48">
        <f>ALMYRA!Z8</f>
        <v>75</v>
      </c>
      <c r="H8" s="49">
        <v>1.0456000000000001</v>
      </c>
      <c r="I8" s="52">
        <f>IF(ALMYRA!AB8&lt;0,"0",ALMYRA!AB8)</f>
        <v>84</v>
      </c>
      <c r="J8" s="53">
        <v>2.8565999999999998</v>
      </c>
      <c r="K8" s="56">
        <f>ALMYRA!U8</f>
        <v>194</v>
      </c>
      <c r="L8" s="57">
        <v>0.93500000000000005</v>
      </c>
      <c r="M8" s="60">
        <f>ALMYRA!AJ8</f>
        <v>184</v>
      </c>
      <c r="N8" s="60">
        <f>ALMYRA!AK8</f>
        <v>261</v>
      </c>
    </row>
    <row r="9" spans="1:14" ht="15" x14ac:dyDescent="0.25">
      <c r="A9" s="39" t="s">
        <v>13</v>
      </c>
      <c r="B9" s="4">
        <f t="shared" si="0"/>
        <v>8</v>
      </c>
      <c r="C9" s="63">
        <v>5</v>
      </c>
      <c r="D9" s="64">
        <v>2026</v>
      </c>
      <c r="E9" s="43">
        <f>IF(ALMYRA!H9&lt;0,"0",ALMYRA!H9)</f>
        <v>5194</v>
      </c>
      <c r="F9" s="44">
        <f>(ALMYRA!C9*0.1958)/E9</f>
        <v>0.18136191759722756</v>
      </c>
      <c r="G9" s="48">
        <f>ALMYRA!Z9</f>
        <v>300</v>
      </c>
      <c r="H9" s="49">
        <v>1.0456000000000001</v>
      </c>
      <c r="I9" s="52">
        <f>IF(ALMYRA!AB9&lt;0,"0",ALMYRA!AB9)</f>
        <v>80</v>
      </c>
      <c r="J9" s="53">
        <v>2.8565999999999998</v>
      </c>
      <c r="K9" s="56">
        <f>ALMYRA!U9</f>
        <v>180</v>
      </c>
      <c r="L9" s="57">
        <v>0.93500000000000005</v>
      </c>
      <c r="M9" s="60">
        <f>ALMYRA!AJ9</f>
        <v>170</v>
      </c>
      <c r="N9" s="60">
        <f>ALMYRA!AK9</f>
        <v>250</v>
      </c>
    </row>
    <row r="10" spans="1:14" ht="15" x14ac:dyDescent="0.25">
      <c r="A10" s="39" t="s">
        <v>13</v>
      </c>
      <c r="B10" s="4">
        <f t="shared" si="0"/>
        <v>9</v>
      </c>
      <c r="C10" s="63">
        <v>5</v>
      </c>
      <c r="D10" s="64">
        <v>2026</v>
      </c>
      <c r="E10" s="43">
        <f>IF(ALMYRA!H10&lt;0,"0",ALMYRA!H10)</f>
        <v>5076</v>
      </c>
      <c r="F10" s="44">
        <f>(ALMYRA!C10*0.1958)/E10</f>
        <v>0.18260780141843971</v>
      </c>
      <c r="G10" s="48">
        <f>ALMYRA!Z10</f>
        <v>100</v>
      </c>
      <c r="H10" s="49">
        <v>1.0456000000000001</v>
      </c>
      <c r="I10" s="52">
        <f>IF(ALMYRA!AB10&lt;0,"0",ALMYRA!AB10)</f>
        <v>72</v>
      </c>
      <c r="J10" s="53">
        <v>2.8565999999999998</v>
      </c>
      <c r="K10" s="56">
        <f>ALMYRA!U10</f>
        <v>146</v>
      </c>
      <c r="L10" s="57">
        <v>0.93500000000000005</v>
      </c>
      <c r="M10" s="60">
        <f>ALMYRA!AJ10</f>
        <v>184</v>
      </c>
      <c r="N10" s="60">
        <f>ALMYRA!AK10</f>
        <v>272</v>
      </c>
    </row>
    <row r="11" spans="1:14" ht="15" x14ac:dyDescent="0.25">
      <c r="A11" s="39" t="s">
        <v>13</v>
      </c>
      <c r="B11" s="4">
        <f t="shared" si="0"/>
        <v>10</v>
      </c>
      <c r="C11" s="63">
        <v>5</v>
      </c>
      <c r="D11" s="64">
        <v>2026</v>
      </c>
      <c r="E11" s="43">
        <f>IF(ALMYRA!H11&lt;0,"0",ALMYRA!H11)</f>
        <v>5321</v>
      </c>
      <c r="F11" s="44">
        <f>(ALMYRA!C11*0.1958)/E11</f>
        <v>0.18807250516820145</v>
      </c>
      <c r="G11" s="48">
        <f>ALMYRA!Z11</f>
        <v>225</v>
      </c>
      <c r="H11" s="49">
        <v>1.0456000000000001</v>
      </c>
      <c r="I11" s="52">
        <f>IF(ALMYRA!AB11&lt;0,"0",ALMYRA!AB11)</f>
        <v>63</v>
      </c>
      <c r="J11" s="53">
        <v>2.8565999999999998</v>
      </c>
      <c r="K11" s="56">
        <f>ALMYRA!U11</f>
        <v>118</v>
      </c>
      <c r="L11" s="57">
        <v>0.93500000000000005</v>
      </c>
      <c r="M11" s="60">
        <f>ALMYRA!AJ11</f>
        <v>150</v>
      </c>
      <c r="N11" s="60">
        <f>ALMYRA!AK11</f>
        <v>199</v>
      </c>
    </row>
    <row r="12" spans="1:14" ht="15" x14ac:dyDescent="0.25">
      <c r="A12" s="39" t="s">
        <v>13</v>
      </c>
      <c r="B12" s="4">
        <f t="shared" si="0"/>
        <v>11</v>
      </c>
      <c r="C12" s="63">
        <v>5</v>
      </c>
      <c r="D12" s="64">
        <v>2026</v>
      </c>
      <c r="E12" s="43">
        <f>IF(ALMYRA!H12&lt;0,"0",ALMYRA!H12)</f>
        <v>5186</v>
      </c>
      <c r="F12" s="44">
        <f>(ALMYRA!C12*0.1958)/E12</f>
        <v>0.17273139220979561</v>
      </c>
      <c r="G12" s="48">
        <f>ALMYRA!Z12</f>
        <v>593.38000000000011</v>
      </c>
      <c r="H12" s="49">
        <v>1.0456000000000001</v>
      </c>
      <c r="I12" s="52">
        <f>IF(ALMYRA!AB12&lt;0,"0",ALMYRA!AB12)</f>
        <v>67</v>
      </c>
      <c r="J12" s="53">
        <v>2.8565999999999998</v>
      </c>
      <c r="K12" s="56">
        <f>ALMYRA!U12</f>
        <v>173</v>
      </c>
      <c r="L12" s="57">
        <v>0.93500000000000005</v>
      </c>
      <c r="M12" s="60">
        <f>ALMYRA!AJ12</f>
        <v>147</v>
      </c>
      <c r="N12" s="60">
        <f>ALMYRA!AK12</f>
        <v>202</v>
      </c>
    </row>
    <row r="13" spans="1:14" ht="15" x14ac:dyDescent="0.25">
      <c r="A13" s="39" t="s">
        <v>13</v>
      </c>
      <c r="B13" s="4">
        <f t="shared" si="0"/>
        <v>12</v>
      </c>
      <c r="C13" s="63">
        <v>5</v>
      </c>
      <c r="D13" s="64">
        <v>2026</v>
      </c>
      <c r="E13" s="43">
        <f>IF(ALMYRA!H13&lt;0,"0",ALMYRA!H13)</f>
        <v>5214</v>
      </c>
      <c r="F13" s="44">
        <f>(ALMYRA!C13*0.1958)/E13</f>
        <v>0.17582194092827003</v>
      </c>
      <c r="G13" s="48">
        <f>ALMYRA!Z13</f>
        <v>225</v>
      </c>
      <c r="H13" s="49">
        <v>1.0456000000000001</v>
      </c>
      <c r="I13" s="52">
        <f>IF(ALMYRA!AB13&lt;0,"0",ALMYRA!AB13)</f>
        <v>62</v>
      </c>
      <c r="J13" s="53">
        <v>2.8565999999999998</v>
      </c>
      <c r="K13" s="56">
        <f>ALMYRA!U13</f>
        <v>160</v>
      </c>
      <c r="L13" s="57">
        <v>0.93500000000000005</v>
      </c>
      <c r="M13" s="60">
        <f>ALMYRA!AJ13</f>
        <v>96</v>
      </c>
      <c r="N13" s="60">
        <f>ALMYRA!AK13</f>
        <v>154</v>
      </c>
    </row>
    <row r="14" spans="1:14" ht="15" x14ac:dyDescent="0.25">
      <c r="A14" s="39" t="s">
        <v>13</v>
      </c>
      <c r="B14" s="4">
        <f t="shared" si="0"/>
        <v>13</v>
      </c>
      <c r="C14" s="63">
        <v>5</v>
      </c>
      <c r="D14" s="64">
        <v>2026</v>
      </c>
      <c r="E14" s="43">
        <f>IF(ALMYRA!H14&lt;0,"0",ALMYRA!H14)</f>
        <v>5278</v>
      </c>
      <c r="F14" s="44">
        <f>(ALMYRA!C14*0.1958)/E14</f>
        <v>0.1774367942402425</v>
      </c>
      <c r="G14" s="48">
        <f>ALMYRA!Z14</f>
        <v>275</v>
      </c>
      <c r="H14" s="49">
        <v>1.0456000000000001</v>
      </c>
      <c r="I14" s="52">
        <f>IF(ALMYRA!AB14&lt;0,"0",ALMYRA!AB14)</f>
        <v>61</v>
      </c>
      <c r="J14" s="53">
        <v>2.8565999999999998</v>
      </c>
      <c r="K14" s="56">
        <f>ALMYRA!U14</f>
        <v>94</v>
      </c>
      <c r="L14" s="57">
        <v>0.93500000000000005</v>
      </c>
      <c r="M14" s="60">
        <f>ALMYRA!AJ14</f>
        <v>109</v>
      </c>
      <c r="N14" s="60">
        <f>ALMYRA!AK14</f>
        <v>175</v>
      </c>
    </row>
    <row r="15" spans="1:14" ht="15" x14ac:dyDescent="0.25">
      <c r="A15" s="39" t="s">
        <v>13</v>
      </c>
      <c r="B15" s="4">
        <f t="shared" si="0"/>
        <v>14</v>
      </c>
      <c r="C15" s="63">
        <v>5</v>
      </c>
      <c r="D15" s="64">
        <v>2026</v>
      </c>
      <c r="E15" s="43">
        <f>IF(ALMYRA!H15&lt;0,"0",ALMYRA!H15)</f>
        <v>4861</v>
      </c>
      <c r="F15" s="44">
        <f>(ALMYRA!C15*0.1958)/E15</f>
        <v>0.15966903929232668</v>
      </c>
      <c r="G15" s="48">
        <f>ALMYRA!Z15</f>
        <v>225</v>
      </c>
      <c r="H15" s="49">
        <v>1.0456000000000001</v>
      </c>
      <c r="I15" s="52">
        <f>IF(ALMYRA!AB15&lt;0,"0",ALMYRA!AB15)</f>
        <v>59</v>
      </c>
      <c r="J15" s="53">
        <v>2.8565999999999998</v>
      </c>
      <c r="K15" s="56">
        <f>ALMYRA!U15</f>
        <v>234</v>
      </c>
      <c r="L15" s="57">
        <v>0.93500000000000005</v>
      </c>
      <c r="M15" s="60">
        <f>ALMYRA!AJ15</f>
        <v>142</v>
      </c>
      <c r="N15" s="60">
        <f>ALMYRA!AK15</f>
        <v>223</v>
      </c>
    </row>
    <row r="16" spans="1:14" ht="15" x14ac:dyDescent="0.25">
      <c r="A16" s="39" t="s">
        <v>13</v>
      </c>
      <c r="B16" s="4">
        <f t="shared" si="0"/>
        <v>15</v>
      </c>
      <c r="C16" s="63">
        <v>5</v>
      </c>
      <c r="D16" s="64">
        <v>2026</v>
      </c>
      <c r="E16" s="43">
        <f>IF(ALMYRA!H16&lt;0,"0",ALMYRA!H16)</f>
        <v>5137</v>
      </c>
      <c r="F16" s="44">
        <f>(ALMYRA!C16*0.1958)/E16</f>
        <v>0.18268822269807281</v>
      </c>
      <c r="G16" s="48">
        <f>ALMYRA!Z16</f>
        <v>175</v>
      </c>
      <c r="H16" s="49">
        <v>1.0456000000000001</v>
      </c>
      <c r="I16" s="52">
        <f>IF(ALMYRA!AB16&lt;0,"0",ALMYRA!AB16)</f>
        <v>69</v>
      </c>
      <c r="J16" s="53">
        <v>2.8565999999999998</v>
      </c>
      <c r="K16" s="56">
        <f>ALMYRA!U16</f>
        <v>101</v>
      </c>
      <c r="L16" s="57">
        <v>0.93500000000000005</v>
      </c>
      <c r="M16" s="60">
        <f>ALMYRA!AJ16</f>
        <v>133</v>
      </c>
      <c r="N16" s="60">
        <f>ALMYRA!AK16</f>
        <v>217</v>
      </c>
    </row>
    <row r="17" spans="1:14" ht="15" x14ac:dyDescent="0.25">
      <c r="A17" s="39" t="s">
        <v>13</v>
      </c>
      <c r="B17" s="4">
        <f t="shared" si="0"/>
        <v>16</v>
      </c>
      <c r="C17" s="63">
        <v>5</v>
      </c>
      <c r="D17" s="64">
        <v>2026</v>
      </c>
      <c r="E17" s="43">
        <f>IF(ALMYRA!H17&lt;0,"0",ALMYRA!H17)</f>
        <v>5217</v>
      </c>
      <c r="F17" s="44">
        <f>(ALMYRA!C17*0.1958)/E17</f>
        <v>0.17778504887866589</v>
      </c>
      <c r="G17" s="48">
        <f>ALMYRA!Z17</f>
        <v>150</v>
      </c>
      <c r="H17" s="49">
        <v>1.0456000000000001</v>
      </c>
      <c r="I17" s="52">
        <f>IF(ALMYRA!AB17&lt;0,"0",ALMYRA!AB17)</f>
        <v>65</v>
      </c>
      <c r="J17" s="53">
        <v>2.8565999999999998</v>
      </c>
      <c r="K17" s="56">
        <f>ALMYRA!U17</f>
        <v>100</v>
      </c>
      <c r="L17" s="57">
        <v>0.93500000000000005</v>
      </c>
      <c r="M17" s="60">
        <f>ALMYRA!AJ17</f>
        <v>104</v>
      </c>
      <c r="N17" s="60">
        <f>ALMYRA!AK17</f>
        <v>189</v>
      </c>
    </row>
    <row r="18" spans="1:14" ht="15" x14ac:dyDescent="0.25">
      <c r="A18" s="39" t="s">
        <v>13</v>
      </c>
      <c r="B18" s="4">
        <f t="shared" si="0"/>
        <v>17</v>
      </c>
      <c r="C18" s="63">
        <v>5</v>
      </c>
      <c r="D18" s="64">
        <v>2026</v>
      </c>
      <c r="E18" s="43">
        <f>IF(ALMYRA!H18&lt;0,"0",ALMYRA!H18)</f>
        <v>4715</v>
      </c>
      <c r="F18" s="44">
        <f>(ALMYRA!C18*0.1958)/E18</f>
        <v>0.18570892895015909</v>
      </c>
      <c r="G18" s="48">
        <f>ALMYRA!Z18</f>
        <v>200</v>
      </c>
      <c r="H18" s="49">
        <v>1.0456000000000001</v>
      </c>
      <c r="I18" s="52">
        <f>IF(ALMYRA!AB18&lt;0,"0",ALMYRA!AB18)</f>
        <v>58</v>
      </c>
      <c r="J18" s="53">
        <v>2.8565999999999998</v>
      </c>
      <c r="K18" s="56">
        <f>ALMYRA!U18</f>
        <v>101</v>
      </c>
      <c r="L18" s="57">
        <v>0.93500000000000005</v>
      </c>
      <c r="M18" s="60">
        <f>ALMYRA!AJ18</f>
        <v>94</v>
      </c>
      <c r="N18" s="60">
        <f>ALMYRA!AK18</f>
        <v>168</v>
      </c>
    </row>
    <row r="19" spans="1:14" ht="15" x14ac:dyDescent="0.25">
      <c r="A19" s="39" t="s">
        <v>13</v>
      </c>
      <c r="B19" s="4">
        <f t="shared" si="0"/>
        <v>18</v>
      </c>
      <c r="C19" s="63">
        <v>5</v>
      </c>
      <c r="D19" s="64">
        <v>2026</v>
      </c>
      <c r="E19" s="43">
        <f>IF(ALMYRA!H19&lt;0,"0",ALMYRA!H19)</f>
        <v>5029</v>
      </c>
      <c r="F19" s="44">
        <f>(ALMYRA!C19*0.1958)/E19</f>
        <v>0.17399685822231062</v>
      </c>
      <c r="G19" s="48">
        <f>ALMYRA!Z19</f>
        <v>357.90999999999985</v>
      </c>
      <c r="H19" s="49">
        <v>1.0456000000000001</v>
      </c>
      <c r="I19" s="52">
        <f>IF(ALMYRA!AB19&lt;0,"0",ALMYRA!AB19)</f>
        <v>70</v>
      </c>
      <c r="J19" s="53">
        <v>2.8565999999999998</v>
      </c>
      <c r="K19" s="56">
        <f>ALMYRA!U19</f>
        <v>123</v>
      </c>
      <c r="L19" s="57">
        <v>0.93500000000000005</v>
      </c>
      <c r="M19" s="60">
        <f>ALMYRA!AJ19</f>
        <v>93</v>
      </c>
      <c r="N19" s="60">
        <f>ALMYRA!AK19</f>
        <v>161</v>
      </c>
    </row>
    <row r="20" spans="1:14" ht="15" x14ac:dyDescent="0.25">
      <c r="A20" s="39" t="s">
        <v>13</v>
      </c>
      <c r="B20" s="4">
        <f t="shared" si="0"/>
        <v>19</v>
      </c>
      <c r="C20" s="63">
        <v>5</v>
      </c>
      <c r="D20" s="64">
        <v>2026</v>
      </c>
      <c r="E20" s="43">
        <f>IF(ALMYRA!H20&lt;0,"0",ALMYRA!H20)</f>
        <v>4940</v>
      </c>
      <c r="F20" s="44">
        <f>(ALMYRA!C20*0.1958)/E20</f>
        <v>0.16722271255060728</v>
      </c>
      <c r="G20" s="48">
        <f>ALMYRA!Z20</f>
        <v>300</v>
      </c>
      <c r="H20" s="49">
        <v>1.0456000000000001</v>
      </c>
      <c r="I20" s="52">
        <f>IF(ALMYRA!AB20&lt;0,"0",ALMYRA!AB20)</f>
        <v>58</v>
      </c>
      <c r="J20" s="53">
        <v>2.8565999999999998</v>
      </c>
      <c r="K20" s="56">
        <f>ALMYRA!U20</f>
        <v>145</v>
      </c>
      <c r="L20" s="57">
        <v>0.93500000000000005</v>
      </c>
      <c r="M20" s="60">
        <f>ALMYRA!AJ20</f>
        <v>100</v>
      </c>
      <c r="N20" s="60">
        <f>ALMYRA!AK20</f>
        <v>171</v>
      </c>
    </row>
    <row r="21" spans="1:14" ht="15" x14ac:dyDescent="0.25">
      <c r="A21" s="39" t="s">
        <v>13</v>
      </c>
      <c r="B21" s="4">
        <f t="shared" si="0"/>
        <v>20</v>
      </c>
      <c r="C21" s="63">
        <v>5</v>
      </c>
      <c r="D21" s="64">
        <v>2026</v>
      </c>
      <c r="E21" s="43">
        <f>IF(ALMYRA!H21&lt;0,"0",ALMYRA!H21)</f>
        <v>4741</v>
      </c>
      <c r="F21" s="44">
        <f>(ALMYRA!C21*0.1958)/E21</f>
        <v>0.17126821345707657</v>
      </c>
      <c r="G21" s="48">
        <f>ALMYRA!Z21</f>
        <v>299.99999999999955</v>
      </c>
      <c r="H21" s="49">
        <v>1.0456000000000001</v>
      </c>
      <c r="I21" s="52">
        <f>IF(ALMYRA!AB21&lt;0,"0",ALMYRA!AB21)</f>
        <v>59</v>
      </c>
      <c r="J21" s="53">
        <v>2.8565999999999998</v>
      </c>
      <c r="K21" s="56">
        <f>ALMYRA!U21</f>
        <v>115</v>
      </c>
      <c r="L21" s="57">
        <v>0.93500000000000005</v>
      </c>
      <c r="M21" s="60">
        <f>ALMYRA!AJ21</f>
        <v>117</v>
      </c>
      <c r="N21" s="60">
        <f>ALMYRA!AK21</f>
        <v>204</v>
      </c>
    </row>
    <row r="22" spans="1:14" ht="15" x14ac:dyDescent="0.25">
      <c r="A22" s="39" t="s">
        <v>13</v>
      </c>
      <c r="B22" s="4">
        <f t="shared" si="0"/>
        <v>21</v>
      </c>
      <c r="C22" s="63">
        <v>5</v>
      </c>
      <c r="D22" s="64">
        <v>2026</v>
      </c>
      <c r="E22" s="43">
        <f>IF(ALMYRA!H22&lt;0,"0",ALMYRA!H22)</f>
        <v>5580</v>
      </c>
      <c r="F22" s="44">
        <f>(ALMYRA!C22*0.1958)/E22</f>
        <v>0.18151853046594982</v>
      </c>
      <c r="G22" s="48">
        <f>ALMYRA!Z22</f>
        <v>275.00000000000045</v>
      </c>
      <c r="H22" s="49">
        <v>1.0456000000000001</v>
      </c>
      <c r="I22" s="52">
        <f>IF(ALMYRA!AB22&lt;0,"0",ALMYRA!AB22)</f>
        <v>68</v>
      </c>
      <c r="J22" s="53">
        <v>2.8565999999999998</v>
      </c>
      <c r="K22" s="56">
        <f>ALMYRA!U22</f>
        <v>121</v>
      </c>
      <c r="L22" s="57">
        <v>0.93500000000000005</v>
      </c>
      <c r="M22" s="60">
        <f>ALMYRA!AJ22</f>
        <v>132</v>
      </c>
      <c r="N22" s="60">
        <f>ALMYRA!AK22</f>
        <v>242</v>
      </c>
    </row>
    <row r="23" spans="1:14" ht="15" x14ac:dyDescent="0.25">
      <c r="A23" s="39" t="s">
        <v>13</v>
      </c>
      <c r="B23" s="4">
        <f t="shared" si="0"/>
        <v>22</v>
      </c>
      <c r="C23" s="63">
        <v>5</v>
      </c>
      <c r="D23" s="64">
        <v>2026</v>
      </c>
      <c r="E23" s="43">
        <f>IF(ALMYRA!H23&lt;0,"0",ALMYRA!H23)</f>
        <v>5629</v>
      </c>
      <c r="F23" s="44">
        <f>(ALMYRA!C23*0.1958)/E23</f>
        <v>0.16647695860721265</v>
      </c>
      <c r="G23" s="48">
        <f>ALMYRA!Z23</f>
        <v>100</v>
      </c>
      <c r="H23" s="49">
        <v>1.0456000000000001</v>
      </c>
      <c r="I23" s="52">
        <f>IF(ALMYRA!AB23&lt;0,"0",ALMYRA!AB23)</f>
        <v>71</v>
      </c>
      <c r="J23" s="53">
        <v>2.8565999999999998</v>
      </c>
      <c r="K23" s="56">
        <f>ALMYRA!U23</f>
        <v>201</v>
      </c>
      <c r="L23" s="57">
        <v>0.93500000000000005</v>
      </c>
      <c r="M23" s="60">
        <f>ALMYRA!AJ23</f>
        <v>158</v>
      </c>
      <c r="N23" s="60">
        <f>ALMYRA!AK23</f>
        <v>304</v>
      </c>
    </row>
    <row r="24" spans="1:14" ht="15" x14ac:dyDescent="0.25">
      <c r="A24" s="39" t="s">
        <v>13</v>
      </c>
      <c r="B24" s="4">
        <f t="shared" si="0"/>
        <v>23</v>
      </c>
      <c r="C24" s="63">
        <v>5</v>
      </c>
      <c r="D24" s="64">
        <v>2026</v>
      </c>
      <c r="E24" s="43">
        <f>IF(ALMYRA!H24&lt;0,"0",ALMYRA!H24)</f>
        <v>5470</v>
      </c>
      <c r="F24" s="44">
        <f>(ALMYRA!C24*0.1958)/E24</f>
        <v>0.18509722120658137</v>
      </c>
      <c r="G24" s="48">
        <f>ALMYRA!Z24</f>
        <v>224.99999999999955</v>
      </c>
      <c r="H24" s="49">
        <v>1.0456000000000001</v>
      </c>
      <c r="I24" s="52">
        <f>IF(ALMYRA!AB24&lt;0,"0",ALMYRA!AB24)</f>
        <v>76</v>
      </c>
      <c r="J24" s="53">
        <v>2.8565999999999998</v>
      </c>
      <c r="K24" s="56">
        <f>ALMYRA!U24</f>
        <v>202</v>
      </c>
      <c r="L24" s="57">
        <v>0.93500000000000005</v>
      </c>
      <c r="M24" s="60">
        <f>ALMYRA!AJ24</f>
        <v>164</v>
      </c>
      <c r="N24" s="60">
        <f>ALMYRA!AK24</f>
        <v>326</v>
      </c>
    </row>
    <row r="25" spans="1:14" ht="15" x14ac:dyDescent="0.25">
      <c r="A25" s="39" t="s">
        <v>13</v>
      </c>
      <c r="B25" s="4">
        <f t="shared" si="0"/>
        <v>24</v>
      </c>
      <c r="C25" s="63">
        <v>5</v>
      </c>
      <c r="D25" s="64">
        <v>2026</v>
      </c>
      <c r="E25" s="43">
        <f>IF(ALMYRA!H25&lt;0,"0",ALMYRA!H25)</f>
        <v>5463</v>
      </c>
      <c r="F25" s="44">
        <f>(ALMYRA!C25*0.1958)/E25</f>
        <v>0.19028046860699246</v>
      </c>
      <c r="G25" s="48">
        <f>ALMYRA!Z25</f>
        <v>200.00000000000045</v>
      </c>
      <c r="H25" s="49">
        <v>1.0456000000000001</v>
      </c>
      <c r="I25" s="52">
        <f>IF(ALMYRA!AB25&lt;0,"0",ALMYRA!AB25)</f>
        <v>76</v>
      </c>
      <c r="J25" s="53">
        <v>2.8565999999999998</v>
      </c>
      <c r="K25" s="56">
        <f>ALMYRA!U25</f>
        <v>201</v>
      </c>
      <c r="L25" s="57">
        <v>0.93500000000000005</v>
      </c>
      <c r="M25" s="60">
        <f>ALMYRA!AJ25</f>
        <v>161</v>
      </c>
      <c r="N25" s="60">
        <f>ALMYRA!AK25</f>
        <v>326</v>
      </c>
    </row>
    <row r="26" spans="1:14" ht="15" x14ac:dyDescent="0.25">
      <c r="A26" s="39" t="s">
        <v>13</v>
      </c>
      <c r="B26" s="4">
        <f>B25+1</f>
        <v>25</v>
      </c>
      <c r="C26" s="63">
        <v>5</v>
      </c>
      <c r="D26" s="64">
        <v>2026</v>
      </c>
      <c r="E26" s="43">
        <f>IF(ALMYRA!H26&lt;0,"0",ALMYRA!H26)</f>
        <v>5656</v>
      </c>
      <c r="F26" s="44">
        <f>(ALMYRA!C26*0.1958)/E26</f>
        <v>0.17655233380480906</v>
      </c>
      <c r="G26" s="48">
        <f>ALMYRA!Z26</f>
        <v>464.78999999999996</v>
      </c>
      <c r="H26" s="49">
        <v>1.0456000000000001</v>
      </c>
      <c r="I26" s="52">
        <f>IF(ALMYRA!AB26&lt;0,"0",ALMYRA!AB26)</f>
        <v>91</v>
      </c>
      <c r="J26" s="53">
        <v>2.8565999999999998</v>
      </c>
      <c r="K26" s="56">
        <f>ALMYRA!U26</f>
        <v>151</v>
      </c>
      <c r="L26" s="57">
        <v>0.93500000000000005</v>
      </c>
      <c r="M26" s="60">
        <f>ALMYRA!AJ26</f>
        <v>162</v>
      </c>
      <c r="N26" s="60">
        <f>ALMYRA!AK26</f>
        <v>330</v>
      </c>
    </row>
    <row r="27" spans="1:14" ht="15" x14ac:dyDescent="0.25">
      <c r="A27" s="39" t="s">
        <v>13</v>
      </c>
      <c r="B27" s="4">
        <f t="shared" si="0"/>
        <v>26</v>
      </c>
      <c r="C27" s="63">
        <v>5</v>
      </c>
      <c r="D27" s="64">
        <v>2026</v>
      </c>
      <c r="E27" s="43">
        <f>IF(ALMYRA!H27&lt;0,"0",ALMYRA!H27)</f>
        <v>5913</v>
      </c>
      <c r="F27" s="44">
        <f>(ALMYRA!C27*0.1958)/E27</f>
        <v>0.16881251479790294</v>
      </c>
      <c r="G27" s="48">
        <f>ALMYRA!Z27</f>
        <v>250</v>
      </c>
      <c r="H27" s="49">
        <v>1.0456000000000001</v>
      </c>
      <c r="I27" s="52">
        <f>IF(ALMYRA!AB27&lt;0,"0",ALMYRA!AB27)</f>
        <v>75</v>
      </c>
      <c r="J27" s="53">
        <v>2.8565999999999998</v>
      </c>
      <c r="K27" s="56">
        <f>ALMYRA!U27</f>
        <v>251</v>
      </c>
      <c r="L27" s="57">
        <v>0.93500000000000005</v>
      </c>
      <c r="M27" s="60">
        <f>ALMYRA!AJ27</f>
        <v>177</v>
      </c>
      <c r="N27" s="60">
        <f>ALMYRA!AK27</f>
        <v>356</v>
      </c>
    </row>
    <row r="28" spans="1:14" ht="15" x14ac:dyDescent="0.25">
      <c r="A28" s="39" t="s">
        <v>13</v>
      </c>
      <c r="B28" s="4">
        <f t="shared" si="0"/>
        <v>27</v>
      </c>
      <c r="C28" s="63">
        <v>5</v>
      </c>
      <c r="D28" s="64">
        <v>2026</v>
      </c>
      <c r="E28" s="43">
        <f>IF(ALMYRA!H28&lt;0,"0",ALMYRA!H28)</f>
        <v>5886</v>
      </c>
      <c r="F28" s="44">
        <f>(ALMYRA!C28*0.1958)/E28</f>
        <v>0.15368603465851172</v>
      </c>
      <c r="G28" s="48">
        <f>ALMYRA!Z28</f>
        <v>0</v>
      </c>
      <c r="H28" s="49">
        <v>1.0456000000000001</v>
      </c>
      <c r="I28" s="52">
        <f>IF(ALMYRA!AB28&lt;0,"0",ALMYRA!AB28)</f>
        <v>75</v>
      </c>
      <c r="J28" s="53">
        <v>2.8565999999999998</v>
      </c>
      <c r="K28" s="56">
        <f>ALMYRA!U28</f>
        <v>101</v>
      </c>
      <c r="L28" s="57">
        <v>0.93500000000000005</v>
      </c>
      <c r="M28" s="60">
        <f>ALMYRA!AJ28</f>
        <v>171</v>
      </c>
      <c r="N28" s="60">
        <f>ALMYRA!AK28</f>
        <v>344</v>
      </c>
    </row>
    <row r="29" spans="1:14" ht="15" x14ac:dyDescent="0.25">
      <c r="A29" s="39" t="s">
        <v>13</v>
      </c>
      <c r="B29" s="4">
        <f t="shared" si="0"/>
        <v>28</v>
      </c>
      <c r="C29" s="63">
        <v>5</v>
      </c>
      <c r="D29" s="64">
        <v>2026</v>
      </c>
      <c r="E29" s="43">
        <f>IF(ALMYRA!H29&lt;0,"0",ALMYRA!H29)</f>
        <v>6111</v>
      </c>
      <c r="F29" s="44">
        <f>(ALMYRA!C29*0.1958)/E29</f>
        <v>0.16734796269023072</v>
      </c>
      <c r="G29" s="48">
        <f>ALMYRA!Z29</f>
        <v>400</v>
      </c>
      <c r="H29" s="49">
        <v>1.0456000000000001</v>
      </c>
      <c r="I29" s="52">
        <f>IF(ALMYRA!AB29&lt;0,"0",ALMYRA!AB29)</f>
        <v>77</v>
      </c>
      <c r="J29" s="53">
        <v>2.8565999999999998</v>
      </c>
      <c r="K29" s="56">
        <f>ALMYRA!U29</f>
        <v>200</v>
      </c>
      <c r="L29" s="57">
        <v>0.93500000000000005</v>
      </c>
      <c r="M29" s="60">
        <f>ALMYRA!AJ29</f>
        <v>162</v>
      </c>
      <c r="N29" s="60">
        <f>ALMYRA!AK29</f>
        <v>324</v>
      </c>
    </row>
    <row r="30" spans="1:14" ht="15" x14ac:dyDescent="0.25">
      <c r="A30" s="39" t="s">
        <v>13</v>
      </c>
      <c r="B30" s="4">
        <f t="shared" si="0"/>
        <v>29</v>
      </c>
      <c r="C30" s="63">
        <v>5</v>
      </c>
      <c r="D30" s="64">
        <v>2026</v>
      </c>
      <c r="E30" s="43">
        <f>IF(ALMYRA!H30&lt;0,"0",ALMYRA!H30)</f>
        <v>6004</v>
      </c>
      <c r="F30" s="44">
        <f>(ALMYRA!C30*0.1958)/E30</f>
        <v>0.17310233177881412</v>
      </c>
      <c r="G30" s="48">
        <f>ALMYRA!Z30</f>
        <v>200</v>
      </c>
      <c r="H30" s="49">
        <v>1.0456000000000001</v>
      </c>
      <c r="I30" s="52">
        <f>IF(ALMYRA!AB30&lt;0,"0",ALMYRA!AB30)</f>
        <v>87</v>
      </c>
      <c r="J30" s="53">
        <v>2.8565999999999998</v>
      </c>
      <c r="K30" s="56">
        <f>ALMYRA!U30</f>
        <v>99</v>
      </c>
      <c r="L30" s="57">
        <v>0.93500000000000005</v>
      </c>
      <c r="M30" s="60">
        <f>ALMYRA!AJ30</f>
        <v>165</v>
      </c>
      <c r="N30" s="60">
        <f>ALMYRA!AK30</f>
        <v>337</v>
      </c>
    </row>
    <row r="31" spans="1:14" ht="15" x14ac:dyDescent="0.25">
      <c r="A31" s="39" t="s">
        <v>13</v>
      </c>
      <c r="B31" s="4">
        <f t="shared" si="0"/>
        <v>30</v>
      </c>
      <c r="C31" s="63">
        <v>5</v>
      </c>
      <c r="D31" s="64">
        <v>2026</v>
      </c>
      <c r="E31" s="43">
        <f>IF(ALMYRA!H31&lt;0,"0",ALMYRA!H31)</f>
        <v>6227</v>
      </c>
      <c r="F31" s="44">
        <f>(ALMYRA!C31*0.1958)/E31</f>
        <v>0.17463838124297412</v>
      </c>
      <c r="G31" s="48">
        <f>ALMYRA!Z31</f>
        <v>250</v>
      </c>
      <c r="H31" s="49">
        <v>1.0456000000000001</v>
      </c>
      <c r="I31" s="52">
        <f>IF(ALMYRA!AB31&lt;0,"0",ALMYRA!AB31)</f>
        <v>85</v>
      </c>
      <c r="J31" s="53">
        <v>2.8565999999999998</v>
      </c>
      <c r="K31" s="56">
        <f>ALMYRA!U31</f>
        <v>200</v>
      </c>
      <c r="L31" s="57">
        <v>0.93500000000000005</v>
      </c>
      <c r="M31" s="60">
        <f>ALMYRA!AJ31</f>
        <v>168</v>
      </c>
      <c r="N31" s="60">
        <f>ALMYRA!AK31</f>
        <v>348</v>
      </c>
    </row>
    <row r="32" spans="1:14" ht="15" x14ac:dyDescent="0.25">
      <c r="A32" s="39" t="s">
        <v>13</v>
      </c>
      <c r="B32" s="4">
        <f t="shared" si="0"/>
        <v>31</v>
      </c>
      <c r="C32" s="63">
        <v>5</v>
      </c>
      <c r="D32" s="64">
        <v>2026</v>
      </c>
      <c r="E32" s="43">
        <f>IF(ALMYRA!H32&lt;0,"0",ALMYRA!H32)</f>
        <v>6037</v>
      </c>
      <c r="F32" s="44">
        <f>(ALMYRA!C32*0.1958)/E32</f>
        <v>0.17546430346198444</v>
      </c>
      <c r="G32" s="48">
        <f>ALMYRA!Z32</f>
        <v>175</v>
      </c>
      <c r="H32" s="49">
        <v>1.0456000000000001</v>
      </c>
      <c r="I32" s="52">
        <f>IF(ALMYRA!AB32&lt;0,"0",ALMYRA!AB32)</f>
        <v>90</v>
      </c>
      <c r="J32" s="53">
        <v>2.8565999999999998</v>
      </c>
      <c r="K32" s="56">
        <f>ALMYRA!U32</f>
        <v>198</v>
      </c>
      <c r="L32" s="57">
        <v>0.93500000000000005</v>
      </c>
      <c r="M32" s="60">
        <f>ALMYRA!AJ32</f>
        <v>159</v>
      </c>
      <c r="N32" s="60">
        <f>ALMYRA!AK32</f>
        <v>327</v>
      </c>
    </row>
    <row r="33" spans="3:14" x14ac:dyDescent="0.2">
      <c r="C33" s="63"/>
      <c r="D33" s="65"/>
      <c r="E33" s="3"/>
      <c r="F33" s="65"/>
      <c r="G33" s="3"/>
      <c r="H33" s="66"/>
      <c r="I33" s="65"/>
      <c r="J33" s="65"/>
      <c r="K33"/>
      <c r="L33"/>
      <c r="M33" s="65"/>
      <c r="N33" s="65"/>
    </row>
    <row r="34" spans="3:14" x14ac:dyDescent="0.2">
      <c r="D34" s="65"/>
      <c r="E34" s="3"/>
      <c r="F34" s="65"/>
      <c r="G34" s="3"/>
      <c r="H34" s="66"/>
      <c r="I34" s="65"/>
      <c r="J34" s="65"/>
      <c r="K34"/>
      <c r="L34"/>
      <c r="M34" s="65"/>
      <c r="N34" s="65"/>
    </row>
    <row r="35" spans="3:14" x14ac:dyDescent="0.2">
      <c r="D35" s="65"/>
      <c r="E35" s="3"/>
      <c r="F35" s="65"/>
      <c r="G35" s="3"/>
      <c r="H35" s="66"/>
      <c r="I35" s="65"/>
      <c r="J35" s="65"/>
      <c r="K35"/>
      <c r="L35"/>
      <c r="M35" s="65"/>
      <c r="N35" s="65"/>
    </row>
    <row r="36" spans="3:14" x14ac:dyDescent="0.2">
      <c r="D36" s="65"/>
      <c r="E36" s="3"/>
      <c r="F36" s="65"/>
      <c r="G36" s="3"/>
      <c r="H36" s="66"/>
      <c r="I36" s="65"/>
      <c r="J36" s="65"/>
      <c r="K36"/>
      <c r="L36"/>
      <c r="M36" s="65"/>
      <c r="N36" s="65"/>
    </row>
    <row r="37" spans="3:14" x14ac:dyDescent="0.2">
      <c r="E37" s="3"/>
      <c r="F37" s="65"/>
      <c r="G37" s="3"/>
      <c r="H37" s="66"/>
      <c r="I37" s="4"/>
      <c r="J37" s="4"/>
      <c r="K37"/>
      <c r="L37"/>
      <c r="M37" s="4"/>
      <c r="N37" s="4"/>
    </row>
    <row r="38" spans="3:14" x14ac:dyDescent="0.2">
      <c r="E38" s="3"/>
      <c r="F38" s="65"/>
      <c r="G38" s="3"/>
      <c r="H38" s="66"/>
      <c r="I38" s="4"/>
      <c r="J38" s="4"/>
      <c r="K38"/>
      <c r="L38"/>
      <c r="M38" s="4"/>
      <c r="N38" s="4"/>
    </row>
    <row r="39" spans="3:14" x14ac:dyDescent="0.2">
      <c r="E39" s="3"/>
      <c r="F39" s="65"/>
      <c r="G39" s="3"/>
      <c r="H39" s="66"/>
      <c r="I39" s="4"/>
      <c r="J39" s="4"/>
      <c r="K39"/>
      <c r="L39"/>
      <c r="M39" s="4"/>
      <c r="N39" s="4"/>
    </row>
    <row r="40" spans="3:14" x14ac:dyDescent="0.2">
      <c r="E40" s="3"/>
      <c r="F40" s="65"/>
      <c r="G40" s="3"/>
      <c r="H40" s="66"/>
      <c r="I40" s="4"/>
      <c r="J40" s="4"/>
      <c r="K40"/>
      <c r="L40"/>
      <c r="M40" s="4"/>
      <c r="N40" s="4"/>
    </row>
    <row r="41" spans="3:14" x14ac:dyDescent="0.2">
      <c r="E41" s="3"/>
      <c r="F41" s="4"/>
      <c r="G41" s="3"/>
      <c r="H41" s="66"/>
      <c r="I41" s="4"/>
      <c r="J41" s="4"/>
      <c r="K41"/>
      <c r="L41"/>
      <c r="M41" s="4"/>
      <c r="N41" s="4"/>
    </row>
    <row r="42" spans="3:14" x14ac:dyDescent="0.2">
      <c r="E42" s="3"/>
      <c r="F42" s="4"/>
      <c r="G42" s="3"/>
      <c r="H42" s="66"/>
      <c r="I42" s="4"/>
      <c r="J42" s="4"/>
      <c r="K42"/>
      <c r="L42"/>
      <c r="M42" s="4"/>
      <c r="N42" s="4"/>
    </row>
    <row r="43" spans="3:14" x14ac:dyDescent="0.2">
      <c r="E43" s="3"/>
      <c r="F43" s="4"/>
      <c r="G43" s="3"/>
      <c r="H43" s="66"/>
      <c r="I43" s="4"/>
      <c r="J43" s="4"/>
      <c r="K43"/>
      <c r="L43"/>
      <c r="M43" s="4"/>
      <c r="N43" s="4"/>
    </row>
    <row r="44" spans="3:14" x14ac:dyDescent="0.2">
      <c r="E44" s="3"/>
      <c r="F44" s="4"/>
      <c r="G44" s="3"/>
      <c r="H44" s="66"/>
      <c r="I44" s="4"/>
      <c r="J44" s="4"/>
      <c r="K44"/>
      <c r="L44"/>
      <c r="M44" s="4"/>
      <c r="N44" s="4"/>
    </row>
    <row r="45" spans="3:14" x14ac:dyDescent="0.2">
      <c r="E45" s="3"/>
      <c r="F45" s="4"/>
      <c r="G45" s="3"/>
      <c r="H45" s="66"/>
      <c r="I45" s="4"/>
      <c r="J45" s="4"/>
      <c r="K45"/>
      <c r="L45"/>
      <c r="M45" s="4"/>
      <c r="N45" s="4"/>
    </row>
    <row r="46" spans="3:14" x14ac:dyDescent="0.2">
      <c r="E46" s="3"/>
      <c r="F46" s="4"/>
      <c r="G46" s="3"/>
      <c r="H46" s="66"/>
      <c r="I46" s="4"/>
      <c r="J46" s="4"/>
      <c r="K46"/>
      <c r="L46"/>
      <c r="M46" s="4"/>
      <c r="N46" s="4"/>
    </row>
    <row r="47" spans="3:14" x14ac:dyDescent="0.2">
      <c r="E47" s="3"/>
      <c r="F47" s="4"/>
      <c r="G47" s="3"/>
      <c r="H47" s="66"/>
      <c r="I47" s="4"/>
      <c r="J47" s="4"/>
      <c r="K47"/>
      <c r="L47"/>
      <c r="M47" s="4"/>
      <c r="N47" s="4"/>
    </row>
    <row r="48" spans="3:14" x14ac:dyDescent="0.2">
      <c r="E48" s="3"/>
      <c r="F48" s="4"/>
      <c r="G48" s="3"/>
      <c r="H48" s="66"/>
      <c r="I48" s="4"/>
      <c r="J48" s="4"/>
      <c r="K48"/>
      <c r="L48"/>
      <c r="M48" s="4"/>
      <c r="N48" s="4"/>
    </row>
    <row r="49" spans="5:14" x14ac:dyDescent="0.2">
      <c r="E49" s="3"/>
      <c r="F49" s="4"/>
      <c r="G49" s="3"/>
      <c r="H49" s="66"/>
      <c r="I49" s="4"/>
      <c r="J49" s="4"/>
      <c r="K49"/>
      <c r="L49"/>
      <c r="M49" s="4"/>
      <c r="N49" s="4"/>
    </row>
    <row r="50" spans="5:14" x14ac:dyDescent="0.2">
      <c r="E50" s="3"/>
      <c r="F50" s="4"/>
      <c r="G50" s="3"/>
      <c r="H50" s="66"/>
      <c r="I50" s="4"/>
      <c r="J50" s="4"/>
      <c r="K50"/>
      <c r="L50"/>
      <c r="M50" s="4"/>
      <c r="N50" s="4"/>
    </row>
    <row r="51" spans="5:14" x14ac:dyDescent="0.2">
      <c r="E51" s="3"/>
      <c r="F51" s="4"/>
      <c r="G51" s="3"/>
      <c r="H51" s="66"/>
      <c r="I51" s="4"/>
      <c r="J51" s="4"/>
      <c r="K51"/>
      <c r="L51"/>
      <c r="M51" s="4"/>
      <c r="N51" s="4"/>
    </row>
    <row r="52" spans="5:14" x14ac:dyDescent="0.2">
      <c r="E52" s="3"/>
      <c r="F52" s="4"/>
      <c r="G52" s="3"/>
      <c r="H52" s="66"/>
      <c r="I52" s="4"/>
      <c r="J52" s="4"/>
      <c r="K52"/>
      <c r="L52"/>
      <c r="M52" s="4"/>
      <c r="N52" s="4"/>
    </row>
    <row r="53" spans="5:14" x14ac:dyDescent="0.2">
      <c r="E53" s="3"/>
      <c r="F53" s="4"/>
      <c r="G53" s="3"/>
      <c r="H53" s="66"/>
      <c r="I53" s="4"/>
      <c r="J53" s="4"/>
      <c r="K53"/>
      <c r="L53"/>
      <c r="M53" s="4"/>
      <c r="N53" s="4"/>
    </row>
    <row r="54" spans="5:14" x14ac:dyDescent="0.2">
      <c r="E54" s="3"/>
      <c r="F54" s="4"/>
      <c r="G54" s="3"/>
      <c r="H54" s="66"/>
      <c r="I54" s="4"/>
      <c r="J54" s="4"/>
      <c r="K54"/>
      <c r="L54"/>
      <c r="M54" s="4"/>
      <c r="N54" s="4"/>
    </row>
    <row r="55" spans="5:14" x14ac:dyDescent="0.2">
      <c r="E55" s="3"/>
      <c r="F55" s="4"/>
      <c r="G55" s="3"/>
      <c r="H55" s="66"/>
      <c r="I55" s="4"/>
      <c r="J55" s="4"/>
      <c r="K55"/>
      <c r="L55"/>
      <c r="M55" s="4"/>
      <c r="N55" s="4"/>
    </row>
    <row r="56" spans="5:14" x14ac:dyDescent="0.2">
      <c r="E56" s="3"/>
      <c r="F56" s="4"/>
      <c r="G56" s="3"/>
      <c r="H56" s="66"/>
      <c r="I56" s="4"/>
      <c r="J56" s="4"/>
      <c r="K56"/>
      <c r="L56"/>
      <c r="M56" s="4"/>
      <c r="N56" s="4"/>
    </row>
    <row r="57" spans="5:14" x14ac:dyDescent="0.2">
      <c r="E57" s="3"/>
      <c r="F57" s="4"/>
      <c r="G57" s="3"/>
      <c r="H57" s="66"/>
      <c r="I57" s="4"/>
      <c r="J57" s="4"/>
      <c r="K57"/>
      <c r="L57"/>
      <c r="M57" s="4"/>
      <c r="N57" s="4"/>
    </row>
    <row r="58" spans="5:14" x14ac:dyDescent="0.2">
      <c r="E58" s="3"/>
      <c r="F58" s="4"/>
      <c r="G58" s="3"/>
      <c r="H58" s="66"/>
      <c r="I58" s="4"/>
      <c r="J58" s="4"/>
      <c r="K58"/>
      <c r="L58"/>
      <c r="M58" s="4"/>
      <c r="N58" s="4"/>
    </row>
    <row r="59" spans="5:14" x14ac:dyDescent="0.2">
      <c r="E59" s="3"/>
      <c r="F59" s="4"/>
      <c r="G59" s="3"/>
      <c r="H59" s="66"/>
      <c r="I59" s="4"/>
      <c r="J59" s="4"/>
      <c r="K59"/>
      <c r="L59"/>
      <c r="M59" s="4"/>
      <c r="N59" s="4"/>
    </row>
    <row r="60" spans="5:14" x14ac:dyDescent="0.2">
      <c r="E60" s="3"/>
      <c r="F60" s="4"/>
      <c r="G60" s="3"/>
      <c r="H60" s="66"/>
      <c r="I60" s="4"/>
      <c r="J60" s="4"/>
      <c r="K60"/>
      <c r="L60"/>
      <c r="M60" s="4"/>
      <c r="N60" s="4"/>
    </row>
    <row r="61" spans="5:14" x14ac:dyDescent="0.2">
      <c r="E61" s="3"/>
      <c r="F61" s="4"/>
      <c r="G61" s="3"/>
      <c r="H61" s="66"/>
      <c r="I61" s="4"/>
      <c r="J61" s="4"/>
      <c r="K61"/>
      <c r="L61"/>
      <c r="M61" s="4"/>
      <c r="N61" s="4"/>
    </row>
    <row r="62" spans="5:14" x14ac:dyDescent="0.2">
      <c r="E62" s="3"/>
      <c r="F62" s="4"/>
      <c r="G62" s="3"/>
      <c r="H62" s="66"/>
      <c r="I62" s="4"/>
      <c r="J62" s="4"/>
      <c r="K62"/>
      <c r="L62"/>
      <c r="M62" s="4"/>
      <c r="N62" s="4"/>
    </row>
    <row r="63" spans="5:14" x14ac:dyDescent="0.2">
      <c r="E63" s="3"/>
      <c r="F63" s="4"/>
      <c r="G63" s="3"/>
      <c r="H63" s="66"/>
      <c r="I63" s="4"/>
      <c r="J63" s="4"/>
      <c r="K63"/>
      <c r="L63"/>
      <c r="M63" s="4"/>
      <c r="N63" s="4"/>
    </row>
    <row r="64" spans="5:14" x14ac:dyDescent="0.2">
      <c r="E64" s="3"/>
      <c r="F64" s="4"/>
      <c r="G64" s="3"/>
      <c r="H64" s="66"/>
      <c r="I64" s="4"/>
      <c r="J64" s="4"/>
      <c r="K64"/>
      <c r="L64"/>
      <c r="M64" s="4"/>
      <c r="N64" s="4"/>
    </row>
    <row r="65" spans="5:14" x14ac:dyDescent="0.2">
      <c r="E65" s="3"/>
      <c r="F65" s="4"/>
      <c r="G65" s="3"/>
      <c r="H65" s="66"/>
      <c r="I65" s="4"/>
      <c r="J65" s="4"/>
      <c r="K65"/>
      <c r="L65"/>
      <c r="M65" s="4"/>
      <c r="N65" s="4"/>
    </row>
    <row r="66" spans="5:14" x14ac:dyDescent="0.2">
      <c r="E66" s="3"/>
      <c r="F66" s="4"/>
      <c r="G66" s="3"/>
      <c r="H66" s="66"/>
      <c r="I66" s="4"/>
      <c r="J66" s="4"/>
      <c r="K66"/>
      <c r="L66"/>
      <c r="M66" s="4"/>
      <c r="N66" s="4"/>
    </row>
    <row r="67" spans="5:14" x14ac:dyDescent="0.2">
      <c r="E67" s="3"/>
      <c r="F67" s="4"/>
      <c r="G67" s="3"/>
      <c r="H67" s="66"/>
      <c r="I67" s="4"/>
      <c r="J67" s="4"/>
      <c r="K67"/>
      <c r="L67"/>
      <c r="M67" s="4"/>
      <c r="N67" s="4"/>
    </row>
    <row r="68" spans="5:14" x14ac:dyDescent="0.2">
      <c r="E68" s="3"/>
      <c r="F68" s="4"/>
      <c r="G68" s="3"/>
      <c r="H68" s="66"/>
      <c r="I68" s="4"/>
      <c r="J68" s="4"/>
      <c r="K68"/>
      <c r="L68"/>
      <c r="M68" s="4"/>
      <c r="N68" s="4"/>
    </row>
    <row r="69" spans="5:14" x14ac:dyDescent="0.2">
      <c r="E69" s="3"/>
      <c r="F69" s="4"/>
      <c r="G69" s="3"/>
      <c r="H69" s="66"/>
      <c r="I69" s="4"/>
      <c r="J69" s="4"/>
      <c r="K69"/>
      <c r="L69"/>
      <c r="M69" s="4"/>
      <c r="N69" s="4"/>
    </row>
    <row r="70" spans="5:14" x14ac:dyDescent="0.2">
      <c r="E70" s="3"/>
      <c r="F70" s="4"/>
      <c r="G70" s="3"/>
      <c r="H70" s="66"/>
      <c r="I70" s="4"/>
      <c r="J70" s="4"/>
      <c r="K70"/>
      <c r="L70"/>
      <c r="M70" s="4"/>
      <c r="N70" s="4"/>
    </row>
    <row r="71" spans="5:14" x14ac:dyDescent="0.2">
      <c r="E71" s="3"/>
      <c r="F71" s="4"/>
      <c r="G71" s="3"/>
      <c r="H71" s="66"/>
      <c r="I71" s="4"/>
      <c r="J71" s="4"/>
      <c r="K71"/>
      <c r="L71"/>
      <c r="M71" s="4"/>
      <c r="N71" s="4"/>
    </row>
    <row r="72" spans="5:14" x14ac:dyDescent="0.2">
      <c r="E72" s="3"/>
      <c r="F72" s="4"/>
      <c r="G72" s="3"/>
      <c r="H72" s="66"/>
      <c r="I72" s="4"/>
      <c r="J72" s="4"/>
      <c r="K72"/>
      <c r="L72"/>
      <c r="M72" s="4"/>
      <c r="N72" s="4"/>
    </row>
    <row r="73" spans="5:14" x14ac:dyDescent="0.2">
      <c r="E73" s="3"/>
      <c r="F73" s="4"/>
      <c r="G73" s="3"/>
      <c r="H73" s="66"/>
      <c r="I73" s="4"/>
      <c r="J73" s="4"/>
      <c r="K73"/>
      <c r="L73"/>
      <c r="M73" s="4"/>
      <c r="N73" s="4"/>
    </row>
    <row r="74" spans="5:14" x14ac:dyDescent="0.2">
      <c r="E74" s="3"/>
      <c r="F74" s="4"/>
      <c r="G74" s="3"/>
      <c r="H74" s="66"/>
      <c r="I74" s="4"/>
      <c r="J74" s="4"/>
      <c r="K74"/>
      <c r="L74"/>
      <c r="M74" s="4"/>
      <c r="N74" s="4"/>
    </row>
    <row r="75" spans="5:14" x14ac:dyDescent="0.2">
      <c r="E75" s="3"/>
      <c r="F75" s="4"/>
      <c r="G75" s="3"/>
      <c r="H75" s="66"/>
      <c r="I75" s="4"/>
      <c r="J75" s="4"/>
      <c r="K75"/>
      <c r="L75"/>
      <c r="M75" s="4"/>
      <c r="N75" s="4"/>
    </row>
    <row r="76" spans="5:14" x14ac:dyDescent="0.2">
      <c r="E76" s="3"/>
      <c r="F76" s="4"/>
      <c r="G76" s="3"/>
      <c r="H76" s="66"/>
      <c r="I76" s="4"/>
      <c r="J76" s="4"/>
      <c r="K76"/>
      <c r="L76"/>
      <c r="M76" s="4"/>
      <c r="N76" s="4"/>
    </row>
    <row r="77" spans="5:14" x14ac:dyDescent="0.2">
      <c r="E77" s="3"/>
      <c r="F77" s="4"/>
      <c r="G77" s="3"/>
      <c r="H77" s="66"/>
      <c r="I77" s="4"/>
      <c r="J77" s="4"/>
      <c r="K77"/>
      <c r="L77"/>
      <c r="M77" s="4"/>
      <c r="N77" s="4"/>
    </row>
    <row r="78" spans="5:14" x14ac:dyDescent="0.2">
      <c r="E78" s="3"/>
      <c r="F78" s="4"/>
      <c r="G78" s="3"/>
      <c r="H78" s="66"/>
      <c r="I78" s="4"/>
      <c r="J78" s="4"/>
      <c r="K78"/>
      <c r="L78"/>
      <c r="M78" s="4"/>
      <c r="N78" s="4"/>
    </row>
    <row r="79" spans="5:14" x14ac:dyDescent="0.2">
      <c r="E79" s="3"/>
      <c r="F79" s="4"/>
      <c r="G79" s="3"/>
      <c r="H79" s="66"/>
      <c r="I79" s="4"/>
      <c r="J79" s="4"/>
      <c r="K79"/>
      <c r="L79"/>
      <c r="M79" s="4"/>
      <c r="N79" s="4"/>
    </row>
    <row r="80" spans="5:14" x14ac:dyDescent="0.2">
      <c r="E80" s="3"/>
      <c r="F80" s="4"/>
      <c r="G80" s="3"/>
      <c r="H80" s="66"/>
      <c r="I80" s="4"/>
      <c r="J80" s="4"/>
      <c r="K80"/>
      <c r="L80"/>
      <c r="M80" s="4"/>
      <c r="N80" s="4"/>
    </row>
    <row r="81" spans="5:14" x14ac:dyDescent="0.2">
      <c r="E81" s="3"/>
      <c r="F81" s="4"/>
      <c r="G81" s="3"/>
      <c r="H81" s="66"/>
      <c r="I81" s="4"/>
      <c r="J81" s="4"/>
      <c r="K81"/>
      <c r="L81"/>
      <c r="M81" s="4"/>
      <c r="N81" s="4"/>
    </row>
    <row r="82" spans="5:14" x14ac:dyDescent="0.2">
      <c r="E82" s="3"/>
      <c r="F82" s="4"/>
      <c r="G82" s="3"/>
      <c r="H82" s="66"/>
      <c r="I82" s="4"/>
      <c r="J82" s="4"/>
      <c r="K82"/>
      <c r="L82"/>
      <c r="M82" s="4"/>
      <c r="N82" s="4"/>
    </row>
    <row r="83" spans="5:14" x14ac:dyDescent="0.2">
      <c r="E83" s="3"/>
      <c r="F83" s="4"/>
      <c r="G83" s="3"/>
      <c r="H83" s="66"/>
      <c r="I83" s="4"/>
      <c r="J83" s="4"/>
      <c r="K83"/>
      <c r="L83"/>
      <c r="M83" s="4"/>
      <c r="N83" s="4"/>
    </row>
    <row r="84" spans="5:14" x14ac:dyDescent="0.2">
      <c r="E84" s="3"/>
      <c r="F84" s="4"/>
      <c r="G84" s="3"/>
      <c r="H84" s="66"/>
      <c r="I84" s="4"/>
      <c r="J84" s="4"/>
      <c r="K84"/>
      <c r="L84"/>
      <c r="M84" s="4"/>
      <c r="N84" s="4"/>
    </row>
    <row r="85" spans="5:14" x14ac:dyDescent="0.2">
      <c r="E85" s="3"/>
      <c r="F85" s="4"/>
      <c r="G85" s="3"/>
      <c r="H85" s="66"/>
      <c r="I85" s="4"/>
      <c r="J85" s="4"/>
      <c r="K85"/>
      <c r="L85"/>
      <c r="M85" s="4"/>
      <c r="N85" s="4"/>
    </row>
    <row r="86" spans="5:14" x14ac:dyDescent="0.2">
      <c r="E86" s="3"/>
      <c r="F86" s="4"/>
      <c r="G86" s="3"/>
      <c r="H86" s="66"/>
      <c r="I86" s="4"/>
      <c r="J86" s="4"/>
      <c r="K86"/>
      <c r="L86"/>
      <c r="M86" s="4"/>
      <c r="N86" s="4"/>
    </row>
    <row r="87" spans="5:14" x14ac:dyDescent="0.2">
      <c r="E87" s="3"/>
      <c r="F87" s="4"/>
      <c r="G87" s="3"/>
      <c r="H87" s="66"/>
      <c r="I87" s="4"/>
      <c r="J87" s="4"/>
      <c r="K87"/>
      <c r="L87"/>
      <c r="M87" s="4"/>
      <c r="N87" s="4"/>
    </row>
    <row r="88" spans="5:14" x14ac:dyDescent="0.2">
      <c r="E88" s="3"/>
      <c r="F88" s="4"/>
      <c r="G88" s="3"/>
      <c r="H88" s="66"/>
      <c r="I88" s="4"/>
      <c r="J88" s="4"/>
      <c r="K88"/>
      <c r="L88"/>
      <c r="M88" s="4"/>
      <c r="N88" s="4"/>
    </row>
    <row r="89" spans="5:14" x14ac:dyDescent="0.2">
      <c r="E89" s="3"/>
      <c r="F89" s="4"/>
      <c r="G89" s="3"/>
      <c r="H89" s="66"/>
      <c r="I89" s="4"/>
      <c r="J89" s="4"/>
      <c r="K89"/>
      <c r="L89"/>
      <c r="M89" s="4"/>
      <c r="N89" s="4"/>
    </row>
    <row r="90" spans="5:14" x14ac:dyDescent="0.2">
      <c r="E90" s="3"/>
      <c r="F90" s="4"/>
      <c r="G90" s="3"/>
      <c r="H90" s="66"/>
      <c r="I90" s="4"/>
      <c r="J90" s="4"/>
      <c r="K90"/>
      <c r="L90"/>
      <c r="M90" s="4"/>
      <c r="N90" s="4"/>
    </row>
    <row r="91" spans="5:14" x14ac:dyDescent="0.2">
      <c r="E91" s="3"/>
      <c r="F91" s="4"/>
      <c r="G91" s="3"/>
      <c r="H91" s="66"/>
      <c r="I91" s="4"/>
      <c r="J91" s="4"/>
      <c r="K91"/>
      <c r="L91"/>
      <c r="M91" s="4"/>
      <c r="N91" s="4"/>
    </row>
    <row r="92" spans="5:14" x14ac:dyDescent="0.2">
      <c r="E92" s="3"/>
      <c r="F92" s="4"/>
      <c r="G92" s="3"/>
      <c r="H92" s="66"/>
      <c r="I92" s="4"/>
      <c r="J92" s="4"/>
      <c r="K92"/>
      <c r="L92"/>
      <c r="M92" s="4"/>
      <c r="N92" s="4"/>
    </row>
    <row r="93" spans="5:14" x14ac:dyDescent="0.2">
      <c r="E93" s="3"/>
      <c r="F93" s="4"/>
      <c r="G93" s="3"/>
      <c r="H93" s="66"/>
      <c r="I93" s="4"/>
      <c r="J93" s="4"/>
      <c r="K93"/>
      <c r="L93"/>
      <c r="M93" s="4"/>
      <c r="N93" s="4"/>
    </row>
    <row r="94" spans="5:14" x14ac:dyDescent="0.2">
      <c r="E94" s="3"/>
      <c r="F94" s="4"/>
      <c r="G94" s="3"/>
      <c r="H94" s="66"/>
      <c r="I94" s="4"/>
      <c r="J94" s="4"/>
      <c r="K94"/>
      <c r="L94"/>
      <c r="M94" s="4"/>
      <c r="N94" s="4"/>
    </row>
    <row r="95" spans="5:14" x14ac:dyDescent="0.2">
      <c r="E95" s="3"/>
      <c r="F95" s="4"/>
      <c r="G95" s="3"/>
      <c r="H95" s="66"/>
      <c r="I95" s="4"/>
      <c r="J95" s="4"/>
      <c r="K95"/>
      <c r="L95"/>
      <c r="M95" s="4"/>
      <c r="N95" s="4"/>
    </row>
    <row r="96" spans="5:14" x14ac:dyDescent="0.2">
      <c r="E96" s="3"/>
      <c r="F96" s="4"/>
      <c r="G96" s="3"/>
      <c r="H96" s="66"/>
      <c r="I96" s="4"/>
      <c r="J96" s="4"/>
      <c r="K96"/>
      <c r="L96"/>
      <c r="M96" s="4"/>
      <c r="N96" s="4"/>
    </row>
    <row r="97" spans="5:14" x14ac:dyDescent="0.2">
      <c r="E97" s="3"/>
      <c r="F97" s="4"/>
      <c r="G97" s="3"/>
      <c r="H97" s="66"/>
      <c r="I97" s="4"/>
      <c r="J97" s="4"/>
      <c r="K97"/>
      <c r="L97"/>
      <c r="M97" s="4"/>
      <c r="N97" s="4"/>
    </row>
    <row r="98" spans="5:14" x14ac:dyDescent="0.2">
      <c r="E98" s="3"/>
      <c r="F98" s="4"/>
      <c r="G98" s="3"/>
      <c r="H98" s="66"/>
      <c r="I98" s="4"/>
      <c r="J98" s="4"/>
      <c r="K98"/>
      <c r="L98"/>
      <c r="M98" s="4"/>
      <c r="N98" s="4"/>
    </row>
    <row r="99" spans="5:14" x14ac:dyDescent="0.2">
      <c r="E99" s="3"/>
      <c r="F99" s="4"/>
      <c r="G99" s="3"/>
      <c r="H99" s="66"/>
      <c r="I99" s="4"/>
      <c r="J99" s="4"/>
      <c r="K99"/>
      <c r="L99"/>
      <c r="M99" s="4"/>
      <c r="N99" s="4"/>
    </row>
    <row r="100" spans="5:14" x14ac:dyDescent="0.2">
      <c r="E100" s="3"/>
      <c r="F100" s="4"/>
      <c r="G100" s="3"/>
      <c r="H100" s="66"/>
      <c r="I100" s="4"/>
      <c r="J100" s="4"/>
      <c r="K100"/>
      <c r="L100"/>
      <c r="M100" s="4"/>
      <c r="N100" s="4"/>
    </row>
    <row r="101" spans="5:14" x14ac:dyDescent="0.2">
      <c r="E101" s="3"/>
      <c r="F101" s="4"/>
      <c r="G101" s="3"/>
      <c r="H101" s="66"/>
      <c r="I101" s="4"/>
      <c r="J101" s="4"/>
      <c r="K101"/>
      <c r="L101"/>
      <c r="M101" s="4"/>
      <c r="N101" s="4"/>
    </row>
    <row r="102" spans="5:14" x14ac:dyDescent="0.2">
      <c r="E102" s="3"/>
      <c r="F102" s="4"/>
      <c r="G102" s="3"/>
      <c r="H102" s="66"/>
      <c r="I102" s="4"/>
      <c r="J102" s="4"/>
      <c r="K102"/>
      <c r="L102"/>
      <c r="M102" s="4"/>
      <c r="N102" s="4"/>
    </row>
    <row r="103" spans="5:14" x14ac:dyDescent="0.2">
      <c r="E103" s="3"/>
      <c r="F103" s="4"/>
      <c r="G103" s="3"/>
      <c r="H103" s="66"/>
      <c r="I103" s="4"/>
      <c r="J103" s="4"/>
      <c r="K103"/>
      <c r="L103"/>
      <c r="M103" s="4"/>
      <c r="N103" s="4"/>
    </row>
    <row r="104" spans="5:14" x14ac:dyDescent="0.2">
      <c r="E104" s="3"/>
      <c r="F104" s="4"/>
      <c r="G104" s="3"/>
      <c r="H104" s="66"/>
      <c r="I104" s="4"/>
      <c r="J104" s="4"/>
      <c r="K104"/>
      <c r="L104"/>
      <c r="M104" s="4"/>
      <c r="N104" s="4"/>
    </row>
    <row r="105" spans="5:14" x14ac:dyDescent="0.2">
      <c r="E105" s="3"/>
      <c r="F105" s="4"/>
      <c r="G105" s="3"/>
      <c r="H105" s="66"/>
      <c r="I105" s="4"/>
      <c r="J105" s="4"/>
      <c r="K105"/>
      <c r="L105"/>
      <c r="M105" s="4"/>
      <c r="N105" s="4"/>
    </row>
    <row r="106" spans="5:14" x14ac:dyDescent="0.2">
      <c r="E106" s="3"/>
      <c r="F106" s="4"/>
      <c r="G106" s="3"/>
      <c r="H106" s="66"/>
      <c r="I106" s="4"/>
      <c r="J106" s="4"/>
      <c r="K106"/>
      <c r="L106"/>
      <c r="M106" s="4"/>
      <c r="N106" s="4"/>
    </row>
    <row r="107" spans="5:14" x14ac:dyDescent="0.2">
      <c r="E107" s="3"/>
      <c r="F107" s="4"/>
      <c r="G107" s="3"/>
      <c r="H107" s="66"/>
      <c r="I107" s="4"/>
      <c r="J107" s="4"/>
      <c r="K107"/>
      <c r="L107"/>
      <c r="M107" s="4"/>
      <c r="N107" s="4"/>
    </row>
    <row r="108" spans="5:14" x14ac:dyDescent="0.2">
      <c r="E108" s="3"/>
      <c r="F108" s="4"/>
      <c r="G108" s="3"/>
      <c r="H108" s="66"/>
      <c r="I108" s="4"/>
      <c r="J108" s="4"/>
      <c r="K108"/>
      <c r="L108"/>
      <c r="M108" s="4"/>
      <c r="N108" s="4"/>
    </row>
    <row r="109" spans="5:14" x14ac:dyDescent="0.2">
      <c r="E109" s="3"/>
      <c r="F109" s="4"/>
      <c r="G109" s="3"/>
      <c r="H109" s="66"/>
      <c r="I109" s="4"/>
      <c r="J109" s="4"/>
      <c r="K109"/>
      <c r="L109"/>
      <c r="M109" s="4"/>
      <c r="N109" s="4"/>
    </row>
    <row r="110" spans="5:14" x14ac:dyDescent="0.2">
      <c r="E110" s="3"/>
      <c r="F110" s="4"/>
      <c r="G110" s="3"/>
      <c r="H110" s="66"/>
      <c r="I110" s="4"/>
      <c r="J110" s="4"/>
      <c r="K110"/>
      <c r="L110"/>
      <c r="M110" s="4"/>
      <c r="N110" s="4"/>
    </row>
    <row r="111" spans="5:14" x14ac:dyDescent="0.2">
      <c r="E111" s="3"/>
      <c r="F111" s="4"/>
      <c r="G111" s="3"/>
      <c r="H111" s="66"/>
      <c r="I111" s="4"/>
      <c r="J111" s="4"/>
      <c r="K111"/>
      <c r="L111"/>
      <c r="M111" s="4"/>
      <c r="N111" s="4"/>
    </row>
    <row r="112" spans="5:14" x14ac:dyDescent="0.2">
      <c r="E112" s="3"/>
      <c r="F112" s="4"/>
      <c r="G112" s="3"/>
      <c r="H112" s="66"/>
      <c r="I112" s="4"/>
      <c r="J112" s="4"/>
      <c r="K112"/>
      <c r="L112"/>
      <c r="M112" s="4"/>
      <c r="N112" s="4"/>
    </row>
    <row r="113" spans="5:14" x14ac:dyDescent="0.2">
      <c r="E113" s="3"/>
      <c r="F113" s="4"/>
      <c r="G113" s="3"/>
      <c r="H113" s="66"/>
      <c r="I113" s="4"/>
      <c r="J113" s="4"/>
      <c r="K113"/>
      <c r="L113"/>
      <c r="M113" s="4"/>
      <c r="N113" s="4"/>
    </row>
    <row r="114" spans="5:14" x14ac:dyDescent="0.2">
      <c r="E114" s="3"/>
      <c r="F114" s="4"/>
      <c r="G114" s="3"/>
      <c r="H114" s="66"/>
      <c r="I114" s="4"/>
      <c r="J114" s="4"/>
      <c r="K114"/>
      <c r="L114"/>
      <c r="M114" s="4"/>
      <c r="N114" s="4"/>
    </row>
    <row r="115" spans="5:14" x14ac:dyDescent="0.2">
      <c r="E115" s="3"/>
      <c r="F115" s="4"/>
      <c r="G115" s="3"/>
      <c r="H115" s="66"/>
      <c r="I115" s="4"/>
      <c r="J115" s="4"/>
      <c r="K115"/>
      <c r="L115"/>
      <c r="M115" s="4"/>
      <c r="N115" s="4"/>
    </row>
    <row r="116" spans="5:14" x14ac:dyDescent="0.2">
      <c r="E116" s="3"/>
      <c r="F116" s="4"/>
      <c r="G116" s="3"/>
      <c r="H116" s="66"/>
      <c r="I116" s="4"/>
      <c r="J116" s="4"/>
      <c r="K116"/>
      <c r="L116"/>
      <c r="M116" s="4"/>
      <c r="N116" s="4"/>
    </row>
    <row r="117" spans="5:14" x14ac:dyDescent="0.2">
      <c r="E117" s="3"/>
      <c r="F117" s="4"/>
      <c r="G117" s="3"/>
      <c r="H117" s="66"/>
      <c r="I117" s="4"/>
      <c r="J117" s="4"/>
      <c r="K117"/>
      <c r="L117"/>
      <c r="M117" s="4"/>
      <c r="N117" s="4"/>
    </row>
    <row r="118" spans="5:14" x14ac:dyDescent="0.2">
      <c r="E118" s="3"/>
      <c r="F118" s="4"/>
      <c r="G118" s="3"/>
      <c r="H118" s="66"/>
      <c r="I118" s="4"/>
      <c r="J118" s="4"/>
      <c r="K118"/>
      <c r="L118"/>
      <c r="M118" s="4"/>
      <c r="N118" s="4"/>
    </row>
    <row r="119" spans="5:14" x14ac:dyDescent="0.2">
      <c r="E119" s="3"/>
      <c r="F119" s="4"/>
      <c r="G119" s="3"/>
      <c r="H119" s="66"/>
      <c r="I119" s="4"/>
      <c r="J119" s="4"/>
      <c r="K119"/>
      <c r="L119"/>
      <c r="M119" s="4"/>
      <c r="N119" s="4"/>
    </row>
    <row r="120" spans="5:14" x14ac:dyDescent="0.2">
      <c r="E120" s="3"/>
      <c r="F120" s="4"/>
      <c r="G120" s="3"/>
      <c r="H120" s="66"/>
      <c r="I120" s="4"/>
      <c r="J120" s="4"/>
      <c r="K120"/>
      <c r="L120"/>
      <c r="M120" s="4"/>
      <c r="N120" s="4"/>
    </row>
    <row r="121" spans="5:14" x14ac:dyDescent="0.2">
      <c r="E121" s="3"/>
      <c r="F121" s="4"/>
      <c r="G121" s="3"/>
      <c r="H121" s="66"/>
      <c r="I121" s="4"/>
      <c r="J121" s="4"/>
      <c r="K121"/>
      <c r="L121"/>
      <c r="M121" s="4"/>
      <c r="N121" s="4"/>
    </row>
    <row r="122" spans="5:14" x14ac:dyDescent="0.2">
      <c r="E122" s="3"/>
      <c r="F122" s="4"/>
      <c r="G122" s="3"/>
      <c r="H122" s="66"/>
      <c r="I122" s="4"/>
      <c r="J122" s="4"/>
      <c r="K122"/>
      <c r="L122"/>
      <c r="M122" s="4"/>
      <c r="N122" s="4"/>
    </row>
    <row r="123" spans="5:14" x14ac:dyDescent="0.2">
      <c r="E123" s="3"/>
      <c r="F123" s="4"/>
      <c r="G123" s="3"/>
      <c r="H123" s="66"/>
      <c r="I123" s="4"/>
      <c r="J123" s="4"/>
      <c r="K123"/>
      <c r="L123"/>
      <c r="M123" s="4"/>
      <c r="N123" s="4"/>
    </row>
    <row r="124" spans="5:14" x14ac:dyDescent="0.2">
      <c r="E124" s="3"/>
      <c r="F124" s="4"/>
      <c r="G124" s="3"/>
      <c r="H124" s="66"/>
      <c r="I124" s="4"/>
      <c r="J124" s="4"/>
      <c r="K124"/>
      <c r="L124"/>
      <c r="M124" s="4"/>
      <c r="N124" s="4"/>
    </row>
    <row r="125" spans="5:14" x14ac:dyDescent="0.2">
      <c r="E125" s="3"/>
      <c r="F125" s="4"/>
      <c r="G125" s="3"/>
      <c r="H125" s="66"/>
      <c r="I125" s="4"/>
      <c r="J125" s="4"/>
      <c r="K125"/>
      <c r="L125"/>
      <c r="M125" s="4"/>
      <c r="N125" s="4"/>
    </row>
    <row r="126" spans="5:14" x14ac:dyDescent="0.2">
      <c r="E126" s="3"/>
      <c r="F126" s="4"/>
      <c r="G126" s="3"/>
      <c r="H126" s="66"/>
      <c r="I126" s="4"/>
      <c r="J126" s="4"/>
      <c r="K126"/>
      <c r="L126"/>
      <c r="M126" s="4"/>
      <c r="N126" s="4"/>
    </row>
    <row r="127" spans="5:14" x14ac:dyDescent="0.2">
      <c r="E127" s="3"/>
      <c r="F127" s="4"/>
      <c r="G127" s="3"/>
      <c r="H127" s="66"/>
      <c r="I127" s="4"/>
      <c r="J127" s="4"/>
      <c r="K127"/>
      <c r="L127"/>
      <c r="M127" s="4"/>
      <c r="N127" s="4"/>
    </row>
    <row r="128" spans="5:14" x14ac:dyDescent="0.2">
      <c r="E128" s="3"/>
      <c r="F128" s="4"/>
      <c r="G128" s="3"/>
      <c r="H128" s="66"/>
      <c r="I128" s="4"/>
      <c r="J128" s="4"/>
      <c r="K128"/>
      <c r="L128"/>
      <c r="M128" s="4"/>
      <c r="N128" s="4"/>
    </row>
    <row r="129" spans="5:14" x14ac:dyDescent="0.2">
      <c r="E129" s="3"/>
      <c r="F129" s="4"/>
      <c r="G129" s="3"/>
      <c r="H129" s="66"/>
      <c r="I129" s="4"/>
      <c r="J129" s="4"/>
      <c r="K129"/>
      <c r="L129"/>
      <c r="M129" s="4"/>
      <c r="N129" s="4"/>
    </row>
    <row r="130" spans="5:14" x14ac:dyDescent="0.2">
      <c r="E130" s="3"/>
      <c r="F130" s="4"/>
      <c r="G130" s="3"/>
      <c r="H130" s="66"/>
      <c r="I130" s="4"/>
      <c r="J130" s="4"/>
      <c r="K130"/>
      <c r="L130"/>
      <c r="M130" s="4"/>
      <c r="N130" s="4"/>
    </row>
    <row r="131" spans="5:14" x14ac:dyDescent="0.2">
      <c r="E131" s="3"/>
      <c r="F131" s="4"/>
      <c r="G131" s="3"/>
      <c r="H131" s="66"/>
      <c r="I131" s="4"/>
      <c r="J131" s="4"/>
      <c r="K131"/>
      <c r="L131"/>
      <c r="M131" s="4"/>
      <c r="N131" s="4"/>
    </row>
    <row r="132" spans="5:14" x14ac:dyDescent="0.2">
      <c r="E132" s="3"/>
      <c r="F132" s="4"/>
      <c r="G132" s="3"/>
      <c r="H132" s="66"/>
      <c r="I132" s="4"/>
      <c r="J132" s="4"/>
      <c r="K132"/>
      <c r="L132"/>
      <c r="M132" s="4"/>
      <c r="N132" s="4"/>
    </row>
    <row r="133" spans="5:14" x14ac:dyDescent="0.2">
      <c r="E133" s="3"/>
      <c r="F133" s="4"/>
      <c r="G133" s="3"/>
      <c r="H133" s="66"/>
      <c r="I133" s="4"/>
      <c r="J133" s="4"/>
      <c r="K133"/>
      <c r="L133"/>
      <c r="M133" s="4"/>
      <c r="N133" s="4"/>
    </row>
    <row r="134" spans="5:14" x14ac:dyDescent="0.2">
      <c r="E134" s="3"/>
      <c r="F134" s="4"/>
      <c r="G134" s="3"/>
      <c r="H134" s="66"/>
      <c r="I134" s="4"/>
      <c r="J134" s="4"/>
      <c r="K134"/>
      <c r="L134"/>
      <c r="M134" s="4"/>
      <c r="N134" s="4"/>
    </row>
    <row r="135" spans="5:14" x14ac:dyDescent="0.2">
      <c r="E135" s="3"/>
      <c r="F135" s="4"/>
      <c r="G135" s="3"/>
      <c r="H135" s="66"/>
      <c r="I135" s="4"/>
      <c r="J135" s="4"/>
      <c r="K135"/>
      <c r="L135"/>
      <c r="M135" s="4"/>
      <c r="N135" s="4"/>
    </row>
    <row r="136" spans="5:14" x14ac:dyDescent="0.2">
      <c r="E136" s="3"/>
      <c r="F136" s="4"/>
      <c r="G136" s="3"/>
      <c r="H136" s="66"/>
      <c r="I136" s="4"/>
      <c r="J136" s="4"/>
      <c r="K136"/>
      <c r="L136"/>
      <c r="M136" s="4"/>
      <c r="N136" s="4"/>
    </row>
    <row r="137" spans="5:14" x14ac:dyDescent="0.2">
      <c r="E137" s="3"/>
      <c r="F137" s="4"/>
      <c r="G137" s="3"/>
      <c r="H137" s="66"/>
      <c r="I137" s="4"/>
      <c r="J137" s="4"/>
      <c r="K137"/>
      <c r="L137"/>
      <c r="M137" s="4"/>
      <c r="N137" s="4"/>
    </row>
    <row r="138" spans="5:14" x14ac:dyDescent="0.2">
      <c r="E138" s="3"/>
      <c r="F138" s="4"/>
      <c r="G138" s="3"/>
      <c r="H138" s="66"/>
      <c r="I138" s="4"/>
      <c r="J138" s="4"/>
      <c r="K138"/>
      <c r="L138"/>
      <c r="M138" s="4"/>
      <c r="N138" s="4"/>
    </row>
    <row r="139" spans="5:14" x14ac:dyDescent="0.2">
      <c r="E139" s="3"/>
      <c r="F139" s="4"/>
      <c r="G139" s="3"/>
      <c r="H139" s="66"/>
      <c r="I139" s="4"/>
      <c r="J139" s="4"/>
      <c r="K139"/>
      <c r="L139"/>
      <c r="M139" s="4"/>
      <c r="N139" s="4"/>
    </row>
    <row r="140" spans="5:14" x14ac:dyDescent="0.2">
      <c r="E140" s="3"/>
      <c r="F140" s="4"/>
      <c r="G140" s="3"/>
      <c r="H140" s="66"/>
      <c r="I140" s="4"/>
      <c r="J140" s="4"/>
      <c r="K140"/>
      <c r="L140"/>
      <c r="M140" s="4"/>
      <c r="N140" s="4"/>
    </row>
    <row r="141" spans="5:14" x14ac:dyDescent="0.2">
      <c r="E141" s="3"/>
      <c r="F141" s="4"/>
      <c r="G141" s="3"/>
      <c r="H141" s="66"/>
      <c r="I141" s="4"/>
      <c r="J141" s="4"/>
      <c r="K141"/>
      <c r="L141"/>
      <c r="M141" s="4"/>
      <c r="N141" s="4"/>
    </row>
    <row r="142" spans="5:14" x14ac:dyDescent="0.2">
      <c r="E142" s="3"/>
      <c r="F142" s="4"/>
      <c r="G142" s="3"/>
      <c r="H142" s="66"/>
      <c r="I142" s="4"/>
      <c r="J142" s="4"/>
      <c r="K142"/>
      <c r="L142"/>
      <c r="M142" s="4"/>
      <c r="N142" s="4"/>
    </row>
    <row r="143" spans="5:14" x14ac:dyDescent="0.2">
      <c r="E143" s="3"/>
      <c r="F143" s="4"/>
      <c r="G143" s="3"/>
      <c r="H143" s="66"/>
      <c r="I143" s="4"/>
      <c r="J143" s="4"/>
      <c r="K143"/>
      <c r="L143"/>
      <c r="M143" s="4"/>
      <c r="N143" s="4"/>
    </row>
    <row r="144" spans="5:14" x14ac:dyDescent="0.2">
      <c r="E144" s="3"/>
      <c r="F144" s="4"/>
      <c r="G144" s="3"/>
      <c r="H144" s="66"/>
      <c r="I144" s="4"/>
      <c r="J144" s="4"/>
      <c r="K144"/>
      <c r="L144"/>
      <c r="M144" s="4"/>
      <c r="N144" s="4"/>
    </row>
    <row r="145" spans="5:14" x14ac:dyDescent="0.2">
      <c r="E145" s="3"/>
      <c r="F145" s="4"/>
      <c r="G145" s="3"/>
      <c r="H145" s="66"/>
      <c r="I145" s="4"/>
      <c r="J145" s="4"/>
      <c r="K145"/>
      <c r="L145"/>
      <c r="M145" s="4"/>
      <c r="N145" s="4"/>
    </row>
    <row r="146" spans="5:14" x14ac:dyDescent="0.2">
      <c r="E146" s="3"/>
      <c r="F146" s="4"/>
      <c r="G146" s="3"/>
      <c r="H146" s="66"/>
      <c r="I146" s="4"/>
      <c r="J146" s="4"/>
      <c r="K146"/>
      <c r="L146"/>
      <c r="M146" s="4"/>
      <c r="N146" s="4"/>
    </row>
    <row r="147" spans="5:14" x14ac:dyDescent="0.2">
      <c r="E147" s="3"/>
      <c r="F147" s="4"/>
      <c r="G147" s="3"/>
      <c r="H147" s="66"/>
      <c r="I147" s="4"/>
      <c r="J147" s="4"/>
      <c r="K147"/>
      <c r="L147"/>
      <c r="M147" s="4"/>
      <c r="N147" s="4"/>
    </row>
    <row r="148" spans="5:14" x14ac:dyDescent="0.2">
      <c r="E148" s="3"/>
      <c r="F148" s="4"/>
      <c r="G148" s="3"/>
      <c r="H148" s="66"/>
      <c r="I148" s="4"/>
      <c r="J148" s="4"/>
      <c r="K148"/>
      <c r="L148"/>
      <c r="M148" s="4"/>
      <c r="N148" s="4"/>
    </row>
    <row r="149" spans="5:14" x14ac:dyDescent="0.2">
      <c r="E149" s="3"/>
      <c r="F149" s="4"/>
      <c r="G149" s="3"/>
      <c r="H149" s="66"/>
      <c r="I149" s="4"/>
      <c r="J149" s="4"/>
      <c r="K149"/>
      <c r="L149"/>
      <c r="M149" s="4"/>
      <c r="N149" s="4"/>
    </row>
    <row r="150" spans="5:14" x14ac:dyDescent="0.2">
      <c r="E150" s="3"/>
      <c r="F150" s="4"/>
      <c r="G150" s="3"/>
      <c r="H150" s="66"/>
      <c r="I150" s="4"/>
      <c r="J150" s="4"/>
      <c r="K150"/>
      <c r="L150"/>
      <c r="M150" s="4"/>
      <c r="N150" s="4"/>
    </row>
    <row r="151" spans="5:14" x14ac:dyDescent="0.2">
      <c r="E151" s="3"/>
      <c r="F151" s="4"/>
      <c r="G151" s="3"/>
      <c r="H151" s="66"/>
      <c r="I151" s="4"/>
      <c r="J151" s="4"/>
      <c r="K151"/>
      <c r="L151"/>
      <c r="M151" s="4"/>
      <c r="N151" s="4"/>
    </row>
    <row r="152" spans="5:14" x14ac:dyDescent="0.2">
      <c r="E152" s="3"/>
      <c r="F152" s="4"/>
      <c r="G152" s="3"/>
      <c r="H152" s="66"/>
      <c r="I152" s="4"/>
      <c r="J152" s="4"/>
      <c r="K152"/>
      <c r="L152"/>
      <c r="M152" s="4"/>
      <c r="N152" s="4"/>
    </row>
    <row r="153" spans="5:14" x14ac:dyDescent="0.2">
      <c r="E153" s="3"/>
      <c r="F153" s="4"/>
      <c r="G153" s="3"/>
      <c r="H153" s="66"/>
      <c r="I153" s="4"/>
      <c r="J153" s="4"/>
      <c r="K153"/>
      <c r="L153"/>
      <c r="M153" s="4"/>
      <c r="N153" s="4"/>
    </row>
    <row r="154" spans="5:14" x14ac:dyDescent="0.2">
      <c r="E154" s="3"/>
      <c r="F154" s="4"/>
      <c r="G154" s="3"/>
      <c r="H154" s="66"/>
      <c r="I154" s="4"/>
      <c r="J154" s="4"/>
      <c r="K154"/>
      <c r="L154"/>
      <c r="M154" s="4"/>
      <c r="N154" s="4"/>
    </row>
    <row r="155" spans="5:14" x14ac:dyDescent="0.2">
      <c r="E155" s="3"/>
      <c r="F155" s="4"/>
      <c r="G155" s="3"/>
      <c r="H155" s="66"/>
      <c r="I155" s="4"/>
      <c r="J155" s="4"/>
      <c r="K155"/>
      <c r="L155"/>
      <c r="M155" s="4"/>
      <c r="N155" s="4"/>
    </row>
    <row r="156" spans="5:14" x14ac:dyDescent="0.2">
      <c r="E156" s="3"/>
      <c r="F156" s="4"/>
      <c r="G156" s="3"/>
      <c r="H156" s="66"/>
      <c r="I156" s="4"/>
      <c r="J156" s="4"/>
      <c r="K156"/>
      <c r="L156"/>
      <c r="M156" s="4"/>
      <c r="N156" s="4"/>
    </row>
    <row r="157" spans="5:14" x14ac:dyDescent="0.2">
      <c r="E157" s="3"/>
      <c r="F157" s="4"/>
      <c r="G157" s="3"/>
      <c r="H157" s="66"/>
      <c r="I157" s="4"/>
      <c r="J157" s="4"/>
      <c r="K157"/>
      <c r="L157"/>
      <c r="M157" s="4"/>
      <c r="N157" s="4"/>
    </row>
    <row r="158" spans="5:14" x14ac:dyDescent="0.2">
      <c r="E158" s="3"/>
      <c r="F158" s="4"/>
      <c r="G158" s="3"/>
      <c r="H158" s="66"/>
      <c r="I158" s="4"/>
      <c r="J158" s="4"/>
      <c r="K158"/>
      <c r="L158"/>
      <c r="M158" s="4"/>
      <c r="N158" s="4"/>
    </row>
    <row r="159" spans="5:14" x14ac:dyDescent="0.2">
      <c r="E159" s="3"/>
      <c r="F159" s="4"/>
      <c r="G159" s="3"/>
      <c r="H159" s="66"/>
      <c r="I159" s="4"/>
      <c r="J159" s="4"/>
      <c r="K159"/>
      <c r="L159"/>
      <c r="M159" s="4"/>
      <c r="N159" s="4"/>
    </row>
    <row r="160" spans="5:14" x14ac:dyDescent="0.2">
      <c r="E160" s="3"/>
      <c r="F160" s="4"/>
      <c r="G160" s="3"/>
      <c r="H160" s="66"/>
      <c r="I160" s="4"/>
      <c r="J160" s="4"/>
      <c r="K160"/>
      <c r="L160"/>
      <c r="M160" s="4"/>
      <c r="N160" s="4"/>
    </row>
    <row r="161" spans="5:14" x14ac:dyDescent="0.2">
      <c r="E161" s="3"/>
      <c r="F161" s="4"/>
      <c r="G161" s="3"/>
      <c r="H161" s="66"/>
      <c r="I161" s="4"/>
      <c r="J161" s="4"/>
      <c r="K161"/>
      <c r="L161"/>
      <c r="M161" s="4"/>
      <c r="N161" s="4"/>
    </row>
    <row r="162" spans="5:14" x14ac:dyDescent="0.2">
      <c r="E162" s="3"/>
      <c r="F162" s="4"/>
      <c r="G162" s="3"/>
      <c r="H162" s="66"/>
      <c r="I162" s="4"/>
      <c r="J162" s="4"/>
      <c r="K162"/>
      <c r="L162"/>
      <c r="M162" s="4"/>
      <c r="N162" s="4"/>
    </row>
    <row r="163" spans="5:14" x14ac:dyDescent="0.2">
      <c r="E163" s="3"/>
      <c r="F163" s="4"/>
      <c r="G163" s="3"/>
      <c r="H163" s="66"/>
      <c r="I163" s="4"/>
      <c r="J163" s="4"/>
      <c r="K163"/>
      <c r="L163"/>
      <c r="M163" s="4"/>
      <c r="N163" s="4"/>
    </row>
    <row r="164" spans="5:14" x14ac:dyDescent="0.2">
      <c r="E164" s="3"/>
      <c r="F164" s="4"/>
      <c r="G164" s="3"/>
      <c r="H164" s="66"/>
      <c r="I164" s="4"/>
      <c r="J164" s="4"/>
      <c r="K164"/>
      <c r="L164"/>
      <c r="M164" s="4"/>
      <c r="N164" s="4"/>
    </row>
    <row r="165" spans="5:14" x14ac:dyDescent="0.2">
      <c r="E165" s="3"/>
      <c r="F165" s="4"/>
      <c r="G165" s="3"/>
      <c r="H165" s="66"/>
      <c r="I165" s="4"/>
      <c r="J165" s="4"/>
      <c r="K165"/>
      <c r="L165"/>
      <c r="M165" s="4"/>
      <c r="N165" s="4"/>
    </row>
    <row r="166" spans="5:14" x14ac:dyDescent="0.2">
      <c r="E166" s="3"/>
      <c r="F166" s="4"/>
      <c r="G166" s="3"/>
      <c r="H166" s="66"/>
      <c r="I166" s="4"/>
      <c r="J166" s="4"/>
      <c r="K166"/>
      <c r="L166"/>
      <c r="M166" s="4"/>
      <c r="N166" s="4"/>
    </row>
    <row r="167" spans="5:14" x14ac:dyDescent="0.2">
      <c r="E167" s="3"/>
      <c r="F167" s="4"/>
      <c r="G167" s="3"/>
      <c r="H167" s="66"/>
      <c r="I167" s="4"/>
      <c r="J167" s="4"/>
      <c r="K167"/>
      <c r="L167"/>
      <c r="M167" s="4"/>
      <c r="N167" s="4"/>
    </row>
    <row r="168" spans="5:14" x14ac:dyDescent="0.2">
      <c r="E168" s="3"/>
      <c r="F168" s="4"/>
      <c r="G168" s="3"/>
      <c r="H168" s="66"/>
      <c r="I168" s="4"/>
      <c r="J168" s="4"/>
      <c r="K168"/>
      <c r="L168"/>
      <c r="M168" s="4"/>
      <c r="N168" s="4"/>
    </row>
    <row r="169" spans="5:14" x14ac:dyDescent="0.2">
      <c r="E169" s="3"/>
      <c r="F169" s="4"/>
      <c r="G169" s="3"/>
      <c r="H169" s="66"/>
      <c r="I169" s="4"/>
      <c r="J169" s="4"/>
      <c r="K169"/>
      <c r="L169"/>
      <c r="M169" s="4"/>
      <c r="N169" s="4"/>
    </row>
    <row r="170" spans="5:14" x14ac:dyDescent="0.2">
      <c r="E170" s="3"/>
      <c r="F170" s="4"/>
      <c r="G170" s="3"/>
      <c r="H170" s="66"/>
      <c r="I170" s="4"/>
      <c r="J170" s="4"/>
      <c r="K170"/>
      <c r="L170"/>
      <c r="M170" s="4"/>
      <c r="N170" s="4"/>
    </row>
    <row r="171" spans="5:14" x14ac:dyDescent="0.2">
      <c r="E171" s="3"/>
      <c r="F171" s="4"/>
      <c r="G171" s="3"/>
      <c r="H171" s="66"/>
      <c r="I171" s="4"/>
      <c r="J171" s="4"/>
      <c r="K171"/>
      <c r="L171"/>
      <c r="M171" s="4"/>
      <c r="N171" s="4"/>
    </row>
    <row r="172" spans="5:14" x14ac:dyDescent="0.2">
      <c r="E172" s="3"/>
      <c r="F172" s="4"/>
      <c r="G172" s="3"/>
      <c r="H172" s="66"/>
      <c r="I172" s="4"/>
      <c r="J172" s="4"/>
      <c r="K172"/>
      <c r="L172"/>
      <c r="M172" s="4"/>
      <c r="N172" s="4"/>
    </row>
    <row r="173" spans="5:14" x14ac:dyDescent="0.2">
      <c r="E173" s="3"/>
      <c r="F173" s="4"/>
      <c r="G173" s="3"/>
      <c r="H173" s="66"/>
      <c r="I173" s="4"/>
      <c r="J173" s="4"/>
      <c r="K173"/>
      <c r="L173"/>
      <c r="M173" s="4"/>
      <c r="N173" s="4"/>
    </row>
    <row r="174" spans="5:14" x14ac:dyDescent="0.2">
      <c r="E174" s="3"/>
      <c r="F174" s="4"/>
      <c r="G174" s="3"/>
      <c r="H174" s="66"/>
      <c r="I174" s="4"/>
      <c r="J174" s="4"/>
      <c r="K174"/>
      <c r="L174"/>
      <c r="M174" s="4"/>
      <c r="N174" s="4"/>
    </row>
    <row r="175" spans="5:14" x14ac:dyDescent="0.2">
      <c r="E175" s="3"/>
      <c r="F175" s="4"/>
      <c r="G175" s="3"/>
      <c r="H175" s="66"/>
      <c r="I175" s="4"/>
      <c r="J175" s="4"/>
      <c r="K175"/>
      <c r="L175"/>
      <c r="M175" s="4"/>
      <c r="N175" s="4"/>
    </row>
    <row r="176" spans="5:14" x14ac:dyDescent="0.2">
      <c r="E176" s="3"/>
      <c r="F176" s="4"/>
      <c r="G176" s="3"/>
      <c r="H176" s="66"/>
      <c r="I176" s="4"/>
      <c r="J176" s="4"/>
      <c r="K176"/>
      <c r="L176"/>
      <c r="M176" s="4"/>
      <c r="N176" s="4"/>
    </row>
    <row r="177" spans="5:14" x14ac:dyDescent="0.2">
      <c r="E177" s="3"/>
      <c r="F177" s="4"/>
      <c r="G177" s="3"/>
      <c r="H177" s="66"/>
      <c r="I177" s="4"/>
      <c r="J177" s="4"/>
      <c r="K177"/>
      <c r="L177"/>
      <c r="M177" s="4"/>
      <c r="N177" s="4"/>
    </row>
    <row r="178" spans="5:14" x14ac:dyDescent="0.2">
      <c r="E178" s="3"/>
      <c r="F178" s="4"/>
      <c r="G178" s="3"/>
      <c r="H178" s="66"/>
      <c r="I178" s="4"/>
      <c r="J178" s="4"/>
      <c r="K178"/>
      <c r="L178"/>
      <c r="M178" s="4"/>
      <c r="N178" s="4"/>
    </row>
    <row r="179" spans="5:14" x14ac:dyDescent="0.2">
      <c r="E179" s="3"/>
      <c r="F179" s="4"/>
      <c r="G179" s="3"/>
      <c r="H179" s="66"/>
      <c r="I179" s="4"/>
      <c r="J179" s="4"/>
      <c r="K179"/>
      <c r="L179"/>
      <c r="M179" s="4"/>
      <c r="N179" s="4"/>
    </row>
    <row r="180" spans="5:14" x14ac:dyDescent="0.2">
      <c r="E180" s="3"/>
      <c r="F180" s="4"/>
      <c r="G180" s="3"/>
      <c r="H180" s="66"/>
      <c r="I180" s="4"/>
      <c r="J180" s="4"/>
      <c r="K180"/>
      <c r="L180"/>
      <c r="M180" s="4"/>
      <c r="N180" s="4"/>
    </row>
    <row r="181" spans="5:14" x14ac:dyDescent="0.2">
      <c r="E181" s="3"/>
      <c r="F181" s="4"/>
      <c r="G181" s="3"/>
      <c r="H181" s="66"/>
      <c r="I181" s="4"/>
      <c r="J181" s="4"/>
      <c r="K181"/>
      <c r="L181"/>
      <c r="M181" s="4"/>
      <c r="N181" s="4"/>
    </row>
    <row r="182" spans="5:14" x14ac:dyDescent="0.2">
      <c r="E182" s="3"/>
      <c r="F182" s="4"/>
      <c r="G182" s="3"/>
      <c r="H182" s="66"/>
      <c r="I182" s="4"/>
      <c r="J182" s="4"/>
      <c r="K182"/>
      <c r="L182"/>
      <c r="M182" s="4"/>
      <c r="N182" s="4"/>
    </row>
    <row r="183" spans="5:14" x14ac:dyDescent="0.2">
      <c r="E183" s="3"/>
      <c r="F183" s="4"/>
      <c r="G183" s="3"/>
      <c r="H183" s="66"/>
      <c r="I183" s="4"/>
      <c r="J183" s="4"/>
      <c r="K183"/>
      <c r="L183"/>
      <c r="M183" s="4"/>
      <c r="N183" s="4"/>
    </row>
    <row r="184" spans="5:14" x14ac:dyDescent="0.2">
      <c r="E184" s="3"/>
      <c r="F184" s="4"/>
      <c r="G184" s="3"/>
      <c r="H184" s="66"/>
      <c r="I184" s="4"/>
      <c r="J184" s="4"/>
      <c r="K184"/>
      <c r="L184"/>
      <c r="M184" s="4"/>
      <c r="N184" s="4"/>
    </row>
    <row r="185" spans="5:14" x14ac:dyDescent="0.2">
      <c r="E185" s="3"/>
      <c r="F185" s="4"/>
      <c r="G185" s="3"/>
      <c r="H185" s="66"/>
      <c r="I185" s="4"/>
      <c r="J185" s="4"/>
      <c r="K185"/>
      <c r="L185"/>
      <c r="M185" s="4"/>
      <c r="N185" s="4"/>
    </row>
    <row r="186" spans="5:14" x14ac:dyDescent="0.2">
      <c r="E186" s="3"/>
      <c r="F186" s="4"/>
      <c r="G186" s="3"/>
      <c r="H186" s="66"/>
      <c r="I186" s="4"/>
      <c r="J186" s="4"/>
      <c r="K186"/>
      <c r="L186"/>
      <c r="M186" s="4"/>
      <c r="N186" s="4"/>
    </row>
    <row r="187" spans="5:14" x14ac:dyDescent="0.2">
      <c r="E187" s="3"/>
      <c r="F187" s="4"/>
      <c r="G187" s="3"/>
      <c r="H187" s="66"/>
      <c r="I187" s="4"/>
      <c r="J187" s="4"/>
      <c r="K187"/>
      <c r="L187"/>
      <c r="M187" s="4"/>
      <c r="N187" s="4"/>
    </row>
    <row r="188" spans="5:14" x14ac:dyDescent="0.2">
      <c r="E188" s="3"/>
      <c r="F188" s="4"/>
      <c r="G188" s="3"/>
      <c r="H188" s="66"/>
      <c r="I188" s="4"/>
      <c r="J188" s="4"/>
      <c r="K188"/>
      <c r="L188"/>
      <c r="M188" s="4"/>
      <c r="N188" s="4"/>
    </row>
    <row r="189" spans="5:14" x14ac:dyDescent="0.2">
      <c r="E189" s="3"/>
      <c r="F189" s="4"/>
      <c r="G189" s="3"/>
      <c r="H189" s="66"/>
      <c r="I189" s="4"/>
      <c r="J189" s="4"/>
      <c r="K189"/>
      <c r="L189"/>
      <c r="M189" s="4"/>
      <c r="N189" s="4"/>
    </row>
    <row r="190" spans="5:14" x14ac:dyDescent="0.2">
      <c r="E190" s="3"/>
      <c r="F190" s="4"/>
      <c r="G190" s="3"/>
      <c r="H190" s="66"/>
      <c r="I190" s="4"/>
      <c r="J190" s="4"/>
      <c r="K190"/>
      <c r="L190"/>
      <c r="M190" s="4"/>
      <c r="N190" s="4"/>
    </row>
    <row r="191" spans="5:14" x14ac:dyDescent="0.2">
      <c r="E191" s="3"/>
      <c r="F191" s="4"/>
      <c r="G191" s="3"/>
      <c r="H191" s="66"/>
      <c r="I191" s="4"/>
      <c r="J191" s="4"/>
      <c r="K191"/>
      <c r="L191"/>
      <c r="M191" s="4"/>
      <c r="N191" s="4"/>
    </row>
    <row r="192" spans="5:14" x14ac:dyDescent="0.2">
      <c r="E192" s="3"/>
      <c r="F192" s="4"/>
      <c r="G192" s="3"/>
      <c r="H192" s="66"/>
      <c r="I192" s="4"/>
      <c r="J192" s="4"/>
      <c r="K192"/>
      <c r="L192"/>
      <c r="M192" s="4"/>
      <c r="N192" s="4"/>
    </row>
    <row r="193" spans="5:14" x14ac:dyDescent="0.2">
      <c r="E193" s="3"/>
      <c r="F193" s="4"/>
      <c r="G193" s="3"/>
      <c r="H193" s="66"/>
      <c r="I193" s="4"/>
      <c r="J193" s="4"/>
      <c r="K193"/>
      <c r="L193"/>
      <c r="M193" s="4"/>
      <c r="N193" s="4"/>
    </row>
    <row r="194" spans="5:14" x14ac:dyDescent="0.2">
      <c r="E194" s="3"/>
      <c r="F194" s="4"/>
      <c r="G194" s="3"/>
      <c r="H194" s="66"/>
      <c r="I194" s="4"/>
      <c r="J194" s="4"/>
      <c r="K194"/>
      <c r="L194"/>
      <c r="M194" s="4"/>
      <c r="N194" s="4"/>
    </row>
    <row r="195" spans="5:14" x14ac:dyDescent="0.2">
      <c r="E195" s="3"/>
      <c r="F195" s="4"/>
      <c r="G195" s="3"/>
      <c r="H195" s="66"/>
      <c r="I195" s="4"/>
      <c r="J195" s="4"/>
      <c r="K195"/>
      <c r="L195"/>
      <c r="M195" s="4"/>
      <c r="N195" s="4"/>
    </row>
    <row r="196" spans="5:14" x14ac:dyDescent="0.2">
      <c r="E196" s="3"/>
      <c r="F196" s="4"/>
      <c r="G196" s="3"/>
      <c r="H196" s="66"/>
      <c r="I196" s="4"/>
      <c r="J196" s="4"/>
      <c r="K196"/>
      <c r="L196"/>
      <c r="M196" s="4"/>
      <c r="N196" s="4"/>
    </row>
    <row r="197" spans="5:14" x14ac:dyDescent="0.2">
      <c r="E197" s="3"/>
      <c r="F197" s="4"/>
      <c r="G197" s="3"/>
      <c r="H197" s="66"/>
      <c r="I197" s="4"/>
      <c r="J197" s="4"/>
      <c r="K197"/>
      <c r="L197"/>
      <c r="M197" s="4"/>
      <c r="N197" s="4"/>
    </row>
    <row r="198" spans="5:14" x14ac:dyDescent="0.2">
      <c r="E198" s="3"/>
      <c r="F198" s="4"/>
      <c r="G198" s="3"/>
      <c r="H198" s="66"/>
      <c r="I198" s="4"/>
      <c r="J198" s="4"/>
      <c r="K198"/>
      <c r="L198"/>
      <c r="M198" s="4"/>
      <c r="N198" s="4"/>
    </row>
    <row r="199" spans="5:14" x14ac:dyDescent="0.2">
      <c r="E199" s="3"/>
      <c r="F199" s="4"/>
      <c r="G199" s="3"/>
      <c r="H199" s="66"/>
      <c r="I199" s="4"/>
      <c r="J199" s="4"/>
      <c r="K199"/>
      <c r="L199"/>
      <c r="M199" s="4"/>
      <c r="N199" s="4"/>
    </row>
    <row r="200" spans="5:14" x14ac:dyDescent="0.2">
      <c r="E200" s="3"/>
      <c r="F200" s="4"/>
      <c r="G200" s="3"/>
      <c r="H200" s="66"/>
      <c r="I200" s="4"/>
      <c r="J200" s="4"/>
      <c r="K200"/>
      <c r="L200"/>
      <c r="M200" s="4"/>
      <c r="N200" s="4"/>
    </row>
    <row r="201" spans="5:14" x14ac:dyDescent="0.2">
      <c r="E201" s="3"/>
      <c r="F201" s="4"/>
      <c r="G201" s="3"/>
      <c r="H201" s="66"/>
      <c r="I201" s="4"/>
      <c r="J201" s="4"/>
      <c r="K201"/>
      <c r="L201"/>
      <c r="M201" s="4"/>
      <c r="N201" s="4"/>
    </row>
    <row r="202" spans="5:14" x14ac:dyDescent="0.2">
      <c r="E202" s="3"/>
      <c r="F202" s="4"/>
      <c r="G202" s="3"/>
      <c r="H202" s="66"/>
      <c r="I202" s="4"/>
      <c r="J202" s="4"/>
      <c r="K202"/>
      <c r="L202"/>
      <c r="M202" s="4"/>
      <c r="N202" s="4"/>
    </row>
    <row r="203" spans="5:14" x14ac:dyDescent="0.2">
      <c r="E203" s="3"/>
      <c r="F203" s="4"/>
      <c r="G203" s="3"/>
      <c r="H203" s="66"/>
      <c r="I203" s="4"/>
      <c r="J203" s="4"/>
      <c r="K203"/>
      <c r="L203"/>
      <c r="M203" s="4"/>
      <c r="N203" s="4"/>
    </row>
    <row r="204" spans="5:14" x14ac:dyDescent="0.2">
      <c r="E204" s="3"/>
      <c r="F204" s="4"/>
      <c r="G204" s="3"/>
      <c r="H204" s="66"/>
      <c r="I204" s="4"/>
      <c r="J204" s="4"/>
      <c r="K204"/>
      <c r="L204"/>
      <c r="M204" s="4"/>
      <c r="N204" s="4"/>
    </row>
    <row r="205" spans="5:14" x14ac:dyDescent="0.2">
      <c r="E205" s="3"/>
      <c r="F205" s="4"/>
      <c r="G205" s="3"/>
      <c r="H205" s="66"/>
      <c r="I205" s="4"/>
      <c r="J205" s="4"/>
      <c r="K205"/>
      <c r="L205"/>
      <c r="M205" s="4"/>
      <c r="N205" s="4"/>
    </row>
    <row r="206" spans="5:14" x14ac:dyDescent="0.2">
      <c r="E206" s="3"/>
      <c r="F206" s="4"/>
      <c r="G206" s="3"/>
      <c r="H206" s="66"/>
      <c r="I206" s="4"/>
      <c r="J206" s="4"/>
      <c r="K206"/>
      <c r="L206"/>
      <c r="M206" s="4"/>
      <c r="N206" s="4"/>
    </row>
    <row r="207" spans="5:14" x14ac:dyDescent="0.2">
      <c r="E207" s="3"/>
      <c r="F207" s="4"/>
      <c r="G207" s="3"/>
      <c r="H207" s="66"/>
      <c r="I207" s="4"/>
      <c r="J207" s="4"/>
      <c r="K207"/>
      <c r="L207"/>
      <c r="M207" s="4"/>
      <c r="N207" s="4"/>
    </row>
    <row r="208" spans="5:14" x14ac:dyDescent="0.2">
      <c r="E208" s="3"/>
      <c r="F208" s="4"/>
      <c r="G208" s="3"/>
      <c r="H208" s="66"/>
      <c r="I208" s="4"/>
      <c r="J208" s="4"/>
      <c r="K208"/>
      <c r="L208"/>
      <c r="M208" s="4"/>
      <c r="N208" s="4"/>
    </row>
    <row r="209" spans="5:14" x14ac:dyDescent="0.2">
      <c r="E209" s="3"/>
      <c r="F209" s="4"/>
      <c r="G209" s="3"/>
      <c r="H209" s="66"/>
      <c r="I209" s="4"/>
      <c r="J209" s="4"/>
      <c r="K209"/>
      <c r="L209"/>
      <c r="M209" s="4"/>
      <c r="N209" s="4"/>
    </row>
    <row r="210" spans="5:14" x14ac:dyDescent="0.2">
      <c r="E210" s="3"/>
      <c r="F210" s="4"/>
      <c r="G210" s="3"/>
      <c r="H210" s="66"/>
      <c r="I210" s="4"/>
      <c r="J210" s="4"/>
      <c r="K210"/>
      <c r="L210"/>
      <c r="M210" s="4"/>
      <c r="N210" s="4"/>
    </row>
    <row r="211" spans="5:14" x14ac:dyDescent="0.2">
      <c r="E211" s="3"/>
      <c r="F211" s="4"/>
      <c r="G211" s="3"/>
      <c r="H211" s="66"/>
      <c r="I211" s="4"/>
      <c r="J211" s="4"/>
      <c r="K211"/>
      <c r="L211"/>
      <c r="M211" s="4"/>
      <c r="N211" s="4"/>
    </row>
    <row r="212" spans="5:14" x14ac:dyDescent="0.2">
      <c r="E212" s="3"/>
      <c r="F212" s="4"/>
      <c r="G212" s="3"/>
      <c r="H212" s="66"/>
      <c r="I212" s="4"/>
      <c r="J212" s="4"/>
      <c r="K212"/>
      <c r="L212"/>
      <c r="M212" s="4"/>
      <c r="N212" s="4"/>
    </row>
    <row r="213" spans="5:14" x14ac:dyDescent="0.2">
      <c r="E213" s="3"/>
      <c r="F213" s="4"/>
      <c r="G213" s="3"/>
      <c r="H213" s="66"/>
      <c r="I213" s="4"/>
      <c r="J213" s="4"/>
      <c r="K213"/>
      <c r="L213"/>
      <c r="M213" s="4"/>
      <c r="N213" s="4"/>
    </row>
    <row r="214" spans="5:14" x14ac:dyDescent="0.2">
      <c r="E214" s="3"/>
      <c r="F214" s="4"/>
      <c r="G214" s="3"/>
      <c r="H214" s="66"/>
      <c r="I214" s="4"/>
      <c r="J214" s="4"/>
      <c r="K214"/>
      <c r="L214"/>
      <c r="M214" s="4"/>
      <c r="N214" s="4"/>
    </row>
    <row r="215" spans="5:14" x14ac:dyDescent="0.2">
      <c r="E215" s="3"/>
      <c r="F215" s="4"/>
      <c r="G215" s="3"/>
      <c r="H215" s="66"/>
      <c r="I215" s="4"/>
      <c r="J215" s="4"/>
      <c r="K215"/>
      <c r="L215"/>
      <c r="M215" s="4"/>
      <c r="N215" s="4"/>
    </row>
    <row r="216" spans="5:14" x14ac:dyDescent="0.2">
      <c r="E216" s="3"/>
      <c r="F216" s="4"/>
      <c r="G216" s="3"/>
      <c r="H216" s="66"/>
      <c r="I216" s="4"/>
      <c r="J216" s="4"/>
      <c r="K216"/>
      <c r="L216"/>
      <c r="M216" s="4"/>
      <c r="N216" s="4"/>
    </row>
    <row r="217" spans="5:14" x14ac:dyDescent="0.2">
      <c r="E217" s="3"/>
      <c r="F217" s="4"/>
      <c r="G217" s="3"/>
      <c r="H217" s="66"/>
      <c r="I217" s="4"/>
      <c r="J217" s="4"/>
      <c r="K217"/>
      <c r="L217"/>
      <c r="M217" s="4"/>
      <c r="N217" s="4"/>
    </row>
    <row r="218" spans="5:14" x14ac:dyDescent="0.2">
      <c r="E218" s="3"/>
      <c r="F218" s="4"/>
      <c r="G218" s="3"/>
      <c r="H218" s="66"/>
      <c r="I218" s="4"/>
      <c r="J218" s="4"/>
      <c r="K218"/>
      <c r="L218"/>
      <c r="M218" s="4"/>
      <c r="N218" s="4"/>
    </row>
    <row r="219" spans="5:14" x14ac:dyDescent="0.2">
      <c r="E219" s="3"/>
      <c r="F219" s="4"/>
      <c r="G219" s="3"/>
      <c r="H219" s="66"/>
      <c r="I219" s="4"/>
      <c r="J219" s="4"/>
      <c r="K219"/>
      <c r="L219"/>
      <c r="M219" s="4"/>
      <c r="N219" s="4"/>
    </row>
    <row r="220" spans="5:14" x14ac:dyDescent="0.2">
      <c r="E220" s="3"/>
      <c r="F220" s="4"/>
      <c r="G220" s="3"/>
      <c r="H220" s="66"/>
      <c r="I220" s="4"/>
      <c r="J220" s="4"/>
      <c r="K220"/>
      <c r="L220"/>
      <c r="M220" s="4"/>
      <c r="N220" s="4"/>
    </row>
    <row r="221" spans="5:14" x14ac:dyDescent="0.2">
      <c r="E221" s="3"/>
      <c r="F221" s="4"/>
      <c r="G221" s="3"/>
      <c r="H221" s="66"/>
      <c r="I221" s="4"/>
      <c r="J221" s="4"/>
      <c r="K221"/>
      <c r="L221"/>
      <c r="M221" s="4"/>
      <c r="N221" s="4"/>
    </row>
    <row r="222" spans="5:14" x14ac:dyDescent="0.2">
      <c r="E222" s="3"/>
      <c r="F222" s="4"/>
      <c r="G222" s="3"/>
      <c r="H222" s="66"/>
      <c r="I222" s="4"/>
      <c r="J222" s="4"/>
      <c r="K222"/>
      <c r="L222"/>
      <c r="M222" s="4"/>
      <c r="N222" s="4"/>
    </row>
    <row r="223" spans="5:14" x14ac:dyDescent="0.2">
      <c r="E223" s="3"/>
      <c r="F223" s="4"/>
      <c r="G223" s="3"/>
      <c r="H223" s="66"/>
      <c r="I223" s="4"/>
      <c r="J223" s="4"/>
      <c r="K223"/>
      <c r="L223"/>
      <c r="M223" s="4"/>
      <c r="N223" s="4"/>
    </row>
    <row r="224" spans="5:14" x14ac:dyDescent="0.2">
      <c r="E224" s="3"/>
      <c r="F224" s="4"/>
      <c r="G224" s="3"/>
      <c r="H224" s="66"/>
      <c r="I224" s="4"/>
      <c r="J224" s="4"/>
      <c r="K224"/>
      <c r="L224"/>
      <c r="M224" s="4"/>
      <c r="N224" s="4"/>
    </row>
    <row r="225" spans="5:14" x14ac:dyDescent="0.2">
      <c r="E225" s="3"/>
      <c r="F225" s="4"/>
      <c r="G225" s="3"/>
      <c r="H225" s="66"/>
      <c r="I225" s="4"/>
      <c r="J225" s="4"/>
      <c r="K225"/>
      <c r="L225"/>
      <c r="M225" s="4"/>
      <c r="N225" s="4"/>
    </row>
    <row r="226" spans="5:14" x14ac:dyDescent="0.2">
      <c r="E226" s="3"/>
      <c r="F226" s="4"/>
      <c r="G226" s="3"/>
      <c r="H226" s="66"/>
      <c r="I226" s="4"/>
      <c r="J226" s="4"/>
      <c r="K226"/>
      <c r="L226"/>
      <c r="M226" s="4"/>
      <c r="N226" s="4"/>
    </row>
    <row r="227" spans="5:14" x14ac:dyDescent="0.2">
      <c r="E227" s="3"/>
      <c r="F227" s="4"/>
      <c r="G227" s="3"/>
      <c r="H227" s="66"/>
      <c r="I227" s="4"/>
      <c r="J227" s="4"/>
      <c r="K227"/>
      <c r="L227"/>
      <c r="M227" s="4"/>
      <c r="N227" s="4"/>
    </row>
    <row r="228" spans="5:14" x14ac:dyDescent="0.2">
      <c r="E228" s="3"/>
      <c r="F228" s="4"/>
      <c r="G228" s="3"/>
      <c r="H228" s="66"/>
      <c r="I228" s="4"/>
      <c r="J228" s="4"/>
      <c r="K228"/>
      <c r="L228"/>
      <c r="M228" s="4"/>
      <c r="N228" s="4"/>
    </row>
    <row r="229" spans="5:14" x14ac:dyDescent="0.2">
      <c r="E229" s="3"/>
      <c r="F229" s="4"/>
      <c r="G229" s="3"/>
      <c r="H229" s="66"/>
      <c r="I229" s="4"/>
      <c r="J229" s="4"/>
      <c r="K229"/>
      <c r="L229"/>
      <c r="M229" s="4"/>
      <c r="N229" s="4"/>
    </row>
    <row r="230" spans="5:14" x14ac:dyDescent="0.2">
      <c r="E230" s="3"/>
      <c r="F230" s="4"/>
      <c r="G230" s="3"/>
      <c r="H230" s="66"/>
      <c r="I230" s="4"/>
      <c r="J230" s="4"/>
      <c r="K230"/>
      <c r="L230"/>
      <c r="M230" s="4"/>
      <c r="N230" s="4"/>
    </row>
    <row r="231" spans="5:14" x14ac:dyDescent="0.2">
      <c r="E231" s="3"/>
      <c r="F231" s="4"/>
      <c r="G231" s="3"/>
      <c r="H231" s="66"/>
      <c r="I231" s="4"/>
      <c r="J231" s="4"/>
      <c r="K231"/>
      <c r="L231"/>
      <c r="M231" s="4"/>
      <c r="N231" s="4"/>
    </row>
    <row r="232" spans="5:14" x14ac:dyDescent="0.2">
      <c r="E232" s="3"/>
      <c r="F232" s="4"/>
      <c r="G232" s="3"/>
      <c r="H232" s="66"/>
      <c r="I232" s="4"/>
      <c r="J232" s="4"/>
      <c r="K232"/>
      <c r="L232"/>
      <c r="M232" s="4"/>
      <c r="N232" s="4"/>
    </row>
    <row r="233" spans="5:14" x14ac:dyDescent="0.2">
      <c r="E233" s="3"/>
      <c r="F233" s="4"/>
      <c r="G233" s="3"/>
      <c r="H233" s="66"/>
      <c r="I233" s="4"/>
      <c r="J233" s="4"/>
      <c r="K233"/>
      <c r="L233"/>
      <c r="M233" s="4"/>
      <c r="N233" s="4"/>
    </row>
    <row r="234" spans="5:14" x14ac:dyDescent="0.2">
      <c r="E234" s="3"/>
      <c r="F234" s="4"/>
      <c r="G234" s="3"/>
      <c r="H234" s="66"/>
      <c r="I234" s="4"/>
      <c r="J234" s="4"/>
      <c r="K234"/>
      <c r="L234"/>
      <c r="M234" s="4"/>
      <c r="N234" s="4"/>
    </row>
    <row r="235" spans="5:14" x14ac:dyDescent="0.2">
      <c r="E235" s="3"/>
      <c r="F235" s="4"/>
      <c r="G235" s="3"/>
      <c r="H235" s="66"/>
      <c r="I235" s="4"/>
      <c r="J235" s="4"/>
      <c r="K235"/>
      <c r="L235"/>
      <c r="M235" s="4"/>
      <c r="N235" s="4"/>
    </row>
    <row r="236" spans="5:14" x14ac:dyDescent="0.2">
      <c r="E236" s="3"/>
      <c r="F236" s="4"/>
      <c r="G236" s="3"/>
      <c r="H236" s="66"/>
      <c r="I236" s="4"/>
      <c r="J236" s="4"/>
      <c r="K236"/>
      <c r="L236"/>
      <c r="M236" s="4"/>
      <c r="N236" s="4"/>
    </row>
    <row r="237" spans="5:14" x14ac:dyDescent="0.2">
      <c r="E237" s="3"/>
      <c r="F237" s="4"/>
      <c r="G237" s="3"/>
      <c r="H237" s="66"/>
      <c r="I237" s="4"/>
      <c r="J237" s="4"/>
      <c r="K237"/>
      <c r="L237"/>
      <c r="M237" s="4"/>
      <c r="N237" s="4"/>
    </row>
    <row r="238" spans="5:14" x14ac:dyDescent="0.2">
      <c r="E238" s="3"/>
      <c r="F238" s="4"/>
      <c r="G238" s="3"/>
      <c r="H238" s="66"/>
      <c r="I238" s="4"/>
      <c r="J238" s="4"/>
      <c r="K238"/>
      <c r="L238"/>
      <c r="M238" s="4"/>
      <c r="N238" s="4"/>
    </row>
    <row r="239" spans="5:14" x14ac:dyDescent="0.2">
      <c r="E239" s="3"/>
      <c r="F239" s="4"/>
      <c r="G239" s="3"/>
      <c r="H239" s="66"/>
      <c r="I239" s="4"/>
      <c r="J239" s="4"/>
      <c r="K239"/>
      <c r="L239"/>
      <c r="M239" s="4"/>
      <c r="N239" s="4"/>
    </row>
    <row r="240" spans="5:14" x14ac:dyDescent="0.2">
      <c r="E240" s="3"/>
      <c r="F240" s="4"/>
      <c r="G240" s="3"/>
      <c r="H240" s="66"/>
      <c r="I240" s="4"/>
      <c r="J240" s="4"/>
      <c r="K240"/>
      <c r="L240"/>
      <c r="M240" s="4"/>
      <c r="N240" s="4"/>
    </row>
    <row r="241" spans="5:14" x14ac:dyDescent="0.2">
      <c r="E241" s="3"/>
      <c r="F241" s="4"/>
      <c r="G241" s="3"/>
      <c r="H241" s="66"/>
      <c r="I241" s="4"/>
      <c r="J241" s="4"/>
      <c r="K241"/>
      <c r="L241"/>
      <c r="M241" s="4"/>
      <c r="N241" s="4"/>
    </row>
    <row r="242" spans="5:14" x14ac:dyDescent="0.2">
      <c r="E242" s="3"/>
      <c r="F242" s="4"/>
      <c r="G242" s="3"/>
      <c r="H242" s="66"/>
      <c r="I242" s="4"/>
      <c r="J242" s="4"/>
      <c r="K242"/>
      <c r="L242"/>
      <c r="M242" s="4"/>
      <c r="N242" s="4"/>
    </row>
    <row r="243" spans="5:14" x14ac:dyDescent="0.2">
      <c r="E243" s="3"/>
      <c r="F243" s="4"/>
      <c r="G243" s="3"/>
      <c r="H243" s="66"/>
      <c r="I243" s="4"/>
      <c r="J243" s="4"/>
      <c r="K243"/>
      <c r="L243"/>
      <c r="M243" s="4"/>
      <c r="N243" s="4"/>
    </row>
    <row r="244" spans="5:14" x14ac:dyDescent="0.2">
      <c r="E244" s="3"/>
      <c r="F244" s="4"/>
      <c r="G244" s="3"/>
      <c r="H244" s="66"/>
      <c r="I244" s="4"/>
      <c r="J244" s="4"/>
      <c r="K244"/>
      <c r="L244"/>
      <c r="M244" s="4"/>
      <c r="N244" s="4"/>
    </row>
    <row r="245" spans="5:14" x14ac:dyDescent="0.2">
      <c r="E245" s="3"/>
      <c r="F245" s="4"/>
      <c r="G245" s="3"/>
      <c r="H245" s="66"/>
      <c r="I245" s="4"/>
      <c r="J245" s="4"/>
      <c r="K245"/>
      <c r="L245"/>
      <c r="M245" s="4"/>
      <c r="N245" s="4"/>
    </row>
    <row r="246" spans="5:14" x14ac:dyDescent="0.2">
      <c r="E246" s="3"/>
      <c r="F246" s="4"/>
      <c r="G246" s="3"/>
      <c r="H246" s="66"/>
      <c r="I246" s="4"/>
      <c r="J246" s="4"/>
      <c r="K246"/>
      <c r="L246"/>
      <c r="M246" s="4"/>
      <c r="N246" s="4"/>
    </row>
    <row r="247" spans="5:14" x14ac:dyDescent="0.2">
      <c r="E247" s="3"/>
      <c r="F247" s="4"/>
      <c r="G247" s="3"/>
      <c r="H247" s="66"/>
      <c r="I247" s="4"/>
      <c r="J247" s="4"/>
      <c r="K247"/>
      <c r="L247"/>
      <c r="M247" s="4"/>
      <c r="N247" s="4"/>
    </row>
    <row r="248" spans="5:14" x14ac:dyDescent="0.2">
      <c r="E248" s="3"/>
      <c r="F248" s="4"/>
      <c r="G248" s="3"/>
      <c r="H248" s="66"/>
      <c r="I248" s="4"/>
      <c r="J248" s="4"/>
      <c r="K248"/>
      <c r="L248"/>
      <c r="M248" s="4"/>
      <c r="N248" s="4"/>
    </row>
    <row r="249" spans="5:14" x14ac:dyDescent="0.2">
      <c r="E249" s="3"/>
      <c r="F249" s="4"/>
      <c r="G249" s="3"/>
      <c r="H249" s="66"/>
      <c r="I249" s="4"/>
      <c r="J249" s="4"/>
      <c r="K249"/>
      <c r="L249"/>
      <c r="M249" s="4"/>
      <c r="N249" s="4"/>
    </row>
    <row r="250" spans="5:14" x14ac:dyDescent="0.2">
      <c r="E250" s="3"/>
      <c r="F250" s="4"/>
      <c r="G250" s="3"/>
      <c r="H250" s="66"/>
      <c r="I250" s="4"/>
      <c r="J250" s="4"/>
      <c r="K250"/>
      <c r="L250"/>
      <c r="M250" s="4"/>
      <c r="N250" s="4"/>
    </row>
    <row r="251" spans="5:14" x14ac:dyDescent="0.2">
      <c r="E251" s="3"/>
      <c r="F251" s="4"/>
      <c r="G251" s="3"/>
      <c r="H251" s="66"/>
      <c r="I251" s="4"/>
      <c r="J251" s="4"/>
      <c r="K251"/>
      <c r="L251"/>
      <c r="M251" s="4"/>
      <c r="N251" s="4"/>
    </row>
    <row r="252" spans="5:14" x14ac:dyDescent="0.2">
      <c r="E252" s="3"/>
      <c r="F252" s="4"/>
      <c r="G252" s="3"/>
      <c r="H252" s="66"/>
      <c r="I252" s="4"/>
      <c r="J252" s="4"/>
      <c r="K252"/>
      <c r="L252"/>
      <c r="M252" s="4"/>
      <c r="N252" s="4"/>
    </row>
    <row r="253" spans="5:14" x14ac:dyDescent="0.2">
      <c r="E253" s="3"/>
      <c r="F253" s="4"/>
      <c r="G253" s="3"/>
      <c r="H253" s="66"/>
      <c r="I253" s="4"/>
      <c r="J253" s="4"/>
      <c r="K253"/>
      <c r="L253"/>
      <c r="M253" s="4"/>
      <c r="N253" s="4"/>
    </row>
    <row r="254" spans="5:14" x14ac:dyDescent="0.2">
      <c r="E254" s="3"/>
      <c r="F254" s="4"/>
      <c r="G254" s="3"/>
      <c r="H254" s="66"/>
      <c r="I254" s="4"/>
      <c r="J254" s="4"/>
      <c r="K254"/>
      <c r="L254"/>
      <c r="M254" s="4"/>
      <c r="N254" s="4"/>
    </row>
    <row r="255" spans="5:14" x14ac:dyDescent="0.2">
      <c r="E255" s="3"/>
      <c r="F255" s="4"/>
      <c r="G255" s="3"/>
      <c r="H255" s="66"/>
      <c r="I255" s="4"/>
      <c r="J255" s="4"/>
      <c r="K255"/>
      <c r="L255"/>
      <c r="M255" s="4"/>
      <c r="N255" s="4"/>
    </row>
    <row r="256" spans="5:14" x14ac:dyDescent="0.2">
      <c r="E256" s="3"/>
      <c r="F256" s="4"/>
      <c r="G256" s="3"/>
      <c r="H256" s="66"/>
      <c r="I256" s="4"/>
      <c r="J256" s="4"/>
      <c r="K256"/>
      <c r="L256"/>
      <c r="M256" s="4"/>
      <c r="N256" s="4"/>
    </row>
    <row r="257" spans="5:14" x14ac:dyDescent="0.2">
      <c r="E257" s="3"/>
      <c r="F257" s="4"/>
      <c r="G257" s="3"/>
      <c r="H257" s="66"/>
      <c r="I257" s="4"/>
      <c r="J257" s="4"/>
      <c r="K257"/>
      <c r="L257"/>
      <c r="M257" s="4"/>
      <c r="N257" s="4"/>
    </row>
    <row r="258" spans="5:14" x14ac:dyDescent="0.2">
      <c r="E258" s="3"/>
      <c r="F258" s="4"/>
      <c r="G258" s="3"/>
      <c r="H258" s="66"/>
      <c r="I258" s="4"/>
      <c r="J258" s="4"/>
      <c r="K258"/>
      <c r="L258"/>
      <c r="M258" s="4"/>
      <c r="N258" s="4"/>
    </row>
    <row r="259" spans="5:14" x14ac:dyDescent="0.2">
      <c r="E259" s="3"/>
      <c r="F259" s="4"/>
      <c r="G259" s="3"/>
      <c r="H259" s="66"/>
      <c r="I259" s="4"/>
      <c r="J259" s="4"/>
      <c r="K259"/>
      <c r="L259"/>
      <c r="M259" s="4"/>
      <c r="N259" s="4"/>
    </row>
    <row r="260" spans="5:14" x14ac:dyDescent="0.2">
      <c r="E260" s="3"/>
      <c r="F260" s="4"/>
      <c r="G260" s="3"/>
      <c r="H260" s="66"/>
      <c r="I260" s="4"/>
      <c r="J260" s="4"/>
      <c r="K260"/>
      <c r="L260"/>
      <c r="M260" s="4"/>
      <c r="N260" s="4"/>
    </row>
    <row r="261" spans="5:14" x14ac:dyDescent="0.2">
      <c r="E261" s="3"/>
      <c r="F261" s="4"/>
      <c r="G261" s="3"/>
      <c r="H261" s="66"/>
      <c r="I261" s="4"/>
      <c r="J261" s="4"/>
      <c r="K261"/>
      <c r="L261"/>
      <c r="M261" s="4"/>
      <c r="N261" s="4"/>
    </row>
    <row r="262" spans="5:14" x14ac:dyDescent="0.2">
      <c r="E262" s="3"/>
      <c r="F262" s="4"/>
      <c r="G262" s="3"/>
      <c r="H262" s="66"/>
      <c r="I262" s="4"/>
      <c r="J262" s="4"/>
      <c r="K262"/>
      <c r="L262"/>
      <c r="M262" s="4"/>
      <c r="N262" s="4"/>
    </row>
    <row r="263" spans="5:14" x14ac:dyDescent="0.2">
      <c r="E263" s="3"/>
      <c r="F263" s="4"/>
      <c r="G263" s="3"/>
      <c r="H263" s="66"/>
      <c r="I263" s="4"/>
      <c r="J263" s="4"/>
      <c r="K263"/>
      <c r="L263"/>
      <c r="M263" s="4"/>
      <c r="N263" s="4"/>
    </row>
    <row r="264" spans="5:14" x14ac:dyDescent="0.2">
      <c r="E264" s="3"/>
      <c r="F264" s="4"/>
      <c r="G264" s="3"/>
      <c r="H264" s="66"/>
      <c r="I264" s="4"/>
      <c r="J264" s="4"/>
      <c r="K264"/>
      <c r="L264"/>
      <c r="M264" s="4"/>
      <c r="N264" s="4"/>
    </row>
    <row r="265" spans="5:14" x14ac:dyDescent="0.2">
      <c r="E265" s="3"/>
      <c r="F265" s="4"/>
      <c r="G265" s="3"/>
      <c r="H265" s="66"/>
      <c r="I265" s="4"/>
      <c r="J265" s="4"/>
      <c r="K265"/>
      <c r="L265"/>
      <c r="M265" s="4"/>
      <c r="N265" s="4"/>
    </row>
    <row r="266" spans="5:14" x14ac:dyDescent="0.2">
      <c r="E266" s="3"/>
      <c r="F266" s="4"/>
      <c r="G266" s="3"/>
      <c r="H266" s="66"/>
      <c r="I266" s="4"/>
      <c r="J266" s="4"/>
      <c r="K266"/>
      <c r="L266"/>
      <c r="M266" s="4"/>
      <c r="N266" s="4"/>
    </row>
    <row r="267" spans="5:14" x14ac:dyDescent="0.2">
      <c r="E267" s="3"/>
      <c r="F267" s="4"/>
      <c r="G267" s="3"/>
      <c r="H267" s="66"/>
      <c r="I267" s="4"/>
      <c r="J267" s="4"/>
      <c r="K267"/>
      <c r="L267"/>
      <c r="M267" s="4"/>
      <c r="N267" s="4"/>
    </row>
    <row r="268" spans="5:14" x14ac:dyDescent="0.2">
      <c r="E268" s="3"/>
      <c r="F268" s="4"/>
      <c r="G268" s="3"/>
      <c r="H268" s="66"/>
      <c r="I268" s="4"/>
      <c r="J268" s="4"/>
      <c r="K268"/>
      <c r="L268"/>
      <c r="M268" s="4"/>
      <c r="N268" s="4"/>
    </row>
    <row r="269" spans="5:14" x14ac:dyDescent="0.2">
      <c r="E269" s="3"/>
      <c r="F269" s="4"/>
      <c r="G269" s="3"/>
      <c r="H269" s="66"/>
      <c r="I269" s="4"/>
      <c r="J269" s="4"/>
      <c r="K269"/>
      <c r="L269"/>
      <c r="M269" s="4"/>
      <c r="N269" s="4"/>
    </row>
    <row r="270" spans="5:14" x14ac:dyDescent="0.2">
      <c r="E270" s="3"/>
      <c r="F270" s="4"/>
      <c r="G270" s="3"/>
      <c r="H270" s="66"/>
      <c r="I270" s="4"/>
      <c r="J270" s="4"/>
      <c r="K270"/>
      <c r="L270"/>
      <c r="M270" s="4"/>
      <c r="N270" s="4"/>
    </row>
    <row r="271" spans="5:14" x14ac:dyDescent="0.2">
      <c r="E271" s="3"/>
      <c r="F271" s="4"/>
      <c r="G271" s="3"/>
      <c r="H271" s="66"/>
      <c r="I271" s="4"/>
      <c r="J271" s="4"/>
      <c r="K271"/>
      <c r="L271"/>
      <c r="M271" s="4"/>
      <c r="N271" s="4"/>
    </row>
    <row r="272" spans="5:14" x14ac:dyDescent="0.2">
      <c r="E272" s="3"/>
      <c r="F272" s="4"/>
      <c r="G272" s="3"/>
      <c r="H272" s="66"/>
      <c r="I272" s="4"/>
      <c r="J272" s="4"/>
      <c r="K272"/>
      <c r="L272"/>
      <c r="M272" s="4"/>
      <c r="N272" s="4"/>
    </row>
    <row r="273" spans="5:14" x14ac:dyDescent="0.2">
      <c r="E273" s="3"/>
      <c r="F273" s="4"/>
      <c r="G273" s="3"/>
      <c r="H273" s="66"/>
      <c r="I273" s="4"/>
      <c r="J273" s="4"/>
      <c r="K273"/>
      <c r="L273"/>
      <c r="M273" s="4"/>
      <c r="N273" s="4"/>
    </row>
    <row r="274" spans="5:14" x14ac:dyDescent="0.2">
      <c r="E274" s="3"/>
      <c r="F274" s="4"/>
      <c r="G274" s="3"/>
      <c r="H274" s="66"/>
      <c r="I274" s="4"/>
      <c r="J274" s="4"/>
      <c r="K274"/>
      <c r="L274"/>
      <c r="M274" s="4"/>
      <c r="N274" s="4"/>
    </row>
    <row r="275" spans="5:14" x14ac:dyDescent="0.2">
      <c r="E275" s="3"/>
      <c r="F275" s="4"/>
      <c r="G275" s="3"/>
      <c r="H275" s="66"/>
      <c r="I275" s="4"/>
      <c r="J275" s="4"/>
      <c r="K275"/>
      <c r="L275"/>
      <c r="M275" s="4"/>
      <c r="N275" s="4"/>
    </row>
    <row r="276" spans="5:14" x14ac:dyDescent="0.2">
      <c r="E276" s="3"/>
      <c r="F276" s="4"/>
      <c r="G276" s="3"/>
      <c r="H276" s="66"/>
      <c r="I276" s="4"/>
      <c r="J276" s="4"/>
      <c r="K276"/>
      <c r="L276"/>
      <c r="M276" s="4"/>
      <c r="N276" s="4"/>
    </row>
    <row r="277" spans="5:14" x14ac:dyDescent="0.2">
      <c r="E277" s="3"/>
      <c r="F277" s="4"/>
      <c r="G277" s="3"/>
      <c r="H277" s="66"/>
      <c r="I277" s="4"/>
      <c r="J277" s="4"/>
      <c r="K277"/>
      <c r="L277"/>
      <c r="M277" s="4"/>
      <c r="N277" s="4"/>
    </row>
    <row r="278" spans="5:14" x14ac:dyDescent="0.2">
      <c r="E278" s="3"/>
      <c r="F278" s="4"/>
      <c r="G278" s="3"/>
      <c r="H278" s="66"/>
      <c r="I278" s="4"/>
      <c r="J278" s="4"/>
      <c r="K278"/>
      <c r="L278"/>
      <c r="M278" s="4"/>
      <c r="N278" s="4"/>
    </row>
    <row r="279" spans="5:14" x14ac:dyDescent="0.2">
      <c r="E279" s="3"/>
      <c r="F279" s="4"/>
      <c r="G279" s="3"/>
      <c r="H279" s="66"/>
      <c r="I279" s="4"/>
      <c r="J279" s="4"/>
      <c r="K279"/>
      <c r="L279"/>
      <c r="M279" s="4"/>
      <c r="N279" s="4"/>
    </row>
    <row r="280" spans="5:14" x14ac:dyDescent="0.2">
      <c r="E280" s="3"/>
      <c r="F280" s="4"/>
      <c r="G280" s="3"/>
      <c r="H280" s="66"/>
      <c r="I280" s="4"/>
      <c r="J280" s="4"/>
      <c r="K280"/>
      <c r="L280"/>
      <c r="M280" s="4"/>
      <c r="N280" s="4"/>
    </row>
    <row r="281" spans="5:14" x14ac:dyDescent="0.2">
      <c r="E281" s="3"/>
      <c r="F281" s="4"/>
      <c r="G281" s="3"/>
      <c r="H281" s="66"/>
      <c r="I281" s="4"/>
      <c r="J281" s="4"/>
      <c r="K281"/>
      <c r="L281"/>
      <c r="M281" s="4"/>
      <c r="N281" s="4"/>
    </row>
    <row r="282" spans="5:14" x14ac:dyDescent="0.2">
      <c r="E282" s="3"/>
      <c r="F282" s="4"/>
      <c r="G282" s="3"/>
      <c r="H282" s="66"/>
      <c r="I282" s="4"/>
      <c r="J282" s="4"/>
      <c r="K282"/>
      <c r="L282"/>
      <c r="M282" s="4"/>
      <c r="N282" s="4"/>
    </row>
    <row r="283" spans="5:14" x14ac:dyDescent="0.2">
      <c r="E283" s="3"/>
      <c r="F283" s="4"/>
      <c r="G283" s="3"/>
      <c r="H283" s="66"/>
      <c r="I283" s="4"/>
      <c r="J283" s="4"/>
      <c r="K283"/>
      <c r="L283"/>
      <c r="M283" s="4"/>
      <c r="N283" s="4"/>
    </row>
    <row r="284" spans="5:14" x14ac:dyDescent="0.2">
      <c r="E284" s="3"/>
      <c r="F284" s="4"/>
      <c r="G284" s="3"/>
      <c r="H284" s="66"/>
      <c r="I284" s="4"/>
      <c r="J284" s="4"/>
      <c r="K284"/>
      <c r="L284"/>
      <c r="M284" s="4"/>
      <c r="N284" s="4"/>
    </row>
    <row r="285" spans="5:14" x14ac:dyDescent="0.2">
      <c r="E285" s="3"/>
      <c r="F285" s="4"/>
      <c r="G285" s="3"/>
      <c r="H285" s="66"/>
      <c r="I285" s="4"/>
      <c r="J285" s="4"/>
      <c r="K285"/>
      <c r="L285"/>
      <c r="M285" s="4"/>
      <c r="N285" s="4"/>
    </row>
    <row r="286" spans="5:14" x14ac:dyDescent="0.2">
      <c r="E286" s="3"/>
      <c r="F286" s="4"/>
      <c r="G286" s="3"/>
      <c r="H286" s="66"/>
      <c r="I286" s="4"/>
      <c r="J286" s="4"/>
      <c r="K286"/>
      <c r="L286"/>
      <c r="M286" s="4"/>
      <c r="N286" s="4"/>
    </row>
    <row r="287" spans="5:14" x14ac:dyDescent="0.2">
      <c r="E287" s="3"/>
      <c r="F287" s="4"/>
      <c r="G287" s="3"/>
      <c r="H287" s="66"/>
      <c r="I287" s="4"/>
      <c r="J287" s="4"/>
      <c r="K287"/>
      <c r="L287"/>
      <c r="M287" s="4"/>
      <c r="N287" s="4"/>
    </row>
    <row r="288" spans="5:14" x14ac:dyDescent="0.2">
      <c r="E288" s="3"/>
      <c r="F288" s="4"/>
      <c r="G288" s="3"/>
      <c r="H288" s="66"/>
      <c r="I288" s="4"/>
      <c r="J288" s="4"/>
      <c r="K288"/>
      <c r="L288"/>
      <c r="M288" s="4"/>
      <c r="N288" s="4"/>
    </row>
    <row r="289" spans="5:14" x14ac:dyDescent="0.2">
      <c r="E289" s="3"/>
      <c r="F289" s="4"/>
      <c r="G289" s="3"/>
      <c r="H289" s="66"/>
      <c r="I289" s="4"/>
      <c r="J289" s="4"/>
      <c r="K289"/>
      <c r="L289"/>
      <c r="M289" s="4"/>
      <c r="N289" s="4"/>
    </row>
    <row r="290" spans="5:14" x14ac:dyDescent="0.2">
      <c r="E290" s="3"/>
      <c r="F290" s="4"/>
      <c r="G290" s="3"/>
      <c r="H290" s="66"/>
      <c r="I290" s="4"/>
      <c r="J290" s="4"/>
      <c r="K290"/>
      <c r="L290"/>
      <c r="M290" s="4"/>
      <c r="N290" s="4"/>
    </row>
    <row r="291" spans="5:14" x14ac:dyDescent="0.2">
      <c r="E291" s="3"/>
      <c r="F291" s="4"/>
      <c r="G291" s="3"/>
      <c r="H291" s="66"/>
      <c r="I291" s="4"/>
      <c r="J291" s="4"/>
      <c r="K291"/>
      <c r="L291"/>
      <c r="M291" s="4"/>
      <c r="N291" s="4"/>
    </row>
    <row r="292" spans="5:14" x14ac:dyDescent="0.2">
      <c r="E292" s="3"/>
      <c r="F292" s="4"/>
      <c r="G292" s="3"/>
      <c r="H292" s="66"/>
      <c r="I292" s="4"/>
      <c r="J292" s="4"/>
      <c r="K292"/>
      <c r="L292"/>
      <c r="M292" s="4"/>
      <c r="N292" s="4"/>
    </row>
    <row r="293" spans="5:14" x14ac:dyDescent="0.2">
      <c r="E293" s="3"/>
      <c r="F293" s="4"/>
      <c r="G293" s="3"/>
      <c r="H293" s="66"/>
      <c r="I293" s="4"/>
      <c r="J293" s="4"/>
      <c r="K293"/>
      <c r="L293"/>
      <c r="M293" s="4"/>
      <c r="N293" s="4"/>
    </row>
    <row r="294" spans="5:14" x14ac:dyDescent="0.2">
      <c r="E294" s="3"/>
      <c r="F294" s="4"/>
      <c r="G294" s="3"/>
      <c r="H294" s="66"/>
      <c r="I294" s="4"/>
      <c r="J294" s="4"/>
      <c r="K294"/>
      <c r="L294"/>
      <c r="M294" s="4"/>
      <c r="N294" s="4"/>
    </row>
    <row r="295" spans="5:14" x14ac:dyDescent="0.2">
      <c r="E295" s="3"/>
      <c r="F295" s="4"/>
      <c r="G295" s="3"/>
      <c r="H295" s="66"/>
      <c r="I295" s="4"/>
      <c r="J295" s="4"/>
      <c r="K295"/>
      <c r="L295"/>
      <c r="M295" s="4"/>
      <c r="N295" s="4"/>
    </row>
    <row r="296" spans="5:14" x14ac:dyDescent="0.2">
      <c r="E296" s="3"/>
      <c r="F296" s="4"/>
      <c r="G296" s="3"/>
      <c r="H296" s="66"/>
      <c r="I296" s="4"/>
      <c r="J296" s="4"/>
      <c r="K296"/>
      <c r="L296"/>
      <c r="M296" s="4"/>
      <c r="N296" s="4"/>
    </row>
    <row r="297" spans="5:14" x14ac:dyDescent="0.2">
      <c r="E297" s="3"/>
      <c r="F297" s="4"/>
      <c r="G297" s="3"/>
      <c r="H297" s="66"/>
      <c r="I297" s="4"/>
      <c r="J297" s="4"/>
      <c r="K297"/>
      <c r="L297"/>
      <c r="M297" s="4"/>
      <c r="N297" s="4"/>
    </row>
    <row r="298" spans="5:14" x14ac:dyDescent="0.2">
      <c r="E298" s="3"/>
      <c r="F298" s="4"/>
      <c r="G298" s="3"/>
      <c r="H298" s="66"/>
      <c r="I298" s="4"/>
      <c r="J298" s="4"/>
      <c r="K298"/>
      <c r="L298"/>
      <c r="M298" s="4"/>
      <c r="N298" s="4"/>
    </row>
    <row r="299" spans="5:14" x14ac:dyDescent="0.2">
      <c r="E299" s="3"/>
      <c r="F299" s="4"/>
      <c r="G299" s="3"/>
      <c r="H299" s="66"/>
      <c r="I299" s="4"/>
      <c r="J299" s="4"/>
      <c r="K299"/>
      <c r="L299"/>
      <c r="M299" s="4"/>
      <c r="N299" s="4"/>
    </row>
    <row r="300" spans="5:14" x14ac:dyDescent="0.2">
      <c r="E300" s="3"/>
      <c r="F300" s="4"/>
      <c r="G300" s="3"/>
      <c r="H300" s="66"/>
      <c r="I300" s="4"/>
      <c r="J300" s="4"/>
      <c r="K300"/>
      <c r="L300"/>
      <c r="M300" s="4"/>
      <c r="N300" s="4"/>
    </row>
    <row r="301" spans="5:14" x14ac:dyDescent="0.2">
      <c r="E301" s="3"/>
      <c r="F301" s="4"/>
      <c r="G301" s="3"/>
      <c r="H301" s="66"/>
      <c r="I301" s="4"/>
      <c r="J301" s="4"/>
      <c r="K301"/>
      <c r="L301"/>
      <c r="M301" s="4"/>
      <c r="N301" s="4"/>
    </row>
    <row r="302" spans="5:14" x14ac:dyDescent="0.2">
      <c r="E302" s="3"/>
      <c r="F302" s="4"/>
      <c r="G302" s="3"/>
      <c r="H302" s="66"/>
      <c r="I302" s="4"/>
      <c r="J302" s="4"/>
      <c r="K302"/>
      <c r="L302"/>
      <c r="M302" s="4"/>
      <c r="N302" s="4"/>
    </row>
    <row r="303" spans="5:14" x14ac:dyDescent="0.2">
      <c r="E303" s="3"/>
      <c r="F303" s="4"/>
      <c r="G303" s="3"/>
      <c r="H303" s="66"/>
      <c r="I303" s="4"/>
      <c r="J303" s="4"/>
      <c r="K303"/>
      <c r="L303"/>
      <c r="M303" s="4"/>
      <c r="N303" s="4"/>
    </row>
    <row r="304" spans="5:14" x14ac:dyDescent="0.2">
      <c r="E304" s="3"/>
      <c r="F304" s="4"/>
      <c r="G304" s="3"/>
      <c r="H304" s="66"/>
      <c r="I304" s="4"/>
      <c r="J304" s="4"/>
      <c r="K304"/>
      <c r="L304"/>
      <c r="M304" s="4"/>
      <c r="N304" s="4"/>
    </row>
    <row r="305" spans="5:14" x14ac:dyDescent="0.2">
      <c r="E305" s="3"/>
      <c r="F305" s="4"/>
      <c r="G305" s="3"/>
      <c r="H305" s="66"/>
      <c r="I305" s="4"/>
      <c r="J305" s="4"/>
      <c r="K305"/>
      <c r="L305"/>
      <c r="M305" s="4"/>
      <c r="N305" s="4"/>
    </row>
    <row r="306" spans="5:14" x14ac:dyDescent="0.2">
      <c r="E306" s="3"/>
      <c r="F306" s="4"/>
      <c r="G306" s="3"/>
      <c r="H306" s="66"/>
      <c r="I306" s="4"/>
      <c r="J306" s="4"/>
      <c r="K306"/>
      <c r="L306"/>
      <c r="M306" s="4"/>
      <c r="N306" s="4"/>
    </row>
    <row r="307" spans="5:14" x14ac:dyDescent="0.2">
      <c r="E307" s="3"/>
      <c r="F307" s="4"/>
      <c r="G307" s="3"/>
      <c r="H307" s="66"/>
      <c r="I307" s="4"/>
      <c r="J307" s="4"/>
      <c r="K307"/>
      <c r="L307"/>
      <c r="M307" s="4"/>
      <c r="N307" s="4"/>
    </row>
    <row r="308" spans="5:14" x14ac:dyDescent="0.2">
      <c r="E308" s="3"/>
      <c r="F308" s="4"/>
      <c r="G308" s="3"/>
      <c r="H308" s="66"/>
      <c r="I308" s="4"/>
      <c r="J308" s="4"/>
      <c r="K308"/>
      <c r="L308"/>
      <c r="M308" s="4"/>
      <c r="N308" s="4"/>
    </row>
    <row r="309" spans="5:14" x14ac:dyDescent="0.2">
      <c r="E309" s="3"/>
      <c r="F309" s="4"/>
      <c r="G309" s="3"/>
      <c r="H309" s="66"/>
      <c r="I309" s="4"/>
      <c r="J309" s="4"/>
      <c r="K309"/>
      <c r="L309"/>
      <c r="M309" s="4"/>
      <c r="N309" s="4"/>
    </row>
    <row r="310" spans="5:14" x14ac:dyDescent="0.2">
      <c r="E310" s="3"/>
      <c r="F310" s="4"/>
      <c r="G310" s="3"/>
      <c r="H310" s="66"/>
      <c r="I310" s="4"/>
      <c r="J310" s="4"/>
      <c r="K310"/>
      <c r="L310"/>
      <c r="M310" s="4"/>
      <c r="N310" s="4"/>
    </row>
    <row r="311" spans="5:14" x14ac:dyDescent="0.2">
      <c r="E311" s="3"/>
      <c r="F311" s="4"/>
      <c r="G311" s="3"/>
      <c r="H311" s="66"/>
      <c r="I311" s="4"/>
      <c r="J311" s="4"/>
      <c r="K311"/>
      <c r="L311"/>
      <c r="M311" s="4"/>
      <c r="N311" s="4"/>
    </row>
    <row r="312" spans="5:14" x14ac:dyDescent="0.2">
      <c r="E312" s="3"/>
      <c r="F312" s="4"/>
      <c r="G312" s="3"/>
      <c r="H312" s="66"/>
      <c r="I312" s="4"/>
      <c r="J312" s="4"/>
      <c r="K312"/>
      <c r="L312"/>
      <c r="M312" s="4"/>
      <c r="N312" s="4"/>
    </row>
    <row r="313" spans="5:14" x14ac:dyDescent="0.2">
      <c r="E313" s="3"/>
      <c r="F313" s="4"/>
      <c r="G313" s="3"/>
      <c r="H313" s="66"/>
      <c r="I313" s="4"/>
      <c r="J313" s="4"/>
      <c r="K313"/>
      <c r="L313"/>
      <c r="M313" s="4"/>
      <c r="N313" s="4"/>
    </row>
    <row r="314" spans="5:14" x14ac:dyDescent="0.2">
      <c r="E314" s="3"/>
      <c r="F314" s="4"/>
      <c r="G314" s="3"/>
      <c r="H314" s="66"/>
      <c r="I314" s="4"/>
      <c r="J314" s="4"/>
      <c r="K314"/>
      <c r="L314"/>
      <c r="M314" s="4"/>
      <c r="N314" s="4"/>
    </row>
    <row r="315" spans="5:14" x14ac:dyDescent="0.2">
      <c r="E315" s="3"/>
      <c r="F315" s="4"/>
      <c r="G315" s="3"/>
      <c r="H315" s="66"/>
      <c r="I315" s="4"/>
      <c r="J315" s="4"/>
      <c r="K315"/>
      <c r="L315"/>
      <c r="M315" s="4"/>
      <c r="N315" s="4"/>
    </row>
    <row r="316" spans="5:14" x14ac:dyDescent="0.2">
      <c r="E316" s="3"/>
      <c r="F316" s="4"/>
      <c r="G316" s="3"/>
      <c r="H316" s="66"/>
      <c r="I316" s="4"/>
      <c r="J316" s="4"/>
      <c r="K316"/>
      <c r="L316"/>
      <c r="M316" s="4"/>
      <c r="N316" s="4"/>
    </row>
    <row r="317" spans="5:14" x14ac:dyDescent="0.2">
      <c r="E317" s="3"/>
      <c r="F317" s="4"/>
      <c r="G317" s="3"/>
      <c r="H317" s="66"/>
      <c r="I317" s="4"/>
      <c r="J317" s="4"/>
      <c r="K317"/>
      <c r="L317"/>
      <c r="M317" s="4"/>
      <c r="N317" s="4"/>
    </row>
    <row r="318" spans="5:14" x14ac:dyDescent="0.2">
      <c r="E318" s="3"/>
      <c r="F318" s="4"/>
      <c r="G318" s="3"/>
      <c r="H318" s="66"/>
      <c r="I318" s="4"/>
      <c r="J318" s="4"/>
      <c r="K318"/>
      <c r="L318"/>
      <c r="M318" s="4"/>
      <c r="N318" s="4"/>
    </row>
    <row r="319" spans="5:14" x14ac:dyDescent="0.2">
      <c r="E319" s="3"/>
      <c r="F319" s="4"/>
      <c r="G319" s="3"/>
      <c r="H319" s="66"/>
      <c r="I319" s="4"/>
      <c r="J319" s="4"/>
      <c r="K319"/>
      <c r="L319"/>
      <c r="M319" s="4"/>
      <c r="N319" s="4"/>
    </row>
    <row r="320" spans="5:14" x14ac:dyDescent="0.2">
      <c r="E320" s="3"/>
      <c r="F320" s="4"/>
      <c r="G320" s="3"/>
      <c r="H320" s="66"/>
      <c r="I320" s="4"/>
      <c r="J320" s="4"/>
      <c r="K320"/>
      <c r="L320"/>
      <c r="M320" s="4"/>
      <c r="N320" s="4"/>
    </row>
    <row r="321" spans="5:14" x14ac:dyDescent="0.2">
      <c r="E321" s="3"/>
      <c r="F321" s="4"/>
      <c r="G321" s="3"/>
      <c r="H321" s="66"/>
      <c r="I321" s="4"/>
      <c r="J321" s="4"/>
      <c r="K321"/>
      <c r="L321"/>
      <c r="M321" s="4"/>
      <c r="N321" s="4"/>
    </row>
    <row r="322" spans="5:14" x14ac:dyDescent="0.2">
      <c r="E322" s="3"/>
      <c r="F322" s="4"/>
      <c r="G322" s="3"/>
      <c r="H322" s="66"/>
      <c r="I322" s="4"/>
      <c r="J322" s="4"/>
      <c r="K322"/>
      <c r="L322"/>
      <c r="M322" s="4"/>
      <c r="N322" s="4"/>
    </row>
    <row r="323" spans="5:14" x14ac:dyDescent="0.2">
      <c r="E323" s="3"/>
      <c r="F323" s="4"/>
      <c r="G323" s="3"/>
      <c r="H323" s="66"/>
      <c r="I323" s="4"/>
      <c r="J323" s="4"/>
      <c r="K323"/>
      <c r="L323"/>
      <c r="M323" s="4"/>
      <c r="N323" s="4"/>
    </row>
    <row r="324" spans="5:14" x14ac:dyDescent="0.2">
      <c r="E324" s="3"/>
      <c r="F324" s="4"/>
      <c r="G324" s="3"/>
      <c r="H324" s="66"/>
      <c r="I324" s="4"/>
      <c r="J324" s="4"/>
      <c r="K324"/>
      <c r="L324"/>
      <c r="M324" s="4"/>
      <c r="N324" s="4"/>
    </row>
    <row r="325" spans="5:14" x14ac:dyDescent="0.2">
      <c r="E325" s="3"/>
      <c r="F325" s="4"/>
      <c r="G325" s="3"/>
      <c r="H325" s="66"/>
      <c r="I325" s="4"/>
      <c r="J325" s="4"/>
      <c r="K325"/>
      <c r="L325"/>
      <c r="M325" s="4"/>
      <c r="N325" s="4"/>
    </row>
    <row r="326" spans="5:14" x14ac:dyDescent="0.2">
      <c r="E326" s="3"/>
      <c r="F326" s="4"/>
      <c r="G326" s="3"/>
      <c r="H326" s="66"/>
      <c r="I326" s="4"/>
      <c r="J326" s="4"/>
      <c r="K326"/>
      <c r="L326"/>
      <c r="M326" s="4"/>
      <c r="N326" s="4"/>
    </row>
    <row r="327" spans="5:14" x14ac:dyDescent="0.2">
      <c r="E327" s="3"/>
      <c r="F327" s="4"/>
      <c r="G327" s="3"/>
      <c r="H327" s="66"/>
      <c r="I327" s="4"/>
      <c r="J327" s="4"/>
      <c r="K327"/>
      <c r="L327"/>
      <c r="M327" s="4"/>
      <c r="N327" s="4"/>
    </row>
    <row r="328" spans="5:14" x14ac:dyDescent="0.2">
      <c r="E328" s="3"/>
      <c r="F328" s="4"/>
      <c r="G328" s="3"/>
      <c r="H328" s="66"/>
      <c r="I328" s="4"/>
      <c r="J328" s="4"/>
      <c r="K328"/>
      <c r="L328"/>
      <c r="M328" s="4"/>
      <c r="N328" s="4"/>
    </row>
    <row r="329" spans="5:14" x14ac:dyDescent="0.2">
      <c r="E329" s="3"/>
      <c r="F329" s="4"/>
      <c r="G329" s="3"/>
      <c r="H329" s="66"/>
      <c r="I329" s="4"/>
      <c r="J329" s="4"/>
      <c r="K329"/>
      <c r="L329"/>
      <c r="M329" s="4"/>
      <c r="N329" s="4"/>
    </row>
    <row r="330" spans="5:14" x14ac:dyDescent="0.2">
      <c r="E330" s="3"/>
      <c r="F330" s="4"/>
      <c r="G330" s="3"/>
      <c r="H330" s="66"/>
      <c r="I330" s="4"/>
      <c r="J330" s="4"/>
      <c r="K330"/>
      <c r="L330"/>
      <c r="M330" s="4"/>
      <c r="N330" s="4"/>
    </row>
    <row r="331" spans="5:14" x14ac:dyDescent="0.2">
      <c r="E331" s="3"/>
      <c r="F331" s="4"/>
      <c r="G331" s="3"/>
      <c r="H331" s="66"/>
      <c r="I331" s="4"/>
      <c r="J331" s="4"/>
      <c r="K331"/>
      <c r="L331"/>
      <c r="M331" s="4"/>
      <c r="N331" s="4"/>
    </row>
    <row r="332" spans="5:14" x14ac:dyDescent="0.2">
      <c r="E332" s="3"/>
      <c r="F332" s="4"/>
      <c r="G332" s="3"/>
      <c r="H332" s="66"/>
      <c r="I332" s="4"/>
      <c r="J332" s="4"/>
      <c r="K332"/>
      <c r="L332"/>
      <c r="M332" s="4"/>
      <c r="N332" s="4"/>
    </row>
    <row r="333" spans="5:14" x14ac:dyDescent="0.2">
      <c r="E333" s="3"/>
      <c r="F333" s="4"/>
      <c r="G333" s="3"/>
      <c r="H333" s="66"/>
      <c r="I333" s="4"/>
      <c r="J333" s="4"/>
      <c r="K333"/>
      <c r="L333"/>
      <c r="M333" s="4"/>
      <c r="N333" s="4"/>
    </row>
    <row r="334" spans="5:14" x14ac:dyDescent="0.2">
      <c r="E334" s="3"/>
      <c r="F334" s="4"/>
      <c r="G334" s="3"/>
      <c r="H334" s="66"/>
      <c r="I334" s="4"/>
      <c r="J334" s="4"/>
      <c r="K334"/>
      <c r="L334"/>
      <c r="M334" s="4"/>
      <c r="N334" s="4"/>
    </row>
    <row r="335" spans="5:14" x14ac:dyDescent="0.2">
      <c r="E335" s="3"/>
      <c r="F335" s="4"/>
      <c r="G335" s="3"/>
      <c r="H335" s="66"/>
      <c r="I335" s="4"/>
      <c r="J335" s="4"/>
      <c r="K335"/>
      <c r="L335"/>
      <c r="M335" s="4"/>
      <c r="N335" s="4"/>
    </row>
    <row r="336" spans="5:14" x14ac:dyDescent="0.2">
      <c r="E336" s="3"/>
      <c r="F336" s="4"/>
      <c r="G336" s="3"/>
      <c r="H336" s="66"/>
      <c r="I336" s="4"/>
      <c r="J336" s="4"/>
      <c r="K336"/>
      <c r="L336"/>
      <c r="M336" s="4"/>
      <c r="N336" s="4"/>
    </row>
    <row r="337" spans="5:14" x14ac:dyDescent="0.2">
      <c r="E337" s="3"/>
      <c r="F337" s="4"/>
      <c r="G337" s="3"/>
      <c r="H337" s="66"/>
      <c r="I337" s="4"/>
      <c r="J337" s="4"/>
      <c r="K337"/>
      <c r="L337"/>
      <c r="M337" s="4"/>
      <c r="N337" s="4"/>
    </row>
    <row r="338" spans="5:14" x14ac:dyDescent="0.2">
      <c r="E338" s="3"/>
      <c r="F338" s="4"/>
      <c r="G338" s="3"/>
      <c r="H338" s="66"/>
      <c r="I338" s="4"/>
      <c r="J338" s="4"/>
      <c r="K338"/>
      <c r="L338"/>
      <c r="M338" s="4"/>
      <c r="N338" s="4"/>
    </row>
    <row r="339" spans="5:14" x14ac:dyDescent="0.2">
      <c r="E339" s="3"/>
      <c r="F339" s="4"/>
      <c r="G339" s="3"/>
      <c r="H339" s="66"/>
      <c r="I339" s="4"/>
      <c r="J339" s="4"/>
      <c r="K339"/>
      <c r="L339"/>
      <c r="M339" s="4"/>
      <c r="N339" s="4"/>
    </row>
    <row r="340" spans="5:14" x14ac:dyDescent="0.2">
      <c r="E340" s="3"/>
      <c r="F340" s="4"/>
      <c r="G340" s="3"/>
      <c r="H340" s="66"/>
      <c r="I340" s="4"/>
      <c r="J340" s="4"/>
      <c r="K340"/>
      <c r="L340"/>
      <c r="M340" s="4"/>
      <c r="N340" s="4"/>
    </row>
    <row r="341" spans="5:14" x14ac:dyDescent="0.2">
      <c r="E341" s="3"/>
      <c r="F341" s="4"/>
      <c r="G341" s="3"/>
      <c r="H341" s="66"/>
      <c r="I341" s="4"/>
      <c r="J341" s="4"/>
      <c r="K341"/>
      <c r="L341"/>
      <c r="M341" s="4"/>
      <c r="N341" s="4"/>
    </row>
    <row r="342" spans="5:14" x14ac:dyDescent="0.2">
      <c r="E342" s="3"/>
      <c r="F342" s="4"/>
      <c r="G342" s="3"/>
      <c r="H342" s="66"/>
      <c r="I342" s="4"/>
      <c r="J342" s="4"/>
      <c r="K342"/>
      <c r="L342"/>
      <c r="M342" s="4"/>
      <c r="N342" s="4"/>
    </row>
    <row r="343" spans="5:14" x14ac:dyDescent="0.2">
      <c r="E343" s="3"/>
      <c r="F343" s="4"/>
      <c r="G343" s="3"/>
      <c r="H343" s="66"/>
      <c r="I343" s="4"/>
      <c r="J343" s="4"/>
      <c r="K343"/>
      <c r="L343"/>
      <c r="M343" s="4"/>
      <c r="N343" s="4"/>
    </row>
    <row r="344" spans="5:14" x14ac:dyDescent="0.2">
      <c r="E344" s="3"/>
      <c r="F344" s="4"/>
      <c r="G344" s="3"/>
      <c r="H344" s="66"/>
      <c r="I344" s="4"/>
      <c r="J344" s="4"/>
      <c r="K344"/>
      <c r="L344"/>
      <c r="M344" s="4"/>
      <c r="N344" s="4"/>
    </row>
    <row r="345" spans="5:14" x14ac:dyDescent="0.2">
      <c r="E345" s="3"/>
      <c r="F345" s="4"/>
      <c r="G345" s="3"/>
      <c r="H345" s="66"/>
      <c r="I345" s="4"/>
      <c r="J345" s="4"/>
      <c r="K345"/>
      <c r="L345"/>
      <c r="M345" s="4"/>
      <c r="N345" s="4"/>
    </row>
    <row r="346" spans="5:14" x14ac:dyDescent="0.2">
      <c r="E346" s="3"/>
      <c r="F346" s="4"/>
      <c r="G346" s="3"/>
      <c r="H346" s="66"/>
      <c r="I346" s="4"/>
      <c r="J346" s="4"/>
      <c r="K346"/>
      <c r="L346"/>
      <c r="M346" s="4"/>
      <c r="N346" s="4"/>
    </row>
    <row r="347" spans="5:14" x14ac:dyDescent="0.2">
      <c r="E347" s="3"/>
      <c r="F347" s="4"/>
      <c r="G347" s="3"/>
      <c r="H347" s="66"/>
      <c r="I347" s="4"/>
      <c r="J347" s="4"/>
      <c r="K347"/>
      <c r="L347"/>
      <c r="M347" s="4"/>
      <c r="N347" s="4"/>
    </row>
    <row r="348" spans="5:14" x14ac:dyDescent="0.2">
      <c r="E348" s="3"/>
      <c r="F348" s="4"/>
      <c r="G348" s="3"/>
      <c r="H348" s="66"/>
      <c r="I348" s="4"/>
      <c r="J348" s="4"/>
      <c r="K348"/>
      <c r="L348"/>
      <c r="M348" s="4"/>
      <c r="N348" s="4"/>
    </row>
    <row r="349" spans="5:14" x14ac:dyDescent="0.2">
      <c r="E349" s="3"/>
      <c r="F349" s="4"/>
      <c r="G349" s="3"/>
      <c r="H349" s="66"/>
      <c r="I349" s="4"/>
      <c r="J349" s="4"/>
      <c r="K349"/>
      <c r="L349"/>
      <c r="M349" s="4"/>
      <c r="N349" s="4"/>
    </row>
    <row r="350" spans="5:14" x14ac:dyDescent="0.2">
      <c r="E350" s="3"/>
      <c r="F350" s="4"/>
      <c r="G350" s="3"/>
      <c r="H350" s="66"/>
      <c r="I350" s="4"/>
      <c r="J350" s="4"/>
      <c r="K350"/>
      <c r="L350"/>
      <c r="M350" s="4"/>
      <c r="N350" s="4"/>
    </row>
    <row r="351" spans="5:14" x14ac:dyDescent="0.2">
      <c r="E351" s="3"/>
      <c r="F351" s="4"/>
      <c r="G351" s="3"/>
      <c r="H351" s="66"/>
      <c r="I351" s="4"/>
      <c r="J351" s="4"/>
      <c r="K351"/>
      <c r="L351"/>
      <c r="M351" s="4"/>
      <c r="N351" s="4"/>
    </row>
    <row r="352" spans="5:14" x14ac:dyDescent="0.2">
      <c r="E352" s="3"/>
      <c r="F352" s="4"/>
      <c r="G352" s="3"/>
      <c r="H352" s="66"/>
      <c r="I352" s="4"/>
      <c r="J352" s="4"/>
      <c r="K352"/>
      <c r="L352"/>
      <c r="M352" s="4"/>
      <c r="N352" s="4"/>
    </row>
    <row r="353" spans="5:14" x14ac:dyDescent="0.2">
      <c r="E353" s="3"/>
      <c r="F353" s="4"/>
      <c r="G353" s="3"/>
      <c r="H353" s="66"/>
      <c r="I353" s="4"/>
      <c r="J353" s="4"/>
      <c r="K353"/>
      <c r="L353"/>
      <c r="M353" s="4"/>
      <c r="N353" s="4"/>
    </row>
    <row r="354" spans="5:14" x14ac:dyDescent="0.2">
      <c r="E354" s="3"/>
      <c r="F354" s="4"/>
      <c r="G354" s="3"/>
      <c r="H354" s="66"/>
      <c r="I354" s="4"/>
      <c r="J354" s="4"/>
      <c r="K354"/>
      <c r="L354"/>
      <c r="M354" s="4"/>
      <c r="N354" s="4"/>
    </row>
    <row r="355" spans="5:14" x14ac:dyDescent="0.2">
      <c r="E355" s="3"/>
      <c r="F355" s="4"/>
      <c r="G355" s="3"/>
      <c r="H355" s="66"/>
      <c r="I355" s="4"/>
      <c r="J355" s="4"/>
      <c r="K355"/>
      <c r="L355"/>
      <c r="M355" s="4"/>
      <c r="N355" s="4"/>
    </row>
    <row r="356" spans="5:14" x14ac:dyDescent="0.2">
      <c r="E356" s="3"/>
      <c r="F356" s="4"/>
      <c r="G356" s="3"/>
      <c r="H356" s="66"/>
      <c r="I356" s="4"/>
      <c r="J356" s="4"/>
      <c r="K356"/>
      <c r="L356"/>
      <c r="M356" s="4"/>
      <c r="N356" s="4"/>
    </row>
    <row r="357" spans="5:14" x14ac:dyDescent="0.2">
      <c r="E357" s="3"/>
      <c r="F357" s="4"/>
      <c r="G357" s="3"/>
      <c r="H357" s="66"/>
      <c r="I357" s="4"/>
      <c r="J357" s="4"/>
      <c r="K357"/>
      <c r="L357"/>
      <c r="M357" s="4"/>
      <c r="N357" s="4"/>
    </row>
    <row r="358" spans="5:14" x14ac:dyDescent="0.2">
      <c r="E358" s="3"/>
      <c r="F358" s="4"/>
      <c r="G358" s="3"/>
      <c r="H358" s="66"/>
      <c r="I358" s="4"/>
      <c r="J358" s="4"/>
      <c r="K358"/>
      <c r="L358"/>
      <c r="M358" s="4"/>
      <c r="N358" s="4"/>
    </row>
    <row r="359" spans="5:14" x14ac:dyDescent="0.2">
      <c r="E359" s="3"/>
      <c r="F359" s="4"/>
      <c r="G359" s="3"/>
      <c r="H359" s="66"/>
      <c r="I359" s="4"/>
      <c r="J359" s="4"/>
      <c r="K359"/>
      <c r="L359"/>
      <c r="M359" s="4"/>
      <c r="N359" s="4"/>
    </row>
    <row r="360" spans="5:14" x14ac:dyDescent="0.2">
      <c r="E360" s="3"/>
      <c r="F360" s="4"/>
      <c r="G360" s="3"/>
      <c r="H360" s="66"/>
      <c r="I360" s="4"/>
      <c r="J360" s="4"/>
      <c r="K360"/>
      <c r="L360"/>
      <c r="M360" s="4"/>
      <c r="N360" s="4"/>
    </row>
    <row r="361" spans="5:14" x14ac:dyDescent="0.2">
      <c r="E361" s="3"/>
      <c r="F361" s="4"/>
      <c r="G361" s="3"/>
      <c r="H361" s="66"/>
      <c r="I361" s="4"/>
      <c r="J361" s="4"/>
      <c r="K361"/>
      <c r="L361"/>
      <c r="M361" s="4"/>
      <c r="N361" s="4"/>
    </row>
    <row r="362" spans="5:14" x14ac:dyDescent="0.2">
      <c r="E362" s="3"/>
      <c r="F362" s="4"/>
      <c r="G362" s="3"/>
      <c r="H362" s="66"/>
      <c r="I362" s="4"/>
      <c r="J362" s="4"/>
      <c r="K362"/>
      <c r="L362"/>
      <c r="M362" s="4"/>
      <c r="N362" s="4"/>
    </row>
    <row r="363" spans="5:14" x14ac:dyDescent="0.2">
      <c r="E363" s="3"/>
      <c r="F363" s="4"/>
      <c r="G363" s="3"/>
      <c r="H363" s="66"/>
      <c r="I363" s="4"/>
      <c r="J363" s="4"/>
      <c r="K363"/>
      <c r="L363"/>
      <c r="M363" s="4"/>
      <c r="N363" s="4"/>
    </row>
    <row r="364" spans="5:14" x14ac:dyDescent="0.2">
      <c r="E364" s="3"/>
      <c r="F364" s="4"/>
      <c r="G364" s="3"/>
      <c r="H364" s="66"/>
      <c r="I364" s="4"/>
      <c r="J364" s="4"/>
      <c r="K364"/>
      <c r="L364"/>
      <c r="M364" s="4"/>
      <c r="N364" s="4"/>
    </row>
    <row r="365" spans="5:14" x14ac:dyDescent="0.2">
      <c r="E365" s="3"/>
      <c r="F365" s="4"/>
      <c r="G365" s="3"/>
      <c r="H365" s="66"/>
      <c r="I365" s="4"/>
      <c r="J365" s="4"/>
      <c r="K365"/>
      <c r="L365"/>
      <c r="M365" s="4"/>
      <c r="N365" s="4"/>
    </row>
    <row r="366" spans="5:14" x14ac:dyDescent="0.2">
      <c r="E366" s="3"/>
      <c r="F366" s="4"/>
      <c r="G366" s="3"/>
      <c r="H366" s="66"/>
      <c r="I366" s="4"/>
      <c r="J366" s="4"/>
      <c r="K366"/>
      <c r="L366"/>
      <c r="M366" s="4"/>
      <c r="N366" s="4"/>
    </row>
    <row r="367" spans="5:14" x14ac:dyDescent="0.2">
      <c r="E367" s="3"/>
      <c r="F367" s="4"/>
      <c r="G367" s="3"/>
      <c r="H367" s="66"/>
      <c r="I367" s="4"/>
      <c r="J367" s="4"/>
      <c r="K367"/>
      <c r="L367"/>
      <c r="M367" s="4"/>
      <c r="N367" s="4"/>
    </row>
    <row r="368" spans="5:14" x14ac:dyDescent="0.2">
      <c r="E368" s="3"/>
      <c r="F368" s="4"/>
      <c r="G368" s="3"/>
      <c r="H368" s="66"/>
      <c r="I368" s="4"/>
      <c r="J368" s="4"/>
      <c r="K368"/>
      <c r="L368"/>
      <c r="M368" s="4"/>
      <c r="N368" s="4"/>
    </row>
    <row r="369" spans="5:14" x14ac:dyDescent="0.2">
      <c r="E369" s="3"/>
      <c r="F369" s="4"/>
      <c r="G369" s="3"/>
      <c r="H369" s="66"/>
      <c r="I369" s="4"/>
      <c r="J369" s="4"/>
      <c r="K369"/>
      <c r="L369"/>
      <c r="M369" s="4"/>
      <c r="N369" s="4"/>
    </row>
    <row r="370" spans="5:14" x14ac:dyDescent="0.2">
      <c r="E370" s="3"/>
      <c r="F370" s="4"/>
      <c r="G370" s="3"/>
      <c r="H370" s="66"/>
      <c r="I370" s="4"/>
      <c r="J370" s="4"/>
      <c r="K370"/>
      <c r="L370"/>
      <c r="M370" s="4"/>
      <c r="N370" s="4"/>
    </row>
    <row r="371" spans="5:14" x14ac:dyDescent="0.2">
      <c r="E371" s="3"/>
      <c r="F371" s="4"/>
      <c r="G371" s="3"/>
      <c r="H371" s="66"/>
      <c r="I371" s="4"/>
      <c r="J371" s="4"/>
      <c r="K371"/>
      <c r="L371"/>
      <c r="M371" s="4"/>
      <c r="N371" s="4"/>
    </row>
    <row r="372" spans="5:14" x14ac:dyDescent="0.2">
      <c r="E372" s="3"/>
      <c r="F372" s="4"/>
      <c r="G372" s="3"/>
      <c r="H372" s="66"/>
      <c r="I372" s="4"/>
      <c r="J372" s="4"/>
      <c r="K372"/>
      <c r="L372"/>
      <c r="M372" s="4"/>
      <c r="N372" s="4"/>
    </row>
    <row r="373" spans="5:14" x14ac:dyDescent="0.2">
      <c r="E373" s="3"/>
      <c r="F373" s="4"/>
      <c r="G373" s="3"/>
      <c r="H373" s="66"/>
      <c r="I373" s="4"/>
      <c r="J373" s="4"/>
      <c r="K373"/>
      <c r="L373"/>
      <c r="M373" s="4"/>
      <c r="N373" s="4"/>
    </row>
    <row r="374" spans="5:14" x14ac:dyDescent="0.2">
      <c r="E374" s="3"/>
      <c r="F374" s="4"/>
      <c r="G374" s="3"/>
      <c r="H374" s="66"/>
      <c r="I374" s="4"/>
      <c r="J374" s="4"/>
      <c r="K374"/>
      <c r="L374"/>
      <c r="M374" s="4"/>
      <c r="N374" s="4"/>
    </row>
    <row r="375" spans="5:14" x14ac:dyDescent="0.2">
      <c r="E375" s="3"/>
      <c r="F375" s="4"/>
      <c r="G375" s="3"/>
      <c r="H375" s="66"/>
      <c r="I375" s="4"/>
      <c r="J375" s="4"/>
      <c r="K375"/>
      <c r="L375"/>
      <c r="M375" s="4"/>
      <c r="N375" s="4"/>
    </row>
    <row r="376" spans="5:14" x14ac:dyDescent="0.2">
      <c r="E376" s="3"/>
      <c r="F376" s="4"/>
      <c r="G376" s="3"/>
      <c r="H376" s="66"/>
      <c r="I376" s="4"/>
      <c r="J376" s="4"/>
      <c r="K376"/>
      <c r="L376"/>
      <c r="M376" s="4"/>
      <c r="N376" s="4"/>
    </row>
    <row r="377" spans="5:14" x14ac:dyDescent="0.2">
      <c r="E377" s="3"/>
      <c r="F377" s="4"/>
      <c r="G377" s="3"/>
      <c r="H377" s="66"/>
      <c r="I377" s="4"/>
      <c r="J377" s="4"/>
      <c r="K377"/>
      <c r="L377"/>
      <c r="M377" s="4"/>
      <c r="N377" s="4"/>
    </row>
    <row r="378" spans="5:14" x14ac:dyDescent="0.2">
      <c r="E378" s="3"/>
      <c r="F378" s="4"/>
      <c r="G378" s="3"/>
      <c r="H378" s="66"/>
      <c r="I378" s="4"/>
      <c r="J378" s="4"/>
      <c r="K378"/>
      <c r="L378"/>
      <c r="M378" s="4"/>
      <c r="N378" s="4"/>
    </row>
    <row r="379" spans="5:14" x14ac:dyDescent="0.2">
      <c r="E379" s="3"/>
      <c r="F379" s="4"/>
      <c r="G379" s="3"/>
      <c r="H379" s="66"/>
      <c r="I379" s="4"/>
      <c r="J379" s="4"/>
      <c r="K379"/>
      <c r="L379"/>
      <c r="M379" s="4"/>
      <c r="N379" s="4"/>
    </row>
    <row r="380" spans="5:14" x14ac:dyDescent="0.2">
      <c r="E380" s="3"/>
      <c r="F380" s="4"/>
      <c r="G380" s="3"/>
      <c r="H380" s="66"/>
      <c r="I380" s="4"/>
      <c r="J380" s="4"/>
      <c r="K380"/>
      <c r="L380"/>
      <c r="M380" s="4"/>
      <c r="N380" s="4"/>
    </row>
    <row r="381" spans="5:14" x14ac:dyDescent="0.2">
      <c r="E381" s="3"/>
      <c r="F381" s="4"/>
      <c r="G381" s="3"/>
      <c r="H381" s="66"/>
      <c r="I381" s="4"/>
      <c r="J381" s="4"/>
      <c r="K381"/>
      <c r="L381"/>
      <c r="M381" s="4"/>
      <c r="N381" s="4"/>
    </row>
    <row r="382" spans="5:14" x14ac:dyDescent="0.2">
      <c r="E382" s="3"/>
      <c r="F382" s="4"/>
      <c r="G382" s="3"/>
      <c r="H382" s="66"/>
      <c r="I382" s="4"/>
      <c r="J382" s="4"/>
      <c r="K382"/>
      <c r="L382"/>
      <c r="M382" s="4"/>
      <c r="N382" s="4"/>
    </row>
    <row r="383" spans="5:14" x14ac:dyDescent="0.2">
      <c r="E383" s="3"/>
      <c r="F383" s="4"/>
      <c r="G383" s="3"/>
      <c r="H383" s="66"/>
      <c r="I383" s="4"/>
      <c r="J383" s="4"/>
      <c r="K383"/>
      <c r="L383"/>
      <c r="M383" s="4"/>
      <c r="N383" s="4"/>
    </row>
    <row r="384" spans="5:14" x14ac:dyDescent="0.2">
      <c r="E384" s="3"/>
      <c r="F384" s="4"/>
      <c r="G384" s="3"/>
      <c r="H384" s="66"/>
      <c r="I384" s="4"/>
      <c r="J384" s="4"/>
      <c r="K384"/>
      <c r="L384"/>
      <c r="M384" s="4"/>
      <c r="N384" s="4"/>
    </row>
    <row r="385" spans="5:14" x14ac:dyDescent="0.2">
      <c r="E385" s="3"/>
      <c r="F385" s="4"/>
      <c r="G385" s="3"/>
      <c r="H385" s="66"/>
      <c r="I385" s="4"/>
      <c r="J385" s="4"/>
      <c r="K385"/>
      <c r="L385"/>
      <c r="M385" s="4"/>
      <c r="N385" s="4"/>
    </row>
    <row r="386" spans="5:14" x14ac:dyDescent="0.2">
      <c r="E386" s="3"/>
      <c r="F386" s="4"/>
      <c r="G386" s="3"/>
      <c r="H386" s="66"/>
      <c r="I386" s="4"/>
      <c r="J386" s="4"/>
      <c r="K386"/>
      <c r="L386"/>
      <c r="M386" s="4"/>
      <c r="N386" s="4"/>
    </row>
    <row r="387" spans="5:14" x14ac:dyDescent="0.2">
      <c r="E387" s="3"/>
      <c r="F387" s="4"/>
      <c r="G387" s="3"/>
      <c r="H387" s="66"/>
      <c r="I387" s="4"/>
      <c r="J387" s="4"/>
      <c r="K387"/>
      <c r="L387"/>
      <c r="M387" s="4"/>
      <c r="N387" s="4"/>
    </row>
    <row r="388" spans="5:14" x14ac:dyDescent="0.2">
      <c r="E388" s="3"/>
      <c r="F388" s="4"/>
      <c r="G388" s="3"/>
      <c r="H388" s="66"/>
      <c r="I388" s="4"/>
      <c r="J388" s="4"/>
      <c r="K388"/>
      <c r="L388"/>
      <c r="M388" s="4"/>
      <c r="N388" s="4"/>
    </row>
    <row r="389" spans="5:14" x14ac:dyDescent="0.2">
      <c r="E389" s="3"/>
      <c r="F389" s="4"/>
      <c r="G389" s="3"/>
      <c r="H389" s="66"/>
      <c r="I389" s="4"/>
      <c r="J389" s="4"/>
      <c r="K389"/>
      <c r="L389"/>
      <c r="M389" s="4"/>
      <c r="N389" s="4"/>
    </row>
    <row r="390" spans="5:14" x14ac:dyDescent="0.2">
      <c r="E390" s="3"/>
      <c r="F390" s="4"/>
      <c r="G390" s="3"/>
      <c r="H390" s="66"/>
      <c r="I390" s="4"/>
      <c r="J390" s="4"/>
      <c r="K390"/>
      <c r="L390"/>
      <c r="M390" s="4"/>
      <c r="N390" s="4"/>
    </row>
    <row r="391" spans="5:14" x14ac:dyDescent="0.2">
      <c r="E391" s="3"/>
      <c r="F391" s="4"/>
      <c r="G391" s="3"/>
      <c r="H391" s="66"/>
      <c r="I391" s="4"/>
      <c r="J391" s="4"/>
      <c r="K391"/>
      <c r="L391"/>
      <c r="M391" s="4"/>
      <c r="N391" s="4"/>
    </row>
    <row r="392" spans="5:14" x14ac:dyDescent="0.2">
      <c r="E392" s="3"/>
      <c r="F392" s="4"/>
      <c r="G392" s="3"/>
      <c r="H392" s="66"/>
      <c r="I392" s="4"/>
      <c r="J392" s="4"/>
      <c r="K392"/>
      <c r="L392"/>
      <c r="M392" s="4"/>
      <c r="N392" s="4"/>
    </row>
    <row r="393" spans="5:14" x14ac:dyDescent="0.2">
      <c r="E393" s="3"/>
      <c r="F393" s="4"/>
      <c r="G393" s="3"/>
      <c r="H393" s="66"/>
      <c r="I393" s="4"/>
      <c r="J393" s="4"/>
      <c r="K393"/>
      <c r="L393"/>
      <c r="M393" s="4"/>
      <c r="N393" s="4"/>
    </row>
    <row r="394" spans="5:14" x14ac:dyDescent="0.2">
      <c r="E394" s="3"/>
      <c r="F394" s="4"/>
      <c r="G394" s="3"/>
      <c r="H394" s="66"/>
      <c r="I394" s="4"/>
      <c r="J394" s="4"/>
      <c r="K394"/>
      <c r="L394"/>
      <c r="M394" s="4"/>
      <c r="N394" s="4"/>
    </row>
    <row r="395" spans="5:14" x14ac:dyDescent="0.2">
      <c r="E395" s="3"/>
      <c r="F395" s="4"/>
      <c r="G395" s="3"/>
      <c r="H395" s="66"/>
      <c r="I395" s="4"/>
      <c r="J395" s="4"/>
      <c r="K395"/>
      <c r="L395"/>
      <c r="M395" s="4"/>
      <c r="N395" s="4"/>
    </row>
    <row r="396" spans="5:14" x14ac:dyDescent="0.2">
      <c r="E396" s="3"/>
      <c r="F396" s="4"/>
      <c r="G396" s="3"/>
      <c r="H396" s="66"/>
      <c r="I396" s="4"/>
      <c r="J396" s="4"/>
      <c r="K396"/>
      <c r="L396"/>
      <c r="M396" s="4"/>
      <c r="N396" s="4"/>
    </row>
    <row r="397" spans="5:14" x14ac:dyDescent="0.2">
      <c r="E397" s="3"/>
      <c r="F397" s="4"/>
      <c r="G397" s="3"/>
      <c r="H397" s="66"/>
      <c r="I397" s="4"/>
      <c r="J397" s="4"/>
      <c r="K397"/>
      <c r="L397"/>
      <c r="M397" s="4"/>
      <c r="N397" s="4"/>
    </row>
    <row r="398" spans="5:14" x14ac:dyDescent="0.2">
      <c r="E398" s="3"/>
      <c r="F398" s="4"/>
      <c r="G398" s="3"/>
      <c r="H398" s="66"/>
      <c r="I398" s="4"/>
      <c r="J398" s="4"/>
      <c r="K398"/>
      <c r="L398"/>
      <c r="M398" s="4"/>
      <c r="N398" s="4"/>
    </row>
    <row r="399" spans="5:14" x14ac:dyDescent="0.2">
      <c r="E399" s="3"/>
      <c r="F399" s="4"/>
      <c r="G399" s="3"/>
      <c r="H399" s="66"/>
      <c r="I399" s="4"/>
      <c r="J399" s="4"/>
      <c r="K399"/>
      <c r="L399"/>
      <c r="M399" s="4"/>
      <c r="N399" s="4"/>
    </row>
    <row r="400" spans="5:14" x14ac:dyDescent="0.2">
      <c r="E400" s="3"/>
      <c r="F400" s="4"/>
      <c r="G400" s="3"/>
      <c r="H400" s="66"/>
      <c r="I400" s="4"/>
      <c r="J400" s="4"/>
      <c r="K400"/>
      <c r="L400"/>
      <c r="M400" s="4"/>
      <c r="N400" s="4"/>
    </row>
    <row r="401" spans="5:14" x14ac:dyDescent="0.2">
      <c r="E401" s="3"/>
      <c r="F401" s="4"/>
      <c r="G401" s="3"/>
      <c r="H401" s="66"/>
      <c r="I401" s="4"/>
      <c r="J401" s="4"/>
      <c r="K401"/>
      <c r="L401"/>
      <c r="M401" s="4"/>
      <c r="N401" s="4"/>
    </row>
    <row r="402" spans="5:14" x14ac:dyDescent="0.2">
      <c r="E402" s="3"/>
      <c r="F402" s="4"/>
      <c r="G402" s="3"/>
      <c r="H402" s="66"/>
      <c r="I402" s="4"/>
      <c r="J402" s="4"/>
      <c r="K402"/>
      <c r="L402"/>
      <c r="M402" s="4"/>
      <c r="N402" s="4"/>
    </row>
    <row r="403" spans="5:14" x14ac:dyDescent="0.2">
      <c r="E403" s="3"/>
      <c r="F403" s="4"/>
      <c r="G403" s="3"/>
      <c r="H403" s="66"/>
      <c r="I403" s="4"/>
      <c r="J403" s="4"/>
      <c r="K403"/>
      <c r="L403"/>
      <c r="M403" s="4"/>
      <c r="N403" s="4"/>
    </row>
    <row r="404" spans="5:14" x14ac:dyDescent="0.2">
      <c r="E404" s="3"/>
      <c r="F404" s="4"/>
      <c r="G404" s="3"/>
      <c r="H404" s="66"/>
      <c r="I404" s="4"/>
      <c r="J404" s="4"/>
      <c r="K404"/>
      <c r="L404"/>
      <c r="M404" s="4"/>
      <c r="N404" s="4"/>
    </row>
    <row r="405" spans="5:14" x14ac:dyDescent="0.2">
      <c r="E405" s="3"/>
      <c r="F405" s="4"/>
      <c r="G405" s="3"/>
      <c r="H405" s="66"/>
      <c r="I405" s="4"/>
      <c r="J405" s="4"/>
      <c r="K405"/>
      <c r="L405"/>
      <c r="M405" s="4"/>
      <c r="N405" s="4"/>
    </row>
    <row r="406" spans="5:14" x14ac:dyDescent="0.2">
      <c r="E406" s="3"/>
      <c r="F406" s="4"/>
      <c r="G406" s="3"/>
      <c r="H406" s="66"/>
      <c r="I406" s="4"/>
      <c r="J406" s="4"/>
      <c r="K406"/>
      <c r="L406"/>
      <c r="M406" s="4"/>
      <c r="N406" s="4"/>
    </row>
    <row r="407" spans="5:14" x14ac:dyDescent="0.2">
      <c r="E407" s="3"/>
      <c r="F407" s="4"/>
      <c r="G407" s="3"/>
      <c r="H407" s="66"/>
      <c r="I407" s="4"/>
      <c r="J407" s="4"/>
      <c r="K407"/>
      <c r="L407"/>
      <c r="M407" s="4"/>
      <c r="N407" s="4"/>
    </row>
    <row r="408" spans="5:14" x14ac:dyDescent="0.2">
      <c r="E408" s="3"/>
      <c r="F408" s="4"/>
      <c r="G408" s="3"/>
      <c r="H408" s="66"/>
      <c r="I408" s="4"/>
      <c r="J408" s="4"/>
      <c r="K408"/>
      <c r="L408"/>
      <c r="M408" s="4"/>
      <c r="N408" s="4"/>
    </row>
    <row r="409" spans="5:14" x14ac:dyDescent="0.2">
      <c r="E409" s="3"/>
      <c r="F409" s="4"/>
      <c r="G409" s="3"/>
      <c r="H409" s="66"/>
      <c r="I409" s="4"/>
      <c r="J409" s="4"/>
      <c r="K409"/>
      <c r="L409"/>
      <c r="M409" s="4"/>
      <c r="N409" s="4"/>
    </row>
    <row r="410" spans="5:14" x14ac:dyDescent="0.2">
      <c r="E410" s="3"/>
      <c r="F410" s="4"/>
      <c r="G410" s="3"/>
      <c r="H410" s="66"/>
      <c r="I410" s="4"/>
      <c r="J410" s="4"/>
      <c r="K410"/>
      <c r="L410"/>
      <c r="M410" s="4"/>
      <c r="N410" s="4"/>
    </row>
    <row r="411" spans="5:14" x14ac:dyDescent="0.2">
      <c r="E411" s="3"/>
      <c r="F411" s="4"/>
      <c r="G411" s="3"/>
      <c r="H411" s="66"/>
      <c r="I411" s="4"/>
      <c r="J411" s="4"/>
      <c r="K411"/>
      <c r="L411"/>
      <c r="M411" s="4"/>
      <c r="N411" s="4"/>
    </row>
    <row r="412" spans="5:14" x14ac:dyDescent="0.2">
      <c r="E412" s="3"/>
      <c r="F412" s="4"/>
      <c r="G412" s="3"/>
      <c r="H412" s="66"/>
      <c r="I412" s="4"/>
      <c r="J412" s="4"/>
      <c r="K412"/>
      <c r="L412"/>
      <c r="M412" s="4"/>
      <c r="N412" s="4"/>
    </row>
    <row r="413" spans="5:14" x14ac:dyDescent="0.2">
      <c r="E413" s="3"/>
      <c r="F413" s="4"/>
      <c r="G413" s="3"/>
      <c r="H413" s="66"/>
      <c r="I413" s="4"/>
      <c r="J413" s="4"/>
      <c r="K413"/>
      <c r="L413"/>
      <c r="M413" s="4"/>
      <c r="N413" s="4"/>
    </row>
    <row r="414" spans="5:14" x14ac:dyDescent="0.2">
      <c r="E414" s="3"/>
      <c r="F414" s="4"/>
      <c r="G414" s="3"/>
      <c r="H414" s="66"/>
      <c r="I414" s="4"/>
      <c r="J414" s="4"/>
      <c r="K414"/>
      <c r="L414"/>
      <c r="M414" s="4"/>
      <c r="N414" s="4"/>
    </row>
    <row r="415" spans="5:14" x14ac:dyDescent="0.2">
      <c r="E415" s="3"/>
      <c r="F415" s="4"/>
      <c r="G415" s="3"/>
      <c r="H415" s="66"/>
      <c r="I415" s="4"/>
      <c r="J415" s="4"/>
      <c r="K415"/>
      <c r="L415"/>
      <c r="M415" s="4"/>
      <c r="N415" s="4"/>
    </row>
    <row r="416" spans="5:14" x14ac:dyDescent="0.2">
      <c r="E416" s="3"/>
      <c r="F416" s="4"/>
      <c r="G416" s="3"/>
      <c r="H416" s="66"/>
      <c r="I416" s="4"/>
      <c r="J416" s="4"/>
      <c r="K416"/>
      <c r="L416"/>
      <c r="M416" s="4"/>
      <c r="N416" s="4"/>
    </row>
    <row r="417" spans="5:14" x14ac:dyDescent="0.2">
      <c r="E417" s="3"/>
      <c r="F417" s="4"/>
      <c r="G417" s="3"/>
      <c r="H417" s="66"/>
      <c r="I417" s="4"/>
      <c r="J417" s="4"/>
      <c r="K417"/>
      <c r="L417"/>
      <c r="M417" s="4"/>
      <c r="N417" s="4"/>
    </row>
    <row r="418" spans="5:14" x14ac:dyDescent="0.2">
      <c r="E418" s="3"/>
      <c r="F418" s="4"/>
      <c r="G418" s="3"/>
      <c r="H418" s="66"/>
      <c r="I418" s="4"/>
      <c r="J418" s="4"/>
      <c r="K418"/>
      <c r="L418"/>
      <c r="M418" s="4"/>
      <c r="N418" s="4"/>
    </row>
    <row r="419" spans="5:14" x14ac:dyDescent="0.2">
      <c r="E419" s="3"/>
      <c r="F419" s="4"/>
      <c r="G419" s="3"/>
      <c r="H419" s="66"/>
      <c r="I419" s="4"/>
      <c r="J419" s="4"/>
      <c r="K419"/>
      <c r="L419"/>
      <c r="M419" s="4"/>
      <c r="N419" s="4"/>
    </row>
    <row r="420" spans="5:14" x14ac:dyDescent="0.2">
      <c r="E420" s="3"/>
      <c r="F420" s="4"/>
      <c r="G420" s="3"/>
      <c r="H420" s="66"/>
      <c r="I420" s="4"/>
      <c r="J420" s="4"/>
      <c r="K420"/>
      <c r="L420"/>
      <c r="M420" s="4"/>
      <c r="N420" s="4"/>
    </row>
    <row r="421" spans="5:14" x14ac:dyDescent="0.2">
      <c r="E421" s="3"/>
      <c r="F421" s="4"/>
      <c r="G421" s="3"/>
      <c r="H421" s="66"/>
      <c r="I421" s="4"/>
      <c r="J421" s="4"/>
      <c r="K421"/>
      <c r="L421"/>
      <c r="M421" s="4"/>
      <c r="N421" s="4"/>
    </row>
    <row r="422" spans="5:14" x14ac:dyDescent="0.2">
      <c r="E422" s="3"/>
      <c r="F422" s="4"/>
      <c r="G422" s="3"/>
      <c r="H422" s="66"/>
      <c r="I422" s="4"/>
      <c r="J422" s="4"/>
      <c r="K422"/>
      <c r="L422"/>
      <c r="M422" s="4"/>
      <c r="N422" s="4"/>
    </row>
    <row r="423" spans="5:14" x14ac:dyDescent="0.2">
      <c r="E423" s="3"/>
      <c r="F423" s="4"/>
      <c r="G423" s="3"/>
      <c r="H423" s="66"/>
      <c r="I423" s="4"/>
      <c r="J423" s="4"/>
      <c r="K423"/>
      <c r="L423"/>
      <c r="M423" s="4"/>
      <c r="N423" s="4"/>
    </row>
    <row r="424" spans="5:14" x14ac:dyDescent="0.2">
      <c r="E424" s="3"/>
      <c r="F424" s="4"/>
      <c r="G424" s="3"/>
      <c r="H424" s="66"/>
      <c r="I424" s="4"/>
      <c r="J424" s="4"/>
      <c r="K424"/>
      <c r="L424"/>
      <c r="M424" s="4"/>
      <c r="N424" s="4"/>
    </row>
    <row r="425" spans="5:14" x14ac:dyDescent="0.2">
      <c r="E425" s="3"/>
      <c r="F425" s="4"/>
      <c r="G425" s="3"/>
      <c r="H425" s="66"/>
      <c r="I425" s="4"/>
      <c r="J425" s="4"/>
      <c r="K425"/>
      <c r="L425"/>
      <c r="M425" s="4"/>
      <c r="N425" s="4"/>
    </row>
    <row r="426" spans="5:14" x14ac:dyDescent="0.2">
      <c r="E426" s="3"/>
      <c r="F426" s="4"/>
      <c r="G426" s="3"/>
      <c r="H426" s="66"/>
      <c r="I426" s="4"/>
      <c r="J426" s="4"/>
      <c r="K426"/>
      <c r="L426"/>
      <c r="M426" s="4"/>
      <c r="N426" s="4"/>
    </row>
    <row r="427" spans="5:14" x14ac:dyDescent="0.2">
      <c r="E427" s="3"/>
      <c r="F427" s="4"/>
      <c r="G427" s="3"/>
      <c r="H427" s="66"/>
      <c r="I427" s="4"/>
      <c r="J427" s="4"/>
      <c r="K427"/>
      <c r="L427"/>
      <c r="M427" s="4"/>
      <c r="N427" s="4"/>
    </row>
    <row r="428" spans="5:14" x14ac:dyDescent="0.2">
      <c r="E428" s="3"/>
      <c r="F428" s="4"/>
      <c r="G428" s="3"/>
      <c r="H428" s="66"/>
      <c r="I428" s="4"/>
      <c r="J428" s="4"/>
      <c r="K428"/>
      <c r="L428"/>
      <c r="M428" s="4"/>
      <c r="N428" s="4"/>
    </row>
    <row r="429" spans="5:14" x14ac:dyDescent="0.2">
      <c r="E429" s="3"/>
      <c r="F429" s="4"/>
      <c r="G429" s="3"/>
      <c r="H429" s="66"/>
      <c r="I429" s="4"/>
      <c r="J429" s="4"/>
      <c r="K429"/>
      <c r="L429"/>
      <c r="M429" s="4"/>
      <c r="N429" s="4"/>
    </row>
    <row r="430" spans="5:14" x14ac:dyDescent="0.2">
      <c r="E430" s="3"/>
      <c r="F430" s="4"/>
      <c r="G430" s="3"/>
      <c r="H430" s="66"/>
      <c r="I430" s="4"/>
      <c r="J430" s="4"/>
      <c r="K430"/>
      <c r="L430"/>
      <c r="M430" s="4"/>
      <c r="N430" s="4"/>
    </row>
    <row r="431" spans="5:14" x14ac:dyDescent="0.2">
      <c r="E431" s="3"/>
      <c r="F431" s="4"/>
      <c r="G431" s="3"/>
      <c r="H431" s="66"/>
      <c r="I431" s="4"/>
      <c r="J431" s="4"/>
      <c r="K431"/>
      <c r="L431"/>
      <c r="M431" s="4"/>
      <c r="N431" s="4"/>
    </row>
    <row r="432" spans="5:14" x14ac:dyDescent="0.2">
      <c r="E432" s="3"/>
      <c r="F432" s="4"/>
      <c r="G432" s="3"/>
      <c r="H432" s="66"/>
      <c r="I432" s="4"/>
      <c r="J432" s="4"/>
      <c r="K432"/>
      <c r="L432"/>
      <c r="M432" s="4"/>
      <c r="N432" s="4"/>
    </row>
    <row r="433" spans="5:14" x14ac:dyDescent="0.2">
      <c r="E433" s="3"/>
      <c r="F433" s="4"/>
      <c r="G433" s="3"/>
      <c r="H433" s="66"/>
      <c r="I433" s="4"/>
      <c r="J433" s="4"/>
      <c r="K433"/>
      <c r="L433"/>
      <c r="M433" s="4"/>
      <c r="N433" s="4"/>
    </row>
    <row r="434" spans="5:14" x14ac:dyDescent="0.2">
      <c r="E434" s="3"/>
      <c r="F434" s="4"/>
      <c r="G434" s="3"/>
      <c r="H434" s="66"/>
      <c r="I434" s="4"/>
      <c r="J434" s="4"/>
      <c r="K434"/>
      <c r="L434"/>
      <c r="M434" s="4"/>
      <c r="N434" s="4"/>
    </row>
    <row r="435" spans="5:14" x14ac:dyDescent="0.2">
      <c r="E435" s="3"/>
      <c r="F435" s="4"/>
      <c r="G435" s="3"/>
      <c r="H435" s="66"/>
      <c r="I435" s="4"/>
      <c r="J435" s="4"/>
      <c r="K435"/>
      <c r="L435"/>
      <c r="M435" s="4"/>
      <c r="N435" s="4"/>
    </row>
    <row r="436" spans="5:14" x14ac:dyDescent="0.2">
      <c r="E436" s="3"/>
      <c r="F436" s="4"/>
      <c r="G436" s="3"/>
      <c r="H436" s="66"/>
      <c r="I436" s="4"/>
      <c r="J436" s="4"/>
      <c r="K436"/>
      <c r="L436"/>
      <c r="M436" s="4"/>
      <c r="N436" s="4"/>
    </row>
    <row r="437" spans="5:14" x14ac:dyDescent="0.2">
      <c r="E437" s="3"/>
      <c r="F437" s="4"/>
      <c r="G437" s="3"/>
      <c r="H437" s="66"/>
      <c r="I437" s="4"/>
      <c r="J437" s="4"/>
      <c r="K437"/>
      <c r="L437"/>
      <c r="M437" s="4"/>
      <c r="N437" s="4"/>
    </row>
    <row r="438" spans="5:14" x14ac:dyDescent="0.2">
      <c r="E438" s="3"/>
      <c r="F438" s="4"/>
      <c r="G438" s="3"/>
      <c r="H438" s="66"/>
      <c r="I438" s="4"/>
      <c r="J438" s="4"/>
      <c r="K438"/>
      <c r="L438"/>
      <c r="M438" s="4"/>
      <c r="N438" s="4"/>
    </row>
    <row r="439" spans="5:14" x14ac:dyDescent="0.2">
      <c r="E439" s="3"/>
      <c r="F439" s="4"/>
      <c r="G439" s="3"/>
      <c r="H439" s="66"/>
      <c r="I439" s="4"/>
      <c r="J439" s="4"/>
      <c r="K439"/>
      <c r="L439"/>
      <c r="M439" s="4"/>
      <c r="N439" s="4"/>
    </row>
    <row r="440" spans="5:14" x14ac:dyDescent="0.2">
      <c r="E440" s="3"/>
      <c r="F440" s="4"/>
      <c r="G440" s="3"/>
      <c r="H440" s="66"/>
      <c r="I440" s="4"/>
      <c r="J440" s="4"/>
      <c r="K440"/>
      <c r="L440"/>
      <c r="M440" s="4"/>
      <c r="N440" s="4"/>
    </row>
    <row r="441" spans="5:14" x14ac:dyDescent="0.2">
      <c r="E441" s="3"/>
      <c r="F441" s="4"/>
      <c r="G441" s="3"/>
      <c r="H441" s="66"/>
      <c r="I441" s="4"/>
      <c r="J441" s="4"/>
      <c r="K441"/>
      <c r="L441"/>
      <c r="M441" s="4"/>
      <c r="N441" s="4"/>
    </row>
    <row r="442" spans="5:14" x14ac:dyDescent="0.2">
      <c r="E442" s="3"/>
      <c r="F442" s="4"/>
      <c r="G442" s="3"/>
      <c r="H442" s="66"/>
      <c r="I442" s="4"/>
      <c r="J442" s="4"/>
      <c r="K442"/>
      <c r="L442"/>
      <c r="M442" s="4"/>
      <c r="N442" s="4"/>
    </row>
    <row r="443" spans="5:14" x14ac:dyDescent="0.2">
      <c r="E443" s="3"/>
      <c r="F443" s="4"/>
      <c r="G443" s="3"/>
      <c r="H443" s="66"/>
      <c r="I443" s="4"/>
      <c r="J443" s="4"/>
      <c r="K443"/>
      <c r="L443"/>
      <c r="M443" s="4"/>
      <c r="N443" s="4"/>
    </row>
    <row r="444" spans="5:14" x14ac:dyDescent="0.2">
      <c r="E444" s="3"/>
      <c r="F444" s="4"/>
      <c r="G444" s="3"/>
      <c r="H444" s="66"/>
      <c r="I444" s="4"/>
      <c r="J444" s="4"/>
      <c r="K444"/>
      <c r="L444"/>
      <c r="M444" s="4"/>
      <c r="N444" s="4"/>
    </row>
    <row r="445" spans="5:14" x14ac:dyDescent="0.2">
      <c r="E445" s="3"/>
      <c r="F445" s="4"/>
      <c r="G445" s="3"/>
      <c r="H445" s="66"/>
      <c r="I445" s="4"/>
      <c r="J445" s="4"/>
      <c r="K445"/>
      <c r="L445"/>
      <c r="M445" s="4"/>
      <c r="N445" s="4"/>
    </row>
    <row r="446" spans="5:14" x14ac:dyDescent="0.2">
      <c r="E446" s="3"/>
      <c r="F446" s="4"/>
      <c r="G446" s="3"/>
      <c r="H446" s="66"/>
      <c r="I446" s="4"/>
      <c r="J446" s="4"/>
      <c r="K446"/>
      <c r="L446"/>
      <c r="M446" s="4"/>
      <c r="N446" s="4"/>
    </row>
    <row r="447" spans="5:14" x14ac:dyDescent="0.2">
      <c r="E447" s="3"/>
      <c r="F447" s="4"/>
      <c r="G447" s="3"/>
      <c r="H447" s="66"/>
      <c r="I447" s="4"/>
      <c r="J447" s="4"/>
      <c r="K447"/>
      <c r="L447"/>
      <c r="M447" s="4"/>
      <c r="N447" s="4"/>
    </row>
    <row r="448" spans="5:14" x14ac:dyDescent="0.2">
      <c r="E448" s="3"/>
      <c r="F448" s="4"/>
      <c r="G448" s="3"/>
      <c r="H448" s="66"/>
      <c r="I448" s="4"/>
      <c r="J448" s="4"/>
      <c r="K448"/>
      <c r="L448"/>
      <c r="M448" s="4"/>
      <c r="N448" s="4"/>
    </row>
    <row r="449" spans="5:14" x14ac:dyDescent="0.2">
      <c r="E449" s="3"/>
      <c r="F449" s="4"/>
      <c r="G449" s="3"/>
      <c r="H449" s="66"/>
      <c r="I449" s="4"/>
      <c r="J449" s="4"/>
      <c r="K449"/>
      <c r="L449"/>
      <c r="M449" s="4"/>
      <c r="N449" s="4"/>
    </row>
    <row r="450" spans="5:14" x14ac:dyDescent="0.2">
      <c r="E450" s="3"/>
      <c r="F450" s="4"/>
      <c r="G450" s="3"/>
      <c r="H450" s="66"/>
      <c r="I450" s="4"/>
      <c r="J450" s="4"/>
      <c r="K450"/>
      <c r="L450"/>
      <c r="M450" s="4"/>
      <c r="N450" s="4"/>
    </row>
    <row r="451" spans="5:14" x14ac:dyDescent="0.2">
      <c r="E451" s="3"/>
      <c r="F451" s="4"/>
      <c r="G451" s="3"/>
      <c r="H451" s="66"/>
      <c r="I451" s="4"/>
      <c r="J451" s="4"/>
      <c r="K451"/>
      <c r="L451"/>
      <c r="M451" s="4"/>
      <c r="N451" s="4"/>
    </row>
    <row r="452" spans="5:14" x14ac:dyDescent="0.2">
      <c r="E452" s="3"/>
      <c r="F452" s="4"/>
      <c r="G452" s="3"/>
      <c r="H452" s="66"/>
      <c r="I452" s="4"/>
      <c r="J452" s="4"/>
      <c r="K452"/>
      <c r="L452"/>
      <c r="M452" s="4"/>
      <c r="N452" s="4"/>
    </row>
    <row r="453" spans="5:14" x14ac:dyDescent="0.2">
      <c r="E453" s="3"/>
      <c r="F453" s="4"/>
      <c r="G453" s="3"/>
      <c r="H453" s="66"/>
      <c r="I453" s="4"/>
      <c r="J453" s="4"/>
      <c r="K453"/>
      <c r="L453"/>
      <c r="M453" s="4"/>
      <c r="N453" s="4"/>
    </row>
    <row r="454" spans="5:14" x14ac:dyDescent="0.2">
      <c r="E454" s="3"/>
      <c r="F454" s="4"/>
      <c r="G454" s="3"/>
      <c r="H454" s="66"/>
      <c r="I454" s="4"/>
      <c r="J454" s="4"/>
      <c r="K454"/>
      <c r="L454"/>
      <c r="M454" s="4"/>
      <c r="N454" s="4"/>
    </row>
    <row r="455" spans="5:14" x14ac:dyDescent="0.2">
      <c r="E455" s="3"/>
      <c r="F455" s="4"/>
      <c r="G455" s="3"/>
      <c r="H455" s="66"/>
      <c r="I455" s="4"/>
      <c r="J455" s="4"/>
      <c r="K455"/>
      <c r="L455"/>
      <c r="M455" s="4"/>
      <c r="N455" s="4"/>
    </row>
    <row r="456" spans="5:14" x14ac:dyDescent="0.2">
      <c r="E456" s="3"/>
      <c r="F456" s="4"/>
      <c r="G456" s="3"/>
      <c r="H456" s="66"/>
      <c r="I456" s="4"/>
      <c r="J456" s="4"/>
      <c r="K456"/>
      <c r="L456"/>
      <c r="M456" s="4"/>
      <c r="N456" s="4"/>
    </row>
    <row r="457" spans="5:14" x14ac:dyDescent="0.2">
      <c r="E457" s="3"/>
      <c r="F457" s="4"/>
      <c r="G457" s="3"/>
      <c r="H457" s="66"/>
      <c r="I457" s="4"/>
      <c r="J457" s="4"/>
      <c r="K457"/>
      <c r="L457"/>
      <c r="M457" s="4"/>
      <c r="N457" s="4"/>
    </row>
    <row r="458" spans="5:14" x14ac:dyDescent="0.2">
      <c r="E458" s="3"/>
      <c r="F458" s="4"/>
      <c r="G458" s="3"/>
      <c r="H458" s="66"/>
      <c r="I458" s="4"/>
      <c r="J458" s="4"/>
      <c r="K458"/>
      <c r="L458"/>
      <c r="M458" s="4"/>
      <c r="N458" s="4"/>
    </row>
    <row r="459" spans="5:14" x14ac:dyDescent="0.2">
      <c r="E459" s="3"/>
      <c r="F459" s="4"/>
      <c r="G459" s="3"/>
      <c r="H459" s="66"/>
      <c r="I459" s="4"/>
      <c r="J459" s="4"/>
      <c r="K459"/>
      <c r="L459"/>
      <c r="M459" s="4"/>
      <c r="N459" s="4"/>
    </row>
    <row r="460" spans="5:14" x14ac:dyDescent="0.2">
      <c r="E460" s="3"/>
      <c r="F460" s="4"/>
      <c r="G460" s="3"/>
      <c r="H460" s="66"/>
      <c r="I460" s="4"/>
      <c r="J460" s="4"/>
      <c r="K460"/>
      <c r="L460"/>
      <c r="M460" s="4"/>
      <c r="N460" s="4"/>
    </row>
    <row r="461" spans="5:14" x14ac:dyDescent="0.2">
      <c r="E461" s="3"/>
      <c r="F461" s="4"/>
      <c r="G461" s="3"/>
      <c r="H461" s="66"/>
      <c r="I461" s="4"/>
      <c r="J461" s="4"/>
      <c r="K461"/>
      <c r="L461"/>
      <c r="M461" s="4"/>
      <c r="N461" s="4"/>
    </row>
    <row r="462" spans="5:14" x14ac:dyDescent="0.2">
      <c r="E462" s="3"/>
      <c r="F462" s="4"/>
      <c r="G462" s="3"/>
      <c r="H462" s="66"/>
      <c r="I462" s="4"/>
      <c r="J462" s="4"/>
      <c r="K462"/>
      <c r="L462"/>
      <c r="M462" s="4"/>
      <c r="N462" s="4"/>
    </row>
    <row r="463" spans="5:14" x14ac:dyDescent="0.2">
      <c r="E463" s="3"/>
      <c r="F463" s="4"/>
      <c r="G463" s="3"/>
      <c r="H463" s="66"/>
      <c r="I463" s="4"/>
      <c r="J463" s="4"/>
      <c r="K463"/>
      <c r="L463"/>
      <c r="M463" s="4"/>
      <c r="N463" s="4"/>
    </row>
    <row r="464" spans="5:14" x14ac:dyDescent="0.2">
      <c r="E464" s="3"/>
      <c r="F464" s="4"/>
      <c r="G464" s="3"/>
      <c r="H464" s="66"/>
      <c r="I464" s="4"/>
      <c r="J464" s="4"/>
      <c r="K464"/>
      <c r="L464"/>
      <c r="M464" s="4"/>
      <c r="N464" s="4"/>
    </row>
    <row r="465" spans="5:14" x14ac:dyDescent="0.2">
      <c r="E465" s="3"/>
      <c r="F465" s="4"/>
      <c r="G465" s="3"/>
      <c r="H465" s="66"/>
      <c r="I465" s="4"/>
      <c r="J465" s="4"/>
      <c r="K465"/>
      <c r="L465"/>
      <c r="M465" s="4"/>
      <c r="N465" s="4"/>
    </row>
    <row r="466" spans="5:14" x14ac:dyDescent="0.2">
      <c r="E466" s="3"/>
      <c r="F466" s="4"/>
      <c r="G466" s="3"/>
      <c r="H466" s="66"/>
      <c r="I466" s="4"/>
      <c r="J466" s="4"/>
      <c r="K466"/>
      <c r="L466"/>
      <c r="M466" s="4"/>
      <c r="N466" s="4"/>
    </row>
    <row r="467" spans="5:14" x14ac:dyDescent="0.2">
      <c r="E467" s="3"/>
      <c r="F467" s="4"/>
      <c r="G467" s="3"/>
      <c r="H467" s="66"/>
      <c r="I467" s="4"/>
      <c r="J467" s="4"/>
      <c r="K467"/>
      <c r="L467"/>
      <c r="M467" s="4"/>
      <c r="N467" s="4"/>
    </row>
    <row r="468" spans="5:14" x14ac:dyDescent="0.2">
      <c r="E468" s="3"/>
      <c r="F468" s="4"/>
      <c r="G468" s="3"/>
      <c r="H468" s="66"/>
      <c r="I468" s="4"/>
      <c r="J468" s="4"/>
      <c r="K468"/>
      <c r="L468"/>
      <c r="M468" s="4"/>
      <c r="N468" s="4"/>
    </row>
    <row r="469" spans="5:14" x14ac:dyDescent="0.2">
      <c r="E469" s="3"/>
      <c r="F469" s="4"/>
      <c r="G469" s="3"/>
      <c r="H469" s="66"/>
      <c r="I469" s="4"/>
      <c r="J469" s="4"/>
      <c r="K469"/>
      <c r="L469"/>
      <c r="M469" s="4"/>
      <c r="N469" s="4"/>
    </row>
    <row r="470" spans="5:14" x14ac:dyDescent="0.2">
      <c r="E470" s="3"/>
      <c r="F470" s="4"/>
      <c r="G470" s="3"/>
      <c r="H470" s="66"/>
      <c r="I470" s="4"/>
      <c r="J470" s="4"/>
      <c r="K470"/>
      <c r="L470"/>
      <c r="M470" s="4"/>
      <c r="N470" s="4"/>
    </row>
    <row r="471" spans="5:14" x14ac:dyDescent="0.2">
      <c r="E471" s="3"/>
      <c r="F471" s="4"/>
      <c r="G471" s="3"/>
      <c r="H471" s="66"/>
      <c r="I471" s="4"/>
      <c r="J471" s="4"/>
      <c r="K471"/>
      <c r="L471"/>
      <c r="M471" s="4"/>
      <c r="N471" s="4"/>
    </row>
    <row r="472" spans="5:14" x14ac:dyDescent="0.2">
      <c r="E472" s="3"/>
      <c r="F472" s="4"/>
      <c r="G472" s="3"/>
      <c r="H472" s="66"/>
      <c r="I472" s="4"/>
      <c r="J472" s="4"/>
      <c r="K472"/>
      <c r="L472"/>
      <c r="M472" s="4"/>
      <c r="N472" s="4"/>
    </row>
    <row r="473" spans="5:14" x14ac:dyDescent="0.2">
      <c r="E473" s="3"/>
      <c r="F473" s="4"/>
      <c r="G473" s="3"/>
      <c r="H473" s="66"/>
      <c r="I473" s="4"/>
      <c r="J473" s="4"/>
      <c r="K473"/>
      <c r="L473"/>
      <c r="M473" s="4"/>
      <c r="N473" s="4"/>
    </row>
    <row r="474" spans="5:14" x14ac:dyDescent="0.2">
      <c r="E474" s="3"/>
      <c r="F474" s="4"/>
      <c r="G474" s="3"/>
      <c r="H474" s="66"/>
      <c r="I474" s="4"/>
      <c r="J474" s="4"/>
      <c r="K474"/>
      <c r="L474"/>
      <c r="M474" s="4"/>
      <c r="N474" s="4"/>
    </row>
    <row r="475" spans="5:14" x14ac:dyDescent="0.2">
      <c r="E475" s="3"/>
      <c r="F475" s="4"/>
      <c r="G475" s="3"/>
      <c r="H475" s="66"/>
      <c r="I475" s="4"/>
      <c r="J475" s="4"/>
      <c r="K475"/>
      <c r="L475"/>
      <c r="M475" s="4"/>
      <c r="N475" s="4"/>
    </row>
    <row r="476" spans="5:14" x14ac:dyDescent="0.2">
      <c r="E476" s="3"/>
      <c r="F476" s="4"/>
      <c r="G476" s="3"/>
      <c r="H476" s="66"/>
      <c r="I476" s="4"/>
      <c r="J476" s="4"/>
      <c r="K476"/>
      <c r="L476"/>
      <c r="M476" s="4"/>
      <c r="N476" s="4"/>
    </row>
    <row r="477" spans="5:14" x14ac:dyDescent="0.2">
      <c r="E477" s="3"/>
      <c r="F477" s="4"/>
      <c r="G477" s="3"/>
      <c r="H477" s="66"/>
      <c r="I477" s="4"/>
      <c r="J477" s="4"/>
      <c r="K477"/>
      <c r="L477"/>
      <c r="M477" s="4"/>
      <c r="N477" s="4"/>
    </row>
    <row r="478" spans="5:14" x14ac:dyDescent="0.2">
      <c r="E478" s="3"/>
      <c r="F478" s="4"/>
      <c r="G478" s="3"/>
      <c r="H478" s="66"/>
      <c r="I478" s="4"/>
      <c r="J478" s="4"/>
      <c r="K478"/>
      <c r="L478"/>
      <c r="M478" s="4"/>
      <c r="N478" s="4"/>
    </row>
    <row r="479" spans="5:14" x14ac:dyDescent="0.2">
      <c r="E479" s="3"/>
      <c r="F479" s="4"/>
      <c r="G479" s="3"/>
      <c r="H479" s="66"/>
      <c r="I479" s="4"/>
      <c r="J479" s="4"/>
      <c r="K479"/>
      <c r="L479"/>
      <c r="M479" s="4"/>
      <c r="N479" s="4"/>
    </row>
    <row r="480" spans="5:14" x14ac:dyDescent="0.2">
      <c r="E480" s="3"/>
      <c r="F480" s="4"/>
      <c r="G480" s="3"/>
      <c r="H480" s="66"/>
      <c r="I480" s="4"/>
      <c r="J480" s="4"/>
      <c r="K480"/>
      <c r="L480"/>
      <c r="M480" s="4"/>
      <c r="N480" s="4"/>
    </row>
    <row r="481" spans="5:14" x14ac:dyDescent="0.2">
      <c r="E481" s="3"/>
      <c r="F481" s="4"/>
      <c r="G481" s="3"/>
      <c r="H481" s="66"/>
      <c r="I481" s="4"/>
      <c r="J481" s="4"/>
      <c r="K481"/>
      <c r="L481"/>
      <c r="M481" s="4"/>
      <c r="N481" s="4"/>
    </row>
    <row r="482" spans="5:14" x14ac:dyDescent="0.2">
      <c r="E482" s="3"/>
      <c r="F482" s="4"/>
      <c r="G482" s="3"/>
      <c r="H482" s="66"/>
      <c r="I482" s="4"/>
      <c r="J482" s="4"/>
      <c r="K482"/>
      <c r="L482"/>
      <c r="M482" s="4"/>
      <c r="N482" s="4"/>
    </row>
    <row r="483" spans="5:14" x14ac:dyDescent="0.2">
      <c r="E483" s="3"/>
      <c r="F483" s="4"/>
      <c r="G483" s="3"/>
      <c r="H483" s="66"/>
      <c r="I483" s="4"/>
      <c r="J483" s="4"/>
      <c r="K483"/>
      <c r="L483"/>
      <c r="M483" s="4"/>
      <c r="N483" s="4"/>
    </row>
    <row r="484" spans="5:14" x14ac:dyDescent="0.2">
      <c r="E484" s="3"/>
      <c r="F484" s="4"/>
      <c r="G484" s="3"/>
      <c r="H484" s="66"/>
      <c r="I484" s="4"/>
      <c r="J484" s="4"/>
      <c r="K484"/>
      <c r="L484"/>
      <c r="M484" s="4"/>
      <c r="N484" s="4"/>
    </row>
    <row r="485" spans="5:14" x14ac:dyDescent="0.2">
      <c r="E485" s="3"/>
      <c r="F485" s="4"/>
      <c r="G485" s="3"/>
      <c r="H485" s="66"/>
      <c r="I485" s="4"/>
      <c r="J485" s="4"/>
      <c r="K485"/>
      <c r="L485"/>
      <c r="M485" s="4"/>
      <c r="N485" s="4"/>
    </row>
    <row r="486" spans="5:14" x14ac:dyDescent="0.2">
      <c r="E486" s="3"/>
      <c r="F486" s="4"/>
      <c r="G486" s="3"/>
      <c r="H486" s="66"/>
      <c r="I486" s="4"/>
      <c r="J486" s="4"/>
      <c r="K486"/>
      <c r="L486"/>
      <c r="M486" s="4"/>
      <c r="N486" s="4"/>
    </row>
    <row r="487" spans="5:14" x14ac:dyDescent="0.2">
      <c r="E487" s="3"/>
      <c r="F487" s="4"/>
      <c r="G487" s="3"/>
      <c r="H487" s="66"/>
      <c r="I487" s="4"/>
      <c r="J487" s="4"/>
      <c r="K487"/>
      <c r="L487"/>
      <c r="M487" s="4"/>
      <c r="N487" s="4"/>
    </row>
    <row r="488" spans="5:14" x14ac:dyDescent="0.2">
      <c r="E488" s="3"/>
      <c r="F488" s="4"/>
      <c r="G488" s="3"/>
      <c r="H488" s="66"/>
      <c r="I488" s="4"/>
      <c r="J488" s="4"/>
      <c r="K488"/>
      <c r="L488"/>
      <c r="M488" s="4"/>
      <c r="N488" s="4"/>
    </row>
    <row r="489" spans="5:14" x14ac:dyDescent="0.2">
      <c r="E489" s="3"/>
      <c r="F489" s="4"/>
      <c r="G489" s="3"/>
      <c r="H489" s="66"/>
      <c r="I489" s="4"/>
      <c r="J489" s="4"/>
      <c r="K489"/>
      <c r="L489"/>
      <c r="M489" s="4"/>
      <c r="N489" s="4"/>
    </row>
    <row r="490" spans="5:14" x14ac:dyDescent="0.2">
      <c r="E490" s="3"/>
      <c r="F490" s="4"/>
      <c r="G490" s="3"/>
      <c r="H490" s="66"/>
      <c r="I490" s="4"/>
      <c r="J490" s="4"/>
      <c r="K490"/>
      <c r="L490"/>
      <c r="M490" s="4"/>
      <c r="N490" s="4"/>
    </row>
    <row r="491" spans="5:14" x14ac:dyDescent="0.2">
      <c r="E491" s="3"/>
      <c r="F491" s="4"/>
      <c r="G491" s="3"/>
      <c r="H491" s="66"/>
      <c r="I491" s="4"/>
      <c r="J491" s="4"/>
      <c r="K491"/>
      <c r="L491"/>
      <c r="M491" s="4"/>
      <c r="N491" s="4"/>
    </row>
    <row r="492" spans="5:14" x14ac:dyDescent="0.2">
      <c r="E492" s="3"/>
      <c r="F492" s="4"/>
      <c r="G492" s="3"/>
      <c r="H492" s="66"/>
      <c r="I492" s="4"/>
      <c r="J492" s="4"/>
      <c r="K492"/>
      <c r="L492"/>
      <c r="M492" s="4"/>
      <c r="N492" s="4"/>
    </row>
    <row r="493" spans="5:14" x14ac:dyDescent="0.2">
      <c r="E493" s="3"/>
      <c r="F493" s="4"/>
      <c r="G493" s="3"/>
      <c r="H493" s="66"/>
      <c r="I493" s="4"/>
      <c r="J493" s="4"/>
      <c r="K493"/>
      <c r="L493"/>
      <c r="M493" s="4"/>
      <c r="N493" s="4"/>
    </row>
    <row r="494" spans="5:14" x14ac:dyDescent="0.2">
      <c r="E494" s="3"/>
      <c r="F494" s="4"/>
      <c r="G494" s="3"/>
      <c r="H494" s="66"/>
      <c r="I494" s="4"/>
      <c r="J494" s="4"/>
      <c r="K494"/>
      <c r="L494"/>
      <c r="M494" s="4"/>
      <c r="N494" s="4"/>
    </row>
    <row r="495" spans="5:14" x14ac:dyDescent="0.2">
      <c r="E495" s="3"/>
      <c r="F495" s="4"/>
      <c r="G495" s="3"/>
      <c r="H495" s="66"/>
      <c r="I495" s="4"/>
      <c r="J495" s="4"/>
      <c r="K495"/>
      <c r="L495"/>
      <c r="M495" s="4"/>
      <c r="N495" s="4"/>
    </row>
    <row r="496" spans="5:14" x14ac:dyDescent="0.2">
      <c r="E496" s="3"/>
      <c r="F496" s="4"/>
      <c r="G496" s="3"/>
      <c r="H496" s="66"/>
      <c r="I496" s="4"/>
      <c r="J496" s="4"/>
      <c r="K496"/>
      <c r="L496"/>
      <c r="M496" s="4"/>
      <c r="N496" s="4"/>
    </row>
    <row r="497" spans="5:14" x14ac:dyDescent="0.2">
      <c r="E497" s="3"/>
      <c r="F497" s="4"/>
      <c r="G497" s="3"/>
      <c r="H497" s="66"/>
      <c r="I497" s="4"/>
      <c r="J497" s="4"/>
      <c r="K497"/>
      <c r="L497"/>
      <c r="M497" s="4"/>
      <c r="N497" s="4"/>
    </row>
    <row r="498" spans="5:14" x14ac:dyDescent="0.2">
      <c r="E498" s="3"/>
      <c r="F498" s="4"/>
      <c r="G498" s="3"/>
      <c r="H498" s="66"/>
      <c r="I498" s="4"/>
      <c r="J498" s="4"/>
      <c r="K498"/>
      <c r="L498"/>
      <c r="M498" s="4"/>
      <c r="N498" s="4"/>
    </row>
    <row r="499" spans="5:14" x14ac:dyDescent="0.2">
      <c r="E499" s="3"/>
      <c r="F499" s="4"/>
      <c r="G499" s="3"/>
      <c r="H499" s="66"/>
      <c r="I499" s="4"/>
      <c r="J499" s="4"/>
      <c r="K499"/>
      <c r="L499"/>
      <c r="M499" s="4"/>
      <c r="N499" s="4"/>
    </row>
    <row r="500" spans="5:14" x14ac:dyDescent="0.2">
      <c r="E500" s="3"/>
      <c r="F500" s="4"/>
      <c r="G500" s="3"/>
      <c r="H500" s="66"/>
      <c r="I500" s="4"/>
      <c r="J500" s="4"/>
      <c r="K500"/>
      <c r="L500"/>
      <c r="M500" s="4"/>
      <c r="N500" s="4"/>
    </row>
    <row r="501" spans="5:14" x14ac:dyDescent="0.2">
      <c r="E501" s="3"/>
      <c r="F501" s="4"/>
      <c r="G501" s="3"/>
      <c r="H501" s="66"/>
      <c r="I501" s="4"/>
      <c r="J501" s="4"/>
      <c r="K501"/>
      <c r="L501"/>
      <c r="M501" s="4"/>
      <c r="N501" s="4"/>
    </row>
    <row r="502" spans="5:14" x14ac:dyDescent="0.2">
      <c r="E502" s="3"/>
      <c r="F502" s="4"/>
      <c r="G502" s="3"/>
      <c r="H502" s="66"/>
      <c r="I502" s="4"/>
      <c r="J502" s="4"/>
      <c r="K502"/>
      <c r="L502"/>
      <c r="M502" s="4"/>
      <c r="N502" s="4"/>
    </row>
    <row r="503" spans="5:14" x14ac:dyDescent="0.2">
      <c r="E503" s="3"/>
      <c r="F503" s="4"/>
      <c r="G503" s="3"/>
      <c r="H503" s="66"/>
      <c r="I503" s="4"/>
      <c r="J503" s="4"/>
      <c r="K503"/>
      <c r="L503"/>
      <c r="M503" s="4"/>
      <c r="N503" s="4"/>
    </row>
    <row r="504" spans="5:14" x14ac:dyDescent="0.2">
      <c r="E504" s="3"/>
      <c r="F504" s="4"/>
      <c r="G504" s="3"/>
      <c r="H504" s="66"/>
      <c r="I504" s="4"/>
      <c r="J504" s="4"/>
      <c r="K504"/>
      <c r="L504"/>
      <c r="M504" s="4"/>
      <c r="N504" s="4"/>
    </row>
    <row r="505" spans="5:14" x14ac:dyDescent="0.2">
      <c r="E505" s="3"/>
      <c r="F505" s="4"/>
      <c r="G505" s="3"/>
      <c r="H505" s="66"/>
      <c r="I505" s="4"/>
      <c r="J505" s="4"/>
      <c r="K505"/>
      <c r="L505"/>
      <c r="M505" s="4"/>
      <c r="N505" s="4"/>
    </row>
    <row r="506" spans="5:14" x14ac:dyDescent="0.2">
      <c r="E506" s="3"/>
      <c r="F506" s="4"/>
      <c r="G506" s="3"/>
      <c r="H506" s="66"/>
      <c r="I506" s="4"/>
      <c r="J506" s="4"/>
      <c r="K506"/>
      <c r="L506"/>
      <c r="M506" s="4"/>
      <c r="N506" s="4"/>
    </row>
    <row r="507" spans="5:14" x14ac:dyDescent="0.2">
      <c r="E507" s="3"/>
      <c r="F507" s="4"/>
      <c r="G507" s="3"/>
      <c r="H507" s="66"/>
      <c r="I507" s="4"/>
      <c r="J507" s="4"/>
      <c r="K507"/>
      <c r="L507"/>
      <c r="M507" s="4"/>
      <c r="N507" s="4"/>
    </row>
    <row r="508" spans="5:14" x14ac:dyDescent="0.2">
      <c r="E508" s="3"/>
      <c r="F508" s="4"/>
      <c r="G508" s="3"/>
      <c r="H508" s="66"/>
      <c r="I508" s="4"/>
      <c r="J508" s="4"/>
      <c r="K508"/>
      <c r="L508"/>
      <c r="M508" s="4"/>
      <c r="N508" s="4"/>
    </row>
    <row r="509" spans="5:14" x14ac:dyDescent="0.2">
      <c r="E509" s="3"/>
      <c r="F509" s="4"/>
      <c r="G509" s="3"/>
      <c r="H509" s="66"/>
      <c r="I509" s="4"/>
      <c r="J509" s="4"/>
      <c r="K509"/>
      <c r="L509"/>
      <c r="M509" s="4"/>
      <c r="N509" s="4"/>
    </row>
    <row r="510" spans="5:14" x14ac:dyDescent="0.2">
      <c r="E510" s="3"/>
      <c r="F510" s="4"/>
      <c r="G510" s="3"/>
      <c r="H510" s="66"/>
      <c r="I510" s="4"/>
      <c r="J510" s="4"/>
      <c r="K510"/>
      <c r="L510"/>
      <c r="M510" s="4"/>
      <c r="N510" s="4"/>
    </row>
    <row r="511" spans="5:14" x14ac:dyDescent="0.2">
      <c r="E511" s="3"/>
      <c r="F511" s="4"/>
      <c r="G511" s="3"/>
      <c r="H511" s="66"/>
      <c r="I511" s="4"/>
      <c r="J511" s="4"/>
      <c r="K511"/>
      <c r="L511"/>
      <c r="M511" s="4"/>
      <c r="N511" s="4"/>
    </row>
    <row r="512" spans="5:14" x14ac:dyDescent="0.2">
      <c r="E512" s="3"/>
      <c r="F512" s="4"/>
      <c r="G512" s="3"/>
      <c r="H512" s="66"/>
      <c r="I512" s="4"/>
      <c r="J512" s="4"/>
      <c r="K512"/>
      <c r="L512"/>
      <c r="M512" s="4"/>
      <c r="N512" s="4"/>
    </row>
    <row r="513" spans="5:14" x14ac:dyDescent="0.2">
      <c r="E513" s="3"/>
      <c r="F513" s="4"/>
      <c r="G513" s="3"/>
      <c r="H513" s="66"/>
      <c r="I513" s="4"/>
      <c r="J513" s="4"/>
      <c r="K513"/>
      <c r="L513"/>
      <c r="M513" s="4"/>
      <c r="N513" s="4"/>
    </row>
    <row r="514" spans="5:14" x14ac:dyDescent="0.2">
      <c r="E514" s="3"/>
      <c r="F514" s="4"/>
      <c r="G514" s="3"/>
      <c r="H514" s="66"/>
      <c r="I514" s="4"/>
      <c r="J514" s="4"/>
      <c r="K514"/>
      <c r="L514"/>
      <c r="M514" s="4"/>
      <c r="N514" s="4"/>
    </row>
    <row r="515" spans="5:14" x14ac:dyDescent="0.2">
      <c r="E515" s="3"/>
      <c r="F515" s="4"/>
      <c r="G515" s="3"/>
      <c r="H515" s="66"/>
      <c r="I515" s="4"/>
      <c r="J515" s="4"/>
      <c r="K515"/>
      <c r="L515"/>
      <c r="M515" s="4"/>
      <c r="N515" s="4"/>
    </row>
    <row r="516" spans="5:14" x14ac:dyDescent="0.2">
      <c r="E516" s="3"/>
      <c r="F516" s="4"/>
      <c r="G516" s="3"/>
      <c r="H516" s="66"/>
      <c r="I516" s="4"/>
      <c r="J516" s="4"/>
      <c r="K516"/>
      <c r="L516"/>
      <c r="M516" s="4"/>
      <c r="N516" s="4"/>
    </row>
    <row r="517" spans="5:14" x14ac:dyDescent="0.2">
      <c r="E517" s="3"/>
      <c r="F517" s="4"/>
      <c r="G517" s="3"/>
      <c r="H517" s="66"/>
      <c r="I517" s="4"/>
      <c r="J517" s="4"/>
      <c r="K517"/>
      <c r="L517"/>
      <c r="M517" s="4"/>
      <c r="N517" s="4"/>
    </row>
    <row r="518" spans="5:14" x14ac:dyDescent="0.2">
      <c r="E518" s="3"/>
      <c r="F518" s="4"/>
      <c r="G518" s="3"/>
      <c r="H518" s="66"/>
      <c r="I518" s="4"/>
      <c r="J518" s="4"/>
      <c r="K518"/>
      <c r="L518"/>
      <c r="M518" s="4"/>
      <c r="N518" s="4"/>
    </row>
    <row r="519" spans="5:14" x14ac:dyDescent="0.2">
      <c r="E519" s="3"/>
      <c r="F519" s="4"/>
      <c r="G519" s="3"/>
      <c r="H519" s="66"/>
      <c r="I519" s="4"/>
      <c r="J519" s="4"/>
      <c r="K519"/>
      <c r="L519"/>
      <c r="M519" s="4"/>
      <c r="N519" s="4"/>
    </row>
    <row r="520" spans="5:14" x14ac:dyDescent="0.2">
      <c r="E520" s="3"/>
      <c r="F520" s="4"/>
      <c r="G520" s="3"/>
      <c r="H520" s="66"/>
      <c r="I520" s="4"/>
      <c r="J520" s="4"/>
      <c r="K520"/>
      <c r="L520"/>
      <c r="M520" s="4"/>
      <c r="N520" s="4"/>
    </row>
    <row r="521" spans="5:14" x14ac:dyDescent="0.2">
      <c r="E521" s="3"/>
      <c r="F521" s="4"/>
      <c r="G521" s="3"/>
      <c r="H521" s="66"/>
      <c r="I521" s="4"/>
      <c r="J521" s="4"/>
      <c r="K521"/>
      <c r="L521"/>
      <c r="M521" s="4"/>
      <c r="N521" s="4"/>
    </row>
    <row r="522" spans="5:14" x14ac:dyDescent="0.2">
      <c r="E522" s="3"/>
      <c r="F522" s="4"/>
      <c r="G522" s="3"/>
      <c r="H522" s="66"/>
      <c r="I522" s="4"/>
      <c r="J522" s="4"/>
      <c r="K522"/>
      <c r="L522"/>
      <c r="M522" s="4"/>
      <c r="N522" s="4"/>
    </row>
    <row r="523" spans="5:14" x14ac:dyDescent="0.2">
      <c r="E523" s="3"/>
      <c r="F523" s="4"/>
      <c r="G523" s="3"/>
      <c r="H523" s="66"/>
      <c r="I523" s="4"/>
      <c r="J523" s="4"/>
      <c r="K523"/>
      <c r="L523"/>
      <c r="M523" s="4"/>
      <c r="N523" s="4"/>
    </row>
    <row r="524" spans="5:14" x14ac:dyDescent="0.2">
      <c r="E524" s="3"/>
      <c r="F524" s="4"/>
      <c r="G524" s="3"/>
      <c r="H524" s="66"/>
      <c r="I524" s="4"/>
      <c r="J524" s="4"/>
      <c r="K524"/>
      <c r="L524"/>
      <c r="M524" s="4"/>
      <c r="N524" s="4"/>
    </row>
    <row r="525" spans="5:14" x14ac:dyDescent="0.2">
      <c r="E525" s="3"/>
      <c r="F525" s="4"/>
      <c r="G525" s="3"/>
      <c r="H525" s="66"/>
      <c r="I525" s="4"/>
      <c r="J525" s="4"/>
      <c r="K525"/>
      <c r="L525"/>
      <c r="M525" s="4"/>
      <c r="N525" s="4"/>
    </row>
    <row r="526" spans="5:14" x14ac:dyDescent="0.2">
      <c r="E526" s="3"/>
      <c r="F526" s="4"/>
      <c r="G526" s="3"/>
      <c r="H526" s="66"/>
      <c r="I526" s="4"/>
      <c r="J526" s="4"/>
      <c r="K526"/>
      <c r="L526"/>
      <c r="M526" s="4"/>
      <c r="N526" s="4"/>
    </row>
    <row r="527" spans="5:14" x14ac:dyDescent="0.2">
      <c r="E527" s="3"/>
      <c r="F527" s="4"/>
      <c r="G527" s="3"/>
      <c r="H527" s="66"/>
      <c r="I527" s="4"/>
      <c r="J527" s="4"/>
      <c r="K527"/>
      <c r="L527"/>
      <c r="M527" s="4"/>
      <c r="N527" s="4"/>
    </row>
    <row r="528" spans="5:14" x14ac:dyDescent="0.2">
      <c r="E528" s="3"/>
      <c r="F528" s="4"/>
      <c r="G528" s="3"/>
      <c r="H528" s="66"/>
      <c r="I528" s="4"/>
      <c r="J528" s="4"/>
      <c r="K528"/>
      <c r="L528"/>
      <c r="M528" s="4"/>
      <c r="N528" s="4"/>
    </row>
    <row r="529" spans="5:14" x14ac:dyDescent="0.2">
      <c r="E529" s="3"/>
      <c r="F529" s="4"/>
      <c r="G529" s="3"/>
      <c r="H529" s="66"/>
      <c r="I529" s="4"/>
      <c r="J529" s="4"/>
      <c r="K529"/>
      <c r="L529"/>
      <c r="M529" s="4"/>
      <c r="N529" s="4"/>
    </row>
    <row r="530" spans="5:14" x14ac:dyDescent="0.2">
      <c r="E530" s="3"/>
      <c r="F530" s="4"/>
      <c r="G530" s="3"/>
      <c r="H530" s="66"/>
      <c r="I530" s="4"/>
      <c r="J530" s="4"/>
      <c r="K530"/>
      <c r="L530"/>
      <c r="M530" s="4"/>
      <c r="N530" s="4"/>
    </row>
    <row r="531" spans="5:14" x14ac:dyDescent="0.2">
      <c r="E531" s="3"/>
      <c r="F531" s="4"/>
      <c r="G531" s="3"/>
      <c r="H531" s="66"/>
      <c r="I531" s="4"/>
      <c r="J531" s="4"/>
      <c r="K531"/>
      <c r="L531"/>
      <c r="M531" s="4"/>
      <c r="N531" s="4"/>
    </row>
    <row r="532" spans="5:14" x14ac:dyDescent="0.2">
      <c r="E532" s="3"/>
      <c r="F532" s="4"/>
      <c r="G532" s="3"/>
      <c r="H532" s="66"/>
      <c r="I532" s="4"/>
      <c r="J532" s="4"/>
      <c r="K532"/>
      <c r="L532"/>
      <c r="M532" s="4"/>
      <c r="N532" s="4"/>
    </row>
    <row r="533" spans="5:14" x14ac:dyDescent="0.2">
      <c r="E533" s="3"/>
      <c r="F533" s="4"/>
      <c r="G533" s="3"/>
      <c r="H533" s="66"/>
      <c r="I533" s="4"/>
      <c r="J533" s="4"/>
      <c r="K533"/>
      <c r="L533"/>
      <c r="M533" s="4"/>
      <c r="N533" s="4"/>
    </row>
    <row r="534" spans="5:14" x14ac:dyDescent="0.2">
      <c r="E534" s="3"/>
      <c r="F534" s="4"/>
      <c r="G534" s="3"/>
      <c r="H534" s="66"/>
      <c r="I534" s="4"/>
      <c r="J534" s="4"/>
      <c r="K534"/>
      <c r="L534"/>
      <c r="M534" s="4"/>
      <c r="N534" s="4"/>
    </row>
    <row r="535" spans="5:14" x14ac:dyDescent="0.2">
      <c r="E535" s="3"/>
      <c r="F535" s="4"/>
      <c r="G535" s="3"/>
      <c r="H535" s="66"/>
      <c r="I535" s="4"/>
      <c r="J535" s="4"/>
      <c r="K535"/>
      <c r="L535"/>
      <c r="M535" s="4"/>
      <c r="N535" s="4"/>
    </row>
    <row r="536" spans="5:14" x14ac:dyDescent="0.2">
      <c r="E536" s="3"/>
      <c r="F536" s="4"/>
      <c r="G536" s="3"/>
      <c r="H536" s="66"/>
      <c r="I536" s="4"/>
      <c r="J536" s="4"/>
      <c r="K536"/>
      <c r="L536"/>
      <c r="M536" s="4"/>
      <c r="N536" s="4"/>
    </row>
    <row r="537" spans="5:14" x14ac:dyDescent="0.2">
      <c r="E537" s="3"/>
      <c r="F537" s="4"/>
      <c r="G537" s="3"/>
      <c r="H537" s="66"/>
      <c r="I537" s="4"/>
      <c r="J537" s="4"/>
      <c r="K537"/>
      <c r="L537"/>
      <c r="M537" s="4"/>
      <c r="N537" s="4"/>
    </row>
    <row r="538" spans="5:14" x14ac:dyDescent="0.2">
      <c r="E538" s="3"/>
      <c r="F538" s="4"/>
      <c r="G538" s="3"/>
      <c r="H538" s="66"/>
      <c r="I538" s="4"/>
      <c r="J538" s="4"/>
      <c r="K538"/>
      <c r="L538"/>
      <c r="M538" s="4"/>
      <c r="N538" s="4"/>
    </row>
    <row r="539" spans="5:14" x14ac:dyDescent="0.2">
      <c r="E539" s="3"/>
      <c r="F539" s="4"/>
      <c r="G539" s="3"/>
      <c r="H539" s="66"/>
      <c r="I539" s="4"/>
      <c r="J539" s="4"/>
      <c r="K539"/>
      <c r="L539"/>
      <c r="M539" s="4"/>
      <c r="N539" s="4"/>
    </row>
    <row r="540" spans="5:14" x14ac:dyDescent="0.2">
      <c r="E540" s="3"/>
      <c r="F540" s="4"/>
      <c r="G540" s="3"/>
      <c r="H540" s="66"/>
      <c r="I540" s="4"/>
      <c r="J540" s="4"/>
      <c r="K540"/>
      <c r="L540"/>
      <c r="M540" s="4"/>
      <c r="N540" s="4"/>
    </row>
    <row r="541" spans="5:14" x14ac:dyDescent="0.2">
      <c r="E541" s="3"/>
      <c r="F541" s="4"/>
      <c r="G541" s="3"/>
      <c r="H541" s="66"/>
      <c r="I541" s="4"/>
      <c r="J541" s="4"/>
      <c r="K541"/>
      <c r="L541"/>
      <c r="M541" s="4"/>
      <c r="N541" s="4"/>
    </row>
    <row r="542" spans="5:14" x14ac:dyDescent="0.2">
      <c r="E542" s="3"/>
      <c r="F542" s="4"/>
      <c r="G542" s="3"/>
      <c r="H542" s="66"/>
      <c r="I542" s="4"/>
      <c r="J542" s="4"/>
      <c r="K542"/>
      <c r="L542"/>
      <c r="M542" s="4"/>
      <c r="N542" s="4"/>
    </row>
    <row r="543" spans="5:14" x14ac:dyDescent="0.2">
      <c r="E543" s="3"/>
      <c r="F543" s="4"/>
      <c r="G543" s="3"/>
      <c r="H543" s="66"/>
      <c r="I543" s="4"/>
      <c r="J543" s="4"/>
      <c r="K543"/>
      <c r="L543"/>
      <c r="M543" s="4"/>
      <c r="N543" s="4"/>
    </row>
    <row r="544" spans="5:14" x14ac:dyDescent="0.2">
      <c r="E544" s="3"/>
      <c r="F544" s="4"/>
      <c r="G544" s="3"/>
      <c r="H544" s="66"/>
      <c r="I544" s="4"/>
      <c r="J544" s="4"/>
      <c r="K544"/>
      <c r="L544"/>
      <c r="M544" s="4"/>
      <c r="N544" s="4"/>
    </row>
    <row r="545" spans="5:14" x14ac:dyDescent="0.2">
      <c r="E545" s="3"/>
      <c r="F545" s="4"/>
      <c r="G545" s="3"/>
      <c r="H545" s="66"/>
      <c r="I545" s="4"/>
      <c r="J545" s="4"/>
      <c r="K545"/>
      <c r="L545"/>
      <c r="M545" s="4"/>
      <c r="N545" s="4"/>
    </row>
    <row r="546" spans="5:14" x14ac:dyDescent="0.2">
      <c r="E546" s="3"/>
      <c r="F546" s="4"/>
      <c r="G546" s="3"/>
      <c r="H546" s="66"/>
      <c r="I546" s="4"/>
      <c r="J546" s="4"/>
      <c r="K546"/>
      <c r="L546"/>
      <c r="M546" s="4"/>
      <c r="N546" s="4"/>
    </row>
    <row r="547" spans="5:14" x14ac:dyDescent="0.2">
      <c r="E547" s="3"/>
      <c r="F547" s="4"/>
      <c r="G547" s="3"/>
      <c r="H547" s="66"/>
      <c r="I547" s="4"/>
      <c r="J547" s="4"/>
      <c r="K547"/>
      <c r="L547"/>
      <c r="M547" s="4"/>
      <c r="N547" s="4"/>
    </row>
    <row r="548" spans="5:14" x14ac:dyDescent="0.2">
      <c r="E548" s="3"/>
      <c r="F548" s="4"/>
      <c r="G548" s="3"/>
      <c r="H548" s="66"/>
      <c r="I548" s="4"/>
      <c r="J548" s="4"/>
      <c r="K548"/>
      <c r="L548"/>
      <c r="M548" s="4"/>
      <c r="N548" s="4"/>
    </row>
    <row r="549" spans="5:14" x14ac:dyDescent="0.2">
      <c r="E549" s="3"/>
      <c r="F549" s="4"/>
      <c r="G549" s="3"/>
      <c r="H549" s="66"/>
      <c r="I549" s="4"/>
      <c r="J549" s="4"/>
      <c r="K549"/>
      <c r="L549"/>
      <c r="M549" s="4"/>
      <c r="N549" s="4"/>
    </row>
    <row r="550" spans="5:14" x14ac:dyDescent="0.2">
      <c r="E550" s="3"/>
      <c r="F550" s="4"/>
      <c r="G550" s="3"/>
      <c r="H550" s="66"/>
      <c r="I550" s="4"/>
      <c r="J550" s="4"/>
      <c r="K550"/>
      <c r="L550"/>
      <c r="M550" s="4"/>
      <c r="N550" s="4"/>
    </row>
    <row r="551" spans="5:14" x14ac:dyDescent="0.2">
      <c r="E551" s="3"/>
      <c r="F551" s="4"/>
      <c r="G551" s="3"/>
      <c r="H551" s="66"/>
      <c r="I551" s="4"/>
      <c r="J551" s="4"/>
      <c r="K551"/>
      <c r="L551"/>
      <c r="M551" s="4"/>
      <c r="N551" s="4"/>
    </row>
    <row r="552" spans="5:14" x14ac:dyDescent="0.2">
      <c r="E552" s="3"/>
      <c r="F552" s="4"/>
      <c r="G552" s="3"/>
      <c r="H552" s="66"/>
      <c r="I552" s="4"/>
      <c r="J552" s="4"/>
      <c r="K552"/>
      <c r="L552"/>
      <c r="M552" s="4"/>
      <c r="N552" s="4"/>
    </row>
    <row r="553" spans="5:14" x14ac:dyDescent="0.2">
      <c r="E553" s="3"/>
      <c r="F553" s="4"/>
      <c r="G553" s="3"/>
      <c r="H553" s="66"/>
      <c r="I553" s="4"/>
      <c r="J553" s="4"/>
      <c r="K553"/>
      <c r="L553"/>
      <c r="M553" s="4"/>
      <c r="N553" s="4"/>
    </row>
    <row r="554" spans="5:14" x14ac:dyDescent="0.2">
      <c r="E554" s="3"/>
      <c r="F554" s="4"/>
      <c r="G554" s="3"/>
      <c r="H554" s="66"/>
      <c r="I554" s="4"/>
      <c r="J554" s="4"/>
      <c r="K554"/>
      <c r="L554"/>
      <c r="M554" s="4"/>
      <c r="N554" s="4"/>
    </row>
    <row r="555" spans="5:14" x14ac:dyDescent="0.2">
      <c r="E555" s="3"/>
      <c r="F555" s="4"/>
      <c r="G555" s="3"/>
      <c r="H555" s="66"/>
      <c r="I555" s="4"/>
      <c r="J555" s="4"/>
      <c r="K555"/>
      <c r="L555"/>
      <c r="M555" s="4"/>
      <c r="N555" s="4"/>
    </row>
    <row r="556" spans="5:14" x14ac:dyDescent="0.2">
      <c r="E556" s="3"/>
      <c r="F556" s="4"/>
      <c r="G556" s="3"/>
      <c r="H556" s="66"/>
      <c r="I556" s="4"/>
      <c r="J556" s="4"/>
      <c r="K556"/>
      <c r="L556"/>
      <c r="M556" s="4"/>
      <c r="N556" s="4"/>
    </row>
    <row r="557" spans="5:14" x14ac:dyDescent="0.2">
      <c r="E557" s="3"/>
      <c r="F557" s="4"/>
      <c r="G557" s="3"/>
      <c r="H557" s="66"/>
      <c r="I557" s="4"/>
      <c r="J557" s="4"/>
      <c r="K557"/>
      <c r="L557"/>
      <c r="M557" s="4"/>
      <c r="N557" s="4"/>
    </row>
    <row r="558" spans="5:14" x14ac:dyDescent="0.2">
      <c r="E558" s="3"/>
      <c r="F558" s="4"/>
      <c r="G558" s="3"/>
      <c r="H558" s="66"/>
      <c r="I558" s="4"/>
      <c r="J558" s="4"/>
      <c r="K558"/>
      <c r="L558"/>
      <c r="M558" s="4"/>
      <c r="N558" s="4"/>
    </row>
    <row r="559" spans="5:14" x14ac:dyDescent="0.2">
      <c r="E559" s="3"/>
      <c r="F559" s="4"/>
      <c r="G559" s="3"/>
      <c r="H559" s="66"/>
      <c r="I559" s="4"/>
      <c r="J559" s="4"/>
      <c r="K559"/>
      <c r="L559"/>
      <c r="M559" s="4"/>
      <c r="N559" s="4"/>
    </row>
    <row r="560" spans="5:14" x14ac:dyDescent="0.2">
      <c r="E560" s="3"/>
      <c r="F560" s="4"/>
      <c r="G560" s="3"/>
      <c r="H560" s="66"/>
      <c r="I560" s="4"/>
      <c r="J560" s="4"/>
      <c r="K560"/>
      <c r="L560"/>
      <c r="M560" s="4"/>
      <c r="N560" s="4"/>
    </row>
    <row r="561" spans="5:14" x14ac:dyDescent="0.2">
      <c r="E561" s="3"/>
      <c r="F561" s="4"/>
      <c r="G561" s="3"/>
      <c r="H561" s="66"/>
      <c r="I561" s="4"/>
      <c r="J561" s="4"/>
      <c r="K561"/>
      <c r="L561"/>
      <c r="M561" s="4"/>
      <c r="N561" s="4"/>
    </row>
    <row r="562" spans="5:14" x14ac:dyDescent="0.2">
      <c r="E562" s="3"/>
      <c r="F562" s="4"/>
      <c r="G562" s="3"/>
      <c r="H562" s="66"/>
      <c r="I562" s="4"/>
      <c r="J562" s="4"/>
      <c r="K562"/>
      <c r="L562"/>
      <c r="M562" s="4"/>
      <c r="N562" s="4"/>
    </row>
    <row r="563" spans="5:14" x14ac:dyDescent="0.2">
      <c r="E563" s="3"/>
      <c r="F563" s="4"/>
      <c r="G563" s="3"/>
      <c r="H563" s="66"/>
      <c r="I563" s="4"/>
      <c r="J563" s="4"/>
      <c r="K563"/>
      <c r="L563"/>
      <c r="M563" s="4"/>
      <c r="N563" s="4"/>
    </row>
    <row r="564" spans="5:14" x14ac:dyDescent="0.2">
      <c r="E564" s="3"/>
      <c r="F564" s="4"/>
      <c r="G564" s="3"/>
      <c r="H564" s="66"/>
      <c r="I564" s="4"/>
      <c r="J564" s="4"/>
      <c r="K564"/>
      <c r="L564"/>
      <c r="M564" s="4"/>
      <c r="N564" s="4"/>
    </row>
    <row r="565" spans="5:14" x14ac:dyDescent="0.2">
      <c r="E565" s="3"/>
      <c r="F565" s="4"/>
      <c r="G565" s="3"/>
      <c r="H565" s="66"/>
      <c r="I565" s="4"/>
      <c r="J565" s="4"/>
      <c r="K565"/>
      <c r="L565"/>
      <c r="M565" s="4"/>
      <c r="N565" s="4"/>
    </row>
    <row r="566" spans="5:14" x14ac:dyDescent="0.2">
      <c r="E566" s="3"/>
      <c r="F566" s="4"/>
      <c r="G566" s="3"/>
      <c r="H566" s="66"/>
      <c r="I566" s="4"/>
      <c r="J566" s="4"/>
      <c r="K566"/>
      <c r="L566"/>
      <c r="M566" s="4"/>
      <c r="N566" s="4"/>
    </row>
    <row r="567" spans="5:14" x14ac:dyDescent="0.2">
      <c r="E567" s="3"/>
      <c r="F567" s="4"/>
      <c r="G567" s="3"/>
      <c r="H567" s="66"/>
      <c r="I567" s="4"/>
      <c r="J567" s="4"/>
      <c r="K567"/>
      <c r="L567"/>
      <c r="M567" s="4"/>
      <c r="N567" s="4"/>
    </row>
    <row r="568" spans="5:14" x14ac:dyDescent="0.2">
      <c r="E568" s="3"/>
      <c r="F568" s="4"/>
      <c r="G568" s="3"/>
      <c r="H568" s="66"/>
      <c r="I568" s="4"/>
      <c r="J568" s="4"/>
      <c r="K568"/>
      <c r="L568"/>
      <c r="M568" s="4"/>
      <c r="N568" s="4"/>
    </row>
    <row r="569" spans="5:14" x14ac:dyDescent="0.2">
      <c r="E569" s="3"/>
      <c r="F569" s="4"/>
      <c r="G569" s="3"/>
      <c r="H569" s="66"/>
      <c r="I569" s="4"/>
      <c r="J569" s="4"/>
      <c r="K569"/>
      <c r="L569"/>
      <c r="M569" s="4"/>
      <c r="N569" s="4"/>
    </row>
    <row r="570" spans="5:14" x14ac:dyDescent="0.2">
      <c r="E570" s="3"/>
      <c r="F570" s="4"/>
      <c r="G570" s="3"/>
      <c r="H570" s="66"/>
      <c r="I570" s="4"/>
      <c r="J570" s="4"/>
      <c r="K570"/>
      <c r="L570"/>
      <c r="M570" s="4"/>
      <c r="N570" s="4"/>
    </row>
    <row r="571" spans="5:14" x14ac:dyDescent="0.2">
      <c r="E571" s="3"/>
      <c r="F571" s="4"/>
      <c r="G571" s="3"/>
      <c r="H571" s="66"/>
      <c r="I571" s="4"/>
      <c r="J571" s="4"/>
      <c r="K571"/>
      <c r="L571"/>
      <c r="M571" s="4"/>
      <c r="N571" s="4"/>
    </row>
    <row r="572" spans="5:14" x14ac:dyDescent="0.2">
      <c r="E572" s="3"/>
      <c r="F572" s="4"/>
      <c r="G572" s="3"/>
      <c r="H572" s="66"/>
      <c r="I572" s="4"/>
      <c r="J572" s="4"/>
      <c r="K572"/>
      <c r="L572"/>
      <c r="M572" s="4"/>
      <c r="N572" s="4"/>
    </row>
    <row r="573" spans="5:14" x14ac:dyDescent="0.2">
      <c r="E573" s="3"/>
      <c r="F573" s="4"/>
      <c r="G573" s="3"/>
      <c r="H573" s="66"/>
      <c r="I573" s="4"/>
      <c r="J573" s="4"/>
      <c r="K573"/>
      <c r="L573"/>
      <c r="M573" s="4"/>
      <c r="N573" s="4"/>
    </row>
    <row r="574" spans="5:14" x14ac:dyDescent="0.2">
      <c r="E574" s="3"/>
      <c r="F574" s="4"/>
      <c r="G574" s="3"/>
      <c r="H574" s="66"/>
      <c r="I574" s="4"/>
      <c r="J574" s="4"/>
      <c r="K574"/>
      <c r="L574"/>
      <c r="M574" s="4"/>
      <c r="N574" s="4"/>
    </row>
    <row r="575" spans="5:14" x14ac:dyDescent="0.2">
      <c r="E575" s="3"/>
      <c r="F575" s="4"/>
      <c r="G575" s="3"/>
      <c r="H575" s="66"/>
      <c r="I575" s="4"/>
      <c r="J575" s="4"/>
      <c r="K575"/>
      <c r="L575"/>
      <c r="M575" s="4"/>
      <c r="N575" s="4"/>
    </row>
    <row r="576" spans="5:14" x14ac:dyDescent="0.2">
      <c r="E576" s="3"/>
      <c r="F576" s="4"/>
      <c r="G576" s="3"/>
      <c r="H576" s="66"/>
      <c r="I576" s="4"/>
      <c r="J576" s="4"/>
      <c r="K576"/>
      <c r="L576"/>
      <c r="M576" s="4"/>
      <c r="N576" s="4"/>
    </row>
    <row r="577" spans="5:14" x14ac:dyDescent="0.2">
      <c r="E577" s="3"/>
      <c r="F577" s="4"/>
      <c r="G577" s="3"/>
      <c r="H577" s="66"/>
      <c r="I577" s="4"/>
      <c r="J577" s="4"/>
      <c r="K577"/>
      <c r="L577"/>
      <c r="M577" s="4"/>
      <c r="N577" s="4"/>
    </row>
    <row r="578" spans="5:14" x14ac:dyDescent="0.2">
      <c r="E578" s="3"/>
      <c r="F578" s="4"/>
      <c r="G578" s="3"/>
      <c r="H578" s="66"/>
      <c r="I578" s="4"/>
      <c r="J578" s="4"/>
      <c r="K578"/>
      <c r="L578"/>
      <c r="M578" s="4"/>
      <c r="N578" s="4"/>
    </row>
    <row r="579" spans="5:14" x14ac:dyDescent="0.2">
      <c r="E579" s="3"/>
      <c r="F579" s="4"/>
      <c r="G579" s="3"/>
      <c r="H579" s="66"/>
      <c r="I579" s="4"/>
      <c r="J579" s="4"/>
      <c r="K579"/>
      <c r="L579"/>
      <c r="M579" s="4"/>
      <c r="N579" s="4"/>
    </row>
    <row r="580" spans="5:14" x14ac:dyDescent="0.2">
      <c r="E580" s="3"/>
      <c r="F580" s="4"/>
      <c r="G580" s="3"/>
      <c r="H580" s="66"/>
      <c r="I580" s="4"/>
      <c r="J580" s="4"/>
      <c r="K580"/>
      <c r="L580"/>
      <c r="M580" s="4"/>
      <c r="N580" s="4"/>
    </row>
    <row r="581" spans="5:14" x14ac:dyDescent="0.2">
      <c r="E581" s="3"/>
      <c r="F581" s="4"/>
      <c r="G581" s="3"/>
      <c r="H581" s="66"/>
      <c r="I581" s="4"/>
      <c r="J581" s="4"/>
      <c r="K581"/>
      <c r="L581"/>
      <c r="M581" s="4"/>
      <c r="N581" s="4"/>
    </row>
    <row r="582" spans="5:14" x14ac:dyDescent="0.2">
      <c r="E582" s="3"/>
      <c r="F582" s="4"/>
      <c r="G582" s="3"/>
      <c r="H582" s="66"/>
      <c r="I582" s="4"/>
      <c r="J582" s="4"/>
      <c r="K582"/>
      <c r="L582"/>
      <c r="M582" s="4"/>
      <c r="N582" s="4"/>
    </row>
    <row r="583" spans="5:14" x14ac:dyDescent="0.2">
      <c r="E583" s="3"/>
      <c r="F583" s="4"/>
      <c r="G583" s="3"/>
      <c r="H583" s="66"/>
      <c r="I583" s="4"/>
      <c r="J583" s="4"/>
      <c r="K583"/>
      <c r="L583"/>
      <c r="M583" s="4"/>
      <c r="N583" s="4"/>
    </row>
    <row r="584" spans="5:14" x14ac:dyDescent="0.2">
      <c r="E584" s="3"/>
      <c r="F584" s="4"/>
      <c r="G584" s="3"/>
      <c r="H584" s="66"/>
      <c r="I584" s="4"/>
      <c r="J584" s="4"/>
      <c r="K584"/>
      <c r="L584"/>
      <c r="M584" s="4"/>
      <c r="N584" s="4"/>
    </row>
    <row r="585" spans="5:14" x14ac:dyDescent="0.2">
      <c r="E585" s="3"/>
      <c r="F585" s="4"/>
      <c r="G585" s="3"/>
      <c r="H585" s="66"/>
      <c r="I585" s="4"/>
      <c r="J585" s="4"/>
      <c r="K585"/>
      <c r="L585"/>
      <c r="M585" s="4"/>
      <c r="N585" s="4"/>
    </row>
    <row r="586" spans="5:14" x14ac:dyDescent="0.2">
      <c r="E586" s="3"/>
      <c r="F586" s="4"/>
      <c r="G586" s="3"/>
      <c r="H586" s="66"/>
      <c r="I586" s="4"/>
      <c r="J586" s="4"/>
      <c r="K586"/>
      <c r="L586"/>
      <c r="M586" s="4"/>
      <c r="N586" s="4"/>
    </row>
    <row r="587" spans="5:14" x14ac:dyDescent="0.2">
      <c r="E587" s="3"/>
      <c r="F587" s="4"/>
      <c r="G587" s="3"/>
      <c r="H587" s="66"/>
      <c r="I587" s="4"/>
      <c r="J587" s="4"/>
      <c r="K587"/>
      <c r="L587"/>
      <c r="M587" s="4"/>
      <c r="N587" s="4"/>
    </row>
    <row r="588" spans="5:14" x14ac:dyDescent="0.2">
      <c r="E588" s="3"/>
      <c r="F588" s="4"/>
      <c r="G588" s="3"/>
      <c r="H588" s="66"/>
      <c r="I588" s="4"/>
      <c r="J588" s="4"/>
      <c r="K588"/>
      <c r="L588"/>
      <c r="M588" s="4"/>
      <c r="N588" s="4"/>
    </row>
    <row r="589" spans="5:14" x14ac:dyDescent="0.2">
      <c r="E589" s="3"/>
      <c r="F589" s="4"/>
      <c r="G589" s="3"/>
      <c r="H589" s="66"/>
      <c r="I589" s="4"/>
      <c r="J589" s="4"/>
      <c r="K589"/>
      <c r="L589"/>
      <c r="M589" s="4"/>
      <c r="N589" s="4"/>
    </row>
    <row r="590" spans="5:14" x14ac:dyDescent="0.2">
      <c r="E590" s="3"/>
      <c r="F590" s="4"/>
      <c r="G590" s="3"/>
      <c r="H590" s="66"/>
      <c r="I590" s="4"/>
      <c r="J590" s="4"/>
      <c r="K590"/>
      <c r="L590"/>
      <c r="M590" s="4"/>
      <c r="N590" s="4"/>
    </row>
    <row r="591" spans="5:14" x14ac:dyDescent="0.2">
      <c r="E591" s="3"/>
      <c r="F591" s="4"/>
      <c r="G591" s="3"/>
      <c r="H591" s="66"/>
      <c r="I591" s="4"/>
      <c r="J591" s="4"/>
      <c r="K591"/>
      <c r="L591"/>
      <c r="M591" s="4"/>
      <c r="N591" s="4"/>
    </row>
    <row r="592" spans="5:14" x14ac:dyDescent="0.2">
      <c r="E592" s="3"/>
      <c r="F592" s="4"/>
      <c r="G592" s="3"/>
      <c r="H592" s="66"/>
      <c r="I592" s="4"/>
      <c r="J592" s="4"/>
      <c r="K592"/>
      <c r="L592"/>
      <c r="M592" s="4"/>
      <c r="N592" s="4"/>
    </row>
    <row r="593" spans="5:14" x14ac:dyDescent="0.2">
      <c r="E593" s="3"/>
      <c r="F593" s="4"/>
      <c r="G593" s="3"/>
      <c r="H593" s="66"/>
      <c r="I593" s="4"/>
      <c r="J593" s="4"/>
      <c r="K593"/>
      <c r="L593"/>
      <c r="M593" s="4"/>
      <c r="N593" s="4"/>
    </row>
    <row r="594" spans="5:14" x14ac:dyDescent="0.2">
      <c r="E594" s="3"/>
      <c r="F594" s="4"/>
      <c r="G594" s="3"/>
      <c r="H594" s="66"/>
      <c r="I594" s="4"/>
      <c r="J594" s="4"/>
      <c r="K594"/>
      <c r="L594"/>
      <c r="M594" s="4"/>
      <c r="N594" s="4"/>
    </row>
    <row r="595" spans="5:14" x14ac:dyDescent="0.2">
      <c r="E595" s="3"/>
      <c r="F595" s="4"/>
      <c r="G595" s="3"/>
      <c r="H595" s="66"/>
      <c r="I595" s="4"/>
      <c r="J595" s="4"/>
      <c r="K595"/>
      <c r="L595"/>
      <c r="M595" s="4"/>
      <c r="N595" s="4"/>
    </row>
    <row r="596" spans="5:14" x14ac:dyDescent="0.2">
      <c r="E596" s="3"/>
      <c r="F596" s="4"/>
      <c r="G596" s="3"/>
      <c r="H596" s="66"/>
      <c r="I596" s="4"/>
      <c r="J596" s="4"/>
      <c r="K596"/>
      <c r="L596"/>
      <c r="M596" s="4"/>
      <c r="N596" s="4"/>
    </row>
    <row r="597" spans="5:14" x14ac:dyDescent="0.2">
      <c r="E597" s="3"/>
      <c r="F597" s="4"/>
      <c r="G597" s="3"/>
      <c r="H597" s="66"/>
      <c r="I597" s="4"/>
      <c r="J597" s="4"/>
      <c r="K597"/>
      <c r="L597"/>
      <c r="M597" s="4"/>
      <c r="N597" s="4"/>
    </row>
    <row r="598" spans="5:14" x14ac:dyDescent="0.2">
      <c r="E598" s="3"/>
      <c r="F598" s="4"/>
      <c r="G598" s="3"/>
      <c r="H598" s="66"/>
      <c r="I598" s="4"/>
      <c r="J598" s="4"/>
      <c r="K598"/>
      <c r="L598"/>
      <c r="M598" s="4"/>
      <c r="N598" s="4"/>
    </row>
    <row r="599" spans="5:14" x14ac:dyDescent="0.2">
      <c r="E599" s="3"/>
      <c r="F599" s="4"/>
      <c r="G599" s="3"/>
      <c r="H599" s="66"/>
      <c r="I599" s="4"/>
      <c r="J599" s="4"/>
      <c r="K599"/>
      <c r="L599"/>
      <c r="M599" s="4"/>
      <c r="N599" s="4"/>
    </row>
    <row r="600" spans="5:14" x14ac:dyDescent="0.2">
      <c r="E600" s="3"/>
      <c r="F600" s="4"/>
      <c r="G600" s="3"/>
      <c r="H600" s="66"/>
      <c r="I600" s="4"/>
      <c r="J600" s="4"/>
      <c r="K600"/>
      <c r="L600"/>
      <c r="M600" s="4"/>
      <c r="N600" s="4"/>
    </row>
    <row r="601" spans="5:14" x14ac:dyDescent="0.2">
      <c r="E601" s="3"/>
      <c r="F601" s="4"/>
      <c r="G601" s="3"/>
      <c r="H601" s="66"/>
      <c r="I601" s="4"/>
      <c r="J601" s="4"/>
      <c r="K601"/>
      <c r="L601"/>
      <c r="M601" s="4"/>
      <c r="N601" s="4"/>
    </row>
    <row r="602" spans="5:14" x14ac:dyDescent="0.2">
      <c r="E602" s="3"/>
      <c r="F602" s="4"/>
      <c r="G602" s="3"/>
      <c r="H602" s="66"/>
      <c r="I602" s="4"/>
      <c r="J602" s="4"/>
      <c r="K602"/>
      <c r="L602"/>
      <c r="M602" s="4"/>
      <c r="N602" s="4"/>
    </row>
    <row r="603" spans="5:14" x14ac:dyDescent="0.2">
      <c r="E603" s="3"/>
      <c r="F603" s="4"/>
      <c r="G603" s="3"/>
      <c r="H603" s="66"/>
      <c r="I603" s="4"/>
      <c r="J603" s="4"/>
      <c r="K603"/>
      <c r="L603"/>
      <c r="M603" s="4"/>
      <c r="N603" s="4"/>
    </row>
    <row r="604" spans="5:14" x14ac:dyDescent="0.2">
      <c r="E604" s="3"/>
      <c r="F604" s="4"/>
      <c r="G604" s="3"/>
      <c r="H604" s="66"/>
      <c r="I604" s="4"/>
      <c r="J604" s="4"/>
      <c r="K604"/>
      <c r="L604"/>
      <c r="M604" s="4"/>
      <c r="N604" s="4"/>
    </row>
    <row r="605" spans="5:14" x14ac:dyDescent="0.2">
      <c r="E605" s="3"/>
      <c r="F605" s="4"/>
      <c r="G605" s="3"/>
      <c r="H605" s="66"/>
      <c r="I605" s="4"/>
      <c r="J605" s="4"/>
      <c r="K605"/>
      <c r="L605"/>
      <c r="M605" s="4"/>
      <c r="N605" s="4"/>
    </row>
    <row r="606" spans="5:14" x14ac:dyDescent="0.2">
      <c r="E606" s="3"/>
      <c r="F606" s="4"/>
      <c r="G606" s="3"/>
      <c r="H606" s="66"/>
      <c r="I606" s="4"/>
      <c r="J606" s="4"/>
      <c r="K606"/>
      <c r="L606"/>
      <c r="M606" s="4"/>
      <c r="N606" s="4"/>
    </row>
    <row r="607" spans="5:14" x14ac:dyDescent="0.2">
      <c r="E607" s="3"/>
      <c r="F607" s="4"/>
      <c r="G607" s="3"/>
      <c r="H607" s="66"/>
      <c r="I607" s="4"/>
      <c r="J607" s="4"/>
      <c r="K607"/>
      <c r="L607"/>
      <c r="M607" s="4"/>
      <c r="N607" s="4"/>
    </row>
    <row r="608" spans="5:14" x14ac:dyDescent="0.2">
      <c r="E608" s="3"/>
      <c r="F608" s="4"/>
      <c r="G608" s="3"/>
      <c r="H608" s="66"/>
      <c r="I608" s="4"/>
      <c r="J608" s="4"/>
      <c r="K608"/>
      <c r="L608"/>
      <c r="M608" s="4"/>
      <c r="N608" s="4"/>
    </row>
    <row r="609" spans="5:14" x14ac:dyDescent="0.2">
      <c r="E609" s="3"/>
      <c r="F609" s="4"/>
      <c r="G609" s="3"/>
      <c r="H609" s="66"/>
      <c r="I609" s="4"/>
      <c r="J609" s="4"/>
      <c r="K609"/>
      <c r="L609"/>
      <c r="M609" s="4"/>
      <c r="N609" s="4"/>
    </row>
    <row r="610" spans="5:14" x14ac:dyDescent="0.2">
      <c r="E610" s="3"/>
      <c r="F610" s="4"/>
      <c r="G610" s="3"/>
      <c r="H610" s="66"/>
      <c r="I610" s="4"/>
      <c r="J610" s="4"/>
      <c r="K610"/>
      <c r="L610"/>
      <c r="M610" s="4"/>
      <c r="N610" s="4"/>
    </row>
    <row r="611" spans="5:14" x14ac:dyDescent="0.2">
      <c r="E611" s="3"/>
      <c r="F611" s="4"/>
      <c r="G611" s="3"/>
      <c r="H611" s="66"/>
      <c r="I611" s="4"/>
      <c r="J611" s="4"/>
      <c r="K611"/>
      <c r="L611"/>
      <c r="M611" s="4"/>
      <c r="N611" s="4"/>
    </row>
    <row r="612" spans="5:14" x14ac:dyDescent="0.2">
      <c r="E612" s="3"/>
      <c r="F612" s="4"/>
      <c r="G612" s="3"/>
      <c r="H612" s="66"/>
      <c r="I612" s="4"/>
      <c r="J612" s="4"/>
      <c r="K612"/>
      <c r="L612"/>
      <c r="M612" s="4"/>
      <c r="N612" s="4"/>
    </row>
    <row r="613" spans="5:14" x14ac:dyDescent="0.2">
      <c r="E613" s="3"/>
      <c r="F613" s="4"/>
      <c r="G613" s="3"/>
      <c r="H613" s="66"/>
      <c r="I613" s="4"/>
      <c r="J613" s="4"/>
      <c r="K613"/>
      <c r="L613"/>
      <c r="M613" s="4"/>
      <c r="N613" s="4"/>
    </row>
    <row r="614" spans="5:14" x14ac:dyDescent="0.2">
      <c r="E614" s="3"/>
      <c r="F614" s="4"/>
      <c r="G614" s="3"/>
      <c r="H614" s="66"/>
      <c r="I614" s="4"/>
      <c r="J614" s="4"/>
      <c r="K614"/>
      <c r="L614"/>
      <c r="M614" s="4"/>
      <c r="N614" s="4"/>
    </row>
    <row r="615" spans="5:14" x14ac:dyDescent="0.2">
      <c r="E615" s="3"/>
      <c r="F615" s="4"/>
      <c r="G615" s="3"/>
      <c r="H615" s="66"/>
      <c r="I615" s="4"/>
      <c r="J615" s="4"/>
      <c r="K615"/>
      <c r="L615"/>
      <c r="M615" s="4"/>
      <c r="N615" s="4"/>
    </row>
    <row r="616" spans="5:14" x14ac:dyDescent="0.2">
      <c r="E616" s="3"/>
      <c r="F616" s="4"/>
      <c r="G616" s="3"/>
      <c r="H616" s="66"/>
      <c r="I616" s="4"/>
      <c r="J616" s="4"/>
      <c r="K616"/>
      <c r="L616"/>
      <c r="M616" s="4"/>
      <c r="N616" s="4"/>
    </row>
    <row r="617" spans="5:14" x14ac:dyDescent="0.2">
      <c r="E617" s="3"/>
      <c r="F617" s="4"/>
      <c r="G617" s="3"/>
      <c r="H617" s="66"/>
      <c r="I617" s="4"/>
      <c r="J617" s="4"/>
      <c r="K617"/>
      <c r="L617"/>
      <c r="M617" s="4"/>
      <c r="N617" s="4"/>
    </row>
    <row r="618" spans="5:14" x14ac:dyDescent="0.2">
      <c r="E618" s="3"/>
      <c r="F618" s="4"/>
      <c r="G618" s="3"/>
      <c r="H618" s="66"/>
      <c r="I618" s="4"/>
      <c r="J618" s="4"/>
      <c r="K618"/>
      <c r="L618"/>
      <c r="M618" s="4"/>
      <c r="N618" s="4"/>
    </row>
    <row r="619" spans="5:14" x14ac:dyDescent="0.2">
      <c r="E619" s="3"/>
      <c r="F619" s="4"/>
      <c r="G619" s="3"/>
      <c r="H619" s="66"/>
      <c r="I619" s="4"/>
      <c r="J619" s="4"/>
      <c r="K619"/>
      <c r="L619"/>
      <c r="M619" s="4"/>
      <c r="N619" s="4"/>
    </row>
    <row r="620" spans="5:14" x14ac:dyDescent="0.2">
      <c r="E620" s="3"/>
      <c r="F620" s="4"/>
      <c r="G620" s="3"/>
      <c r="H620" s="66"/>
      <c r="I620" s="4"/>
      <c r="J620" s="4"/>
      <c r="K620"/>
      <c r="L620"/>
      <c r="M620" s="4"/>
      <c r="N620" s="4"/>
    </row>
    <row r="621" spans="5:14" x14ac:dyDescent="0.2">
      <c r="E621" s="3"/>
      <c r="F621" s="4"/>
      <c r="G621" s="3"/>
      <c r="H621" s="66"/>
      <c r="I621" s="4"/>
      <c r="J621" s="4"/>
      <c r="K621"/>
      <c r="L621"/>
      <c r="M621" s="4"/>
      <c r="N621" s="4"/>
    </row>
    <row r="622" spans="5:14" x14ac:dyDescent="0.2">
      <c r="E622" s="3"/>
      <c r="F622" s="4"/>
      <c r="G622" s="3"/>
      <c r="H622" s="66"/>
      <c r="I622" s="4"/>
      <c r="J622" s="4"/>
      <c r="K622"/>
      <c r="L622"/>
      <c r="M622" s="4"/>
      <c r="N622" s="4"/>
    </row>
    <row r="623" spans="5:14" x14ac:dyDescent="0.2">
      <c r="E623" s="3"/>
      <c r="F623" s="4"/>
      <c r="G623" s="3"/>
      <c r="H623" s="66"/>
      <c r="I623" s="4"/>
      <c r="J623" s="4"/>
      <c r="K623"/>
      <c r="L623"/>
      <c r="M623" s="4"/>
      <c r="N623" s="4"/>
    </row>
    <row r="624" spans="5:14" x14ac:dyDescent="0.2">
      <c r="E624" s="3"/>
      <c r="F624" s="4"/>
      <c r="G624" s="3"/>
      <c r="H624" s="66"/>
      <c r="I624" s="4"/>
      <c r="J624" s="4"/>
      <c r="K624"/>
      <c r="L624"/>
      <c r="M624" s="4"/>
      <c r="N624" s="4"/>
    </row>
    <row r="625" spans="5:14" x14ac:dyDescent="0.2">
      <c r="E625" s="3"/>
      <c r="F625" s="4"/>
      <c r="G625" s="3"/>
      <c r="H625" s="66"/>
      <c r="I625" s="4"/>
      <c r="J625" s="4"/>
      <c r="K625"/>
      <c r="L625"/>
      <c r="M625" s="4"/>
      <c r="N625" s="4"/>
    </row>
    <row r="626" spans="5:14" x14ac:dyDescent="0.2">
      <c r="E626" s="3"/>
      <c r="F626" s="4"/>
      <c r="G626" s="3"/>
      <c r="H626" s="66"/>
      <c r="I626" s="4"/>
      <c r="J626" s="4"/>
      <c r="K626"/>
      <c r="L626"/>
      <c r="M626" s="4"/>
      <c r="N626" s="4"/>
    </row>
    <row r="627" spans="5:14" x14ac:dyDescent="0.2">
      <c r="E627" s="3"/>
      <c r="F627" s="4"/>
      <c r="G627" s="3"/>
      <c r="H627" s="66"/>
      <c r="I627" s="4"/>
      <c r="J627" s="4"/>
      <c r="K627"/>
      <c r="L627"/>
      <c r="M627" s="4"/>
      <c r="N627" s="4"/>
    </row>
    <row r="628" spans="5:14" x14ac:dyDescent="0.2">
      <c r="E628" s="3"/>
      <c r="F628" s="4"/>
      <c r="G628" s="3"/>
      <c r="H628" s="66"/>
      <c r="I628" s="4"/>
      <c r="J628" s="4"/>
      <c r="K628"/>
      <c r="L628"/>
      <c r="M628" s="4"/>
      <c r="N628" s="4"/>
    </row>
    <row r="629" spans="5:14" x14ac:dyDescent="0.2">
      <c r="E629" s="3"/>
      <c r="F629" s="4"/>
      <c r="G629" s="3"/>
      <c r="H629" s="66"/>
      <c r="I629" s="4"/>
      <c r="J629" s="4"/>
      <c r="K629"/>
      <c r="L629"/>
      <c r="M629" s="4"/>
      <c r="N629" s="4"/>
    </row>
    <row r="630" spans="5:14" x14ac:dyDescent="0.2">
      <c r="E630" s="3"/>
      <c r="F630" s="4"/>
      <c r="G630" s="3"/>
      <c r="H630" s="66"/>
      <c r="I630" s="4"/>
      <c r="J630" s="4"/>
      <c r="K630"/>
      <c r="L630"/>
      <c r="M630" s="4"/>
      <c r="N630" s="4"/>
    </row>
    <row r="631" spans="5:14" x14ac:dyDescent="0.2">
      <c r="E631" s="3"/>
      <c r="F631" s="4"/>
      <c r="G631" s="3"/>
      <c r="H631" s="66"/>
      <c r="I631" s="4"/>
      <c r="J631" s="4"/>
      <c r="K631"/>
      <c r="L631"/>
      <c r="M631" s="4"/>
      <c r="N631" s="4"/>
    </row>
    <row r="632" spans="5:14" x14ac:dyDescent="0.2">
      <c r="E632" s="3"/>
      <c r="F632" s="4"/>
      <c r="G632" s="3"/>
      <c r="H632" s="66"/>
      <c r="I632" s="4"/>
      <c r="J632" s="4"/>
      <c r="K632"/>
      <c r="L632"/>
      <c r="M632" s="4"/>
      <c r="N632" s="4"/>
    </row>
    <row r="633" spans="5:14" x14ac:dyDescent="0.2">
      <c r="E633" s="3"/>
      <c r="F633" s="4"/>
      <c r="G633" s="3"/>
      <c r="H633" s="66"/>
      <c r="I633" s="4"/>
      <c r="J633" s="4"/>
      <c r="K633"/>
      <c r="L633"/>
      <c r="M633" s="4"/>
      <c r="N633" s="4"/>
    </row>
    <row r="634" spans="5:14" x14ac:dyDescent="0.2">
      <c r="E634" s="3"/>
      <c r="F634" s="4"/>
      <c r="G634" s="3"/>
      <c r="H634" s="66"/>
      <c r="I634" s="4"/>
      <c r="J634" s="4"/>
      <c r="K634"/>
      <c r="L634"/>
      <c r="M634" s="4"/>
      <c r="N634" s="4"/>
    </row>
    <row r="635" spans="5:14" x14ac:dyDescent="0.2">
      <c r="E635" s="3"/>
      <c r="F635" s="4"/>
      <c r="G635" s="3"/>
      <c r="H635" s="66"/>
      <c r="I635" s="4"/>
      <c r="J635" s="4"/>
      <c r="K635"/>
      <c r="L635"/>
      <c r="M635" s="4"/>
      <c r="N635" s="4"/>
    </row>
    <row r="636" spans="5:14" x14ac:dyDescent="0.2">
      <c r="E636" s="3"/>
      <c r="F636" s="4"/>
      <c r="G636" s="3"/>
      <c r="H636" s="66"/>
      <c r="I636" s="4"/>
      <c r="J636" s="4"/>
      <c r="K636"/>
      <c r="L636"/>
      <c r="M636" s="4"/>
      <c r="N636" s="4"/>
    </row>
    <row r="637" spans="5:14" x14ac:dyDescent="0.2">
      <c r="E637" s="3"/>
      <c r="F637" s="4"/>
      <c r="G637" s="3"/>
      <c r="H637" s="66"/>
      <c r="I637" s="4"/>
      <c r="J637" s="4"/>
      <c r="K637"/>
      <c r="L637"/>
      <c r="M637" s="4"/>
      <c r="N637" s="4"/>
    </row>
    <row r="638" spans="5:14" x14ac:dyDescent="0.2">
      <c r="E638" s="3"/>
      <c r="F638" s="4"/>
      <c r="G638" s="3"/>
      <c r="H638" s="66"/>
      <c r="I638" s="4"/>
      <c r="J638" s="4"/>
      <c r="K638"/>
      <c r="L638"/>
      <c r="M638" s="4"/>
      <c r="N638" s="4"/>
    </row>
    <row r="639" spans="5:14" x14ac:dyDescent="0.2">
      <c r="E639" s="3"/>
      <c r="F639" s="4"/>
      <c r="G639" s="3"/>
      <c r="H639" s="66"/>
      <c r="I639" s="4"/>
      <c r="J639" s="4"/>
      <c r="K639"/>
      <c r="L639"/>
      <c r="M639" s="4"/>
      <c r="N639" s="4"/>
    </row>
    <row r="640" spans="5:14" x14ac:dyDescent="0.2">
      <c r="E640" s="3"/>
      <c r="F640" s="4"/>
      <c r="G640" s="3"/>
      <c r="H640" s="66"/>
      <c r="I640" s="4"/>
      <c r="J640" s="4"/>
      <c r="K640"/>
      <c r="L640"/>
      <c r="M640" s="4"/>
      <c r="N640" s="4"/>
    </row>
    <row r="641" spans="5:14" x14ac:dyDescent="0.2">
      <c r="E641" s="3"/>
      <c r="F641" s="4"/>
      <c r="G641" s="3"/>
      <c r="H641" s="66"/>
      <c r="I641" s="4"/>
      <c r="J641" s="4"/>
      <c r="K641"/>
      <c r="L641"/>
      <c r="M641" s="4"/>
      <c r="N641" s="4"/>
    </row>
    <row r="642" spans="5:14" x14ac:dyDescent="0.2">
      <c r="E642" s="3"/>
      <c r="F642" s="4"/>
      <c r="G642" s="3"/>
      <c r="H642" s="66"/>
      <c r="I642" s="4"/>
      <c r="J642" s="4"/>
      <c r="K642"/>
      <c r="L642"/>
      <c r="M642" s="4"/>
      <c r="N642" s="4"/>
    </row>
    <row r="643" spans="5:14" x14ac:dyDescent="0.2">
      <c r="E643" s="3"/>
      <c r="F643" s="4"/>
      <c r="G643" s="3"/>
      <c r="H643" s="66"/>
      <c r="I643" s="4"/>
      <c r="J643" s="4"/>
      <c r="K643"/>
      <c r="L643"/>
      <c r="M643" s="4"/>
      <c r="N643" s="4"/>
    </row>
    <row r="644" spans="5:14" x14ac:dyDescent="0.2">
      <c r="E644" s="3"/>
      <c r="F644" s="4"/>
      <c r="G644" s="3"/>
      <c r="H644" s="66"/>
      <c r="I644" s="4"/>
      <c r="J644" s="4"/>
      <c r="K644"/>
      <c r="L644"/>
      <c r="M644" s="4"/>
      <c r="N644" s="4"/>
    </row>
    <row r="645" spans="5:14" x14ac:dyDescent="0.2">
      <c r="E645" s="3"/>
      <c r="F645" s="4"/>
      <c r="G645" s="3"/>
      <c r="H645" s="66"/>
      <c r="I645" s="4"/>
      <c r="J645" s="4"/>
      <c r="K645"/>
      <c r="L645"/>
      <c r="M645" s="4"/>
      <c r="N645" s="4"/>
    </row>
    <row r="646" spans="5:14" x14ac:dyDescent="0.2">
      <c r="E646" s="3"/>
      <c r="F646" s="4"/>
      <c r="G646" s="3"/>
      <c r="H646" s="66"/>
      <c r="I646" s="4"/>
      <c r="J646" s="4"/>
      <c r="K646"/>
      <c r="L646"/>
      <c r="M646" s="4"/>
      <c r="N646" s="4"/>
    </row>
    <row r="647" spans="5:14" x14ac:dyDescent="0.2">
      <c r="E647" s="3"/>
      <c r="F647" s="4"/>
      <c r="G647" s="3"/>
      <c r="H647" s="66"/>
      <c r="I647" s="4"/>
      <c r="J647" s="4"/>
      <c r="K647"/>
      <c r="L647"/>
      <c r="M647" s="4"/>
      <c r="N647" s="4"/>
    </row>
    <row r="648" spans="5:14" x14ac:dyDescent="0.2">
      <c r="E648" s="3"/>
      <c r="F648" s="4"/>
      <c r="G648" s="3"/>
      <c r="H648" s="66"/>
      <c r="I648" s="4"/>
      <c r="J648" s="4"/>
      <c r="K648"/>
      <c r="L648"/>
      <c r="M648" s="4"/>
      <c r="N648" s="4"/>
    </row>
    <row r="649" spans="5:14" x14ac:dyDescent="0.2">
      <c r="E649" s="3"/>
      <c r="F649" s="4"/>
      <c r="G649" s="3"/>
      <c r="H649" s="66"/>
      <c r="I649" s="4"/>
      <c r="J649" s="4"/>
      <c r="K649"/>
      <c r="L649"/>
      <c r="M649" s="4"/>
      <c r="N649" s="4"/>
    </row>
    <row r="650" spans="5:14" x14ac:dyDescent="0.2">
      <c r="E650" s="3"/>
      <c r="F650" s="4"/>
      <c r="G650" s="3"/>
      <c r="H650" s="66"/>
      <c r="I650" s="4"/>
      <c r="J650" s="4"/>
      <c r="K650"/>
      <c r="L650"/>
      <c r="M650" s="4"/>
      <c r="N650" s="4"/>
    </row>
    <row r="651" spans="5:14" x14ac:dyDescent="0.2">
      <c r="E651" s="3"/>
      <c r="F651" s="4"/>
      <c r="G651" s="3"/>
      <c r="H651" s="66"/>
      <c r="I651" s="4"/>
      <c r="J651" s="4"/>
      <c r="K651"/>
      <c r="L651"/>
      <c r="M651" s="4"/>
      <c r="N651" s="4"/>
    </row>
    <row r="652" spans="5:14" x14ac:dyDescent="0.2">
      <c r="E652" s="3"/>
      <c r="F652" s="4"/>
      <c r="G652" s="3"/>
      <c r="H652" s="66"/>
      <c r="I652" s="4"/>
      <c r="J652" s="4"/>
      <c r="K652"/>
      <c r="L652"/>
      <c r="M652" s="4"/>
      <c r="N652" s="4"/>
    </row>
    <row r="653" spans="5:14" x14ac:dyDescent="0.2">
      <c r="E653" s="3"/>
      <c r="F653" s="4"/>
      <c r="G653" s="3"/>
      <c r="H653" s="66"/>
      <c r="I653" s="4"/>
      <c r="J653" s="4"/>
      <c r="K653"/>
      <c r="L653"/>
      <c r="M653" s="4"/>
      <c r="N653" s="4"/>
    </row>
    <row r="654" spans="5:14" x14ac:dyDescent="0.2">
      <c r="E654" s="3"/>
      <c r="F654" s="4"/>
      <c r="G654" s="3"/>
      <c r="H654" s="66"/>
      <c r="I654" s="4"/>
      <c r="J654" s="4"/>
      <c r="K654"/>
      <c r="L654"/>
      <c r="M654" s="4"/>
      <c r="N654" s="4"/>
    </row>
    <row r="655" spans="5:14" x14ac:dyDescent="0.2">
      <c r="E655" s="3"/>
      <c r="F655" s="4"/>
      <c r="G655" s="3"/>
      <c r="H655" s="66"/>
      <c r="I655" s="4"/>
      <c r="J655" s="4"/>
      <c r="K655"/>
      <c r="L655"/>
      <c r="M655" s="4"/>
      <c r="N655" s="4"/>
    </row>
    <row r="656" spans="5:14" x14ac:dyDescent="0.2">
      <c r="E656" s="3"/>
      <c r="F656" s="4"/>
      <c r="G656" s="3"/>
      <c r="H656" s="66"/>
      <c r="I656" s="4"/>
      <c r="J656" s="4"/>
      <c r="K656"/>
      <c r="L656"/>
      <c r="M656" s="4"/>
      <c r="N656" s="4"/>
    </row>
    <row r="657" spans="5:14" x14ac:dyDescent="0.2">
      <c r="E657" s="3"/>
      <c r="F657" s="4"/>
      <c r="G657" s="3"/>
      <c r="H657" s="66"/>
      <c r="I657" s="4"/>
      <c r="J657" s="4"/>
      <c r="K657"/>
      <c r="L657"/>
      <c r="M657" s="4"/>
      <c r="N657" s="4"/>
    </row>
    <row r="658" spans="5:14" x14ac:dyDescent="0.2">
      <c r="E658" s="3"/>
      <c r="F658" s="4"/>
      <c r="G658" s="3"/>
      <c r="H658" s="66"/>
      <c r="I658" s="4"/>
      <c r="J658" s="4"/>
      <c r="K658"/>
      <c r="L658"/>
      <c r="M658" s="4"/>
      <c r="N658" s="4"/>
    </row>
    <row r="659" spans="5:14" x14ac:dyDescent="0.2">
      <c r="E659" s="3"/>
      <c r="F659" s="4"/>
      <c r="G659" s="3"/>
      <c r="H659" s="66"/>
      <c r="I659" s="4"/>
      <c r="J659" s="4"/>
      <c r="K659"/>
      <c r="L659"/>
      <c r="M659" s="4"/>
      <c r="N659" s="4"/>
    </row>
    <row r="660" spans="5:14" x14ac:dyDescent="0.2">
      <c r="E660" s="3"/>
      <c r="F660" s="4"/>
      <c r="G660" s="3"/>
      <c r="H660" s="66"/>
      <c r="I660" s="4"/>
      <c r="J660" s="4"/>
      <c r="K660"/>
      <c r="L660"/>
      <c r="M660" s="4"/>
      <c r="N660" s="4"/>
    </row>
    <row r="661" spans="5:14" x14ac:dyDescent="0.2">
      <c r="E661" s="3"/>
      <c r="F661" s="4"/>
      <c r="G661" s="3"/>
      <c r="H661" s="66"/>
      <c r="I661" s="4"/>
      <c r="J661" s="4"/>
      <c r="K661"/>
      <c r="L661"/>
      <c r="M661" s="4"/>
      <c r="N661" s="4"/>
    </row>
    <row r="662" spans="5:14" x14ac:dyDescent="0.2">
      <c r="E662" s="3"/>
      <c r="F662" s="4"/>
      <c r="G662" s="3"/>
      <c r="H662" s="66"/>
      <c r="I662" s="4"/>
      <c r="J662" s="4"/>
      <c r="K662"/>
      <c r="L662"/>
      <c r="M662" s="4"/>
      <c r="N662" s="4"/>
    </row>
    <row r="663" spans="5:14" x14ac:dyDescent="0.2">
      <c r="E663" s="3"/>
      <c r="F663" s="4"/>
      <c r="G663" s="3"/>
      <c r="H663" s="66"/>
      <c r="I663" s="4"/>
      <c r="J663" s="4"/>
      <c r="K663"/>
      <c r="L663"/>
      <c r="M663" s="4"/>
      <c r="N663" s="4"/>
    </row>
    <row r="664" spans="5:14" x14ac:dyDescent="0.2">
      <c r="E664" s="3"/>
      <c r="F664" s="4"/>
      <c r="G664" s="3"/>
      <c r="H664" s="66"/>
      <c r="I664" s="4"/>
      <c r="J664" s="4"/>
      <c r="K664"/>
      <c r="L664"/>
      <c r="M664" s="4"/>
      <c r="N664" s="4"/>
    </row>
    <row r="665" spans="5:14" x14ac:dyDescent="0.2">
      <c r="E665" s="3"/>
      <c r="F665" s="4"/>
      <c r="G665" s="3"/>
      <c r="H665" s="66"/>
      <c r="I665" s="4"/>
      <c r="J665" s="4"/>
      <c r="K665"/>
      <c r="L665"/>
      <c r="M665" s="4"/>
      <c r="N665" s="4"/>
    </row>
    <row r="666" spans="5:14" x14ac:dyDescent="0.2">
      <c r="E666" s="3"/>
      <c r="F666" s="4"/>
      <c r="G666" s="3"/>
      <c r="H666" s="66"/>
      <c r="I666" s="4"/>
      <c r="J666" s="4"/>
      <c r="K666"/>
      <c r="L666"/>
      <c r="M666" s="4"/>
      <c r="N666" s="4"/>
    </row>
    <row r="667" spans="5:14" x14ac:dyDescent="0.2">
      <c r="E667" s="3"/>
      <c r="F667" s="4"/>
      <c r="G667" s="3"/>
      <c r="H667" s="66"/>
      <c r="I667" s="4"/>
      <c r="J667" s="4"/>
      <c r="K667"/>
      <c r="L667"/>
      <c r="M667" s="4"/>
      <c r="N667" s="4"/>
    </row>
    <row r="668" spans="5:14" x14ac:dyDescent="0.2">
      <c r="E668" s="3"/>
      <c r="F668" s="4"/>
      <c r="G668" s="3"/>
      <c r="H668" s="66"/>
      <c r="I668" s="4"/>
      <c r="J668" s="4"/>
      <c r="K668"/>
      <c r="L668"/>
      <c r="M668" s="4"/>
      <c r="N668" s="4"/>
    </row>
    <row r="669" spans="5:14" x14ac:dyDescent="0.2">
      <c r="E669" s="3"/>
      <c r="F669" s="4"/>
      <c r="G669" s="3"/>
      <c r="H669" s="66"/>
      <c r="I669" s="4"/>
      <c r="J669" s="4"/>
      <c r="K669"/>
      <c r="L669"/>
      <c r="M669" s="4"/>
      <c r="N669" s="4"/>
    </row>
    <row r="670" spans="5:14" x14ac:dyDescent="0.2">
      <c r="E670" s="3"/>
      <c r="F670" s="4"/>
      <c r="G670" s="3"/>
      <c r="H670" s="66"/>
      <c r="I670" s="4"/>
      <c r="J670" s="4"/>
      <c r="K670"/>
      <c r="L670"/>
      <c r="M670" s="4"/>
      <c r="N670" s="4"/>
    </row>
    <row r="671" spans="5:14" x14ac:dyDescent="0.2">
      <c r="E671" s="3"/>
      <c r="F671" s="4"/>
      <c r="G671" s="3"/>
      <c r="H671" s="66"/>
      <c r="I671" s="4"/>
      <c r="J671" s="4"/>
      <c r="K671"/>
      <c r="L671"/>
      <c r="M671" s="4"/>
      <c r="N671" s="4"/>
    </row>
    <row r="672" spans="5:14" x14ac:dyDescent="0.2">
      <c r="E672" s="3"/>
      <c r="F672" s="4"/>
      <c r="G672" s="3"/>
      <c r="H672" s="66"/>
      <c r="I672" s="4"/>
      <c r="J672" s="4"/>
      <c r="K672"/>
      <c r="L672"/>
      <c r="M672" s="4"/>
      <c r="N672" s="4"/>
    </row>
    <row r="673" spans="5:14" x14ac:dyDescent="0.2">
      <c r="E673" s="3"/>
      <c r="F673" s="4"/>
      <c r="G673" s="3"/>
      <c r="H673" s="66"/>
      <c r="I673" s="4"/>
      <c r="J673" s="4"/>
      <c r="K673"/>
      <c r="L673"/>
      <c r="M673" s="4"/>
      <c r="N673" s="4"/>
    </row>
    <row r="674" spans="5:14" x14ac:dyDescent="0.2">
      <c r="E674" s="3"/>
      <c r="F674" s="4"/>
      <c r="G674" s="3"/>
      <c r="H674" s="66"/>
      <c r="I674" s="4"/>
      <c r="J674" s="4"/>
      <c r="K674"/>
      <c r="L674"/>
      <c r="M674" s="4"/>
      <c r="N674" s="4"/>
    </row>
    <row r="675" spans="5:14" x14ac:dyDescent="0.2">
      <c r="E675" s="3"/>
      <c r="F675" s="4"/>
      <c r="G675" s="3"/>
      <c r="H675" s="66"/>
      <c r="I675" s="4"/>
      <c r="J675" s="4"/>
      <c r="K675"/>
      <c r="L675"/>
      <c r="M675" s="4"/>
      <c r="N675" s="4"/>
    </row>
    <row r="676" spans="5:14" x14ac:dyDescent="0.2">
      <c r="E676" s="3"/>
      <c r="F676" s="4"/>
      <c r="G676" s="3"/>
      <c r="H676" s="66"/>
      <c r="I676" s="4"/>
      <c r="J676" s="4"/>
      <c r="K676"/>
      <c r="L676"/>
      <c r="M676" s="4"/>
      <c r="N676" s="4"/>
    </row>
    <row r="677" spans="5:14" x14ac:dyDescent="0.2">
      <c r="E677" s="3"/>
      <c r="F677" s="4"/>
      <c r="G677" s="3"/>
      <c r="H677" s="66"/>
      <c r="I677" s="4"/>
      <c r="J677" s="4"/>
      <c r="K677"/>
      <c r="L677"/>
      <c r="M677" s="4"/>
      <c r="N677" s="4"/>
    </row>
    <row r="678" spans="5:14" x14ac:dyDescent="0.2">
      <c r="E678" s="3"/>
      <c r="F678" s="4"/>
      <c r="G678" s="3"/>
      <c r="H678" s="66"/>
      <c r="I678" s="4"/>
      <c r="J678" s="4"/>
      <c r="K678"/>
      <c r="L678"/>
      <c r="M678" s="4"/>
      <c r="N678" s="4"/>
    </row>
    <row r="679" spans="5:14" x14ac:dyDescent="0.2">
      <c r="E679" s="3"/>
      <c r="F679" s="4"/>
      <c r="G679" s="3"/>
      <c r="H679" s="66"/>
      <c r="I679" s="4"/>
      <c r="J679" s="4"/>
      <c r="K679"/>
      <c r="L679"/>
      <c r="M679" s="4"/>
      <c r="N679" s="4"/>
    </row>
    <row r="680" spans="5:14" x14ac:dyDescent="0.2">
      <c r="E680" s="3"/>
      <c r="F680" s="4"/>
      <c r="G680" s="3"/>
      <c r="H680" s="66"/>
      <c r="I680" s="4"/>
      <c r="J680" s="4"/>
      <c r="K680"/>
      <c r="L680"/>
      <c r="M680" s="4"/>
      <c r="N680" s="4"/>
    </row>
    <row r="681" spans="5:14" x14ac:dyDescent="0.2">
      <c r="E681" s="3"/>
      <c r="F681" s="4"/>
      <c r="G681" s="3"/>
      <c r="H681" s="66"/>
      <c r="I681" s="4"/>
      <c r="J681" s="4"/>
      <c r="K681"/>
      <c r="L681"/>
      <c r="M681" s="4"/>
      <c r="N681" s="4"/>
    </row>
    <row r="682" spans="5:14" x14ac:dyDescent="0.2">
      <c r="E682" s="3"/>
      <c r="F682" s="4"/>
      <c r="G682" s="3"/>
      <c r="H682" s="66"/>
      <c r="I682" s="4"/>
      <c r="J682" s="4"/>
      <c r="K682"/>
      <c r="L682"/>
      <c r="M682" s="4"/>
      <c r="N682" s="4"/>
    </row>
    <row r="683" spans="5:14" x14ac:dyDescent="0.2">
      <c r="E683" s="3"/>
      <c r="F683" s="4"/>
      <c r="G683" s="3"/>
      <c r="H683" s="66"/>
      <c r="I683" s="4"/>
      <c r="J683" s="4"/>
      <c r="K683"/>
      <c r="L683"/>
      <c r="M683" s="4"/>
      <c r="N683" s="4"/>
    </row>
    <row r="684" spans="5:14" x14ac:dyDescent="0.2">
      <c r="E684" s="3"/>
      <c r="F684" s="4"/>
      <c r="G684" s="3"/>
      <c r="H684" s="66"/>
      <c r="I684" s="4"/>
      <c r="J684" s="4"/>
      <c r="K684"/>
      <c r="L684"/>
      <c r="M684" s="4"/>
      <c r="N684" s="4"/>
    </row>
    <row r="685" spans="5:14" x14ac:dyDescent="0.2">
      <c r="E685" s="3"/>
      <c r="F685" s="4"/>
      <c r="G685" s="3"/>
      <c r="H685" s="66"/>
      <c r="I685" s="4"/>
      <c r="J685" s="4"/>
      <c r="K685"/>
      <c r="L685"/>
      <c r="M685" s="4"/>
      <c r="N685" s="4"/>
    </row>
    <row r="686" spans="5:14" x14ac:dyDescent="0.2">
      <c r="E686" s="3"/>
      <c r="F686" s="4"/>
      <c r="G686" s="3"/>
      <c r="H686" s="66"/>
      <c r="I686" s="4"/>
      <c r="J686" s="4"/>
      <c r="K686"/>
      <c r="L686"/>
      <c r="M686" s="4"/>
      <c r="N686" s="4"/>
    </row>
    <row r="687" spans="5:14" x14ac:dyDescent="0.2">
      <c r="E687" s="3"/>
      <c r="F687" s="4"/>
      <c r="G687" s="3"/>
      <c r="H687" s="66"/>
      <c r="I687" s="4"/>
      <c r="J687" s="4"/>
      <c r="K687"/>
      <c r="L687"/>
      <c r="M687" s="4"/>
      <c r="N687" s="4"/>
    </row>
    <row r="688" spans="5:14" x14ac:dyDescent="0.2">
      <c r="E688" s="3"/>
      <c r="F688" s="4"/>
      <c r="G688" s="3"/>
      <c r="H688" s="66"/>
      <c r="I688" s="4"/>
      <c r="J688" s="4"/>
      <c r="K688"/>
      <c r="L688"/>
      <c r="M688" s="4"/>
      <c r="N688" s="4"/>
    </row>
    <row r="689" spans="5:14" x14ac:dyDescent="0.2">
      <c r="E689" s="3"/>
      <c r="F689" s="4"/>
      <c r="G689" s="3"/>
      <c r="H689" s="66"/>
      <c r="I689" s="4"/>
      <c r="J689" s="4"/>
      <c r="K689"/>
      <c r="L689"/>
      <c r="M689" s="4"/>
      <c r="N689" s="4"/>
    </row>
    <row r="690" spans="5:14" x14ac:dyDescent="0.2">
      <c r="E690" s="3"/>
      <c r="F690" s="4"/>
      <c r="G690" s="3"/>
      <c r="H690" s="66"/>
      <c r="I690" s="4"/>
      <c r="J690" s="4"/>
      <c r="K690"/>
      <c r="L690"/>
      <c r="M690" s="4"/>
      <c r="N690" s="4"/>
    </row>
    <row r="691" spans="5:14" x14ac:dyDescent="0.2">
      <c r="E691" s="3"/>
      <c r="F691" s="4"/>
      <c r="G691" s="3"/>
      <c r="H691" s="66"/>
      <c r="I691" s="4"/>
      <c r="J691" s="4"/>
      <c r="K691"/>
      <c r="L691"/>
      <c r="M691" s="4"/>
      <c r="N691" s="4"/>
    </row>
    <row r="692" spans="5:14" x14ac:dyDescent="0.2">
      <c r="E692" s="3"/>
      <c r="F692" s="4"/>
      <c r="G692" s="3"/>
      <c r="H692" s="66"/>
      <c r="I692" s="4"/>
      <c r="J692" s="4"/>
      <c r="K692"/>
      <c r="L692"/>
      <c r="M692" s="4"/>
      <c r="N692" s="4"/>
    </row>
    <row r="693" spans="5:14" x14ac:dyDescent="0.2">
      <c r="E693" s="3"/>
      <c r="F693" s="4"/>
      <c r="G693" s="3"/>
      <c r="H693" s="66"/>
      <c r="I693" s="4"/>
      <c r="J693" s="4"/>
      <c r="K693"/>
      <c r="L693"/>
      <c r="M693" s="4"/>
      <c r="N693" s="4"/>
    </row>
    <row r="694" spans="5:14" x14ac:dyDescent="0.2">
      <c r="E694" s="3"/>
      <c r="F694" s="4"/>
      <c r="G694" s="3"/>
      <c r="H694" s="66"/>
      <c r="I694" s="4"/>
      <c r="J694" s="4"/>
      <c r="K694"/>
      <c r="L694"/>
      <c r="M694" s="4"/>
      <c r="N694" s="4"/>
    </row>
    <row r="695" spans="5:14" x14ac:dyDescent="0.2">
      <c r="E695" s="3"/>
      <c r="F695" s="4"/>
      <c r="G695" s="3"/>
      <c r="H695" s="66"/>
      <c r="I695" s="4"/>
      <c r="J695" s="4"/>
      <c r="K695"/>
      <c r="L695"/>
      <c r="M695" s="4"/>
      <c r="N695" s="4"/>
    </row>
    <row r="696" spans="5:14" x14ac:dyDescent="0.2">
      <c r="E696" s="3"/>
      <c r="F696" s="4"/>
      <c r="G696" s="3"/>
      <c r="H696" s="66"/>
      <c r="I696" s="4"/>
      <c r="J696" s="4"/>
      <c r="K696"/>
      <c r="L696"/>
      <c r="M696" s="4"/>
      <c r="N696" s="4"/>
    </row>
    <row r="697" spans="5:14" x14ac:dyDescent="0.2">
      <c r="E697" s="3"/>
      <c r="F697" s="4"/>
      <c r="G697" s="3"/>
      <c r="H697" s="66"/>
      <c r="I697" s="4"/>
      <c r="J697" s="4"/>
      <c r="K697"/>
      <c r="L697"/>
      <c r="M697" s="4"/>
      <c r="N697" s="4"/>
    </row>
    <row r="698" spans="5:14" x14ac:dyDescent="0.2">
      <c r="E698" s="3"/>
      <c r="F698" s="4"/>
      <c r="G698" s="3"/>
      <c r="H698" s="66"/>
      <c r="I698" s="4"/>
      <c r="J698" s="4"/>
      <c r="K698"/>
      <c r="L698"/>
      <c r="M698" s="4"/>
      <c r="N698" s="4"/>
    </row>
    <row r="699" spans="5:14" x14ac:dyDescent="0.2">
      <c r="E699" s="3"/>
      <c r="F699" s="4"/>
      <c r="G699" s="3"/>
      <c r="H699" s="66"/>
      <c r="I699" s="4"/>
      <c r="J699" s="4"/>
      <c r="K699"/>
      <c r="L699"/>
      <c r="M699" s="4"/>
      <c r="N699" s="4"/>
    </row>
    <row r="700" spans="5:14" x14ac:dyDescent="0.2">
      <c r="E700" s="3"/>
      <c r="F700" s="4"/>
      <c r="G700" s="3"/>
      <c r="H700" s="66"/>
      <c r="I700" s="4"/>
      <c r="J700" s="4"/>
      <c r="K700"/>
      <c r="L700"/>
      <c r="M700" s="4"/>
      <c r="N700" s="4"/>
    </row>
    <row r="701" spans="5:14" x14ac:dyDescent="0.2">
      <c r="E701" s="3"/>
      <c r="F701" s="4"/>
      <c r="G701" s="3"/>
      <c r="H701" s="66"/>
      <c r="I701" s="4"/>
      <c r="J701" s="4"/>
      <c r="K701"/>
      <c r="L701"/>
      <c r="M701" s="4"/>
      <c r="N701" s="4"/>
    </row>
    <row r="702" spans="5:14" x14ac:dyDescent="0.2">
      <c r="E702" s="3"/>
      <c r="F702" s="4"/>
      <c r="G702" s="3"/>
      <c r="H702" s="66"/>
      <c r="I702" s="4"/>
      <c r="J702" s="4"/>
      <c r="K702"/>
      <c r="L702"/>
      <c r="M702" s="4"/>
      <c r="N702" s="4"/>
    </row>
    <row r="703" spans="5:14" x14ac:dyDescent="0.2">
      <c r="E703" s="3"/>
      <c r="F703" s="4"/>
      <c r="G703" s="3"/>
      <c r="H703" s="66"/>
      <c r="I703" s="4"/>
      <c r="J703" s="4"/>
      <c r="K703"/>
      <c r="L703"/>
      <c r="M703" s="4"/>
      <c r="N703" s="4"/>
    </row>
    <row r="704" spans="5:14" x14ac:dyDescent="0.2">
      <c r="E704" s="3"/>
      <c r="F704" s="4"/>
      <c r="G704" s="3"/>
      <c r="H704" s="66"/>
      <c r="I704" s="4"/>
      <c r="J704" s="4"/>
      <c r="K704"/>
      <c r="L704"/>
      <c r="M704" s="4"/>
      <c r="N704" s="4"/>
    </row>
    <row r="705" spans="5:14" x14ac:dyDescent="0.2">
      <c r="E705" s="3"/>
      <c r="F705" s="4"/>
      <c r="G705" s="3"/>
      <c r="H705" s="66"/>
      <c r="I705" s="4"/>
      <c r="J705" s="4"/>
      <c r="K705"/>
      <c r="L705"/>
      <c r="M705" s="4"/>
      <c r="N705" s="4"/>
    </row>
    <row r="706" spans="5:14" x14ac:dyDescent="0.2">
      <c r="E706" s="3"/>
      <c r="F706" s="4"/>
      <c r="G706" s="3"/>
      <c r="H706" s="66"/>
      <c r="I706" s="4"/>
      <c r="J706" s="4"/>
      <c r="K706"/>
      <c r="L706"/>
      <c r="M706" s="4"/>
      <c r="N706" s="4"/>
    </row>
    <row r="707" spans="5:14" x14ac:dyDescent="0.2">
      <c r="E707" s="3"/>
      <c r="F707" s="4"/>
      <c r="G707" s="3"/>
      <c r="H707" s="66"/>
      <c r="I707" s="4"/>
      <c r="J707" s="4"/>
      <c r="K707"/>
      <c r="L707"/>
      <c r="M707" s="4"/>
      <c r="N707" s="4"/>
    </row>
    <row r="708" spans="5:14" x14ac:dyDescent="0.2">
      <c r="E708" s="3"/>
      <c r="F708" s="4"/>
      <c r="G708" s="3"/>
      <c r="H708" s="66"/>
      <c r="I708" s="4"/>
      <c r="J708" s="4"/>
      <c r="K708"/>
      <c r="L708"/>
      <c r="M708" s="4"/>
      <c r="N708" s="4"/>
    </row>
    <row r="709" spans="5:14" x14ac:dyDescent="0.2">
      <c r="E709" s="3"/>
      <c r="F709" s="4"/>
      <c r="G709" s="3"/>
      <c r="H709" s="66"/>
      <c r="I709" s="4"/>
      <c r="J709" s="4"/>
      <c r="K709"/>
      <c r="L709"/>
      <c r="M709" s="4"/>
      <c r="N709" s="4"/>
    </row>
    <row r="710" spans="5:14" x14ac:dyDescent="0.2">
      <c r="E710" s="3"/>
      <c r="F710" s="4"/>
      <c r="G710" s="3"/>
      <c r="H710" s="66"/>
      <c r="I710" s="4"/>
      <c r="J710" s="4"/>
      <c r="K710"/>
      <c r="L710"/>
      <c r="M710" s="4"/>
      <c r="N710" s="4"/>
    </row>
    <row r="711" spans="5:14" x14ac:dyDescent="0.2">
      <c r="E711" s="3"/>
      <c r="F711" s="4"/>
      <c r="G711" s="3"/>
      <c r="H711" s="66"/>
      <c r="I711" s="4"/>
      <c r="J711" s="4"/>
      <c r="K711"/>
      <c r="L711"/>
      <c r="M711" s="4"/>
      <c r="N711" s="4"/>
    </row>
    <row r="712" spans="5:14" x14ac:dyDescent="0.2">
      <c r="E712" s="3"/>
      <c r="F712" s="4"/>
      <c r="G712" s="3"/>
      <c r="H712" s="66"/>
      <c r="I712" s="4"/>
      <c r="J712" s="4"/>
      <c r="K712"/>
      <c r="L712"/>
      <c r="M712" s="4"/>
      <c r="N712" s="4"/>
    </row>
    <row r="713" spans="5:14" x14ac:dyDescent="0.2">
      <c r="E713" s="3"/>
      <c r="F713" s="4"/>
      <c r="G713" s="3"/>
      <c r="H713" s="66"/>
      <c r="I713" s="4"/>
      <c r="J713" s="4"/>
      <c r="K713"/>
      <c r="L713"/>
      <c r="M713" s="4"/>
      <c r="N713" s="4"/>
    </row>
    <row r="714" spans="5:14" x14ac:dyDescent="0.2">
      <c r="E714" s="3"/>
      <c r="F714" s="4"/>
      <c r="G714" s="3"/>
      <c r="H714" s="66"/>
      <c r="I714" s="4"/>
      <c r="J714" s="4"/>
      <c r="K714"/>
      <c r="L714"/>
      <c r="M714" s="4"/>
      <c r="N714" s="4"/>
    </row>
    <row r="715" spans="5:14" x14ac:dyDescent="0.2">
      <c r="E715" s="3"/>
      <c r="F715" s="4"/>
      <c r="G715" s="3"/>
      <c r="H715" s="66"/>
      <c r="I715" s="4"/>
      <c r="J715" s="4"/>
      <c r="K715"/>
      <c r="L715"/>
      <c r="M715" s="4"/>
      <c r="N715" s="4"/>
    </row>
    <row r="716" spans="5:14" x14ac:dyDescent="0.2">
      <c r="E716" s="3"/>
      <c r="F716" s="4"/>
      <c r="G716" s="3"/>
      <c r="H716" s="66"/>
      <c r="I716" s="4"/>
      <c r="J716" s="4"/>
      <c r="K716"/>
      <c r="L716"/>
      <c r="M716" s="4"/>
      <c r="N716" s="4"/>
    </row>
    <row r="717" spans="5:14" x14ac:dyDescent="0.2">
      <c r="E717" s="3"/>
      <c r="F717" s="4"/>
      <c r="G717" s="3"/>
      <c r="H717" s="66"/>
      <c r="I717" s="4"/>
      <c r="J717" s="4"/>
      <c r="K717"/>
      <c r="L717"/>
      <c r="M717" s="4"/>
      <c r="N717" s="4"/>
    </row>
    <row r="718" spans="5:14" x14ac:dyDescent="0.2">
      <c r="E718" s="3"/>
      <c r="F718" s="4"/>
      <c r="G718" s="3"/>
      <c r="H718" s="66"/>
      <c r="I718" s="4"/>
      <c r="J718" s="4"/>
      <c r="K718"/>
      <c r="L718"/>
      <c r="M718" s="4"/>
      <c r="N718" s="4"/>
    </row>
    <row r="719" spans="5:14" x14ac:dyDescent="0.2">
      <c r="E719" s="3"/>
      <c r="F719" s="4"/>
      <c r="G719" s="3"/>
      <c r="H719" s="66"/>
      <c r="I719" s="4"/>
      <c r="J719" s="4"/>
      <c r="K719"/>
      <c r="L719"/>
      <c r="M719" s="4"/>
      <c r="N719" s="4"/>
    </row>
    <row r="720" spans="5:14" x14ac:dyDescent="0.2">
      <c r="E720" s="3"/>
      <c r="F720" s="4"/>
      <c r="G720" s="3"/>
      <c r="H720" s="66"/>
      <c r="I720" s="4"/>
      <c r="J720" s="4"/>
      <c r="K720"/>
      <c r="L720"/>
      <c r="M720" s="4"/>
      <c r="N720" s="4"/>
    </row>
    <row r="721" spans="5:14" x14ac:dyDescent="0.2">
      <c r="E721" s="3"/>
      <c r="F721" s="4"/>
      <c r="G721" s="3"/>
      <c r="H721" s="66"/>
      <c r="I721" s="4"/>
      <c r="J721" s="4"/>
      <c r="K721"/>
      <c r="L721"/>
      <c r="M721" s="4"/>
      <c r="N721" s="4"/>
    </row>
    <row r="722" spans="5:14" x14ac:dyDescent="0.2">
      <c r="E722" s="3"/>
      <c r="F722" s="4"/>
      <c r="G722" s="3"/>
      <c r="H722" s="66"/>
      <c r="I722" s="4"/>
      <c r="J722" s="4"/>
      <c r="K722"/>
      <c r="L722"/>
      <c r="M722" s="4"/>
      <c r="N722" s="4"/>
    </row>
    <row r="723" spans="5:14" x14ac:dyDescent="0.2">
      <c r="E723" s="3"/>
      <c r="F723" s="4"/>
      <c r="G723" s="3"/>
      <c r="H723" s="66"/>
      <c r="I723" s="4"/>
      <c r="J723" s="4"/>
      <c r="K723"/>
      <c r="L723"/>
      <c r="M723" s="4"/>
      <c r="N723" s="4"/>
    </row>
    <row r="724" spans="5:14" x14ac:dyDescent="0.2">
      <c r="E724" s="3"/>
      <c r="F724" s="4"/>
      <c r="G724" s="3"/>
      <c r="H724" s="66"/>
      <c r="I724" s="4"/>
      <c r="J724" s="4"/>
      <c r="K724"/>
      <c r="L724"/>
      <c r="M724" s="4"/>
      <c r="N724" s="4"/>
    </row>
    <row r="725" spans="5:14" x14ac:dyDescent="0.2">
      <c r="E725" s="3"/>
      <c r="F725" s="4"/>
      <c r="G725" s="3"/>
      <c r="H725" s="66"/>
      <c r="I725" s="4"/>
      <c r="J725" s="4"/>
      <c r="K725"/>
      <c r="L725"/>
      <c r="M725" s="4"/>
      <c r="N725" s="4"/>
    </row>
    <row r="726" spans="5:14" x14ac:dyDescent="0.2">
      <c r="E726" s="3"/>
      <c r="F726" s="4"/>
      <c r="G726" s="3"/>
      <c r="H726" s="66"/>
      <c r="I726" s="4"/>
      <c r="J726" s="4"/>
      <c r="K726"/>
      <c r="L726"/>
      <c r="M726" s="4"/>
      <c r="N726" s="4"/>
    </row>
    <row r="727" spans="5:14" x14ac:dyDescent="0.2">
      <c r="E727" s="3"/>
      <c r="F727" s="4"/>
      <c r="G727" s="3"/>
      <c r="H727" s="66"/>
      <c r="I727" s="4"/>
      <c r="J727" s="4"/>
      <c r="K727"/>
      <c r="L727"/>
      <c r="M727" s="4"/>
      <c r="N727" s="4"/>
    </row>
    <row r="728" spans="5:14" x14ac:dyDescent="0.2">
      <c r="E728" s="3"/>
      <c r="F728" s="4"/>
      <c r="G728" s="3"/>
      <c r="H728" s="66"/>
      <c r="I728" s="4"/>
      <c r="J728" s="4"/>
      <c r="K728"/>
      <c r="L728"/>
      <c r="M728" s="4"/>
      <c r="N728" s="4"/>
    </row>
    <row r="729" spans="5:14" x14ac:dyDescent="0.2">
      <c r="E729" s="3"/>
      <c r="F729" s="4"/>
      <c r="G729" s="3"/>
      <c r="H729" s="66"/>
      <c r="I729" s="4"/>
      <c r="J729" s="4"/>
      <c r="K729"/>
      <c r="L729"/>
      <c r="M729" s="4"/>
      <c r="N729" s="4"/>
    </row>
    <row r="730" spans="5:14" x14ac:dyDescent="0.2">
      <c r="E730" s="3"/>
      <c r="F730" s="4"/>
      <c r="G730" s="3"/>
      <c r="H730" s="66"/>
      <c r="I730" s="4"/>
      <c r="J730" s="4"/>
      <c r="K730"/>
      <c r="L730"/>
      <c r="M730" s="4"/>
      <c r="N730" s="4"/>
    </row>
    <row r="731" spans="5:14" x14ac:dyDescent="0.2">
      <c r="E731" s="3"/>
      <c r="F731" s="4"/>
      <c r="G731" s="3"/>
      <c r="H731" s="66"/>
      <c r="I731" s="4"/>
      <c r="J731" s="4"/>
      <c r="K731"/>
      <c r="L731"/>
      <c r="M731" s="4"/>
      <c r="N731" s="4"/>
    </row>
    <row r="732" spans="5:14" x14ac:dyDescent="0.2">
      <c r="E732" s="3"/>
      <c r="F732" s="4"/>
      <c r="G732" s="3"/>
      <c r="H732" s="66"/>
      <c r="I732" s="4"/>
      <c r="J732" s="4"/>
      <c r="K732"/>
      <c r="L732"/>
      <c r="M732" s="4"/>
      <c r="N732" s="4"/>
    </row>
    <row r="733" spans="5:14" x14ac:dyDescent="0.2">
      <c r="E733" s="3"/>
      <c r="F733" s="4"/>
      <c r="G733" s="3"/>
      <c r="H733" s="66"/>
      <c r="I733" s="4"/>
      <c r="J733" s="4"/>
      <c r="K733"/>
      <c r="L733"/>
      <c r="M733" s="4"/>
      <c r="N733" s="4"/>
    </row>
    <row r="734" spans="5:14" x14ac:dyDescent="0.2">
      <c r="E734" s="3"/>
      <c r="F734" s="4"/>
      <c r="G734" s="3"/>
      <c r="H734" s="66"/>
      <c r="I734" s="4"/>
      <c r="J734" s="4"/>
      <c r="K734"/>
      <c r="L734"/>
      <c r="M734" s="4"/>
      <c r="N734" s="4"/>
    </row>
    <row r="735" spans="5:14" x14ac:dyDescent="0.2">
      <c r="E735" s="3"/>
      <c r="F735" s="4"/>
      <c r="G735" s="3"/>
      <c r="H735" s="66"/>
      <c r="I735" s="4"/>
      <c r="J735" s="4"/>
      <c r="K735"/>
      <c r="L735"/>
      <c r="M735" s="4"/>
      <c r="N735" s="4"/>
    </row>
    <row r="736" spans="5:14" x14ac:dyDescent="0.2">
      <c r="E736" s="3"/>
      <c r="F736" s="4"/>
      <c r="G736" s="3"/>
      <c r="H736" s="66"/>
      <c r="I736" s="4"/>
      <c r="J736" s="4"/>
      <c r="K736"/>
      <c r="L736"/>
      <c r="M736" s="4"/>
      <c r="N736" s="4"/>
    </row>
    <row r="737" spans="5:14" x14ac:dyDescent="0.2">
      <c r="E737" s="3"/>
      <c r="F737" s="4"/>
      <c r="G737" s="3"/>
      <c r="H737" s="66"/>
      <c r="I737" s="4"/>
      <c r="J737" s="4"/>
      <c r="K737"/>
      <c r="L737"/>
      <c r="M737" s="4"/>
      <c r="N737" s="4"/>
    </row>
    <row r="738" spans="5:14" x14ac:dyDescent="0.2">
      <c r="E738" s="3"/>
      <c r="F738" s="4"/>
      <c r="G738" s="3"/>
      <c r="H738" s="66"/>
      <c r="I738" s="4"/>
      <c r="J738" s="4"/>
      <c r="K738"/>
      <c r="L738"/>
      <c r="M738" s="4"/>
      <c r="N738" s="4"/>
    </row>
    <row r="739" spans="5:14" x14ac:dyDescent="0.2">
      <c r="E739" s="3"/>
      <c r="F739" s="4"/>
      <c r="G739" s="3"/>
      <c r="H739" s="66"/>
      <c r="I739" s="4"/>
      <c r="J739" s="4"/>
      <c r="K739"/>
      <c r="L739"/>
      <c r="M739" s="4"/>
      <c r="N739" s="4"/>
    </row>
    <row r="740" spans="5:14" x14ac:dyDescent="0.2">
      <c r="E740" s="3"/>
      <c r="F740" s="4"/>
      <c r="G740" s="3"/>
      <c r="H740" s="66"/>
      <c r="I740" s="4"/>
      <c r="J740" s="4"/>
      <c r="K740"/>
      <c r="L740"/>
      <c r="M740" s="4"/>
      <c r="N740" s="4"/>
    </row>
    <row r="741" spans="5:14" x14ac:dyDescent="0.2">
      <c r="E741" s="3"/>
      <c r="F741" s="4"/>
      <c r="G741" s="3"/>
      <c r="H741" s="66"/>
      <c r="I741" s="4"/>
      <c r="J741" s="4"/>
      <c r="K741"/>
      <c r="L741"/>
      <c r="M741" s="4"/>
      <c r="N741" s="4"/>
    </row>
    <row r="742" spans="5:14" x14ac:dyDescent="0.2">
      <c r="E742" s="3"/>
      <c r="F742" s="4"/>
      <c r="G742" s="3"/>
      <c r="H742" s="66"/>
      <c r="I742" s="4"/>
      <c r="J742" s="4"/>
      <c r="K742"/>
      <c r="L742"/>
      <c r="M742" s="4"/>
      <c r="N742" s="4"/>
    </row>
    <row r="743" spans="5:14" x14ac:dyDescent="0.2">
      <c r="E743" s="3"/>
      <c r="F743" s="4"/>
      <c r="G743" s="3"/>
      <c r="H743" s="66"/>
      <c r="I743" s="4"/>
      <c r="J743" s="4"/>
      <c r="K743"/>
      <c r="L743"/>
      <c r="M743" s="4"/>
      <c r="N743" s="4"/>
    </row>
    <row r="744" spans="5:14" x14ac:dyDescent="0.2">
      <c r="E744" s="3"/>
      <c r="F744" s="4"/>
      <c r="G744" s="3"/>
      <c r="H744" s="66"/>
      <c r="I744" s="4"/>
      <c r="J744" s="4"/>
      <c r="K744"/>
      <c r="L744"/>
      <c r="M744" s="4"/>
      <c r="N744" s="4"/>
    </row>
    <row r="745" spans="5:14" x14ac:dyDescent="0.2">
      <c r="E745" s="3"/>
      <c r="F745" s="4"/>
      <c r="G745" s="3"/>
      <c r="H745" s="66"/>
      <c r="I745" s="4"/>
      <c r="J745" s="4"/>
      <c r="K745"/>
      <c r="L745"/>
      <c r="M745" s="4"/>
      <c r="N745" s="4"/>
    </row>
    <row r="746" spans="5:14" x14ac:dyDescent="0.2">
      <c r="E746" s="3"/>
      <c r="F746" s="4"/>
      <c r="G746" s="3"/>
      <c r="H746" s="66"/>
      <c r="I746" s="4"/>
      <c r="J746" s="4"/>
      <c r="K746"/>
      <c r="L746"/>
      <c r="M746" s="4"/>
      <c r="N746" s="4"/>
    </row>
    <row r="747" spans="5:14" x14ac:dyDescent="0.2">
      <c r="E747" s="3"/>
      <c r="F747" s="4"/>
      <c r="G747" s="3"/>
      <c r="H747" s="66"/>
      <c r="I747" s="4"/>
      <c r="J747" s="4"/>
      <c r="K747"/>
      <c r="L747"/>
      <c r="M747" s="4"/>
      <c r="N747" s="4"/>
    </row>
    <row r="748" spans="5:14" x14ac:dyDescent="0.2">
      <c r="E748" s="3"/>
      <c r="F748" s="4"/>
      <c r="G748" s="3"/>
      <c r="H748" s="66"/>
      <c r="I748" s="4"/>
      <c r="J748" s="4"/>
      <c r="K748"/>
      <c r="L748"/>
      <c r="M748" s="4"/>
      <c r="N748" s="4"/>
    </row>
    <row r="749" spans="5:14" x14ac:dyDescent="0.2">
      <c r="E749" s="3"/>
      <c r="F749" s="4"/>
      <c r="G749" s="3"/>
      <c r="H749" s="66"/>
      <c r="I749" s="4"/>
      <c r="J749" s="4"/>
      <c r="K749"/>
      <c r="L749"/>
      <c r="M749" s="4"/>
      <c r="N749" s="4"/>
    </row>
    <row r="750" spans="5:14" x14ac:dyDescent="0.2">
      <c r="E750" s="3"/>
      <c r="F750" s="4"/>
      <c r="G750" s="3"/>
      <c r="H750" s="66"/>
      <c r="I750" s="4"/>
      <c r="J750" s="4"/>
      <c r="K750"/>
      <c r="L750"/>
      <c r="M750" s="4"/>
      <c r="N750" s="4"/>
    </row>
    <row r="751" spans="5:14" x14ac:dyDescent="0.2">
      <c r="E751" s="3"/>
      <c r="F751" s="4"/>
      <c r="G751" s="3"/>
      <c r="H751" s="66"/>
      <c r="I751" s="4"/>
      <c r="J751" s="4"/>
      <c r="K751"/>
      <c r="L751"/>
      <c r="M751" s="4"/>
      <c r="N751" s="4"/>
    </row>
    <row r="752" spans="5:14" x14ac:dyDescent="0.2">
      <c r="E752" s="3"/>
      <c r="F752" s="4"/>
      <c r="G752" s="3"/>
      <c r="H752" s="66"/>
      <c r="I752" s="4"/>
      <c r="J752" s="4"/>
      <c r="K752"/>
      <c r="L752"/>
      <c r="M752" s="4"/>
      <c r="N752" s="4"/>
    </row>
    <row r="753" spans="5:14" x14ac:dyDescent="0.2">
      <c r="E753" s="3"/>
      <c r="F753" s="4"/>
      <c r="G753" s="3"/>
      <c r="H753" s="66"/>
      <c r="I753" s="4"/>
      <c r="J753" s="4"/>
      <c r="K753"/>
      <c r="L753"/>
      <c r="M753" s="4"/>
      <c r="N753" s="4"/>
    </row>
    <row r="754" spans="5:14" x14ac:dyDescent="0.2">
      <c r="E754" s="3"/>
      <c r="F754" s="4"/>
      <c r="G754" s="3"/>
      <c r="H754" s="66"/>
      <c r="I754" s="4"/>
      <c r="J754" s="4"/>
      <c r="K754"/>
      <c r="L754"/>
      <c r="M754" s="4"/>
      <c r="N754" s="4"/>
    </row>
    <row r="755" spans="5:14" x14ac:dyDescent="0.2">
      <c r="E755" s="3"/>
      <c r="F755" s="4"/>
      <c r="G755" s="3"/>
      <c r="H755" s="66"/>
      <c r="I755" s="4"/>
      <c r="J755" s="4"/>
      <c r="K755"/>
      <c r="L755"/>
      <c r="M755" s="4"/>
      <c r="N755" s="4"/>
    </row>
    <row r="756" spans="5:14" x14ac:dyDescent="0.2">
      <c r="E756" s="3"/>
      <c r="F756" s="4"/>
      <c r="G756" s="3"/>
      <c r="H756" s="66"/>
      <c r="I756" s="4"/>
      <c r="J756" s="4"/>
      <c r="K756"/>
      <c r="L756"/>
      <c r="M756" s="4"/>
      <c r="N756" s="4"/>
    </row>
    <row r="757" spans="5:14" x14ac:dyDescent="0.2">
      <c r="E757" s="3"/>
      <c r="F757" s="4"/>
      <c r="G757" s="3"/>
      <c r="H757" s="66"/>
      <c r="I757" s="4"/>
      <c r="J757" s="4"/>
      <c r="K757"/>
      <c r="L757"/>
      <c r="M757" s="4"/>
      <c r="N757" s="4"/>
    </row>
    <row r="758" spans="5:14" x14ac:dyDescent="0.2">
      <c r="E758" s="3"/>
      <c r="F758" s="4"/>
      <c r="G758" s="3"/>
      <c r="H758" s="66"/>
      <c r="I758" s="4"/>
      <c r="J758" s="4"/>
      <c r="K758"/>
      <c r="L758"/>
      <c r="M758" s="4"/>
      <c r="N758" s="4"/>
    </row>
    <row r="759" spans="5:14" x14ac:dyDescent="0.2">
      <c r="E759" s="3"/>
      <c r="F759" s="4"/>
      <c r="G759" s="3"/>
      <c r="H759" s="66"/>
      <c r="I759" s="4"/>
      <c r="J759" s="4"/>
      <c r="K759"/>
      <c r="L759"/>
      <c r="M759" s="4"/>
      <c r="N759" s="4"/>
    </row>
    <row r="760" spans="5:14" x14ac:dyDescent="0.2">
      <c r="E760" s="3"/>
      <c r="F760" s="4"/>
      <c r="G760" s="3"/>
      <c r="H760" s="66"/>
      <c r="I760" s="4"/>
      <c r="J760" s="4"/>
      <c r="K760"/>
      <c r="L760"/>
      <c r="M760" s="4"/>
      <c r="N760" s="4"/>
    </row>
    <row r="761" spans="5:14" x14ac:dyDescent="0.2">
      <c r="E761" s="3"/>
      <c r="F761" s="4"/>
      <c r="G761" s="3"/>
      <c r="H761" s="66"/>
      <c r="I761" s="4"/>
      <c r="J761" s="4"/>
      <c r="K761"/>
      <c r="L761"/>
      <c r="M761" s="4"/>
      <c r="N761" s="4"/>
    </row>
    <row r="762" spans="5:14" x14ac:dyDescent="0.2">
      <c r="E762" s="3"/>
      <c r="F762" s="4"/>
      <c r="G762" s="3"/>
      <c r="H762" s="66"/>
      <c r="I762" s="4"/>
      <c r="J762" s="4"/>
      <c r="K762"/>
      <c r="L762"/>
      <c r="M762" s="4"/>
      <c r="N762" s="4"/>
    </row>
    <row r="763" spans="5:14" x14ac:dyDescent="0.2">
      <c r="E763" s="3"/>
      <c r="F763" s="4"/>
      <c r="G763" s="3"/>
      <c r="H763" s="66"/>
      <c r="I763" s="4"/>
      <c r="J763" s="4"/>
      <c r="K763"/>
      <c r="L763"/>
      <c r="M763" s="4"/>
      <c r="N763" s="4"/>
    </row>
    <row r="764" spans="5:14" x14ac:dyDescent="0.2">
      <c r="E764" s="3"/>
      <c r="F764" s="4"/>
      <c r="G764" s="3"/>
      <c r="H764" s="66"/>
      <c r="I764" s="4"/>
      <c r="J764" s="4"/>
      <c r="K764"/>
      <c r="L764"/>
      <c r="M764" s="4"/>
      <c r="N764" s="4"/>
    </row>
    <row r="765" spans="5:14" x14ac:dyDescent="0.2">
      <c r="E765" s="3"/>
      <c r="F765" s="4"/>
      <c r="G765" s="3"/>
      <c r="H765" s="66"/>
      <c r="I765" s="4"/>
      <c r="J765" s="4"/>
      <c r="K765"/>
      <c r="L765"/>
      <c r="M765" s="4"/>
      <c r="N765" s="4"/>
    </row>
    <row r="766" spans="5:14" x14ac:dyDescent="0.2">
      <c r="E766" s="3"/>
      <c r="F766" s="4"/>
      <c r="G766" s="3"/>
      <c r="H766" s="66"/>
      <c r="I766" s="4"/>
      <c r="J766" s="4"/>
      <c r="K766"/>
      <c r="L766"/>
      <c r="M766" s="4"/>
      <c r="N766" s="4"/>
    </row>
    <row r="767" spans="5:14" x14ac:dyDescent="0.2">
      <c r="E767" s="3"/>
      <c r="F767" s="4"/>
      <c r="G767" s="3"/>
      <c r="H767" s="66"/>
      <c r="I767" s="4"/>
      <c r="J767" s="4"/>
      <c r="K767"/>
      <c r="L767"/>
      <c r="M767" s="4"/>
      <c r="N767" s="4"/>
    </row>
    <row r="768" spans="5:14" x14ac:dyDescent="0.2">
      <c r="E768" s="3"/>
      <c r="F768" s="4"/>
      <c r="G768" s="3"/>
      <c r="H768" s="66"/>
      <c r="I768" s="4"/>
      <c r="J768" s="4"/>
      <c r="K768"/>
      <c r="L768"/>
      <c r="M768" s="4"/>
      <c r="N768" s="4"/>
    </row>
    <row r="769" spans="5:14" x14ac:dyDescent="0.2">
      <c r="E769" s="3"/>
      <c r="F769" s="4"/>
      <c r="G769" s="3"/>
      <c r="H769" s="66"/>
      <c r="I769" s="4"/>
      <c r="J769" s="4"/>
      <c r="K769"/>
      <c r="L769"/>
      <c r="M769" s="4"/>
      <c r="N769" s="4"/>
    </row>
    <row r="770" spans="5:14" x14ac:dyDescent="0.2">
      <c r="E770" s="3"/>
      <c r="F770" s="4"/>
      <c r="G770" s="3"/>
      <c r="H770" s="66"/>
      <c r="I770" s="4"/>
      <c r="J770" s="4"/>
      <c r="K770"/>
      <c r="L770"/>
      <c r="M770" s="4"/>
      <c r="N770" s="4"/>
    </row>
    <row r="771" spans="5:14" x14ac:dyDescent="0.2">
      <c r="E771" s="3"/>
      <c r="F771" s="4"/>
      <c r="G771" s="3"/>
      <c r="H771" s="66"/>
      <c r="I771" s="4"/>
      <c r="J771" s="4"/>
      <c r="K771"/>
      <c r="L771"/>
      <c r="M771" s="4"/>
      <c r="N771" s="4"/>
    </row>
    <row r="772" spans="5:14" x14ac:dyDescent="0.2">
      <c r="E772" s="3"/>
      <c r="F772" s="4"/>
      <c r="G772" s="3"/>
      <c r="H772" s="66"/>
      <c r="I772" s="4"/>
      <c r="J772" s="4"/>
      <c r="K772"/>
      <c r="L772"/>
      <c r="M772" s="4"/>
      <c r="N772" s="4"/>
    </row>
    <row r="773" spans="5:14" x14ac:dyDescent="0.2">
      <c r="E773" s="3"/>
      <c r="F773" s="4"/>
      <c r="G773" s="3"/>
      <c r="H773" s="66"/>
      <c r="I773" s="4"/>
      <c r="J773" s="4"/>
      <c r="K773"/>
      <c r="L773"/>
      <c r="M773" s="4"/>
      <c r="N773" s="4"/>
    </row>
    <row r="774" spans="5:14" x14ac:dyDescent="0.2">
      <c r="E774" s="3"/>
      <c r="F774" s="4"/>
      <c r="G774" s="3"/>
      <c r="H774" s="66"/>
      <c r="I774" s="4"/>
      <c r="J774" s="4"/>
      <c r="K774"/>
      <c r="L774"/>
      <c r="M774" s="4"/>
      <c r="N774" s="4"/>
    </row>
    <row r="775" spans="5:14" x14ac:dyDescent="0.2">
      <c r="E775" s="3"/>
      <c r="F775" s="4"/>
      <c r="G775" s="3"/>
      <c r="H775" s="66"/>
      <c r="I775" s="4"/>
      <c r="J775" s="4"/>
      <c r="K775"/>
      <c r="L775"/>
      <c r="M775" s="4"/>
      <c r="N775" s="4"/>
    </row>
    <row r="776" spans="5:14" x14ac:dyDescent="0.2">
      <c r="E776" s="3"/>
      <c r="F776" s="4"/>
      <c r="G776" s="3"/>
      <c r="H776" s="66"/>
      <c r="I776" s="4"/>
      <c r="J776" s="4"/>
      <c r="K776"/>
      <c r="L776"/>
      <c r="M776" s="4"/>
      <c r="N776" s="4"/>
    </row>
    <row r="777" spans="5:14" x14ac:dyDescent="0.2">
      <c r="E777" s="3"/>
      <c r="F777" s="4"/>
      <c r="G777" s="3"/>
      <c r="H777" s="66"/>
      <c r="I777" s="4"/>
      <c r="J777" s="4"/>
      <c r="K777"/>
      <c r="L777"/>
      <c r="M777" s="4"/>
      <c r="N777" s="4"/>
    </row>
    <row r="778" spans="5:14" x14ac:dyDescent="0.2">
      <c r="E778" s="3"/>
      <c r="F778" s="4"/>
      <c r="G778" s="3"/>
      <c r="H778" s="66"/>
      <c r="I778" s="4"/>
      <c r="J778" s="4"/>
      <c r="K778"/>
      <c r="L778"/>
      <c r="M778" s="4"/>
      <c r="N778" s="4"/>
    </row>
    <row r="779" spans="5:14" x14ac:dyDescent="0.2">
      <c r="E779" s="3"/>
      <c r="F779" s="4"/>
      <c r="G779" s="3"/>
      <c r="H779" s="66"/>
      <c r="I779" s="4"/>
      <c r="J779" s="4"/>
      <c r="K779"/>
      <c r="L779"/>
      <c r="M779" s="4"/>
      <c r="N779" s="4"/>
    </row>
    <row r="780" spans="5:14" x14ac:dyDescent="0.2">
      <c r="E780" s="3"/>
      <c r="F780" s="4"/>
      <c r="G780" s="3"/>
      <c r="H780" s="66"/>
      <c r="I780" s="4"/>
      <c r="J780" s="4"/>
      <c r="K780"/>
      <c r="L780"/>
      <c r="M780" s="4"/>
      <c r="N780" s="4"/>
    </row>
    <row r="781" spans="5:14" x14ac:dyDescent="0.2">
      <c r="E781" s="3"/>
      <c r="F781" s="4"/>
      <c r="G781" s="3"/>
      <c r="H781" s="66"/>
      <c r="I781" s="4"/>
      <c r="J781" s="4"/>
      <c r="K781"/>
      <c r="L781"/>
      <c r="M781" s="4"/>
      <c r="N781" s="4"/>
    </row>
    <row r="782" spans="5:14" x14ac:dyDescent="0.2">
      <c r="E782" s="3"/>
      <c r="F782" s="4"/>
      <c r="G782" s="3"/>
      <c r="H782" s="66"/>
      <c r="I782" s="4"/>
      <c r="J782" s="4"/>
      <c r="K782"/>
      <c r="L782"/>
      <c r="M782" s="4"/>
      <c r="N782" s="4"/>
    </row>
    <row r="783" spans="5:14" x14ac:dyDescent="0.2">
      <c r="E783" s="3"/>
      <c r="F783" s="4"/>
      <c r="G783" s="3"/>
      <c r="H783" s="66"/>
      <c r="I783" s="4"/>
      <c r="J783" s="4"/>
      <c r="K783"/>
      <c r="L783"/>
      <c r="M783" s="4"/>
      <c r="N783" s="4"/>
    </row>
    <row r="784" spans="5:14" x14ac:dyDescent="0.2">
      <c r="E784" s="3"/>
      <c r="F784" s="4"/>
      <c r="G784" s="3"/>
      <c r="H784" s="66"/>
      <c r="I784" s="4"/>
      <c r="J784" s="4"/>
      <c r="K784"/>
      <c r="L784"/>
      <c r="M784" s="4"/>
      <c r="N784" s="4"/>
    </row>
    <row r="785" spans="5:14" x14ac:dyDescent="0.2">
      <c r="E785" s="3"/>
      <c r="F785" s="4"/>
      <c r="G785" s="3"/>
      <c r="H785" s="66"/>
      <c r="I785" s="4"/>
      <c r="J785" s="4"/>
      <c r="K785"/>
      <c r="L785"/>
      <c r="M785" s="4"/>
      <c r="N785" s="4"/>
    </row>
    <row r="786" spans="5:14" x14ac:dyDescent="0.2">
      <c r="E786" s="3"/>
      <c r="F786" s="4"/>
      <c r="G786" s="3"/>
      <c r="H786" s="66"/>
      <c r="I786" s="4"/>
      <c r="J786" s="4"/>
      <c r="K786"/>
      <c r="L786"/>
      <c r="M786" s="4"/>
      <c r="N786" s="4"/>
    </row>
    <row r="787" spans="5:14" x14ac:dyDescent="0.2">
      <c r="E787" s="3"/>
      <c r="F787" s="4"/>
      <c r="G787" s="3"/>
      <c r="H787" s="66"/>
      <c r="I787" s="4"/>
      <c r="J787" s="4"/>
      <c r="K787"/>
      <c r="L787"/>
      <c r="M787" s="4"/>
      <c r="N787" s="4"/>
    </row>
    <row r="788" spans="5:14" x14ac:dyDescent="0.2">
      <c r="E788" s="3"/>
      <c r="F788" s="4"/>
      <c r="G788" s="3"/>
      <c r="H788" s="66"/>
      <c r="I788" s="4"/>
      <c r="J788" s="4"/>
      <c r="K788"/>
      <c r="L788"/>
      <c r="M788" s="4"/>
      <c r="N788" s="4"/>
    </row>
    <row r="789" spans="5:14" x14ac:dyDescent="0.2">
      <c r="E789" s="3"/>
      <c r="F789" s="4"/>
      <c r="G789" s="3"/>
      <c r="H789" s="66"/>
      <c r="I789" s="4"/>
      <c r="J789" s="4"/>
      <c r="K789"/>
      <c r="L789"/>
      <c r="M789" s="4"/>
      <c r="N789" s="4"/>
    </row>
    <row r="790" spans="5:14" x14ac:dyDescent="0.2">
      <c r="E790" s="3"/>
      <c r="F790" s="4"/>
      <c r="G790" s="3"/>
      <c r="H790" s="66"/>
      <c r="I790" s="4"/>
      <c r="J790" s="4"/>
      <c r="K790"/>
      <c r="L790"/>
      <c r="M790" s="4"/>
      <c r="N790" s="4"/>
    </row>
    <row r="791" spans="5:14" x14ac:dyDescent="0.2">
      <c r="E791" s="3"/>
      <c r="F791" s="4"/>
      <c r="G791" s="3"/>
      <c r="H791" s="66"/>
      <c r="I791" s="4"/>
      <c r="J791" s="4"/>
      <c r="K791"/>
      <c r="L791"/>
      <c r="M791" s="4"/>
      <c r="N791" s="4"/>
    </row>
    <row r="792" spans="5:14" x14ac:dyDescent="0.2">
      <c r="E792" s="3"/>
      <c r="F792" s="4"/>
      <c r="G792" s="3"/>
      <c r="H792" s="66"/>
      <c r="I792" s="4"/>
      <c r="J792" s="4"/>
      <c r="K792"/>
      <c r="L792"/>
      <c r="M792" s="4"/>
      <c r="N792" s="4"/>
    </row>
    <row r="793" spans="5:14" x14ac:dyDescent="0.2">
      <c r="E793" s="3"/>
      <c r="F793" s="4"/>
      <c r="G793" s="3"/>
      <c r="H793" s="66"/>
      <c r="I793" s="4"/>
      <c r="J793" s="4"/>
      <c r="K793"/>
      <c r="L793"/>
      <c r="M793" s="4"/>
      <c r="N793" s="4"/>
    </row>
    <row r="794" spans="5:14" x14ac:dyDescent="0.2">
      <c r="E794" s="3"/>
      <c r="F794" s="4"/>
      <c r="G794" s="3"/>
      <c r="H794" s="66"/>
      <c r="I794" s="4"/>
      <c r="J794" s="4"/>
      <c r="K794"/>
      <c r="L794"/>
      <c r="M794" s="4"/>
      <c r="N794" s="4"/>
    </row>
    <row r="795" spans="5:14" x14ac:dyDescent="0.2">
      <c r="E795" s="3"/>
      <c r="F795" s="4"/>
      <c r="G795" s="3"/>
      <c r="H795" s="66"/>
      <c r="I795" s="4"/>
      <c r="J795" s="4"/>
      <c r="K795"/>
      <c r="L795"/>
      <c r="M795" s="4"/>
      <c r="N795" s="4"/>
    </row>
    <row r="796" spans="5:14" x14ac:dyDescent="0.2">
      <c r="E796" s="3"/>
      <c r="F796" s="4"/>
      <c r="G796" s="3"/>
      <c r="H796" s="66"/>
      <c r="I796" s="4"/>
      <c r="J796" s="4"/>
      <c r="K796"/>
      <c r="L796"/>
      <c r="M796" s="4"/>
      <c r="N796" s="4"/>
    </row>
    <row r="797" spans="5:14" x14ac:dyDescent="0.2">
      <c r="E797" s="3"/>
      <c r="F797" s="4"/>
      <c r="G797" s="3"/>
      <c r="H797" s="66"/>
      <c r="I797" s="4"/>
      <c r="J797" s="4"/>
      <c r="K797"/>
      <c r="L797"/>
      <c r="M797" s="4"/>
      <c r="N797" s="4"/>
    </row>
    <row r="798" spans="5:14" x14ac:dyDescent="0.2">
      <c r="E798" s="3"/>
      <c r="F798" s="4"/>
      <c r="G798" s="3"/>
      <c r="H798" s="66"/>
      <c r="I798" s="4"/>
      <c r="J798" s="4"/>
      <c r="K798"/>
      <c r="L798"/>
      <c r="M798" s="4"/>
      <c r="N798" s="4"/>
    </row>
    <row r="799" spans="5:14" x14ac:dyDescent="0.2">
      <c r="E799" s="3"/>
      <c r="F799" s="4"/>
      <c r="G799" s="3"/>
      <c r="H799" s="66"/>
      <c r="I799" s="4"/>
      <c r="J799" s="4"/>
      <c r="K799"/>
      <c r="L799"/>
      <c r="M799" s="4"/>
      <c r="N799" s="4"/>
    </row>
    <row r="800" spans="5:14" x14ac:dyDescent="0.2">
      <c r="E800" s="3"/>
      <c r="F800" s="4"/>
      <c r="G800" s="3"/>
      <c r="H800" s="66"/>
      <c r="I800" s="4"/>
      <c r="J800" s="4"/>
      <c r="K800"/>
      <c r="L800"/>
      <c r="M800" s="4"/>
      <c r="N800" s="4"/>
    </row>
    <row r="801" spans="5:14" x14ac:dyDescent="0.2">
      <c r="E801" s="3"/>
      <c r="F801" s="4"/>
      <c r="G801" s="3"/>
      <c r="H801" s="66"/>
      <c r="I801" s="4"/>
      <c r="J801" s="4"/>
      <c r="K801"/>
      <c r="L801"/>
      <c r="M801" s="4"/>
      <c r="N801" s="4"/>
    </row>
    <row r="802" spans="5:14" x14ac:dyDescent="0.2">
      <c r="E802" s="3"/>
      <c r="F802" s="4"/>
      <c r="G802" s="3"/>
      <c r="H802" s="66"/>
      <c r="I802" s="4"/>
      <c r="J802" s="4"/>
      <c r="K802"/>
      <c r="L802"/>
      <c r="M802" s="4"/>
      <c r="N802" s="4"/>
    </row>
    <row r="803" spans="5:14" x14ac:dyDescent="0.2">
      <c r="E803" s="3"/>
      <c r="F803" s="4"/>
      <c r="G803" s="3"/>
      <c r="H803" s="66"/>
      <c r="I803" s="4"/>
      <c r="J803" s="4"/>
      <c r="K803"/>
      <c r="L803"/>
      <c r="M803" s="4"/>
      <c r="N803" s="4"/>
    </row>
    <row r="804" spans="5:14" x14ac:dyDescent="0.2">
      <c r="E804" s="3"/>
      <c r="F804" s="4"/>
      <c r="G804" s="3"/>
      <c r="H804" s="66"/>
      <c r="I804" s="4"/>
      <c r="J804" s="4"/>
      <c r="K804"/>
      <c r="L804"/>
      <c r="M804" s="4"/>
      <c r="N804" s="4"/>
    </row>
    <row r="805" spans="5:14" x14ac:dyDescent="0.2">
      <c r="E805" s="3"/>
      <c r="F805" s="4"/>
      <c r="G805" s="3"/>
      <c r="H805" s="66"/>
      <c r="I805" s="4"/>
      <c r="J805" s="4"/>
      <c r="K805"/>
      <c r="L805"/>
      <c r="M805" s="4"/>
      <c r="N805" s="4"/>
    </row>
    <row r="806" spans="5:14" x14ac:dyDescent="0.2">
      <c r="E806" s="3"/>
      <c r="F806" s="4"/>
      <c r="G806" s="3"/>
      <c r="H806" s="66"/>
      <c r="I806" s="4"/>
      <c r="J806" s="4"/>
      <c r="K806"/>
      <c r="L806"/>
      <c r="M806" s="4"/>
      <c r="N806" s="4"/>
    </row>
    <row r="807" spans="5:14" x14ac:dyDescent="0.2">
      <c r="E807" s="3"/>
      <c r="F807" s="4"/>
      <c r="G807" s="3"/>
      <c r="H807" s="66"/>
      <c r="I807" s="4"/>
      <c r="J807" s="4"/>
      <c r="K807"/>
      <c r="L807"/>
      <c r="M807" s="4"/>
      <c r="N807" s="4"/>
    </row>
    <row r="808" spans="5:14" x14ac:dyDescent="0.2">
      <c r="E808" s="3"/>
      <c r="F808" s="4"/>
      <c r="G808" s="3"/>
      <c r="H808" s="66"/>
      <c r="I808" s="4"/>
      <c r="J808" s="4"/>
      <c r="K808"/>
      <c r="L808"/>
      <c r="M808" s="4"/>
      <c r="N808" s="4"/>
    </row>
    <row r="809" spans="5:14" x14ac:dyDescent="0.2">
      <c r="E809" s="3"/>
      <c r="F809" s="4"/>
      <c r="G809" s="3"/>
      <c r="H809" s="66"/>
      <c r="I809" s="4"/>
      <c r="J809" s="4"/>
      <c r="K809"/>
      <c r="L809"/>
      <c r="M809" s="4"/>
      <c r="N809" s="4"/>
    </row>
    <row r="810" spans="5:14" x14ac:dyDescent="0.2">
      <c r="E810" s="3"/>
      <c r="F810" s="4"/>
      <c r="G810" s="3"/>
      <c r="H810" s="66"/>
      <c r="I810" s="4"/>
      <c r="J810" s="4"/>
      <c r="K810"/>
      <c r="L810"/>
      <c r="M810" s="4"/>
      <c r="N810" s="4"/>
    </row>
    <row r="811" spans="5:14" x14ac:dyDescent="0.2">
      <c r="E811" s="3"/>
      <c r="F811" s="4"/>
      <c r="G811" s="3"/>
      <c r="H811" s="66"/>
      <c r="I811" s="4"/>
      <c r="J811" s="4"/>
      <c r="K811"/>
      <c r="L811"/>
      <c r="M811" s="4"/>
      <c r="N811" s="4"/>
    </row>
    <row r="812" spans="5:14" x14ac:dyDescent="0.2">
      <c r="E812" s="3"/>
      <c r="F812" s="4"/>
      <c r="G812" s="3"/>
      <c r="H812" s="66"/>
      <c r="I812" s="4"/>
      <c r="J812" s="4"/>
      <c r="K812"/>
      <c r="L812"/>
      <c r="M812" s="4"/>
      <c r="N812" s="4"/>
    </row>
    <row r="813" spans="5:14" x14ac:dyDescent="0.2">
      <c r="E813" s="3"/>
      <c r="F813" s="4"/>
      <c r="G813" s="3"/>
      <c r="H813" s="66"/>
      <c r="I813" s="4"/>
      <c r="J813" s="4"/>
      <c r="K813"/>
      <c r="L813"/>
      <c r="M813" s="4"/>
      <c r="N813" s="4"/>
    </row>
    <row r="814" spans="5:14" x14ac:dyDescent="0.2">
      <c r="E814" s="3"/>
      <c r="F814" s="4"/>
      <c r="G814" s="3"/>
      <c r="H814" s="66"/>
      <c r="I814" s="4"/>
      <c r="J814" s="4"/>
      <c r="K814"/>
      <c r="L814"/>
      <c r="M814" s="4"/>
      <c r="N814" s="4"/>
    </row>
    <row r="815" spans="5:14" x14ac:dyDescent="0.2">
      <c r="E815" s="3"/>
      <c r="F815" s="4"/>
      <c r="G815" s="3"/>
      <c r="H815" s="66"/>
      <c r="I815" s="4"/>
      <c r="J815" s="4"/>
      <c r="K815"/>
      <c r="L815"/>
      <c r="M815" s="4"/>
      <c r="N815" s="4"/>
    </row>
    <row r="816" spans="5:14" x14ac:dyDescent="0.2">
      <c r="E816" s="3"/>
      <c r="F816" s="4"/>
      <c r="G816" s="3"/>
      <c r="H816" s="66"/>
      <c r="I816" s="4"/>
      <c r="J816" s="4"/>
      <c r="K816"/>
      <c r="L816"/>
      <c r="M816" s="4"/>
      <c r="N816" s="4"/>
    </row>
    <row r="817" spans="5:14" x14ac:dyDescent="0.2">
      <c r="E817" s="3"/>
      <c r="F817" s="4"/>
      <c r="G817" s="3"/>
      <c r="H817" s="66"/>
      <c r="I817" s="4"/>
      <c r="J817" s="4"/>
      <c r="K817"/>
      <c r="L817"/>
      <c r="M817" s="4"/>
      <c r="N817" s="4"/>
    </row>
    <row r="818" spans="5:14" x14ac:dyDescent="0.2">
      <c r="E818" s="3"/>
      <c r="F818" s="4"/>
      <c r="G818" s="3"/>
      <c r="H818" s="66"/>
      <c r="I818" s="4"/>
      <c r="J818" s="4"/>
      <c r="K818"/>
      <c r="L818"/>
      <c r="M818" s="4"/>
      <c r="N818" s="4"/>
    </row>
    <row r="819" spans="5:14" x14ac:dyDescent="0.2">
      <c r="E819" s="3"/>
      <c r="F819" s="4"/>
      <c r="G819" s="3"/>
      <c r="H819" s="66"/>
      <c r="I819" s="4"/>
      <c r="J819" s="4"/>
      <c r="K819"/>
      <c r="L819"/>
      <c r="M819" s="4"/>
      <c r="N819" s="4"/>
    </row>
    <row r="820" spans="5:14" x14ac:dyDescent="0.2">
      <c r="E820" s="3"/>
      <c r="F820" s="4"/>
      <c r="G820" s="3"/>
      <c r="H820" s="66"/>
      <c r="I820" s="4"/>
      <c r="J820" s="4"/>
      <c r="K820"/>
      <c r="L820"/>
      <c r="M820" s="4"/>
      <c r="N820" s="4"/>
    </row>
    <row r="821" spans="5:14" x14ac:dyDescent="0.2">
      <c r="E821" s="3"/>
      <c r="F821" s="4"/>
      <c r="G821" s="3"/>
      <c r="H821" s="66"/>
      <c r="I821" s="4"/>
      <c r="J821" s="4"/>
      <c r="K821"/>
      <c r="L821"/>
      <c r="M821" s="4"/>
      <c r="N821" s="4"/>
    </row>
    <row r="822" spans="5:14" x14ac:dyDescent="0.2">
      <c r="E822" s="3"/>
      <c r="F822" s="4"/>
      <c r="G822" s="3"/>
      <c r="H822" s="66"/>
      <c r="I822" s="4"/>
      <c r="J822" s="4"/>
      <c r="K822"/>
      <c r="L822"/>
      <c r="M822" s="4"/>
      <c r="N822" s="4"/>
    </row>
    <row r="823" spans="5:14" x14ac:dyDescent="0.2">
      <c r="E823" s="3"/>
      <c r="F823" s="4"/>
      <c r="G823" s="3"/>
      <c r="H823" s="66"/>
      <c r="I823" s="4"/>
      <c r="J823" s="4"/>
      <c r="K823"/>
      <c r="L823"/>
      <c r="M823" s="4"/>
      <c r="N823" s="4"/>
    </row>
    <row r="824" spans="5:14" x14ac:dyDescent="0.2">
      <c r="E824" s="3"/>
      <c r="F824" s="4"/>
      <c r="G824" s="3"/>
      <c r="H824" s="66"/>
      <c r="I824" s="4"/>
      <c r="J824" s="4"/>
      <c r="K824"/>
      <c r="L824"/>
      <c r="M824" s="4"/>
      <c r="N824" s="4"/>
    </row>
    <row r="825" spans="5:14" x14ac:dyDescent="0.2">
      <c r="E825" s="3"/>
      <c r="F825" s="4"/>
      <c r="G825" s="3"/>
      <c r="H825" s="66"/>
      <c r="I825" s="4"/>
      <c r="J825" s="4"/>
      <c r="K825"/>
      <c r="L825"/>
      <c r="M825" s="4"/>
      <c r="N825" s="4"/>
    </row>
    <row r="826" spans="5:14" x14ac:dyDescent="0.2">
      <c r="E826" s="3"/>
      <c r="F826" s="4"/>
      <c r="G826" s="3"/>
      <c r="H826" s="66"/>
      <c r="I826" s="4"/>
      <c r="J826" s="4"/>
      <c r="K826"/>
      <c r="L826"/>
      <c r="M826" s="4"/>
      <c r="N826" s="4"/>
    </row>
    <row r="827" spans="5:14" x14ac:dyDescent="0.2">
      <c r="E827" s="3"/>
      <c r="F827" s="4"/>
      <c r="G827" s="3"/>
      <c r="H827" s="66"/>
      <c r="I827" s="4"/>
      <c r="J827" s="4"/>
      <c r="K827"/>
      <c r="L827"/>
      <c r="M827" s="4"/>
      <c r="N827" s="4"/>
    </row>
    <row r="828" spans="5:14" x14ac:dyDescent="0.2">
      <c r="E828" s="3"/>
      <c r="F828" s="4"/>
      <c r="G828" s="3"/>
      <c r="H828" s="66"/>
      <c r="I828" s="4"/>
      <c r="J828" s="4"/>
      <c r="K828"/>
      <c r="L828"/>
      <c r="M828" s="4"/>
      <c r="N828" s="4"/>
    </row>
    <row r="829" spans="5:14" x14ac:dyDescent="0.2">
      <c r="E829" s="3"/>
      <c r="F829" s="4"/>
      <c r="G829" s="3"/>
      <c r="H829" s="66"/>
      <c r="I829" s="4"/>
      <c r="J829" s="4"/>
      <c r="K829"/>
      <c r="L829"/>
      <c r="M829" s="4"/>
      <c r="N829" s="4"/>
    </row>
    <row r="830" spans="5:14" x14ac:dyDescent="0.2">
      <c r="E830" s="3"/>
      <c r="F830" s="4"/>
      <c r="G830" s="3"/>
      <c r="H830" s="66"/>
      <c r="I830" s="4"/>
      <c r="J830" s="4"/>
      <c r="K830"/>
      <c r="L830"/>
      <c r="M830" s="4"/>
      <c r="N830" s="4"/>
    </row>
    <row r="831" spans="5:14" x14ac:dyDescent="0.2">
      <c r="E831" s="3"/>
      <c r="F831" s="4"/>
      <c r="G831" s="3"/>
      <c r="H831" s="66"/>
      <c r="I831" s="4"/>
      <c r="J831" s="4"/>
      <c r="K831"/>
      <c r="L831"/>
      <c r="M831" s="4"/>
      <c r="N831" s="4"/>
    </row>
    <row r="832" spans="5:14" x14ac:dyDescent="0.2">
      <c r="E832" s="3"/>
      <c r="F832" s="4"/>
      <c r="G832" s="3"/>
      <c r="H832" s="66"/>
      <c r="I832" s="4"/>
      <c r="J832" s="4"/>
      <c r="K832"/>
      <c r="L832"/>
      <c r="M832" s="4"/>
      <c r="N832" s="4"/>
    </row>
    <row r="833" spans="5:14" x14ac:dyDescent="0.2">
      <c r="E833" s="3"/>
      <c r="F833" s="4"/>
      <c r="G833" s="3"/>
      <c r="H833" s="66"/>
      <c r="I833" s="4"/>
      <c r="J833" s="4"/>
      <c r="K833"/>
      <c r="L833"/>
      <c r="M833" s="4"/>
      <c r="N833" s="4"/>
    </row>
    <row r="834" spans="5:14" x14ac:dyDescent="0.2">
      <c r="E834" s="3"/>
      <c r="F834" s="4"/>
      <c r="G834" s="3"/>
      <c r="H834" s="66"/>
      <c r="I834" s="4"/>
      <c r="J834" s="4"/>
      <c r="K834"/>
      <c r="L834"/>
      <c r="M834" s="4"/>
      <c r="N834" s="4"/>
    </row>
    <row r="835" spans="5:14" x14ac:dyDescent="0.2">
      <c r="E835" s="3"/>
      <c r="F835" s="4"/>
      <c r="G835" s="3"/>
      <c r="H835" s="66"/>
      <c r="I835" s="4"/>
      <c r="J835" s="4"/>
      <c r="K835"/>
      <c r="L835"/>
      <c r="M835" s="4"/>
      <c r="N835" s="4"/>
    </row>
    <row r="836" spans="5:14" x14ac:dyDescent="0.2">
      <c r="E836" s="3"/>
      <c r="F836" s="4"/>
      <c r="G836" s="3"/>
      <c r="H836" s="66"/>
      <c r="I836" s="4"/>
      <c r="J836" s="4"/>
      <c r="K836"/>
      <c r="L836"/>
      <c r="M836" s="4"/>
      <c r="N836" s="4"/>
    </row>
    <row r="837" spans="5:14" x14ac:dyDescent="0.2">
      <c r="E837" s="3"/>
      <c r="F837" s="4"/>
      <c r="G837" s="3"/>
      <c r="H837" s="66"/>
      <c r="I837" s="4"/>
      <c r="J837" s="4"/>
      <c r="K837"/>
      <c r="L837"/>
      <c r="M837" s="4"/>
      <c r="N837" s="4"/>
    </row>
    <row r="838" spans="5:14" x14ac:dyDescent="0.2">
      <c r="E838" s="3"/>
      <c r="F838" s="4"/>
      <c r="G838" s="3"/>
      <c r="H838" s="66"/>
      <c r="I838" s="4"/>
      <c r="J838" s="4"/>
      <c r="K838"/>
      <c r="L838"/>
      <c r="M838" s="4"/>
      <c r="N838" s="4"/>
    </row>
    <row r="839" spans="5:14" x14ac:dyDescent="0.2">
      <c r="E839" s="3"/>
      <c r="F839" s="4"/>
      <c r="G839" s="3"/>
      <c r="H839" s="66"/>
      <c r="I839" s="4"/>
      <c r="J839" s="4"/>
      <c r="K839"/>
      <c r="L839"/>
      <c r="M839" s="4"/>
      <c r="N839" s="4"/>
    </row>
    <row r="840" spans="5:14" x14ac:dyDescent="0.2">
      <c r="E840" s="3"/>
      <c r="F840" s="4"/>
      <c r="G840" s="3"/>
      <c r="H840" s="66"/>
      <c r="I840" s="4"/>
      <c r="J840" s="4"/>
      <c r="K840"/>
      <c r="L840"/>
      <c r="M840" s="4"/>
      <c r="N840" s="4"/>
    </row>
    <row r="841" spans="5:14" x14ac:dyDescent="0.2">
      <c r="E841" s="3"/>
      <c r="F841" s="4"/>
      <c r="G841" s="3"/>
      <c r="H841" s="66"/>
      <c r="I841" s="4"/>
      <c r="J841" s="4"/>
      <c r="K841"/>
      <c r="L841"/>
      <c r="M841" s="4"/>
      <c r="N841" s="4"/>
    </row>
    <row r="842" spans="5:14" x14ac:dyDescent="0.2">
      <c r="E842" s="3"/>
      <c r="F842" s="4"/>
      <c r="G842" s="3"/>
      <c r="H842" s="66"/>
      <c r="I842" s="4"/>
      <c r="J842" s="4"/>
      <c r="K842"/>
      <c r="L842"/>
      <c r="M842" s="4"/>
      <c r="N842" s="4"/>
    </row>
    <row r="843" spans="5:14" x14ac:dyDescent="0.2">
      <c r="E843" s="3"/>
      <c r="F843" s="4"/>
      <c r="G843" s="3"/>
      <c r="H843" s="66"/>
      <c r="I843" s="4"/>
      <c r="J843" s="4"/>
      <c r="K843"/>
      <c r="L843"/>
      <c r="M843" s="4"/>
      <c r="N843" s="4"/>
    </row>
    <row r="844" spans="5:14" x14ac:dyDescent="0.2">
      <c r="E844" s="3"/>
      <c r="F844" s="4"/>
      <c r="G844" s="3"/>
      <c r="H844" s="66"/>
      <c r="I844" s="4"/>
      <c r="J844" s="4"/>
      <c r="K844"/>
      <c r="L844"/>
      <c r="M844" s="4"/>
      <c r="N844" s="4"/>
    </row>
    <row r="845" spans="5:14" x14ac:dyDescent="0.2">
      <c r="E845" s="3"/>
      <c r="F845" s="4"/>
      <c r="G845" s="3"/>
      <c r="H845" s="66"/>
      <c r="I845" s="4"/>
      <c r="J845" s="4"/>
      <c r="K845"/>
      <c r="L845"/>
      <c r="M845" s="4"/>
      <c r="N845" s="4"/>
    </row>
    <row r="846" spans="5:14" x14ac:dyDescent="0.2">
      <c r="E846" s="3"/>
      <c r="F846" s="4"/>
      <c r="G846" s="3"/>
      <c r="H846" s="66"/>
      <c r="I846" s="4"/>
      <c r="J846" s="4"/>
      <c r="K846"/>
      <c r="L846"/>
      <c r="M846" s="4"/>
      <c r="N846" s="4"/>
    </row>
    <row r="847" spans="5:14" x14ac:dyDescent="0.2">
      <c r="E847" s="3"/>
      <c r="F847" s="4"/>
      <c r="G847" s="3"/>
      <c r="H847" s="66"/>
      <c r="I847" s="4"/>
      <c r="J847" s="4"/>
      <c r="K847"/>
      <c r="L847"/>
      <c r="M847" s="4"/>
      <c r="N847" s="4"/>
    </row>
    <row r="848" spans="5:14" x14ac:dyDescent="0.2">
      <c r="E848" s="3"/>
      <c r="F848" s="4"/>
      <c r="G848" s="3"/>
      <c r="H848" s="66"/>
      <c r="I848" s="4"/>
      <c r="J848" s="4"/>
      <c r="K848"/>
      <c r="L848"/>
      <c r="M848" s="4"/>
      <c r="N848" s="4"/>
    </row>
    <row r="849" spans="5:14" x14ac:dyDescent="0.2">
      <c r="E849" s="3"/>
      <c r="F849" s="4"/>
      <c r="G849" s="3"/>
      <c r="H849" s="66"/>
      <c r="I849" s="4"/>
      <c r="J849" s="4"/>
      <c r="K849"/>
      <c r="L849"/>
      <c r="M849" s="4"/>
      <c r="N849" s="4"/>
    </row>
    <row r="850" spans="5:14" x14ac:dyDescent="0.2">
      <c r="E850" s="3"/>
      <c r="F850" s="4"/>
      <c r="G850" s="3"/>
      <c r="H850" s="66"/>
      <c r="I850" s="4"/>
      <c r="J850" s="4"/>
      <c r="K850"/>
      <c r="L850"/>
      <c r="M850" s="4"/>
      <c r="N850" s="4"/>
    </row>
    <row r="851" spans="5:14" x14ac:dyDescent="0.2">
      <c r="E851" s="3"/>
      <c r="F851" s="4"/>
      <c r="G851" s="3"/>
      <c r="H851" s="66"/>
      <c r="I851" s="4"/>
      <c r="J851" s="4"/>
      <c r="K851"/>
      <c r="L851"/>
      <c r="M851" s="4"/>
      <c r="N851" s="4"/>
    </row>
    <row r="852" spans="5:14" x14ac:dyDescent="0.2">
      <c r="E852" s="3"/>
      <c r="F852" s="4"/>
      <c r="G852" s="3"/>
      <c r="H852" s="66"/>
      <c r="I852" s="4"/>
      <c r="J852" s="4"/>
      <c r="K852"/>
      <c r="L852"/>
      <c r="M852" s="4"/>
      <c r="N852" s="4"/>
    </row>
    <row r="853" spans="5:14" x14ac:dyDescent="0.2">
      <c r="E853" s="3"/>
      <c r="F853" s="4"/>
      <c r="G853" s="3"/>
      <c r="H853" s="66"/>
      <c r="I853" s="4"/>
      <c r="J853" s="4"/>
      <c r="K853"/>
      <c r="L853"/>
      <c r="M853" s="4"/>
      <c r="N853" s="4"/>
    </row>
    <row r="854" spans="5:14" x14ac:dyDescent="0.2">
      <c r="E854" s="3"/>
      <c r="F854" s="4"/>
      <c r="G854" s="3"/>
      <c r="H854" s="66"/>
      <c r="I854" s="4"/>
      <c r="J854" s="4"/>
      <c r="K854"/>
      <c r="L854"/>
      <c r="M854" s="4"/>
      <c r="N854" s="4"/>
    </row>
    <row r="855" spans="5:14" x14ac:dyDescent="0.2">
      <c r="E855" s="3"/>
      <c r="F855" s="4"/>
      <c r="G855" s="3"/>
      <c r="H855" s="66"/>
      <c r="I855" s="4"/>
      <c r="J855" s="4"/>
      <c r="K855"/>
      <c r="L855"/>
      <c r="M855" s="4"/>
      <c r="N855" s="4"/>
    </row>
    <row r="856" spans="5:14" x14ac:dyDescent="0.2">
      <c r="E856" s="3"/>
      <c r="F856" s="4"/>
      <c r="G856" s="3"/>
      <c r="H856" s="66"/>
      <c r="I856" s="4"/>
      <c r="J856" s="4"/>
      <c r="K856"/>
      <c r="L856"/>
      <c r="M856" s="4"/>
      <c r="N856" s="4"/>
    </row>
    <row r="857" spans="5:14" x14ac:dyDescent="0.2">
      <c r="E857" s="3"/>
      <c r="F857" s="4"/>
      <c r="G857" s="3"/>
      <c r="H857" s="66"/>
      <c r="I857" s="4"/>
      <c r="J857" s="4"/>
      <c r="K857"/>
      <c r="L857"/>
      <c r="M857" s="4"/>
      <c r="N857" s="4"/>
    </row>
    <row r="858" spans="5:14" x14ac:dyDescent="0.2">
      <c r="E858" s="3"/>
      <c r="F858" s="4"/>
      <c r="G858" s="3"/>
      <c r="H858" s="66"/>
      <c r="I858" s="4"/>
      <c r="J858" s="4"/>
      <c r="K858"/>
      <c r="L858"/>
      <c r="M858" s="4"/>
      <c r="N858" s="4"/>
    </row>
    <row r="859" spans="5:14" x14ac:dyDescent="0.2">
      <c r="E859" s="3"/>
      <c r="F859" s="4"/>
      <c r="G859" s="3"/>
      <c r="H859" s="66"/>
      <c r="I859" s="4"/>
      <c r="J859" s="4"/>
      <c r="K859"/>
      <c r="L859"/>
      <c r="M859" s="4"/>
      <c r="N859" s="4"/>
    </row>
    <row r="860" spans="5:14" x14ac:dyDescent="0.2">
      <c r="E860" s="3"/>
      <c r="F860" s="4"/>
      <c r="G860" s="3"/>
      <c r="H860" s="66"/>
      <c r="I860" s="4"/>
      <c r="J860" s="4"/>
      <c r="K860"/>
      <c r="L860"/>
      <c r="M860" s="4"/>
      <c r="N860" s="4"/>
    </row>
    <row r="861" spans="5:14" x14ac:dyDescent="0.2">
      <c r="E861" s="3"/>
      <c r="F861" s="4"/>
      <c r="G861" s="3"/>
      <c r="H861" s="66"/>
      <c r="I861" s="4"/>
      <c r="J861" s="4"/>
      <c r="K861"/>
      <c r="L861"/>
      <c r="M861" s="4"/>
      <c r="N861" s="4"/>
    </row>
    <row r="862" spans="5:14" x14ac:dyDescent="0.2">
      <c r="E862" s="3"/>
      <c r="F862" s="4"/>
      <c r="G862" s="3"/>
      <c r="H862" s="66"/>
      <c r="I862" s="4"/>
      <c r="J862" s="4"/>
      <c r="K862"/>
      <c r="L862"/>
      <c r="M862" s="4"/>
      <c r="N862" s="4"/>
    </row>
    <row r="863" spans="5:14" x14ac:dyDescent="0.2">
      <c r="E863" s="3"/>
      <c r="F863" s="4"/>
      <c r="G863" s="3"/>
      <c r="H863" s="66"/>
      <c r="I863" s="4"/>
      <c r="J863" s="4"/>
      <c r="K863"/>
      <c r="L863"/>
      <c r="M863" s="4"/>
      <c r="N863" s="4"/>
    </row>
    <row r="864" spans="5:14" x14ac:dyDescent="0.2">
      <c r="E864" s="3"/>
      <c r="F864" s="4"/>
      <c r="G864" s="3"/>
      <c r="H864" s="66"/>
      <c r="I864" s="4"/>
      <c r="J864" s="4"/>
      <c r="K864"/>
      <c r="L864"/>
      <c r="M864" s="4"/>
      <c r="N864" s="4"/>
    </row>
    <row r="865" spans="5:14" x14ac:dyDescent="0.2">
      <c r="E865" s="3"/>
      <c r="F865" s="4"/>
      <c r="G865" s="3"/>
      <c r="H865" s="66"/>
      <c r="I865" s="4"/>
      <c r="J865" s="4"/>
      <c r="K865"/>
      <c r="L865"/>
      <c r="M865" s="4"/>
      <c r="N865" s="4"/>
    </row>
    <row r="866" spans="5:14" x14ac:dyDescent="0.2">
      <c r="E866" s="3"/>
      <c r="F866" s="4"/>
      <c r="G866" s="3"/>
      <c r="H866" s="66"/>
      <c r="I866" s="4"/>
      <c r="J866" s="4"/>
      <c r="K866"/>
      <c r="L866"/>
      <c r="M866" s="4"/>
      <c r="N866" s="4"/>
    </row>
    <row r="867" spans="5:14" x14ac:dyDescent="0.2">
      <c r="E867" s="3"/>
      <c r="F867" s="4"/>
      <c r="G867" s="3"/>
      <c r="H867" s="66"/>
      <c r="I867" s="4"/>
      <c r="J867" s="4"/>
      <c r="K867"/>
      <c r="L867"/>
      <c r="M867" s="4"/>
      <c r="N867" s="4"/>
    </row>
    <row r="868" spans="5:14" x14ac:dyDescent="0.2">
      <c r="E868" s="3"/>
      <c r="F868" s="4"/>
      <c r="G868" s="3"/>
      <c r="H868" s="66"/>
      <c r="I868" s="4"/>
      <c r="J868" s="4"/>
      <c r="K868"/>
      <c r="L868"/>
      <c r="M868" s="4"/>
      <c r="N868" s="4"/>
    </row>
    <row r="869" spans="5:14" x14ac:dyDescent="0.2">
      <c r="E869" s="3"/>
      <c r="F869" s="4"/>
      <c r="G869" s="3"/>
      <c r="H869" s="66"/>
      <c r="I869" s="4"/>
      <c r="J869" s="4"/>
      <c r="K869"/>
      <c r="L869"/>
      <c r="M869" s="4"/>
      <c r="N869" s="4"/>
    </row>
    <row r="870" spans="5:14" x14ac:dyDescent="0.2">
      <c r="E870" s="3"/>
      <c r="F870" s="4"/>
      <c r="G870" s="3"/>
      <c r="H870" s="66"/>
      <c r="I870" s="4"/>
      <c r="J870" s="4"/>
      <c r="K870"/>
      <c r="L870"/>
      <c r="M870" s="4"/>
      <c r="N870" s="4"/>
    </row>
    <row r="871" spans="5:14" x14ac:dyDescent="0.2">
      <c r="E871" s="3"/>
      <c r="F871" s="4"/>
      <c r="G871" s="3"/>
      <c r="H871" s="66"/>
      <c r="I871" s="4"/>
      <c r="J871" s="4"/>
      <c r="K871"/>
      <c r="L871"/>
      <c r="M871" s="4"/>
      <c r="N871" s="4"/>
    </row>
    <row r="872" spans="5:14" x14ac:dyDescent="0.2">
      <c r="E872" s="3"/>
      <c r="F872" s="4"/>
      <c r="G872" s="3"/>
      <c r="H872" s="66"/>
      <c r="I872" s="4"/>
      <c r="J872" s="4"/>
      <c r="K872"/>
      <c r="L872"/>
      <c r="M872" s="4"/>
      <c r="N872" s="4"/>
    </row>
    <row r="873" spans="5:14" x14ac:dyDescent="0.2">
      <c r="E873" s="3"/>
      <c r="F873" s="4"/>
      <c r="G873" s="3"/>
      <c r="H873" s="66"/>
      <c r="I873" s="4"/>
      <c r="J873" s="4"/>
      <c r="K873"/>
      <c r="L873"/>
      <c r="M873" s="4"/>
      <c r="N873" s="4"/>
    </row>
    <row r="874" spans="5:14" x14ac:dyDescent="0.2">
      <c r="E874" s="3"/>
      <c r="F874" s="4"/>
      <c r="G874" s="3"/>
      <c r="H874" s="66"/>
      <c r="I874" s="4"/>
      <c r="J874" s="4"/>
      <c r="K874"/>
      <c r="L874"/>
      <c r="M874" s="4"/>
      <c r="N874" s="4"/>
    </row>
    <row r="875" spans="5:14" x14ac:dyDescent="0.2">
      <c r="E875" s="3"/>
      <c r="F875" s="4"/>
      <c r="G875" s="3"/>
      <c r="H875" s="66"/>
      <c r="I875" s="4"/>
      <c r="J875" s="4"/>
      <c r="K875"/>
      <c r="L875"/>
      <c r="M875" s="4"/>
      <c r="N875" s="4"/>
    </row>
    <row r="876" spans="5:14" x14ac:dyDescent="0.2">
      <c r="E876" s="3"/>
      <c r="F876" s="4"/>
      <c r="G876" s="3"/>
      <c r="H876" s="66"/>
      <c r="I876" s="4"/>
      <c r="J876" s="4"/>
      <c r="K876"/>
      <c r="L876"/>
      <c r="M876" s="4"/>
      <c r="N876" s="4"/>
    </row>
    <row r="877" spans="5:14" x14ac:dyDescent="0.2">
      <c r="E877" s="3"/>
      <c r="F877" s="4"/>
      <c r="G877" s="3"/>
      <c r="H877" s="66"/>
      <c r="I877" s="4"/>
      <c r="J877" s="4"/>
      <c r="K877"/>
      <c r="L877"/>
      <c r="M877" s="4"/>
      <c r="N877" s="4"/>
    </row>
    <row r="878" spans="5:14" x14ac:dyDescent="0.2">
      <c r="E878" s="3"/>
      <c r="F878" s="4"/>
      <c r="G878" s="3"/>
      <c r="H878" s="66"/>
      <c r="I878" s="4"/>
      <c r="J878" s="4"/>
      <c r="K878"/>
      <c r="L878"/>
      <c r="M878" s="4"/>
      <c r="N878" s="4"/>
    </row>
    <row r="879" spans="5:14" x14ac:dyDescent="0.2">
      <c r="E879" s="3"/>
      <c r="F879" s="4"/>
      <c r="G879" s="3"/>
      <c r="H879" s="66"/>
      <c r="I879" s="4"/>
      <c r="J879" s="4"/>
      <c r="K879"/>
      <c r="L879"/>
      <c r="M879" s="4"/>
      <c r="N879" s="4"/>
    </row>
    <row r="880" spans="5:14" x14ac:dyDescent="0.2">
      <c r="E880" s="3"/>
      <c r="F880" s="4"/>
      <c r="G880" s="3"/>
      <c r="H880" s="66"/>
      <c r="I880" s="4"/>
      <c r="J880" s="4"/>
      <c r="K880"/>
      <c r="L880"/>
      <c r="M880" s="4"/>
      <c r="N880" s="4"/>
    </row>
    <row r="881" spans="5:14" x14ac:dyDescent="0.2">
      <c r="E881" s="3"/>
      <c r="F881" s="4"/>
      <c r="G881" s="3"/>
      <c r="H881" s="66"/>
      <c r="I881" s="4"/>
      <c r="J881" s="4"/>
      <c r="K881"/>
      <c r="L881"/>
      <c r="M881" s="4"/>
      <c r="N881" s="4"/>
    </row>
    <row r="882" spans="5:14" x14ac:dyDescent="0.2">
      <c r="E882" s="3"/>
      <c r="F882" s="4"/>
      <c r="G882" s="3"/>
      <c r="H882" s="66"/>
      <c r="I882" s="4"/>
      <c r="J882" s="4"/>
      <c r="K882"/>
      <c r="L882"/>
      <c r="M882" s="4"/>
      <c r="N882" s="4"/>
    </row>
    <row r="883" spans="5:14" x14ac:dyDescent="0.2">
      <c r="E883" s="3"/>
      <c r="F883" s="4"/>
      <c r="G883" s="3"/>
      <c r="H883" s="66"/>
      <c r="I883" s="4"/>
      <c r="J883" s="4"/>
      <c r="K883"/>
      <c r="L883"/>
      <c r="M883" s="4"/>
      <c r="N883" s="4"/>
    </row>
    <row r="884" spans="5:14" x14ac:dyDescent="0.2">
      <c r="E884" s="3"/>
      <c r="F884" s="4"/>
      <c r="G884" s="3"/>
      <c r="H884" s="66"/>
      <c r="I884" s="4"/>
      <c r="J884" s="4"/>
      <c r="K884"/>
      <c r="L884"/>
      <c r="M884" s="4"/>
      <c r="N884" s="4"/>
    </row>
    <row r="885" spans="5:14" x14ac:dyDescent="0.2">
      <c r="E885" s="3"/>
      <c r="F885" s="4"/>
      <c r="G885" s="3"/>
      <c r="H885" s="66"/>
      <c r="I885" s="4"/>
      <c r="J885" s="4"/>
      <c r="K885"/>
      <c r="L885"/>
      <c r="M885" s="4"/>
      <c r="N885" s="4"/>
    </row>
    <row r="886" spans="5:14" x14ac:dyDescent="0.2">
      <c r="E886" s="3"/>
      <c r="F886" s="4"/>
      <c r="G886" s="3"/>
      <c r="H886" s="66"/>
      <c r="I886" s="4"/>
      <c r="J886" s="4"/>
      <c r="K886"/>
      <c r="L886"/>
      <c r="M886" s="4"/>
      <c r="N886" s="4"/>
    </row>
    <row r="887" spans="5:14" x14ac:dyDescent="0.2">
      <c r="E887" s="3"/>
      <c r="F887" s="4"/>
      <c r="G887" s="3"/>
      <c r="H887" s="66"/>
      <c r="I887" s="4"/>
      <c r="J887" s="4"/>
      <c r="K887"/>
      <c r="L887"/>
      <c r="M887" s="4"/>
      <c r="N887" s="4"/>
    </row>
    <row r="888" spans="5:14" x14ac:dyDescent="0.2">
      <c r="E888" s="3"/>
      <c r="F888" s="4"/>
      <c r="G888" s="3"/>
      <c r="H888" s="66"/>
      <c r="I888" s="4"/>
      <c r="J888" s="4"/>
      <c r="K888"/>
      <c r="L888"/>
      <c r="M888" s="4"/>
      <c r="N888" s="4"/>
    </row>
    <row r="889" spans="5:14" x14ac:dyDescent="0.2">
      <c r="E889" s="3"/>
      <c r="F889" s="4"/>
      <c r="G889" s="3"/>
      <c r="H889" s="66"/>
      <c r="I889" s="4"/>
      <c r="J889" s="4"/>
      <c r="K889"/>
      <c r="L889"/>
      <c r="M889" s="4"/>
      <c r="N889" s="4"/>
    </row>
    <row r="890" spans="5:14" x14ac:dyDescent="0.2">
      <c r="E890" s="3"/>
      <c r="F890" s="4"/>
      <c r="G890" s="3"/>
      <c r="H890" s="66"/>
      <c r="I890" s="4"/>
      <c r="J890" s="4"/>
      <c r="K890"/>
      <c r="L890"/>
      <c r="M890" s="4"/>
      <c r="N890" s="4"/>
    </row>
    <row r="891" spans="5:14" x14ac:dyDescent="0.2">
      <c r="E891" s="3"/>
      <c r="F891" s="4"/>
      <c r="G891" s="3"/>
      <c r="H891" s="66"/>
      <c r="I891" s="4"/>
      <c r="J891" s="4"/>
      <c r="K891"/>
      <c r="L891"/>
      <c r="M891" s="4"/>
      <c r="N891" s="4"/>
    </row>
    <row r="892" spans="5:14" x14ac:dyDescent="0.2">
      <c r="E892" s="3"/>
      <c r="F892" s="4"/>
      <c r="G892" s="3"/>
      <c r="H892" s="66"/>
      <c r="I892" s="4"/>
      <c r="J892" s="4"/>
      <c r="K892"/>
      <c r="L892"/>
      <c r="M892" s="4"/>
      <c r="N892" s="4"/>
    </row>
    <row r="893" spans="5:14" x14ac:dyDescent="0.2">
      <c r="E893" s="3"/>
      <c r="F893" s="4"/>
      <c r="G893" s="3"/>
      <c r="H893" s="66"/>
      <c r="I893" s="4"/>
      <c r="J893" s="4"/>
      <c r="K893"/>
      <c r="L893"/>
      <c r="M893" s="4"/>
      <c r="N893" s="4"/>
    </row>
    <row r="894" spans="5:14" x14ac:dyDescent="0.2">
      <c r="E894" s="3"/>
      <c r="F894" s="4"/>
      <c r="G894" s="3"/>
      <c r="H894" s="66"/>
      <c r="I894" s="4"/>
      <c r="J894" s="4"/>
      <c r="K894"/>
      <c r="L894"/>
      <c r="M894" s="4"/>
      <c r="N894" s="4"/>
    </row>
    <row r="895" spans="5:14" x14ac:dyDescent="0.2">
      <c r="E895" s="3"/>
      <c r="F895" s="4"/>
      <c r="G895" s="3"/>
      <c r="H895" s="66"/>
      <c r="I895" s="4"/>
      <c r="J895" s="4"/>
      <c r="K895"/>
      <c r="L895"/>
      <c r="M895" s="4"/>
      <c r="N895" s="4"/>
    </row>
    <row r="896" spans="5:14" x14ac:dyDescent="0.2">
      <c r="E896" s="3"/>
      <c r="F896" s="4"/>
      <c r="G896" s="3"/>
      <c r="H896" s="66"/>
      <c r="I896" s="4"/>
      <c r="J896" s="4"/>
      <c r="K896"/>
      <c r="L896"/>
      <c r="M896" s="4"/>
      <c r="N896" s="4"/>
    </row>
    <row r="897" spans="5:14" x14ac:dyDescent="0.2">
      <c r="E897" s="3"/>
      <c r="F897" s="4"/>
      <c r="G897" s="3"/>
      <c r="H897" s="66"/>
      <c r="I897" s="4"/>
      <c r="J897" s="4"/>
      <c r="K897"/>
      <c r="L897"/>
      <c r="M897" s="4"/>
      <c r="N897" s="4"/>
    </row>
    <row r="898" spans="5:14" x14ac:dyDescent="0.2">
      <c r="E898" s="3"/>
      <c r="F898" s="4"/>
      <c r="G898" s="3"/>
      <c r="H898" s="66"/>
      <c r="I898" s="4"/>
      <c r="J898" s="4"/>
      <c r="K898"/>
      <c r="L898"/>
      <c r="M898" s="4"/>
      <c r="N898" s="4"/>
    </row>
    <row r="899" spans="5:14" x14ac:dyDescent="0.2">
      <c r="E899" s="3"/>
      <c r="F899" s="4"/>
      <c r="G899" s="3"/>
      <c r="H899" s="66"/>
      <c r="I899" s="4"/>
      <c r="J899" s="4"/>
      <c r="K899"/>
      <c r="L899"/>
      <c r="M899" s="4"/>
      <c r="N899" s="4"/>
    </row>
    <row r="900" spans="5:14" x14ac:dyDescent="0.2">
      <c r="E900" s="3"/>
      <c r="F900" s="4"/>
      <c r="G900" s="3"/>
      <c r="H900" s="66"/>
      <c r="I900" s="4"/>
      <c r="J900" s="4"/>
      <c r="K900"/>
      <c r="L900"/>
      <c r="M900" s="4"/>
      <c r="N900" s="4"/>
    </row>
    <row r="901" spans="5:14" x14ac:dyDescent="0.2">
      <c r="E901" s="3"/>
      <c r="F901" s="4"/>
      <c r="G901" s="3"/>
      <c r="H901" s="66"/>
      <c r="I901" s="4"/>
      <c r="J901" s="4"/>
      <c r="K901"/>
      <c r="L901"/>
      <c r="M901" s="4"/>
      <c r="N901" s="4"/>
    </row>
    <row r="902" spans="5:14" x14ac:dyDescent="0.2">
      <c r="E902" s="3"/>
      <c r="F902" s="4"/>
      <c r="G902" s="3"/>
      <c r="H902" s="66"/>
      <c r="I902" s="4"/>
      <c r="J902" s="4"/>
      <c r="K902"/>
      <c r="L902"/>
      <c r="M902" s="4"/>
      <c r="N902" s="4"/>
    </row>
    <row r="903" spans="5:14" x14ac:dyDescent="0.2">
      <c r="E903" s="3"/>
      <c r="F903" s="4"/>
      <c r="G903" s="3"/>
      <c r="H903" s="66"/>
      <c r="I903" s="4"/>
      <c r="J903" s="4"/>
      <c r="K903"/>
      <c r="L903"/>
      <c r="M903" s="4"/>
      <c r="N903" s="4"/>
    </row>
    <row r="904" spans="5:14" x14ac:dyDescent="0.2">
      <c r="E904" s="3"/>
      <c r="F904" s="4"/>
      <c r="G904" s="3"/>
      <c r="H904" s="66"/>
      <c r="I904" s="4"/>
      <c r="J904" s="4"/>
      <c r="K904"/>
      <c r="L904"/>
      <c r="M904" s="4"/>
      <c r="N904" s="4"/>
    </row>
    <row r="905" spans="5:14" x14ac:dyDescent="0.2">
      <c r="E905" s="3"/>
      <c r="F905" s="4"/>
      <c r="G905" s="3"/>
      <c r="H905" s="66"/>
      <c r="I905" s="4"/>
      <c r="J905" s="4"/>
      <c r="K905"/>
      <c r="L905"/>
      <c r="M905" s="4"/>
      <c r="N905" s="4"/>
    </row>
    <row r="906" spans="5:14" x14ac:dyDescent="0.2">
      <c r="E906" s="3"/>
      <c r="F906" s="4"/>
      <c r="G906" s="3"/>
      <c r="H906" s="66"/>
      <c r="I906" s="4"/>
      <c r="J906" s="4"/>
      <c r="K906"/>
      <c r="L906"/>
      <c r="M906" s="4"/>
      <c r="N906" s="4"/>
    </row>
    <row r="907" spans="5:14" x14ac:dyDescent="0.2">
      <c r="E907" s="3"/>
      <c r="F907" s="4"/>
      <c r="G907" s="3"/>
      <c r="H907" s="66"/>
      <c r="I907" s="4"/>
      <c r="J907" s="4"/>
      <c r="K907"/>
      <c r="L907"/>
      <c r="M907" s="4"/>
      <c r="N907" s="4"/>
    </row>
    <row r="908" spans="5:14" x14ac:dyDescent="0.2">
      <c r="E908" s="3"/>
      <c r="F908" s="4"/>
      <c r="G908" s="3"/>
      <c r="H908" s="66"/>
      <c r="I908" s="4"/>
      <c r="J908" s="4"/>
      <c r="K908"/>
      <c r="L908"/>
      <c r="M908" s="4"/>
      <c r="N908" s="4"/>
    </row>
    <row r="909" spans="5:14" x14ac:dyDescent="0.2">
      <c r="E909" s="3"/>
      <c r="F909" s="4"/>
      <c r="G909" s="3"/>
      <c r="H909" s="66"/>
      <c r="I909" s="4"/>
      <c r="J909" s="4"/>
      <c r="K909"/>
      <c r="L909"/>
      <c r="M909" s="4"/>
      <c r="N909" s="4"/>
    </row>
    <row r="910" spans="5:14" x14ac:dyDescent="0.2">
      <c r="E910" s="3"/>
      <c r="F910" s="4"/>
      <c r="G910" s="3"/>
      <c r="H910" s="66"/>
      <c r="I910" s="4"/>
      <c r="J910" s="4"/>
      <c r="K910"/>
      <c r="L910"/>
      <c r="M910" s="4"/>
      <c r="N910" s="4"/>
    </row>
    <row r="911" spans="5:14" x14ac:dyDescent="0.2">
      <c r="E911" s="3"/>
      <c r="F911" s="4"/>
      <c r="G911" s="3"/>
      <c r="H911" s="66"/>
      <c r="I911" s="4"/>
      <c r="J911" s="4"/>
      <c r="K911"/>
      <c r="L911"/>
      <c r="M911" s="4"/>
      <c r="N911" s="4"/>
    </row>
    <row r="912" spans="5:14" x14ac:dyDescent="0.2">
      <c r="E912" s="3"/>
      <c r="F912" s="4"/>
      <c r="G912" s="3"/>
      <c r="H912" s="66"/>
      <c r="I912" s="4"/>
      <c r="J912" s="4"/>
      <c r="K912"/>
      <c r="L912"/>
      <c r="M912" s="4"/>
      <c r="N912" s="4"/>
    </row>
    <row r="913" spans="5:14" x14ac:dyDescent="0.2">
      <c r="E913" s="3"/>
      <c r="F913" s="4"/>
      <c r="G913" s="3"/>
      <c r="H913" s="66"/>
      <c r="I913" s="4"/>
      <c r="J913" s="4"/>
      <c r="K913"/>
      <c r="L913"/>
      <c r="M913" s="4"/>
      <c r="N913" s="4"/>
    </row>
    <row r="914" spans="5:14" x14ac:dyDescent="0.2">
      <c r="E914" s="3"/>
      <c r="F914" s="4"/>
      <c r="G914" s="3"/>
      <c r="H914" s="66"/>
      <c r="I914" s="4"/>
      <c r="J914" s="4"/>
      <c r="K914"/>
      <c r="L914"/>
      <c r="M914" s="4"/>
      <c r="N914" s="4"/>
    </row>
    <row r="915" spans="5:14" x14ac:dyDescent="0.2">
      <c r="E915" s="3"/>
      <c r="F915" s="4"/>
      <c r="G915" s="3"/>
      <c r="H915" s="66"/>
      <c r="I915" s="4"/>
      <c r="J915" s="4"/>
      <c r="K915"/>
      <c r="L915"/>
      <c r="M915" s="4"/>
      <c r="N915" s="4"/>
    </row>
    <row r="916" spans="5:14" x14ac:dyDescent="0.2">
      <c r="E916" s="3"/>
      <c r="F916" s="4"/>
      <c r="G916" s="3"/>
      <c r="H916" s="66"/>
      <c r="I916" s="4"/>
      <c r="J916" s="4"/>
      <c r="K916"/>
      <c r="L916"/>
      <c r="M916" s="4"/>
      <c r="N916" s="4"/>
    </row>
    <row r="917" spans="5:14" x14ac:dyDescent="0.2">
      <c r="E917" s="3"/>
      <c r="F917" s="4"/>
      <c r="G917" s="3"/>
      <c r="H917" s="66"/>
      <c r="I917" s="4"/>
      <c r="J917" s="4"/>
      <c r="K917"/>
      <c r="L917"/>
      <c r="M917" s="4"/>
      <c r="N917" s="4"/>
    </row>
    <row r="918" spans="5:14" x14ac:dyDescent="0.2">
      <c r="E918" s="3"/>
      <c r="F918" s="4"/>
      <c r="G918" s="3"/>
      <c r="H918" s="66"/>
      <c r="I918" s="4"/>
      <c r="J918" s="4"/>
      <c r="K918"/>
      <c r="L918"/>
      <c r="M918" s="4"/>
      <c r="N918" s="4"/>
    </row>
    <row r="919" spans="5:14" x14ac:dyDescent="0.2">
      <c r="E919" s="3"/>
      <c r="F919" s="4"/>
      <c r="G919" s="3"/>
      <c r="H919" s="66"/>
      <c r="I919" s="4"/>
      <c r="J919" s="4"/>
      <c r="K919"/>
      <c r="L919"/>
      <c r="M919" s="4"/>
      <c r="N919" s="4"/>
    </row>
    <row r="920" spans="5:14" x14ac:dyDescent="0.2">
      <c r="E920" s="3"/>
      <c r="F920" s="4"/>
      <c r="G920" s="3"/>
      <c r="H920" s="66"/>
      <c r="I920" s="4"/>
      <c r="J920" s="4"/>
      <c r="K920"/>
      <c r="L920"/>
      <c r="M920" s="4"/>
      <c r="N920" s="4"/>
    </row>
    <row r="921" spans="5:14" x14ac:dyDescent="0.2">
      <c r="E921" s="3"/>
      <c r="F921" s="4"/>
      <c r="G921" s="3"/>
      <c r="H921" s="66"/>
      <c r="I921" s="4"/>
      <c r="J921" s="4"/>
      <c r="K921"/>
      <c r="L921"/>
      <c r="M921" s="4"/>
      <c r="N921" s="4"/>
    </row>
    <row r="922" spans="5:14" x14ac:dyDescent="0.2">
      <c r="E922" s="3"/>
      <c r="F922" s="4"/>
      <c r="G922" s="3"/>
      <c r="H922" s="66"/>
      <c r="I922" s="4"/>
      <c r="J922" s="4"/>
      <c r="K922"/>
      <c r="L922"/>
      <c r="M922" s="4"/>
      <c r="N922" s="4"/>
    </row>
    <row r="923" spans="5:14" x14ac:dyDescent="0.2">
      <c r="E923" s="3"/>
      <c r="F923" s="4"/>
      <c r="G923" s="3"/>
      <c r="H923" s="66"/>
      <c r="I923" s="4"/>
      <c r="J923" s="4"/>
      <c r="K923"/>
      <c r="L923"/>
      <c r="M923" s="4"/>
      <c r="N923" s="4"/>
    </row>
    <row r="924" spans="5:14" x14ac:dyDescent="0.2">
      <c r="E924" s="3"/>
      <c r="F924" s="4"/>
      <c r="G924" s="3"/>
      <c r="H924" s="66"/>
      <c r="I924" s="4"/>
      <c r="J924" s="4"/>
      <c r="K924"/>
      <c r="L924"/>
      <c r="M924" s="4"/>
      <c r="N924" s="4"/>
    </row>
    <row r="925" spans="5:14" x14ac:dyDescent="0.2">
      <c r="E925" s="3"/>
      <c r="F925" s="4"/>
      <c r="G925" s="3"/>
      <c r="H925" s="66"/>
      <c r="I925" s="4"/>
      <c r="J925" s="4"/>
      <c r="K925"/>
      <c r="L925"/>
      <c r="M925" s="4"/>
      <c r="N925" s="4"/>
    </row>
    <row r="926" spans="5:14" x14ac:dyDescent="0.2">
      <c r="E926" s="3"/>
      <c r="F926" s="4"/>
      <c r="G926" s="3"/>
      <c r="H926" s="66"/>
      <c r="I926" s="4"/>
      <c r="J926" s="4"/>
      <c r="K926"/>
      <c r="L926"/>
      <c r="M926" s="4"/>
      <c r="N926" s="4"/>
    </row>
    <row r="927" spans="5:14" x14ac:dyDescent="0.2">
      <c r="E927" s="3"/>
      <c r="F927" s="4"/>
      <c r="G927" s="3"/>
      <c r="H927" s="66"/>
      <c r="I927" s="4"/>
      <c r="J927" s="4"/>
      <c r="K927"/>
      <c r="L927"/>
      <c r="M927" s="4"/>
      <c r="N927" s="4"/>
    </row>
    <row r="928" spans="5:14" x14ac:dyDescent="0.2">
      <c r="E928" s="3"/>
      <c r="F928" s="4"/>
      <c r="G928" s="3"/>
      <c r="H928" s="66"/>
      <c r="I928" s="4"/>
      <c r="J928" s="4"/>
      <c r="K928"/>
      <c r="L928"/>
      <c r="M928" s="4"/>
      <c r="N928" s="4"/>
    </row>
    <row r="929" spans="5:14" x14ac:dyDescent="0.2">
      <c r="E929" s="3"/>
      <c r="F929" s="4"/>
      <c r="G929" s="3"/>
      <c r="H929" s="66"/>
      <c r="I929" s="4"/>
      <c r="J929" s="4"/>
      <c r="K929"/>
      <c r="L929"/>
      <c r="M929" s="4"/>
      <c r="N929" s="4"/>
    </row>
    <row r="930" spans="5:14" x14ac:dyDescent="0.2">
      <c r="E930" s="3"/>
      <c r="F930" s="4"/>
      <c r="G930" s="3"/>
      <c r="H930" s="66"/>
      <c r="I930" s="4"/>
      <c r="J930" s="4"/>
      <c r="K930"/>
      <c r="L930"/>
      <c r="M930" s="4"/>
      <c r="N930" s="4"/>
    </row>
    <row r="931" spans="5:14" x14ac:dyDescent="0.2">
      <c r="E931" s="3"/>
      <c r="F931" s="4"/>
      <c r="G931" s="3"/>
      <c r="H931" s="66"/>
      <c r="I931" s="4"/>
      <c r="J931" s="4"/>
      <c r="K931"/>
      <c r="L931"/>
      <c r="M931" s="4"/>
      <c r="N931" s="4"/>
    </row>
    <row r="932" spans="5:14" x14ac:dyDescent="0.2">
      <c r="E932" s="3"/>
      <c r="F932" s="4"/>
      <c r="G932" s="3"/>
      <c r="H932" s="66"/>
      <c r="I932" s="4"/>
      <c r="J932" s="4"/>
      <c r="K932"/>
      <c r="L932"/>
      <c r="M932" s="4"/>
      <c r="N932" s="4"/>
    </row>
    <row r="933" spans="5:14" x14ac:dyDescent="0.2">
      <c r="E933" s="3"/>
      <c r="F933" s="4"/>
      <c r="G933" s="3"/>
      <c r="H933" s="66"/>
      <c r="I933" s="4"/>
      <c r="J933" s="4"/>
      <c r="K933"/>
      <c r="L933"/>
      <c r="M933" s="4"/>
      <c r="N933" s="4"/>
    </row>
    <row r="934" spans="5:14" x14ac:dyDescent="0.2">
      <c r="E934" s="3"/>
      <c r="F934" s="4"/>
      <c r="G934" s="3"/>
      <c r="H934" s="66"/>
      <c r="I934" s="4"/>
      <c r="J934" s="4"/>
      <c r="K934"/>
      <c r="L934"/>
      <c r="M934" s="4"/>
      <c r="N934" s="4"/>
    </row>
    <row r="935" spans="5:14" x14ac:dyDescent="0.2">
      <c r="E935" s="3"/>
      <c r="F935" s="4"/>
      <c r="G935" s="3"/>
      <c r="H935" s="66"/>
      <c r="I935" s="4"/>
      <c r="J935" s="4"/>
      <c r="K935"/>
      <c r="L935"/>
      <c r="M935" s="4"/>
      <c r="N935" s="4"/>
    </row>
    <row r="936" spans="5:14" x14ac:dyDescent="0.2">
      <c r="E936" s="3"/>
      <c r="F936" s="4"/>
      <c r="G936" s="3"/>
      <c r="H936" s="66"/>
      <c r="I936" s="4"/>
      <c r="J936" s="4"/>
      <c r="K936"/>
      <c r="L936"/>
      <c r="M936" s="4"/>
      <c r="N936" s="4"/>
    </row>
    <row r="937" spans="5:14" x14ac:dyDescent="0.2">
      <c r="E937" s="3"/>
      <c r="F937" s="4"/>
      <c r="G937" s="3"/>
      <c r="H937" s="66"/>
      <c r="I937" s="4"/>
      <c r="J937" s="4"/>
      <c r="K937"/>
      <c r="L937"/>
      <c r="M937" s="4"/>
      <c r="N937" s="4"/>
    </row>
    <row r="938" spans="5:14" x14ac:dyDescent="0.2">
      <c r="E938" s="3"/>
      <c r="F938" s="4"/>
      <c r="G938" s="3"/>
      <c r="H938" s="66"/>
      <c r="I938" s="4"/>
      <c r="J938" s="4"/>
      <c r="K938"/>
      <c r="L938"/>
      <c r="M938" s="4"/>
      <c r="N938" s="4"/>
    </row>
    <row r="939" spans="5:14" x14ac:dyDescent="0.2">
      <c r="E939" s="3"/>
      <c r="F939" s="4"/>
      <c r="G939" s="3"/>
      <c r="H939" s="66"/>
      <c r="I939" s="4"/>
      <c r="J939" s="4"/>
      <c r="K939"/>
      <c r="L939"/>
      <c r="M939" s="4"/>
      <c r="N939" s="4"/>
    </row>
    <row r="940" spans="5:14" x14ac:dyDescent="0.2">
      <c r="E940" s="3"/>
      <c r="F940" s="4"/>
      <c r="G940" s="3"/>
      <c r="H940" s="66"/>
      <c r="I940" s="4"/>
      <c r="J940" s="4"/>
      <c r="K940"/>
      <c r="L940"/>
      <c r="M940" s="4"/>
      <c r="N940" s="4"/>
    </row>
    <row r="941" spans="5:14" x14ac:dyDescent="0.2">
      <c r="E941" s="3"/>
      <c r="F941" s="4"/>
      <c r="G941" s="3"/>
      <c r="H941" s="66"/>
      <c r="I941" s="4"/>
      <c r="J941" s="4"/>
      <c r="K941"/>
      <c r="L941"/>
      <c r="M941" s="4"/>
      <c r="N941" s="4"/>
    </row>
    <row r="942" spans="5:14" x14ac:dyDescent="0.2">
      <c r="E942" s="3"/>
      <c r="F942" s="4"/>
      <c r="G942" s="3"/>
      <c r="H942" s="66"/>
      <c r="I942" s="4"/>
      <c r="J942" s="4"/>
      <c r="K942"/>
      <c r="L942"/>
      <c r="M942" s="4"/>
      <c r="N942" s="4"/>
    </row>
    <row r="943" spans="5:14" x14ac:dyDescent="0.2">
      <c r="E943" s="3"/>
      <c r="F943" s="4"/>
      <c r="G943" s="3"/>
      <c r="H943" s="66"/>
      <c r="I943" s="4"/>
      <c r="J943" s="4"/>
      <c r="K943"/>
      <c r="L943"/>
      <c r="M943" s="4"/>
      <c r="N943" s="4"/>
    </row>
    <row r="944" spans="5:14" x14ac:dyDescent="0.2">
      <c r="E944" s="3"/>
      <c r="F944" s="4"/>
      <c r="G944" s="3"/>
      <c r="H944" s="66"/>
      <c r="I944" s="4"/>
      <c r="J944" s="4"/>
      <c r="K944"/>
      <c r="L944"/>
      <c r="M944" s="4"/>
      <c r="N944" s="4"/>
    </row>
    <row r="945" spans="5:14" x14ac:dyDescent="0.2">
      <c r="E945" s="3"/>
      <c r="F945" s="4"/>
      <c r="G945" s="3"/>
      <c r="H945" s="66"/>
      <c r="I945" s="4"/>
      <c r="J945" s="4"/>
      <c r="K945"/>
      <c r="L945"/>
      <c r="M945" s="4"/>
      <c r="N945" s="4"/>
    </row>
    <row r="946" spans="5:14" x14ac:dyDescent="0.2">
      <c r="E946" s="3"/>
      <c r="F946" s="4"/>
      <c r="G946" s="3"/>
      <c r="H946" s="66"/>
      <c r="I946" s="4"/>
      <c r="J946" s="4"/>
      <c r="K946"/>
      <c r="L946"/>
      <c r="M946" s="4"/>
      <c r="N946" s="4"/>
    </row>
    <row r="947" spans="5:14" x14ac:dyDescent="0.2">
      <c r="E947" s="3"/>
      <c r="F947" s="4"/>
      <c r="G947" s="3"/>
      <c r="H947" s="66"/>
      <c r="I947" s="4"/>
      <c r="J947" s="4"/>
      <c r="K947"/>
      <c r="L947"/>
      <c r="M947" s="4"/>
      <c r="N947" s="4"/>
    </row>
    <row r="948" spans="5:14" x14ac:dyDescent="0.2">
      <c r="E948" s="3"/>
      <c r="F948" s="4"/>
      <c r="G948" s="3"/>
      <c r="H948" s="66"/>
      <c r="I948" s="4"/>
      <c r="J948" s="4"/>
      <c r="K948"/>
      <c r="L948"/>
      <c r="M948" s="4"/>
      <c r="N948" s="4"/>
    </row>
    <row r="949" spans="5:14" x14ac:dyDescent="0.2">
      <c r="E949" s="3"/>
      <c r="F949" s="4"/>
      <c r="G949" s="3"/>
      <c r="H949" s="66"/>
      <c r="I949" s="4"/>
      <c r="J949" s="4"/>
      <c r="K949"/>
      <c r="L949"/>
      <c r="M949" s="4"/>
      <c r="N949" s="4"/>
    </row>
    <row r="950" spans="5:14" x14ac:dyDescent="0.2">
      <c r="E950" s="3"/>
      <c r="F950" s="4"/>
      <c r="G950" s="3"/>
      <c r="H950" s="66"/>
      <c r="I950" s="4"/>
      <c r="J950" s="4"/>
      <c r="K950"/>
      <c r="L950"/>
      <c r="M950" s="4"/>
      <c r="N950" s="4"/>
    </row>
    <row r="951" spans="5:14" x14ac:dyDescent="0.2">
      <c r="E951" s="3"/>
      <c r="F951" s="4"/>
      <c r="G951" s="3"/>
      <c r="H951" s="66"/>
      <c r="I951" s="4"/>
      <c r="J951" s="4"/>
      <c r="K951"/>
      <c r="L951"/>
      <c r="M951" s="4"/>
      <c r="N951" s="4"/>
    </row>
    <row r="952" spans="5:14" x14ac:dyDescent="0.2">
      <c r="E952" s="3"/>
      <c r="F952" s="4"/>
      <c r="G952" s="3"/>
      <c r="H952" s="66"/>
      <c r="I952" s="4"/>
      <c r="J952" s="4"/>
      <c r="K952"/>
      <c r="L952"/>
      <c r="M952" s="4"/>
      <c r="N952" s="4"/>
    </row>
    <row r="953" spans="5:14" x14ac:dyDescent="0.2">
      <c r="E953" s="3"/>
      <c r="F953" s="4"/>
      <c r="G953" s="3"/>
      <c r="H953" s="66"/>
      <c r="I953" s="4"/>
      <c r="J953" s="4"/>
      <c r="K953"/>
      <c r="L953"/>
      <c r="M953" s="4"/>
      <c r="N953" s="4"/>
    </row>
    <row r="954" spans="5:14" x14ac:dyDescent="0.2">
      <c r="E954" s="3"/>
      <c r="F954" s="4"/>
      <c r="G954" s="3"/>
      <c r="H954" s="66"/>
      <c r="I954" s="4"/>
      <c r="J954" s="4"/>
      <c r="K954"/>
      <c r="L954"/>
      <c r="M954" s="4"/>
      <c r="N954" s="4"/>
    </row>
    <row r="955" spans="5:14" x14ac:dyDescent="0.2">
      <c r="E955" s="3"/>
      <c r="F955" s="4"/>
      <c r="G955" s="3"/>
      <c r="H955" s="66"/>
      <c r="I955" s="4"/>
      <c r="J955" s="4"/>
      <c r="K955"/>
      <c r="L955"/>
      <c r="M955" s="4"/>
      <c r="N955" s="4"/>
    </row>
    <row r="956" spans="5:14" x14ac:dyDescent="0.2">
      <c r="E956" s="3"/>
      <c r="F956" s="4"/>
      <c r="G956" s="3"/>
      <c r="H956" s="66"/>
      <c r="I956" s="4"/>
      <c r="J956" s="4"/>
      <c r="K956"/>
      <c r="L956"/>
      <c r="M956" s="4"/>
      <c r="N956" s="4"/>
    </row>
    <row r="957" spans="5:14" x14ac:dyDescent="0.2">
      <c r="E957" s="3"/>
      <c r="F957" s="4"/>
      <c r="G957" s="3"/>
      <c r="H957" s="66"/>
      <c r="I957" s="4"/>
      <c r="J957" s="4"/>
      <c r="K957"/>
      <c r="L957"/>
      <c r="M957" s="4"/>
      <c r="N957" s="4"/>
    </row>
    <row r="958" spans="5:14" x14ac:dyDescent="0.2">
      <c r="E958" s="3"/>
      <c r="F958" s="4"/>
      <c r="G958" s="3"/>
      <c r="H958" s="66"/>
      <c r="I958" s="4"/>
      <c r="J958" s="4"/>
      <c r="K958"/>
      <c r="L958"/>
      <c r="M958" s="4"/>
      <c r="N958" s="4"/>
    </row>
    <row r="959" spans="5:14" x14ac:dyDescent="0.2">
      <c r="E959" s="3"/>
      <c r="F959" s="4"/>
      <c r="G959" s="3"/>
      <c r="H959" s="66"/>
      <c r="I959" s="4"/>
      <c r="J959" s="4"/>
      <c r="K959"/>
      <c r="L959"/>
      <c r="M959" s="4"/>
      <c r="N959" s="4"/>
    </row>
    <row r="960" spans="5:14" x14ac:dyDescent="0.2">
      <c r="E960" s="3"/>
      <c r="F960" s="4"/>
      <c r="G960" s="3"/>
      <c r="H960" s="66"/>
      <c r="I960" s="4"/>
      <c r="J960" s="4"/>
      <c r="K960"/>
      <c r="L960"/>
      <c r="M960" s="4"/>
      <c r="N960" s="4"/>
    </row>
    <row r="961" spans="5:14" x14ac:dyDescent="0.2">
      <c r="E961" s="3"/>
      <c r="F961" s="4"/>
      <c r="G961" s="3"/>
      <c r="H961" s="66"/>
      <c r="I961" s="4"/>
      <c r="J961" s="4"/>
      <c r="K961"/>
      <c r="L961"/>
      <c r="M961" s="4"/>
      <c r="N961" s="4"/>
    </row>
    <row r="962" spans="5:14" x14ac:dyDescent="0.2">
      <c r="E962" s="3"/>
      <c r="F962" s="4"/>
      <c r="G962" s="3"/>
      <c r="H962" s="66"/>
      <c r="I962" s="4"/>
      <c r="J962" s="4"/>
      <c r="K962"/>
      <c r="L962"/>
      <c r="M962" s="4"/>
      <c r="N962" s="4"/>
    </row>
    <row r="963" spans="5:14" x14ac:dyDescent="0.2">
      <c r="E963" s="3"/>
      <c r="F963" s="4"/>
      <c r="G963" s="3"/>
      <c r="H963" s="66"/>
      <c r="I963" s="4"/>
      <c r="J963" s="4"/>
      <c r="K963"/>
      <c r="L963"/>
      <c r="M963" s="4"/>
      <c r="N963" s="4"/>
    </row>
    <row r="964" spans="5:14" x14ac:dyDescent="0.2">
      <c r="E964" s="3"/>
      <c r="F964" s="4"/>
      <c r="G964" s="3"/>
      <c r="H964" s="66"/>
      <c r="I964" s="4"/>
      <c r="J964" s="4"/>
      <c r="K964"/>
      <c r="L964"/>
      <c r="M964" s="4"/>
      <c r="N964" s="4"/>
    </row>
    <row r="965" spans="5:14" x14ac:dyDescent="0.2">
      <c r="E965" s="3"/>
      <c r="F965" s="4"/>
      <c r="G965" s="3"/>
      <c r="H965" s="66"/>
      <c r="I965" s="4"/>
      <c r="J965" s="4"/>
      <c r="K965"/>
      <c r="L965"/>
      <c r="M965" s="4"/>
      <c r="N965" s="4"/>
    </row>
    <row r="966" spans="5:14" x14ac:dyDescent="0.2">
      <c r="E966" s="3"/>
      <c r="F966" s="4"/>
      <c r="G966" s="3"/>
      <c r="H966" s="66"/>
      <c r="I966" s="4"/>
      <c r="J966" s="4"/>
      <c r="K966"/>
      <c r="L966"/>
      <c r="M966" s="4"/>
      <c r="N966" s="4"/>
    </row>
    <row r="967" spans="5:14" x14ac:dyDescent="0.2">
      <c r="E967" s="3"/>
      <c r="F967" s="4"/>
      <c r="G967" s="3"/>
      <c r="H967" s="66"/>
      <c r="I967" s="4"/>
      <c r="J967" s="4"/>
      <c r="K967"/>
      <c r="L967"/>
      <c r="M967" s="4"/>
      <c r="N967" s="4"/>
    </row>
    <row r="968" spans="5:14" x14ac:dyDescent="0.2">
      <c r="E968" s="3"/>
      <c r="F968" s="4"/>
      <c r="G968" s="3"/>
      <c r="H968" s="66"/>
      <c r="I968" s="4"/>
      <c r="J968" s="4"/>
      <c r="K968"/>
      <c r="L968"/>
      <c r="M968" s="4"/>
      <c r="N968" s="4"/>
    </row>
    <row r="969" spans="5:14" x14ac:dyDescent="0.2">
      <c r="E969" s="3"/>
      <c r="F969" s="4"/>
      <c r="G969" s="3"/>
      <c r="H969" s="66"/>
      <c r="I969" s="4"/>
      <c r="J969" s="4"/>
      <c r="K969"/>
      <c r="L969"/>
      <c r="M969" s="4"/>
      <c r="N969" s="4"/>
    </row>
    <row r="970" spans="5:14" x14ac:dyDescent="0.2">
      <c r="E970" s="3"/>
      <c r="F970" s="4"/>
      <c r="G970" s="3"/>
      <c r="H970" s="66"/>
      <c r="I970" s="4"/>
      <c r="J970" s="4"/>
      <c r="K970"/>
      <c r="L970"/>
      <c r="M970" s="4"/>
      <c r="N970" s="4"/>
    </row>
    <row r="971" spans="5:14" x14ac:dyDescent="0.2">
      <c r="E971" s="3"/>
      <c r="F971" s="4"/>
      <c r="G971" s="3"/>
      <c r="H971" s="66"/>
      <c r="I971" s="4"/>
      <c r="J971" s="4"/>
      <c r="K971"/>
      <c r="L971"/>
      <c r="M971" s="4"/>
      <c r="N971" s="4"/>
    </row>
    <row r="972" spans="5:14" x14ac:dyDescent="0.2">
      <c r="E972" s="3"/>
      <c r="F972" s="4"/>
      <c r="G972" s="3"/>
      <c r="H972" s="66"/>
      <c r="I972" s="4"/>
      <c r="J972" s="4"/>
      <c r="K972"/>
      <c r="L972"/>
      <c r="M972" s="4"/>
      <c r="N972" s="4"/>
    </row>
    <row r="973" spans="5:14" x14ac:dyDescent="0.2">
      <c r="E973" s="3"/>
      <c r="F973" s="4"/>
      <c r="G973" s="3"/>
      <c r="H973" s="66"/>
      <c r="I973" s="4"/>
      <c r="J973" s="4"/>
      <c r="K973"/>
      <c r="L973"/>
      <c r="M973" s="4"/>
      <c r="N973" s="4"/>
    </row>
    <row r="974" spans="5:14" x14ac:dyDescent="0.2">
      <c r="E974" s="3"/>
      <c r="F974" s="4"/>
      <c r="G974" s="3"/>
      <c r="H974" s="66"/>
      <c r="I974" s="4"/>
      <c r="J974" s="4"/>
      <c r="K974"/>
      <c r="L974"/>
      <c r="M974" s="4"/>
      <c r="N974" s="4"/>
    </row>
    <row r="975" spans="5:14" x14ac:dyDescent="0.2">
      <c r="E975" s="3"/>
      <c r="F975" s="4"/>
      <c r="G975" s="3"/>
      <c r="H975" s="66"/>
      <c r="I975" s="4"/>
      <c r="J975" s="4"/>
      <c r="K975"/>
      <c r="L975"/>
      <c r="M975" s="4"/>
      <c r="N975" s="4"/>
    </row>
    <row r="976" spans="5:14" x14ac:dyDescent="0.2">
      <c r="E976" s="3"/>
      <c r="F976" s="4"/>
      <c r="G976" s="3"/>
      <c r="H976" s="66"/>
      <c r="I976" s="4"/>
      <c r="J976" s="4"/>
      <c r="K976"/>
      <c r="L976"/>
      <c r="M976" s="4"/>
      <c r="N976" s="4"/>
    </row>
    <row r="977" spans="5:14" x14ac:dyDescent="0.2">
      <c r="E977" s="3"/>
      <c r="F977" s="4"/>
      <c r="G977" s="3"/>
      <c r="H977" s="66"/>
      <c r="I977" s="4"/>
      <c r="J977" s="4"/>
      <c r="K977"/>
      <c r="L977"/>
      <c r="M977" s="4"/>
      <c r="N977" s="4"/>
    </row>
    <row r="978" spans="5:14" x14ac:dyDescent="0.2">
      <c r="E978" s="3"/>
      <c r="F978" s="4"/>
      <c r="G978" s="3"/>
      <c r="H978" s="66"/>
      <c r="I978" s="4"/>
      <c r="J978" s="4"/>
      <c r="K978"/>
      <c r="L978"/>
      <c r="M978" s="4"/>
      <c r="N978" s="4"/>
    </row>
    <row r="979" spans="5:14" x14ac:dyDescent="0.2">
      <c r="E979" s="3"/>
      <c r="F979" s="4"/>
      <c r="G979" s="3"/>
      <c r="H979" s="66"/>
      <c r="I979" s="4"/>
      <c r="J979" s="4"/>
      <c r="K979"/>
      <c r="L979"/>
      <c r="M979" s="4"/>
      <c r="N979" s="4"/>
    </row>
    <row r="980" spans="5:14" x14ac:dyDescent="0.2">
      <c r="E980" s="3"/>
      <c r="F980" s="4"/>
      <c r="G980" s="3"/>
      <c r="H980" s="66"/>
      <c r="I980" s="4"/>
      <c r="J980" s="4"/>
      <c r="K980"/>
      <c r="L980"/>
      <c r="M980" s="4"/>
      <c r="N980" s="4"/>
    </row>
    <row r="981" spans="5:14" x14ac:dyDescent="0.2">
      <c r="E981" s="3"/>
      <c r="F981" s="4"/>
      <c r="G981" s="3"/>
      <c r="H981" s="66"/>
      <c r="I981" s="4"/>
      <c r="J981" s="4"/>
      <c r="K981"/>
      <c r="L981"/>
      <c r="M981" s="4"/>
      <c r="N981" s="4"/>
    </row>
    <row r="982" spans="5:14" x14ac:dyDescent="0.2">
      <c r="E982" s="3"/>
      <c r="F982" s="4"/>
      <c r="G982" s="3"/>
      <c r="H982" s="66"/>
      <c r="I982" s="4"/>
      <c r="J982" s="4"/>
      <c r="K982"/>
      <c r="L982"/>
      <c r="M982" s="4"/>
      <c r="N982" s="4"/>
    </row>
    <row r="983" spans="5:14" x14ac:dyDescent="0.2">
      <c r="E983" s="3"/>
      <c r="F983" s="4"/>
      <c r="G983" s="3"/>
      <c r="H983" s="66"/>
      <c r="I983" s="4"/>
      <c r="J983" s="4"/>
      <c r="K983"/>
      <c r="L983"/>
      <c r="M983" s="4"/>
      <c r="N983" s="4"/>
    </row>
    <row r="984" spans="5:14" x14ac:dyDescent="0.2">
      <c r="E984" s="3"/>
      <c r="F984" s="4"/>
      <c r="G984" s="3"/>
      <c r="H984" s="66"/>
      <c r="I984" s="4"/>
      <c r="J984" s="4"/>
      <c r="K984"/>
      <c r="L984"/>
      <c r="M984" s="4"/>
      <c r="N984" s="4"/>
    </row>
    <row r="985" spans="5:14" x14ac:dyDescent="0.2">
      <c r="E985" s="3"/>
      <c r="F985" s="4"/>
      <c r="G985" s="3"/>
      <c r="H985" s="66"/>
      <c r="I985" s="4"/>
      <c r="J985" s="4"/>
      <c r="K985"/>
      <c r="L985"/>
      <c r="M985" s="4"/>
      <c r="N985" s="4"/>
    </row>
    <row r="986" spans="5:14" x14ac:dyDescent="0.2">
      <c r="E986" s="3"/>
      <c r="F986" s="4"/>
      <c r="G986" s="3"/>
      <c r="H986" s="66"/>
      <c r="I986" s="4"/>
      <c r="J986" s="4"/>
      <c r="K986"/>
      <c r="L986"/>
      <c r="M986" s="4"/>
      <c r="N986" s="4"/>
    </row>
    <row r="987" spans="5:14" x14ac:dyDescent="0.2">
      <c r="E987" s="3"/>
      <c r="F987" s="4"/>
      <c r="G987" s="3"/>
      <c r="H987" s="66"/>
      <c r="I987" s="4"/>
      <c r="J987" s="4"/>
      <c r="K987"/>
      <c r="L987"/>
      <c r="M987" s="4"/>
      <c r="N987" s="4"/>
    </row>
    <row r="988" spans="5:14" x14ac:dyDescent="0.2">
      <c r="E988" s="3"/>
      <c r="F988" s="4"/>
      <c r="G988" s="3"/>
      <c r="H988" s="66"/>
      <c r="I988" s="4"/>
      <c r="J988" s="4"/>
      <c r="K988"/>
      <c r="L988"/>
      <c r="M988" s="4"/>
      <c r="N988" s="4"/>
    </row>
    <row r="989" spans="5:14" x14ac:dyDescent="0.2">
      <c r="E989" s="3"/>
      <c r="F989" s="4"/>
      <c r="G989" s="3"/>
      <c r="H989" s="66"/>
      <c r="I989" s="4"/>
      <c r="J989" s="4"/>
      <c r="K989"/>
      <c r="L989"/>
      <c r="M989" s="4"/>
      <c r="N989" s="4"/>
    </row>
    <row r="990" spans="5:14" x14ac:dyDescent="0.2">
      <c r="E990" s="3"/>
      <c r="F990" s="4"/>
      <c r="G990" s="3"/>
      <c r="H990" s="66"/>
      <c r="I990" s="4"/>
      <c r="J990" s="4"/>
      <c r="K990"/>
      <c r="L990"/>
      <c r="M990" s="4"/>
      <c r="N990" s="4"/>
    </row>
    <row r="991" spans="5:14" x14ac:dyDescent="0.2">
      <c r="E991" s="3"/>
      <c r="F991" s="4"/>
      <c r="G991" s="3"/>
      <c r="H991" s="66"/>
      <c r="I991" s="4"/>
      <c r="J991" s="4"/>
      <c r="K991"/>
      <c r="L991"/>
      <c r="M991" s="4"/>
      <c r="N991" s="4"/>
    </row>
    <row r="992" spans="5:14" x14ac:dyDescent="0.2">
      <c r="E992" s="3"/>
      <c r="F992" s="4"/>
      <c r="G992" s="3"/>
      <c r="H992" s="66"/>
      <c r="I992" s="4"/>
      <c r="J992" s="4"/>
      <c r="K992"/>
      <c r="L992"/>
      <c r="M992" s="4"/>
      <c r="N992" s="4"/>
    </row>
    <row r="993" spans="5:14" x14ac:dyDescent="0.2">
      <c r="E993" s="3"/>
      <c r="F993" s="4"/>
      <c r="G993" s="3"/>
      <c r="H993" s="66"/>
      <c r="I993" s="4"/>
      <c r="J993" s="4"/>
      <c r="K993"/>
      <c r="L993"/>
      <c r="M993" s="4"/>
      <c r="N993" s="4"/>
    </row>
    <row r="994" spans="5:14" x14ac:dyDescent="0.2">
      <c r="E994" s="3"/>
      <c r="F994" s="4"/>
      <c r="G994" s="3"/>
      <c r="H994" s="66"/>
      <c r="I994" s="4"/>
      <c r="J994" s="4"/>
      <c r="K994"/>
      <c r="L994"/>
      <c r="M994" s="4"/>
      <c r="N994" s="4"/>
    </row>
    <row r="995" spans="5:14" x14ac:dyDescent="0.2">
      <c r="E995" s="3"/>
      <c r="F995" s="4"/>
      <c r="G995" s="3"/>
      <c r="H995" s="66"/>
      <c r="I995" s="4"/>
      <c r="J995" s="4"/>
      <c r="K995"/>
      <c r="L995"/>
      <c r="M995" s="4"/>
      <c r="N995" s="4"/>
    </row>
    <row r="996" spans="5:14" x14ac:dyDescent="0.2">
      <c r="E996" s="3"/>
      <c r="F996" s="4"/>
      <c r="G996" s="3"/>
      <c r="H996" s="66"/>
      <c r="I996" s="4"/>
      <c r="J996" s="4"/>
      <c r="K996"/>
      <c r="L996"/>
      <c r="M996" s="4"/>
      <c r="N996" s="4"/>
    </row>
    <row r="997" spans="5:14" x14ac:dyDescent="0.2">
      <c r="E997" s="3"/>
      <c r="F997" s="4"/>
      <c r="G997" s="3"/>
      <c r="H997" s="66"/>
      <c r="I997" s="4"/>
      <c r="J997" s="4"/>
      <c r="K997"/>
      <c r="L997"/>
      <c r="M997" s="4"/>
      <c r="N997" s="4"/>
    </row>
    <row r="998" spans="5:14" x14ac:dyDescent="0.2">
      <c r="E998" s="3"/>
      <c r="F998" s="4"/>
      <c r="G998" s="3"/>
      <c r="H998" s="66"/>
      <c r="I998" s="4"/>
      <c r="J998" s="4"/>
      <c r="K998"/>
      <c r="L998"/>
      <c r="M998" s="4"/>
      <c r="N998" s="4"/>
    </row>
    <row r="999" spans="5:14" x14ac:dyDescent="0.2">
      <c r="E999" s="3"/>
      <c r="F999" s="4"/>
      <c r="G999" s="3"/>
      <c r="H999" s="66"/>
      <c r="I999" s="4"/>
      <c r="J999" s="4"/>
      <c r="K999"/>
      <c r="L999"/>
      <c r="M999" s="4"/>
      <c r="N999" s="4"/>
    </row>
    <row r="1000" spans="5:14" x14ac:dyDescent="0.2">
      <c r="E1000" s="3"/>
      <c r="F1000" s="4"/>
      <c r="G1000" s="3"/>
      <c r="H1000" s="66"/>
      <c r="I1000" s="4"/>
      <c r="J1000" s="4"/>
      <c r="K1000"/>
      <c r="L1000"/>
      <c r="M1000" s="4"/>
      <c r="N1000" s="4"/>
    </row>
    <row r="1001" spans="5:14" x14ac:dyDescent="0.2">
      <c r="E1001" s="3"/>
      <c r="F1001" s="4"/>
      <c r="G1001" s="3"/>
      <c r="H1001" s="66"/>
      <c r="I1001" s="4"/>
      <c r="J1001" s="4"/>
      <c r="K1001"/>
      <c r="L1001"/>
      <c r="M1001" s="4"/>
      <c r="N1001" s="4"/>
    </row>
    <row r="1002" spans="5:14" x14ac:dyDescent="0.2">
      <c r="E1002" s="3"/>
      <c r="F1002" s="4"/>
      <c r="G1002" s="3"/>
      <c r="H1002" s="66"/>
      <c r="I1002" s="4"/>
      <c r="J1002" s="4"/>
      <c r="K1002"/>
      <c r="L1002"/>
      <c r="M1002" s="4"/>
      <c r="N1002" s="4"/>
    </row>
    <row r="1003" spans="5:14" x14ac:dyDescent="0.2">
      <c r="E1003" s="3"/>
      <c r="F1003" s="4"/>
      <c r="G1003" s="3"/>
      <c r="H1003" s="66"/>
      <c r="I1003" s="4"/>
      <c r="J1003" s="4"/>
      <c r="K1003"/>
      <c r="L1003"/>
      <c r="M1003" s="4"/>
      <c r="N1003" s="4"/>
    </row>
    <row r="1004" spans="5:14" x14ac:dyDescent="0.2">
      <c r="E1004" s="3"/>
      <c r="F1004" s="4"/>
      <c r="G1004" s="3"/>
      <c r="H1004" s="66"/>
      <c r="I1004" s="4"/>
      <c r="J1004" s="4"/>
      <c r="K1004"/>
      <c r="L1004"/>
      <c r="M1004" s="4"/>
      <c r="N1004" s="4"/>
    </row>
    <row r="1005" spans="5:14" x14ac:dyDescent="0.2">
      <c r="E1005" s="3"/>
      <c r="F1005" s="4"/>
      <c r="G1005" s="3"/>
      <c r="H1005" s="66"/>
      <c r="I1005" s="4"/>
      <c r="J1005" s="4"/>
      <c r="K1005"/>
      <c r="L1005"/>
      <c r="M1005" s="4"/>
      <c r="N1005" s="4"/>
    </row>
    <row r="1006" spans="5:14" x14ac:dyDescent="0.2">
      <c r="E1006" s="3"/>
      <c r="F1006" s="4"/>
      <c r="G1006" s="3"/>
      <c r="H1006" s="66"/>
      <c r="I1006" s="4"/>
      <c r="J1006" s="4"/>
      <c r="K1006"/>
      <c r="L1006"/>
      <c r="M1006" s="4"/>
      <c r="N1006" s="4"/>
    </row>
    <row r="1007" spans="5:14" x14ac:dyDescent="0.2">
      <c r="E1007" s="3"/>
      <c r="F1007" s="4"/>
      <c r="G1007" s="3"/>
      <c r="H1007" s="66"/>
      <c r="I1007" s="4"/>
      <c r="J1007" s="4"/>
      <c r="K1007"/>
      <c r="L1007"/>
      <c r="M1007" s="4"/>
      <c r="N1007" s="4"/>
    </row>
    <row r="1008" spans="5:14" x14ac:dyDescent="0.2">
      <c r="E1008" s="3"/>
      <c r="F1008" s="4"/>
      <c r="G1008" s="3"/>
      <c r="H1008" s="66"/>
      <c r="I1008" s="4"/>
      <c r="J1008" s="4"/>
      <c r="K1008"/>
      <c r="L1008"/>
      <c r="M1008" s="4"/>
      <c r="N1008" s="4"/>
    </row>
    <row r="1009" spans="5:14" x14ac:dyDescent="0.2">
      <c r="E1009" s="3"/>
      <c r="F1009" s="4"/>
      <c r="G1009" s="3"/>
      <c r="H1009" s="66"/>
      <c r="I1009" s="4"/>
      <c r="J1009" s="4"/>
      <c r="K1009"/>
      <c r="L1009"/>
      <c r="M1009" s="4"/>
      <c r="N1009" s="4"/>
    </row>
    <row r="1010" spans="5:14" x14ac:dyDescent="0.2">
      <c r="E1010" s="3"/>
      <c r="F1010" s="4"/>
      <c r="G1010" s="3"/>
      <c r="H1010" s="66"/>
      <c r="I1010" s="4"/>
      <c r="J1010" s="4"/>
      <c r="K1010"/>
      <c r="L1010"/>
      <c r="M1010" s="4"/>
      <c r="N1010" s="4"/>
    </row>
    <row r="1011" spans="5:14" x14ac:dyDescent="0.2">
      <c r="E1011" s="3"/>
      <c r="F1011" s="4"/>
      <c r="G1011" s="3"/>
      <c r="H1011" s="66"/>
      <c r="I1011" s="4"/>
      <c r="J1011" s="4"/>
      <c r="K1011"/>
      <c r="L1011"/>
      <c r="M1011" s="4"/>
      <c r="N1011" s="4"/>
    </row>
    <row r="1012" spans="5:14" x14ac:dyDescent="0.2">
      <c r="E1012" s="3"/>
      <c r="F1012" s="4"/>
      <c r="G1012" s="3"/>
      <c r="H1012" s="66"/>
      <c r="I1012" s="4"/>
      <c r="J1012" s="4"/>
      <c r="K1012"/>
      <c r="L1012"/>
      <c r="M1012" s="4"/>
      <c r="N1012" s="4"/>
    </row>
    <row r="1013" spans="5:14" x14ac:dyDescent="0.2">
      <c r="E1013" s="3"/>
      <c r="F1013" s="4"/>
      <c r="G1013" s="3"/>
      <c r="H1013" s="66"/>
      <c r="I1013" s="4"/>
      <c r="J1013" s="4"/>
      <c r="K1013"/>
      <c r="L1013"/>
      <c r="M1013" s="4"/>
      <c r="N1013" s="4"/>
    </row>
    <row r="1014" spans="5:14" x14ac:dyDescent="0.2">
      <c r="E1014" s="3"/>
      <c r="F1014" s="4"/>
      <c r="G1014" s="3"/>
      <c r="H1014" s="66"/>
      <c r="I1014" s="4"/>
      <c r="J1014" s="4"/>
      <c r="K1014"/>
      <c r="L1014"/>
      <c r="M1014" s="4"/>
      <c r="N1014" s="4"/>
    </row>
    <row r="1015" spans="5:14" x14ac:dyDescent="0.2">
      <c r="E1015" s="3"/>
      <c r="F1015" s="4"/>
      <c r="G1015" s="3"/>
      <c r="H1015" s="66"/>
      <c r="I1015" s="4"/>
      <c r="J1015" s="4"/>
      <c r="K1015"/>
      <c r="L1015"/>
      <c r="M1015" s="4"/>
      <c r="N1015" s="4"/>
    </row>
    <row r="1016" spans="5:14" x14ac:dyDescent="0.2">
      <c r="E1016" s="3"/>
      <c r="F1016" s="4"/>
      <c r="G1016" s="3"/>
      <c r="H1016" s="66"/>
      <c r="I1016" s="4"/>
      <c r="J1016" s="4"/>
      <c r="K1016"/>
      <c r="L1016"/>
      <c r="M1016" s="4"/>
      <c r="N1016" s="4"/>
    </row>
    <row r="1017" spans="5:14" x14ac:dyDescent="0.2">
      <c r="E1017" s="3"/>
      <c r="F1017" s="4"/>
      <c r="G1017" s="3"/>
      <c r="H1017" s="66"/>
      <c r="I1017" s="4"/>
      <c r="J1017" s="4"/>
      <c r="K1017"/>
      <c r="L1017"/>
      <c r="M1017" s="4"/>
      <c r="N1017" s="4"/>
    </row>
    <row r="1018" spans="5:14" x14ac:dyDescent="0.2">
      <c r="E1018" s="3"/>
      <c r="F1018" s="4"/>
      <c r="G1018" s="3"/>
      <c r="H1018" s="66"/>
      <c r="I1018" s="4"/>
      <c r="J1018" s="4"/>
      <c r="K1018"/>
      <c r="L1018"/>
      <c r="M1018" s="4"/>
      <c r="N1018" s="4"/>
    </row>
    <row r="1019" spans="5:14" x14ac:dyDescent="0.2">
      <c r="E1019" s="3"/>
      <c r="F1019" s="4"/>
      <c r="G1019" s="3"/>
      <c r="H1019" s="66"/>
      <c r="I1019" s="4"/>
      <c r="J1019" s="4"/>
      <c r="K1019"/>
      <c r="L1019"/>
      <c r="M1019" s="4"/>
      <c r="N1019" s="4"/>
    </row>
    <row r="1020" spans="5:14" x14ac:dyDescent="0.2">
      <c r="E1020" s="3"/>
      <c r="F1020" s="4"/>
      <c r="G1020" s="3"/>
      <c r="H1020" s="66"/>
      <c r="I1020" s="4"/>
      <c r="J1020" s="4"/>
      <c r="K1020"/>
      <c r="L1020"/>
      <c r="M1020" s="4"/>
      <c r="N1020" s="4"/>
    </row>
    <row r="1021" spans="5:14" x14ac:dyDescent="0.2">
      <c r="E1021" s="3"/>
      <c r="F1021" s="4"/>
      <c r="G1021" s="3"/>
      <c r="H1021" s="66"/>
      <c r="I1021" s="4"/>
      <c r="J1021" s="4"/>
      <c r="K1021"/>
      <c r="L1021"/>
      <c r="M1021" s="4"/>
      <c r="N1021" s="4"/>
    </row>
    <row r="1022" spans="5:14" x14ac:dyDescent="0.2">
      <c r="E1022" s="3"/>
      <c r="F1022" s="4"/>
      <c r="G1022" s="3"/>
      <c r="H1022" s="66"/>
      <c r="I1022" s="4"/>
      <c r="J1022" s="4"/>
      <c r="K1022"/>
      <c r="L1022"/>
      <c r="M1022" s="4"/>
      <c r="N1022" s="4"/>
    </row>
    <row r="1023" spans="5:14" x14ac:dyDescent="0.2">
      <c r="E1023" s="3"/>
      <c r="F1023" s="4"/>
      <c r="G1023" s="3"/>
      <c r="H1023" s="66"/>
      <c r="I1023" s="4"/>
      <c r="J1023" s="4"/>
      <c r="K1023"/>
      <c r="L1023"/>
      <c r="M1023" s="4"/>
      <c r="N1023" s="4"/>
    </row>
    <row r="1024" spans="5:14" x14ac:dyDescent="0.2">
      <c r="E1024" s="3"/>
      <c r="F1024" s="4"/>
      <c r="G1024" s="3"/>
      <c r="H1024" s="66"/>
      <c r="I1024" s="4"/>
      <c r="J1024" s="4"/>
      <c r="K1024"/>
      <c r="L1024"/>
      <c r="M1024" s="4"/>
      <c r="N1024" s="4"/>
    </row>
    <row r="1025" spans="5:14" x14ac:dyDescent="0.2">
      <c r="E1025" s="3"/>
      <c r="F1025" s="4"/>
      <c r="G1025" s="3"/>
      <c r="H1025" s="66"/>
      <c r="I1025" s="4"/>
      <c r="J1025" s="4"/>
      <c r="K1025"/>
      <c r="L1025"/>
      <c r="M1025" s="4"/>
      <c r="N1025" s="4"/>
    </row>
    <row r="1026" spans="5:14" x14ac:dyDescent="0.2">
      <c r="E1026" s="3"/>
      <c r="F1026" s="4"/>
      <c r="G1026" s="3"/>
      <c r="H1026" s="66"/>
      <c r="I1026" s="4"/>
      <c r="J1026" s="4"/>
      <c r="K1026"/>
      <c r="L1026"/>
      <c r="M1026" s="4"/>
      <c r="N1026" s="4"/>
    </row>
    <row r="1027" spans="5:14" x14ac:dyDescent="0.2">
      <c r="E1027" s="3"/>
      <c r="F1027" s="4"/>
      <c r="G1027" s="3"/>
      <c r="H1027" s="66"/>
      <c r="I1027" s="4"/>
      <c r="J1027" s="4"/>
      <c r="K1027"/>
      <c r="L1027"/>
      <c r="M1027" s="4"/>
      <c r="N1027" s="4"/>
    </row>
    <row r="1028" spans="5:14" x14ac:dyDescent="0.2">
      <c r="E1028" s="3"/>
      <c r="F1028" s="4"/>
      <c r="G1028" s="3"/>
      <c r="H1028" s="66"/>
      <c r="I1028" s="4"/>
      <c r="J1028" s="4"/>
      <c r="K1028"/>
      <c r="L1028"/>
      <c r="M1028" s="4"/>
      <c r="N1028" s="4"/>
    </row>
    <row r="1029" spans="5:14" x14ac:dyDescent="0.2">
      <c r="E1029" s="3"/>
      <c r="F1029" s="4"/>
      <c r="G1029" s="3"/>
      <c r="H1029" s="66"/>
      <c r="I1029" s="4"/>
      <c r="J1029" s="4"/>
      <c r="K1029"/>
      <c r="L1029"/>
      <c r="M1029" s="4"/>
      <c r="N1029" s="4"/>
    </row>
    <row r="1030" spans="5:14" x14ac:dyDescent="0.2">
      <c r="E1030" s="3"/>
      <c r="F1030" s="4"/>
      <c r="G1030" s="3"/>
      <c r="H1030" s="66"/>
      <c r="I1030" s="4"/>
      <c r="J1030" s="4"/>
      <c r="K1030"/>
      <c r="L1030"/>
      <c r="M1030" s="4"/>
      <c r="N1030" s="4"/>
    </row>
    <row r="1031" spans="5:14" x14ac:dyDescent="0.2">
      <c r="E1031" s="3"/>
      <c r="F1031" s="4"/>
      <c r="G1031" s="3"/>
      <c r="H1031" s="66"/>
      <c r="I1031" s="4"/>
      <c r="J1031" s="4"/>
      <c r="K1031"/>
      <c r="L1031"/>
      <c r="M1031" s="4"/>
      <c r="N1031" s="4"/>
    </row>
    <row r="1032" spans="5:14" x14ac:dyDescent="0.2">
      <c r="E1032" s="3"/>
      <c r="F1032" s="4"/>
      <c r="G1032" s="3"/>
      <c r="H1032" s="66"/>
      <c r="I1032" s="4"/>
      <c r="J1032" s="4"/>
      <c r="K1032"/>
      <c r="L1032"/>
      <c r="M1032" s="4"/>
      <c r="N1032" s="4"/>
    </row>
    <row r="1033" spans="5:14" x14ac:dyDescent="0.2">
      <c r="E1033" s="3"/>
      <c r="F1033" s="4"/>
      <c r="G1033" s="3"/>
      <c r="H1033" s="66"/>
      <c r="I1033" s="4"/>
      <c r="J1033" s="4"/>
      <c r="K1033"/>
      <c r="L1033"/>
      <c r="M1033" s="4"/>
      <c r="N1033" s="4"/>
    </row>
    <row r="1034" spans="5:14" x14ac:dyDescent="0.2">
      <c r="E1034" s="3"/>
      <c r="F1034" s="4"/>
      <c r="G1034" s="3"/>
      <c r="H1034" s="66"/>
      <c r="I1034" s="4"/>
      <c r="J1034" s="4"/>
      <c r="K1034"/>
      <c r="L1034"/>
      <c r="M1034" s="4"/>
      <c r="N1034" s="4"/>
    </row>
    <row r="1035" spans="5:14" x14ac:dyDescent="0.2">
      <c r="E1035" s="3"/>
      <c r="F1035" s="4"/>
      <c r="G1035" s="3"/>
      <c r="H1035" s="66"/>
      <c r="I1035" s="4"/>
      <c r="J1035" s="4"/>
      <c r="K1035"/>
      <c r="L1035"/>
      <c r="M1035" s="4"/>
      <c r="N1035" s="4"/>
    </row>
    <row r="1036" spans="5:14" x14ac:dyDescent="0.2">
      <c r="E1036" s="3"/>
      <c r="F1036" s="4"/>
      <c r="G1036" s="3"/>
      <c r="H1036" s="66"/>
      <c r="I1036" s="4"/>
      <c r="J1036" s="4"/>
      <c r="K1036"/>
      <c r="L1036"/>
      <c r="M1036" s="4"/>
      <c r="N1036" s="4"/>
    </row>
    <row r="1037" spans="5:14" x14ac:dyDescent="0.2">
      <c r="E1037" s="3"/>
      <c r="F1037" s="4"/>
      <c r="G1037" s="3"/>
      <c r="H1037" s="66"/>
      <c r="I1037" s="4"/>
      <c r="J1037" s="4"/>
      <c r="K1037"/>
      <c r="L1037"/>
      <c r="M1037" s="4"/>
      <c r="N1037" s="4"/>
    </row>
    <row r="1038" spans="5:14" x14ac:dyDescent="0.2">
      <c r="E1038" s="3"/>
      <c r="F1038" s="4"/>
      <c r="G1038" s="3"/>
      <c r="H1038" s="66"/>
      <c r="I1038" s="4"/>
      <c r="J1038" s="4"/>
      <c r="K1038"/>
      <c r="L1038"/>
      <c r="M1038" s="4"/>
      <c r="N1038" s="4"/>
    </row>
    <row r="1039" spans="5:14" x14ac:dyDescent="0.2">
      <c r="E1039" s="3"/>
      <c r="F1039" s="4"/>
      <c r="G1039" s="3"/>
      <c r="H1039" s="66"/>
      <c r="I1039" s="4"/>
      <c r="J1039" s="4"/>
      <c r="K1039"/>
      <c r="L1039"/>
      <c r="M1039" s="4"/>
      <c r="N1039" s="4"/>
    </row>
    <row r="1040" spans="5:14" x14ac:dyDescent="0.2">
      <c r="E1040" s="3"/>
      <c r="F1040" s="4"/>
      <c r="G1040" s="3"/>
      <c r="H1040" s="66"/>
      <c r="I1040" s="4"/>
      <c r="J1040" s="4"/>
      <c r="K1040"/>
      <c r="L1040"/>
      <c r="M1040" s="4"/>
      <c r="N1040" s="4"/>
    </row>
    <row r="1041" spans="5:14" x14ac:dyDescent="0.2">
      <c r="E1041" s="3"/>
      <c r="F1041" s="4"/>
      <c r="G1041" s="3"/>
      <c r="H1041" s="66"/>
      <c r="I1041" s="4"/>
      <c r="J1041" s="4"/>
      <c r="K1041"/>
      <c r="L1041"/>
      <c r="M1041" s="4"/>
      <c r="N1041" s="4"/>
    </row>
    <row r="1042" spans="5:14" x14ac:dyDescent="0.2">
      <c r="E1042" s="3"/>
      <c r="F1042" s="4"/>
      <c r="G1042" s="3"/>
      <c r="H1042" s="66"/>
      <c r="I1042" s="4"/>
      <c r="J1042" s="4"/>
      <c r="K1042"/>
      <c r="L1042"/>
      <c r="M1042" s="4"/>
      <c r="N1042" s="4"/>
    </row>
    <row r="1043" spans="5:14" x14ac:dyDescent="0.2">
      <c r="E1043" s="3"/>
      <c r="F1043" s="4"/>
      <c r="G1043" s="3"/>
      <c r="H1043" s="66"/>
      <c r="I1043" s="4"/>
      <c r="J1043" s="4"/>
      <c r="K1043"/>
      <c r="L1043"/>
      <c r="M1043" s="4"/>
      <c r="N1043" s="4"/>
    </row>
    <row r="1044" spans="5:14" x14ac:dyDescent="0.2">
      <c r="E1044" s="3"/>
      <c r="F1044" s="4"/>
      <c r="G1044" s="3"/>
      <c r="H1044" s="66"/>
      <c r="I1044" s="4"/>
      <c r="J1044" s="4"/>
      <c r="K1044"/>
      <c r="L1044"/>
      <c r="M1044" s="4"/>
      <c r="N1044" s="4"/>
    </row>
    <row r="1045" spans="5:14" x14ac:dyDescent="0.2">
      <c r="E1045" s="3"/>
      <c r="F1045" s="4"/>
      <c r="G1045" s="3"/>
      <c r="H1045" s="66"/>
      <c r="I1045" s="4"/>
      <c r="J1045" s="4"/>
      <c r="K1045"/>
      <c r="L1045"/>
      <c r="M1045" s="4"/>
      <c r="N1045" s="4"/>
    </row>
    <row r="1046" spans="5:14" x14ac:dyDescent="0.2">
      <c r="E1046" s="3"/>
      <c r="F1046" s="4"/>
      <c r="G1046" s="3"/>
      <c r="H1046" s="66"/>
      <c r="I1046" s="4"/>
      <c r="J1046" s="4"/>
      <c r="K1046"/>
      <c r="L1046"/>
      <c r="M1046" s="4"/>
      <c r="N1046" s="4"/>
    </row>
    <row r="1047" spans="5:14" x14ac:dyDescent="0.2">
      <c r="E1047" s="3"/>
      <c r="F1047" s="4"/>
      <c r="G1047" s="3"/>
      <c r="H1047" s="66"/>
      <c r="I1047" s="4"/>
      <c r="J1047" s="4"/>
      <c r="K1047"/>
      <c r="L1047"/>
      <c r="M1047" s="4"/>
      <c r="N1047" s="4"/>
    </row>
    <row r="1048" spans="5:14" x14ac:dyDescent="0.2">
      <c r="E1048" s="3"/>
      <c r="F1048" s="4"/>
      <c r="G1048" s="3"/>
      <c r="H1048" s="66"/>
      <c r="I1048" s="4"/>
      <c r="J1048" s="4"/>
      <c r="K1048"/>
      <c r="L1048"/>
      <c r="M1048" s="4"/>
      <c r="N1048" s="4"/>
    </row>
    <row r="1049" spans="5:14" x14ac:dyDescent="0.2">
      <c r="E1049" s="3"/>
      <c r="F1049" s="4"/>
      <c r="G1049" s="3"/>
      <c r="H1049" s="66"/>
      <c r="I1049" s="4"/>
      <c r="J1049" s="4"/>
      <c r="K1049"/>
      <c r="L1049"/>
      <c r="M1049" s="4"/>
      <c r="N1049" s="4"/>
    </row>
    <row r="1050" spans="5:14" x14ac:dyDescent="0.2">
      <c r="E1050" s="3"/>
      <c r="F1050" s="4"/>
      <c r="G1050" s="3"/>
      <c r="H1050" s="66"/>
      <c r="I1050" s="4"/>
      <c r="J1050" s="4"/>
      <c r="K1050"/>
      <c r="L1050"/>
      <c r="M1050" s="4"/>
      <c r="N1050" s="4"/>
    </row>
    <row r="1051" spans="5:14" x14ac:dyDescent="0.2">
      <c r="E1051" s="3"/>
      <c r="F1051" s="4"/>
      <c r="G1051" s="3"/>
      <c r="H1051" s="66"/>
      <c r="I1051" s="4"/>
      <c r="J1051" s="4"/>
      <c r="K1051"/>
      <c r="L1051"/>
      <c r="M1051" s="4"/>
      <c r="N1051" s="4"/>
    </row>
    <row r="1052" spans="5:14" x14ac:dyDescent="0.2">
      <c r="E1052" s="3"/>
      <c r="F1052" s="4"/>
      <c r="G1052" s="3"/>
      <c r="H1052" s="66"/>
      <c r="I1052" s="4"/>
      <c r="J1052" s="4"/>
      <c r="K1052"/>
      <c r="L1052"/>
      <c r="M1052" s="4"/>
      <c r="N1052" s="4"/>
    </row>
    <row r="1053" spans="5:14" x14ac:dyDescent="0.2">
      <c r="E1053" s="3"/>
      <c r="F1053" s="4"/>
      <c r="G1053" s="3"/>
      <c r="H1053" s="66"/>
      <c r="I1053" s="4"/>
      <c r="J1053" s="4"/>
      <c r="K1053"/>
      <c r="L1053"/>
      <c r="M1053" s="4"/>
      <c r="N1053" s="4"/>
    </row>
    <row r="1054" spans="5:14" x14ac:dyDescent="0.2">
      <c r="E1054" s="3"/>
      <c r="F1054" s="4"/>
      <c r="G1054" s="3"/>
      <c r="H1054" s="66"/>
      <c r="I1054" s="4"/>
      <c r="J1054" s="4"/>
      <c r="K1054"/>
      <c r="L1054"/>
      <c r="M1054" s="4"/>
      <c r="N1054" s="4"/>
    </row>
    <row r="1055" spans="5:14" x14ac:dyDescent="0.2">
      <c r="E1055" s="3"/>
      <c r="F1055" s="4"/>
      <c r="G1055" s="3"/>
      <c r="H1055" s="66"/>
      <c r="I1055" s="4"/>
      <c r="J1055" s="4"/>
      <c r="K1055"/>
      <c r="L1055"/>
      <c r="M1055" s="4"/>
      <c r="N1055" s="4"/>
    </row>
    <row r="1056" spans="5:14" x14ac:dyDescent="0.2">
      <c r="E1056" s="3"/>
      <c r="F1056" s="4"/>
      <c r="G1056" s="3"/>
      <c r="H1056" s="66"/>
      <c r="I1056" s="4"/>
      <c r="J1056" s="4"/>
      <c r="K1056"/>
      <c r="L1056"/>
      <c r="M1056" s="4"/>
      <c r="N1056" s="4"/>
    </row>
    <row r="1057" spans="5:14" x14ac:dyDescent="0.2">
      <c r="E1057" s="3"/>
      <c r="F1057" s="4"/>
      <c r="G1057" s="3"/>
      <c r="H1057" s="66"/>
      <c r="I1057" s="4"/>
      <c r="J1057" s="4"/>
      <c r="K1057"/>
      <c r="L1057"/>
      <c r="M1057" s="4"/>
      <c r="N1057" s="4"/>
    </row>
    <row r="1058" spans="5:14" x14ac:dyDescent="0.2">
      <c r="E1058" s="3"/>
      <c r="F1058" s="4"/>
      <c r="G1058" s="3"/>
      <c r="H1058" s="66"/>
      <c r="I1058" s="4"/>
      <c r="J1058" s="4"/>
      <c r="K1058"/>
      <c r="L1058"/>
      <c r="M1058" s="4"/>
      <c r="N1058" s="4"/>
    </row>
    <row r="1059" spans="5:14" x14ac:dyDescent="0.2">
      <c r="E1059" s="3"/>
      <c r="F1059" s="4"/>
      <c r="G1059" s="3"/>
      <c r="H1059" s="66"/>
      <c r="I1059" s="4"/>
      <c r="J1059" s="4"/>
      <c r="K1059"/>
      <c r="L1059"/>
      <c r="M1059" s="4"/>
      <c r="N1059" s="4"/>
    </row>
    <row r="1060" spans="5:14" x14ac:dyDescent="0.2">
      <c r="E1060" s="3"/>
      <c r="F1060" s="4"/>
      <c r="G1060" s="3"/>
      <c r="H1060" s="66"/>
      <c r="I1060" s="4"/>
      <c r="J1060" s="4"/>
      <c r="K1060"/>
      <c r="L1060"/>
      <c r="M1060" s="4"/>
      <c r="N1060" s="4"/>
    </row>
    <row r="1061" spans="5:14" x14ac:dyDescent="0.2">
      <c r="E1061" s="3"/>
      <c r="F1061" s="4"/>
      <c r="G1061" s="3"/>
      <c r="H1061" s="66"/>
      <c r="I1061" s="4"/>
      <c r="J1061" s="4"/>
      <c r="K1061"/>
      <c r="L1061"/>
      <c r="M1061" s="4"/>
      <c r="N1061" s="4"/>
    </row>
    <row r="1062" spans="5:14" x14ac:dyDescent="0.2">
      <c r="E1062" s="3"/>
      <c r="F1062" s="4"/>
      <c r="G1062" s="3"/>
      <c r="H1062" s="66"/>
      <c r="I1062" s="4"/>
      <c r="J1062" s="4"/>
      <c r="K1062"/>
      <c r="L1062"/>
      <c r="M1062" s="4"/>
      <c r="N1062" s="4"/>
    </row>
    <row r="1063" spans="5:14" x14ac:dyDescent="0.2">
      <c r="E1063" s="3"/>
      <c r="F1063" s="4"/>
      <c r="G1063" s="3"/>
      <c r="H1063" s="66"/>
      <c r="I1063" s="4"/>
      <c r="J1063" s="4"/>
      <c r="K1063"/>
      <c r="L1063"/>
      <c r="M1063" s="4"/>
      <c r="N1063" s="4"/>
    </row>
    <row r="1064" spans="5:14" x14ac:dyDescent="0.2">
      <c r="E1064" s="3"/>
      <c r="F1064" s="4"/>
      <c r="G1064" s="3"/>
      <c r="H1064" s="66"/>
      <c r="I1064" s="4"/>
      <c r="J1064" s="4"/>
      <c r="K1064"/>
      <c r="L1064"/>
      <c r="M1064" s="4"/>
      <c r="N1064" s="4"/>
    </row>
    <row r="1065" spans="5:14" x14ac:dyDescent="0.2">
      <c r="E1065" s="3"/>
      <c r="F1065" s="4"/>
      <c r="G1065" s="3"/>
      <c r="H1065" s="66"/>
      <c r="I1065" s="4"/>
      <c r="J1065" s="4"/>
      <c r="K1065"/>
      <c r="L1065"/>
      <c r="M1065" s="4"/>
      <c r="N1065" s="4"/>
    </row>
    <row r="1066" spans="5:14" x14ac:dyDescent="0.2">
      <c r="E1066" s="3"/>
      <c r="F1066" s="4"/>
      <c r="G1066" s="3"/>
      <c r="H1066" s="66"/>
      <c r="I1066" s="4"/>
      <c r="J1066" s="4"/>
      <c r="K1066"/>
      <c r="L1066"/>
      <c r="M1066" s="4"/>
      <c r="N1066" s="4"/>
    </row>
    <row r="1067" spans="5:14" x14ac:dyDescent="0.2">
      <c r="E1067" s="3"/>
      <c r="F1067" s="4"/>
      <c r="G1067" s="3"/>
      <c r="H1067" s="66"/>
      <c r="I1067" s="4"/>
      <c r="J1067" s="4"/>
      <c r="K1067"/>
      <c r="L1067"/>
      <c r="M1067" s="4"/>
      <c r="N1067" s="4"/>
    </row>
    <row r="1068" spans="5:14" x14ac:dyDescent="0.2">
      <c r="E1068" s="3"/>
      <c r="F1068" s="4"/>
      <c r="G1068" s="3"/>
      <c r="H1068" s="66"/>
      <c r="I1068" s="4"/>
      <c r="J1068" s="4"/>
      <c r="K1068"/>
      <c r="L1068"/>
      <c r="M1068" s="4"/>
      <c r="N1068" s="4"/>
    </row>
    <row r="1069" spans="5:14" x14ac:dyDescent="0.2">
      <c r="E1069" s="3"/>
      <c r="F1069" s="4"/>
      <c r="G1069" s="3"/>
      <c r="H1069" s="66"/>
      <c r="I1069" s="4"/>
      <c r="J1069" s="4"/>
      <c r="K1069"/>
      <c r="L1069"/>
      <c r="M1069" s="4"/>
      <c r="N1069" s="4"/>
    </row>
    <row r="1070" spans="5:14" x14ac:dyDescent="0.2">
      <c r="E1070" s="3"/>
      <c r="F1070" s="4"/>
      <c r="G1070" s="3"/>
      <c r="H1070" s="66"/>
      <c r="I1070" s="4"/>
      <c r="J1070" s="4"/>
      <c r="K1070"/>
      <c r="L1070"/>
      <c r="M1070" s="4"/>
      <c r="N1070" s="4"/>
    </row>
    <row r="1071" spans="5:14" x14ac:dyDescent="0.2">
      <c r="E1071" s="3"/>
      <c r="F1071" s="4"/>
      <c r="G1071" s="3"/>
      <c r="H1071" s="66"/>
      <c r="I1071" s="4"/>
      <c r="J1071" s="4"/>
      <c r="K1071"/>
      <c r="L1071"/>
      <c r="M1071" s="4"/>
      <c r="N1071" s="4"/>
    </row>
    <row r="1072" spans="5:14" x14ac:dyDescent="0.2">
      <c r="E1072" s="3"/>
      <c r="F1072" s="4"/>
      <c r="G1072" s="3"/>
      <c r="H1072" s="66"/>
      <c r="I1072" s="4"/>
      <c r="J1072" s="4"/>
      <c r="K1072"/>
      <c r="L1072"/>
      <c r="M1072" s="4"/>
      <c r="N1072" s="4"/>
    </row>
    <row r="1073" spans="5:14" x14ac:dyDescent="0.2">
      <c r="E1073" s="3"/>
      <c r="F1073" s="4"/>
      <c r="G1073" s="3"/>
      <c r="H1073" s="66"/>
      <c r="I1073" s="4"/>
      <c r="J1073" s="4"/>
      <c r="K1073"/>
      <c r="L1073"/>
      <c r="M1073" s="4"/>
      <c r="N1073" s="4"/>
    </row>
    <row r="1074" spans="5:14" x14ac:dyDescent="0.2">
      <c r="E1074" s="3"/>
      <c r="F1074" s="4"/>
      <c r="G1074" s="3"/>
      <c r="H1074" s="66"/>
      <c r="I1074" s="4"/>
      <c r="J1074" s="4"/>
      <c r="K1074"/>
      <c r="L1074"/>
      <c r="M1074" s="4"/>
      <c r="N1074" s="4"/>
    </row>
    <row r="1075" spans="5:14" x14ac:dyDescent="0.2">
      <c r="E1075" s="3"/>
      <c r="F1075" s="4"/>
      <c r="G1075" s="3"/>
      <c r="H1075" s="66"/>
      <c r="I1075" s="4"/>
      <c r="J1075" s="4"/>
      <c r="K1075"/>
      <c r="L1075"/>
      <c r="M1075" s="4"/>
      <c r="N1075" s="4"/>
    </row>
    <row r="1076" spans="5:14" x14ac:dyDescent="0.2">
      <c r="E1076" s="3"/>
      <c r="F1076" s="4"/>
      <c r="G1076" s="3"/>
      <c r="H1076" s="66"/>
      <c r="I1076" s="4"/>
      <c r="J1076" s="4"/>
      <c r="K1076"/>
      <c r="L1076"/>
      <c r="M1076" s="4"/>
      <c r="N1076" s="4"/>
    </row>
    <row r="1077" spans="5:14" x14ac:dyDescent="0.2">
      <c r="E1077" s="3"/>
      <c r="F1077" s="4"/>
      <c r="G1077" s="3"/>
      <c r="H1077" s="66"/>
      <c r="I1077" s="4"/>
      <c r="J1077" s="4"/>
      <c r="K1077"/>
      <c r="L1077"/>
      <c r="M1077" s="4"/>
      <c r="N1077" s="4"/>
    </row>
    <row r="1078" spans="5:14" x14ac:dyDescent="0.2">
      <c r="E1078" s="3"/>
      <c r="F1078" s="4"/>
      <c r="G1078" s="3"/>
      <c r="H1078" s="66"/>
      <c r="I1078" s="4"/>
      <c r="J1078" s="4"/>
      <c r="K1078"/>
      <c r="L1078"/>
      <c r="M1078" s="4"/>
      <c r="N1078" s="4"/>
    </row>
    <row r="1079" spans="5:14" x14ac:dyDescent="0.2">
      <c r="E1079" s="3"/>
      <c r="F1079" s="4"/>
      <c r="G1079" s="3"/>
      <c r="H1079" s="66"/>
      <c r="I1079" s="4"/>
      <c r="J1079" s="4"/>
      <c r="K1079"/>
      <c r="L1079"/>
      <c r="M1079" s="4"/>
      <c r="N1079" s="4"/>
    </row>
    <row r="1080" spans="5:14" x14ac:dyDescent="0.2">
      <c r="E1080" s="3"/>
      <c r="F1080" s="4"/>
      <c r="G1080" s="3"/>
      <c r="H1080" s="66"/>
      <c r="I1080" s="4"/>
      <c r="J1080" s="4"/>
      <c r="K1080"/>
      <c r="L1080"/>
      <c r="M1080" s="4"/>
      <c r="N1080" s="4"/>
    </row>
    <row r="1081" spans="5:14" x14ac:dyDescent="0.2">
      <c r="E1081" s="3"/>
      <c r="F1081" s="4"/>
      <c r="G1081" s="3"/>
      <c r="H1081" s="66"/>
      <c r="I1081" s="4"/>
      <c r="J1081" s="4"/>
      <c r="K1081"/>
      <c r="L1081"/>
      <c r="M1081" s="4"/>
      <c r="N1081" s="4"/>
    </row>
    <row r="1082" spans="5:14" x14ac:dyDescent="0.2">
      <c r="E1082" s="3"/>
      <c r="F1082" s="4"/>
      <c r="G1082" s="3"/>
      <c r="H1082" s="66"/>
      <c r="I1082" s="4"/>
      <c r="J1082" s="4"/>
      <c r="K1082"/>
      <c r="L1082"/>
      <c r="M1082" s="4"/>
      <c r="N1082" s="4"/>
    </row>
    <row r="1083" spans="5:14" x14ac:dyDescent="0.2">
      <c r="E1083" s="3"/>
      <c r="F1083" s="4"/>
      <c r="G1083" s="3"/>
      <c r="H1083" s="66"/>
      <c r="I1083" s="4"/>
      <c r="J1083" s="4"/>
      <c r="K1083"/>
      <c r="L1083"/>
      <c r="M1083" s="4"/>
      <c r="N1083" s="4"/>
    </row>
    <row r="1084" spans="5:14" x14ac:dyDescent="0.2">
      <c r="E1084" s="3"/>
      <c r="F1084" s="4"/>
      <c r="G1084" s="3"/>
      <c r="H1084" s="66"/>
      <c r="I1084" s="4"/>
      <c r="J1084" s="4"/>
      <c r="K1084"/>
      <c r="L1084"/>
      <c r="M1084" s="4"/>
      <c r="N1084" s="4"/>
    </row>
    <row r="1085" spans="5:14" x14ac:dyDescent="0.2">
      <c r="E1085" s="3"/>
      <c r="F1085" s="4"/>
      <c r="G1085" s="3"/>
      <c r="H1085" s="66"/>
      <c r="I1085" s="4"/>
      <c r="J1085" s="4"/>
      <c r="K1085"/>
      <c r="L1085"/>
      <c r="M1085" s="4"/>
      <c r="N1085" s="4"/>
    </row>
    <row r="1086" spans="5:14" x14ac:dyDescent="0.2">
      <c r="E1086" s="3"/>
      <c r="F1086" s="4"/>
      <c r="G1086" s="3"/>
      <c r="H1086" s="66"/>
      <c r="I1086" s="4"/>
      <c r="J1086" s="4"/>
      <c r="K1086"/>
      <c r="L1086"/>
      <c r="M1086" s="4"/>
      <c r="N1086" s="4"/>
    </row>
    <row r="1087" spans="5:14" x14ac:dyDescent="0.2">
      <c r="E1087" s="3"/>
      <c r="F1087" s="4"/>
      <c r="G1087" s="3"/>
      <c r="H1087" s="66"/>
      <c r="I1087" s="4"/>
      <c r="J1087" s="4"/>
      <c r="K1087"/>
      <c r="L1087"/>
      <c r="M1087" s="4"/>
      <c r="N1087" s="4"/>
    </row>
    <row r="1088" spans="5:14" x14ac:dyDescent="0.2">
      <c r="E1088" s="3"/>
      <c r="F1088" s="4"/>
      <c r="G1088" s="3"/>
      <c r="H1088" s="66"/>
      <c r="I1088" s="4"/>
      <c r="J1088" s="4"/>
      <c r="K1088"/>
      <c r="L1088"/>
      <c r="M1088" s="4"/>
      <c r="N1088" s="4"/>
    </row>
    <row r="1089" spans="5:14" x14ac:dyDescent="0.2">
      <c r="E1089" s="3"/>
      <c r="F1089" s="4"/>
      <c r="G1089" s="3"/>
      <c r="H1089" s="66"/>
      <c r="I1089" s="4"/>
      <c r="J1089" s="4"/>
      <c r="K1089"/>
      <c r="L1089"/>
      <c r="M1089" s="4"/>
      <c r="N1089" s="4"/>
    </row>
    <row r="1090" spans="5:14" x14ac:dyDescent="0.2">
      <c r="E1090" s="3"/>
      <c r="F1090" s="4"/>
      <c r="G1090" s="3"/>
      <c r="H1090" s="66"/>
      <c r="I1090" s="4"/>
      <c r="J1090" s="4"/>
      <c r="K1090"/>
      <c r="L1090"/>
      <c r="M1090" s="4"/>
      <c r="N1090" s="4"/>
    </row>
    <row r="1091" spans="5:14" x14ac:dyDescent="0.2">
      <c r="E1091" s="3"/>
      <c r="F1091" s="4"/>
      <c r="G1091" s="3"/>
      <c r="H1091" s="66"/>
      <c r="I1091" s="4"/>
      <c r="J1091" s="4"/>
      <c r="K1091"/>
      <c r="L1091"/>
      <c r="M1091" s="4"/>
      <c r="N1091" s="4"/>
    </row>
    <row r="1092" spans="5:14" x14ac:dyDescent="0.2">
      <c r="E1092" s="3"/>
      <c r="F1092" s="4"/>
      <c r="G1092" s="3"/>
      <c r="H1092" s="66"/>
      <c r="I1092" s="4"/>
      <c r="J1092" s="4"/>
      <c r="K1092"/>
      <c r="L1092"/>
      <c r="M1092" s="4"/>
      <c r="N1092" s="4"/>
    </row>
    <row r="1093" spans="5:14" x14ac:dyDescent="0.2">
      <c r="E1093" s="3"/>
      <c r="F1093" s="4"/>
      <c r="G1093" s="3"/>
      <c r="H1093" s="66"/>
      <c r="I1093" s="4"/>
      <c r="J1093" s="4"/>
      <c r="K1093"/>
      <c r="L1093"/>
      <c r="M1093" s="4"/>
      <c r="N1093" s="4"/>
    </row>
    <row r="1094" spans="5:14" x14ac:dyDescent="0.2">
      <c r="E1094" s="3"/>
      <c r="F1094" s="4"/>
      <c r="G1094" s="3"/>
      <c r="H1094" s="66"/>
      <c r="I1094" s="4"/>
      <c r="J1094" s="4"/>
      <c r="K1094"/>
      <c r="L1094"/>
      <c r="M1094" s="4"/>
      <c r="N1094" s="4"/>
    </row>
    <row r="1095" spans="5:14" x14ac:dyDescent="0.2">
      <c r="E1095" s="3"/>
      <c r="F1095" s="4"/>
      <c r="G1095" s="3"/>
      <c r="H1095" s="66"/>
      <c r="I1095" s="4"/>
      <c r="J1095" s="4"/>
      <c r="K1095"/>
      <c r="L1095"/>
      <c r="M1095" s="4"/>
      <c r="N1095" s="4"/>
    </row>
    <row r="1096" spans="5:14" x14ac:dyDescent="0.2">
      <c r="E1096" s="3"/>
      <c r="F1096" s="4"/>
      <c r="G1096" s="3"/>
      <c r="H1096" s="66"/>
      <c r="I1096" s="4"/>
      <c r="J1096" s="4"/>
      <c r="K1096"/>
      <c r="L1096"/>
      <c r="M1096" s="4"/>
      <c r="N1096" s="4"/>
    </row>
    <row r="1097" spans="5:14" x14ac:dyDescent="0.2">
      <c r="E1097" s="3"/>
      <c r="F1097" s="4"/>
      <c r="G1097" s="3"/>
      <c r="H1097" s="66"/>
      <c r="I1097" s="4"/>
      <c r="J1097" s="4"/>
      <c r="K1097"/>
      <c r="L1097"/>
      <c r="M1097" s="4"/>
      <c r="N1097" s="4"/>
    </row>
    <row r="1098" spans="5:14" x14ac:dyDescent="0.2">
      <c r="E1098" s="3"/>
      <c r="F1098" s="4"/>
      <c r="G1098" s="3"/>
      <c r="H1098" s="66"/>
      <c r="I1098" s="4"/>
      <c r="J1098" s="4"/>
      <c r="K1098"/>
      <c r="L1098"/>
      <c r="M1098" s="4"/>
      <c r="N1098" s="4"/>
    </row>
    <row r="1099" spans="5:14" x14ac:dyDescent="0.2">
      <c r="E1099" s="3"/>
      <c r="F1099" s="4"/>
      <c r="G1099" s="3"/>
      <c r="H1099" s="66"/>
      <c r="I1099" s="4"/>
      <c r="J1099" s="4"/>
      <c r="K1099"/>
      <c r="L1099"/>
      <c r="M1099" s="4"/>
      <c r="N1099" s="4"/>
    </row>
    <row r="1100" spans="5:14" x14ac:dyDescent="0.2">
      <c r="E1100" s="3"/>
      <c r="F1100" s="4"/>
      <c r="G1100" s="3"/>
      <c r="H1100" s="66"/>
      <c r="I1100" s="4"/>
      <c r="J1100" s="4"/>
      <c r="K1100"/>
      <c r="L1100"/>
      <c r="M1100" s="4"/>
      <c r="N1100" s="4"/>
    </row>
    <row r="1101" spans="5:14" x14ac:dyDescent="0.2">
      <c r="E1101" s="3"/>
      <c r="F1101" s="4"/>
      <c r="G1101" s="3"/>
      <c r="H1101" s="66"/>
      <c r="I1101" s="4"/>
      <c r="J1101" s="4"/>
      <c r="K1101"/>
      <c r="L1101"/>
      <c r="M1101" s="4"/>
      <c r="N1101" s="4"/>
    </row>
    <row r="1102" spans="5:14" x14ac:dyDescent="0.2">
      <c r="E1102" s="3"/>
      <c r="F1102" s="4"/>
      <c r="G1102" s="3"/>
      <c r="H1102" s="66"/>
      <c r="I1102" s="4"/>
      <c r="J1102" s="4"/>
      <c r="K1102"/>
      <c r="L1102"/>
      <c r="M1102" s="4"/>
      <c r="N1102" s="4"/>
    </row>
    <row r="1103" spans="5:14" x14ac:dyDescent="0.2">
      <c r="E1103" s="3"/>
      <c r="F1103" s="4"/>
      <c r="G1103" s="3"/>
      <c r="H1103" s="66"/>
      <c r="I1103" s="4"/>
      <c r="J1103" s="4"/>
      <c r="K1103"/>
      <c r="L1103"/>
      <c r="M1103" s="4"/>
      <c r="N1103" s="4"/>
    </row>
    <row r="1104" spans="5:14" x14ac:dyDescent="0.2">
      <c r="E1104" s="3"/>
      <c r="F1104" s="4"/>
      <c r="G1104" s="3"/>
      <c r="H1104" s="66"/>
      <c r="I1104" s="4"/>
      <c r="J1104" s="4"/>
      <c r="K1104"/>
      <c r="L1104"/>
      <c r="M1104" s="4"/>
      <c r="N1104" s="4"/>
    </row>
    <row r="1105" spans="5:14" x14ac:dyDescent="0.2">
      <c r="E1105" s="3"/>
      <c r="F1105" s="4"/>
      <c r="G1105" s="3"/>
      <c r="H1105" s="66"/>
      <c r="I1105" s="4"/>
      <c r="J1105" s="4"/>
      <c r="K1105"/>
      <c r="L1105"/>
      <c r="M1105" s="4"/>
      <c r="N1105" s="4"/>
    </row>
    <row r="1106" spans="5:14" x14ac:dyDescent="0.2">
      <c r="E1106" s="3"/>
      <c r="F1106" s="4"/>
      <c r="G1106" s="3"/>
      <c r="H1106" s="66"/>
      <c r="I1106" s="4"/>
      <c r="J1106" s="4"/>
      <c r="K1106"/>
      <c r="L1106"/>
      <c r="M1106" s="4"/>
      <c r="N1106" s="4"/>
    </row>
    <row r="1107" spans="5:14" x14ac:dyDescent="0.2">
      <c r="E1107" s="3"/>
      <c r="F1107" s="4"/>
      <c r="G1107" s="3"/>
      <c r="H1107" s="66"/>
      <c r="I1107" s="4"/>
      <c r="J1107" s="4"/>
      <c r="K1107"/>
      <c r="L1107"/>
      <c r="M1107" s="4"/>
      <c r="N1107" s="4"/>
    </row>
    <row r="1108" spans="5:14" x14ac:dyDescent="0.2">
      <c r="E1108" s="3"/>
      <c r="F1108" s="4"/>
      <c r="G1108" s="3"/>
      <c r="H1108" s="66"/>
      <c r="I1108" s="4"/>
      <c r="J1108" s="4"/>
      <c r="K1108"/>
      <c r="L1108"/>
      <c r="M1108" s="4"/>
      <c r="N1108" s="4"/>
    </row>
    <row r="1109" spans="5:14" x14ac:dyDescent="0.2">
      <c r="E1109" s="3"/>
      <c r="F1109" s="4"/>
      <c r="G1109" s="3"/>
      <c r="H1109" s="66"/>
      <c r="I1109" s="4"/>
      <c r="J1109" s="4"/>
      <c r="K1109"/>
      <c r="L1109"/>
      <c r="M1109" s="4"/>
      <c r="N1109" s="4"/>
    </row>
    <row r="1110" spans="5:14" x14ac:dyDescent="0.2">
      <c r="E1110" s="3"/>
      <c r="F1110" s="4"/>
      <c r="G1110" s="3"/>
      <c r="H1110" s="66"/>
      <c r="I1110" s="4"/>
      <c r="J1110" s="4"/>
      <c r="K1110"/>
      <c r="L1110"/>
      <c r="M1110" s="4"/>
      <c r="N1110" s="4"/>
    </row>
    <row r="1111" spans="5:14" x14ac:dyDescent="0.2">
      <c r="E1111" s="3"/>
      <c r="F1111" s="4"/>
      <c r="G1111" s="3"/>
      <c r="H1111" s="66"/>
      <c r="I1111" s="4"/>
      <c r="J1111" s="4"/>
      <c r="K1111"/>
      <c r="L1111"/>
      <c r="M1111" s="4"/>
      <c r="N1111" s="4"/>
    </row>
    <row r="1112" spans="5:14" x14ac:dyDescent="0.2">
      <c r="E1112" s="3"/>
      <c r="F1112" s="4"/>
      <c r="G1112" s="3"/>
      <c r="H1112" s="66"/>
      <c r="I1112" s="4"/>
      <c r="J1112" s="4"/>
      <c r="K1112"/>
      <c r="L1112"/>
      <c r="M1112" s="4"/>
      <c r="N1112" s="4"/>
    </row>
    <row r="1113" spans="5:14" x14ac:dyDescent="0.2">
      <c r="E1113" s="3"/>
      <c r="F1113" s="4"/>
      <c r="G1113" s="3"/>
      <c r="H1113" s="66"/>
      <c r="I1113" s="4"/>
      <c r="J1113" s="4"/>
      <c r="K1113"/>
      <c r="L1113"/>
      <c r="M1113" s="4"/>
      <c r="N1113" s="4"/>
    </row>
    <row r="1114" spans="5:14" x14ac:dyDescent="0.2">
      <c r="E1114" s="3"/>
      <c r="F1114" s="4"/>
      <c r="G1114" s="3"/>
      <c r="H1114" s="66"/>
      <c r="I1114" s="4"/>
      <c r="J1114" s="4"/>
      <c r="K1114"/>
      <c r="L1114"/>
      <c r="M1114" s="4"/>
      <c r="N1114" s="4"/>
    </row>
    <row r="1115" spans="5:14" x14ac:dyDescent="0.2">
      <c r="E1115" s="3"/>
      <c r="F1115" s="4"/>
      <c r="G1115" s="3"/>
      <c r="H1115" s="66"/>
      <c r="I1115" s="4"/>
      <c r="J1115" s="4"/>
      <c r="K1115"/>
      <c r="L1115"/>
      <c r="M1115" s="4"/>
      <c r="N1115" s="4"/>
    </row>
    <row r="1116" spans="5:14" x14ac:dyDescent="0.2">
      <c r="E1116" s="3"/>
      <c r="F1116" s="4"/>
      <c r="G1116" s="3"/>
      <c r="H1116" s="66"/>
      <c r="I1116" s="4"/>
      <c r="J1116" s="4"/>
      <c r="K1116"/>
      <c r="L1116"/>
      <c r="M1116" s="4"/>
      <c r="N1116" s="4"/>
    </row>
    <row r="1117" spans="5:14" x14ac:dyDescent="0.2">
      <c r="E1117" s="3"/>
      <c r="F1117" s="4"/>
      <c r="G1117" s="3"/>
      <c r="H1117" s="66"/>
      <c r="I1117" s="4"/>
      <c r="J1117" s="4"/>
      <c r="K1117"/>
      <c r="L1117"/>
      <c r="M1117" s="4"/>
      <c r="N1117" s="4"/>
    </row>
    <row r="1118" spans="5:14" x14ac:dyDescent="0.2">
      <c r="E1118" s="3"/>
      <c r="F1118" s="4"/>
      <c r="G1118" s="3"/>
      <c r="H1118" s="66"/>
      <c r="I1118" s="4"/>
      <c r="J1118" s="4"/>
      <c r="K1118"/>
      <c r="L1118"/>
      <c r="M1118" s="4"/>
      <c r="N1118" s="4"/>
    </row>
    <row r="1119" spans="5:14" x14ac:dyDescent="0.2">
      <c r="E1119" s="3"/>
      <c r="F1119" s="4"/>
      <c r="G1119" s="3"/>
      <c r="H1119" s="66"/>
      <c r="I1119" s="4"/>
      <c r="J1119" s="4"/>
      <c r="K1119"/>
      <c r="L1119"/>
      <c r="M1119" s="4"/>
      <c r="N1119" s="4"/>
    </row>
    <row r="1120" spans="5:14" x14ac:dyDescent="0.2">
      <c r="E1120" s="3"/>
      <c r="F1120" s="4"/>
      <c r="G1120" s="3"/>
      <c r="H1120" s="66"/>
      <c r="I1120" s="4"/>
      <c r="J1120" s="4"/>
      <c r="K1120"/>
      <c r="L1120"/>
      <c r="M1120" s="4"/>
      <c r="N1120" s="4"/>
    </row>
    <row r="1121" spans="5:14" x14ac:dyDescent="0.2">
      <c r="E1121" s="3"/>
      <c r="F1121" s="4"/>
      <c r="G1121" s="3"/>
      <c r="H1121" s="66"/>
      <c r="I1121" s="4"/>
      <c r="J1121" s="4"/>
      <c r="K1121"/>
      <c r="L1121"/>
      <c r="M1121" s="4"/>
      <c r="N1121" s="4"/>
    </row>
    <row r="1122" spans="5:14" x14ac:dyDescent="0.2">
      <c r="E1122" s="3"/>
      <c r="F1122" s="4"/>
      <c r="G1122" s="3"/>
      <c r="H1122" s="66"/>
      <c r="I1122" s="4"/>
      <c r="J1122" s="4"/>
      <c r="K1122"/>
      <c r="L1122"/>
      <c r="M1122" s="4"/>
      <c r="N1122" s="4"/>
    </row>
    <row r="1123" spans="5:14" x14ac:dyDescent="0.2">
      <c r="E1123" s="3"/>
      <c r="F1123" s="4"/>
      <c r="G1123" s="3"/>
      <c r="H1123" s="66"/>
      <c r="I1123" s="4"/>
      <c r="J1123" s="4"/>
      <c r="K1123"/>
      <c r="L1123"/>
      <c r="M1123" s="4"/>
      <c r="N1123" s="4"/>
    </row>
    <row r="1124" spans="5:14" x14ac:dyDescent="0.2">
      <c r="E1124" s="3"/>
      <c r="F1124" s="4"/>
      <c r="G1124" s="3"/>
      <c r="H1124" s="66"/>
      <c r="I1124" s="4"/>
      <c r="J1124" s="4"/>
      <c r="K1124"/>
      <c r="L1124"/>
      <c r="M1124" s="4"/>
      <c r="N1124" s="4"/>
    </row>
    <row r="1125" spans="5:14" x14ac:dyDescent="0.2">
      <c r="E1125" s="3"/>
      <c r="F1125" s="4"/>
      <c r="G1125" s="3"/>
      <c r="H1125" s="66"/>
      <c r="I1125" s="4"/>
      <c r="J1125" s="4"/>
      <c r="K1125"/>
      <c r="L1125"/>
      <c r="M1125" s="4"/>
      <c r="N1125" s="4"/>
    </row>
    <row r="1126" spans="5:14" x14ac:dyDescent="0.2">
      <c r="E1126" s="3"/>
      <c r="F1126" s="4"/>
      <c r="G1126" s="3"/>
      <c r="H1126" s="66"/>
      <c r="I1126" s="4"/>
      <c r="J1126" s="4"/>
      <c r="K1126"/>
      <c r="L1126"/>
      <c r="M1126" s="4"/>
      <c r="N1126" s="4"/>
    </row>
    <row r="1127" spans="5:14" x14ac:dyDescent="0.2">
      <c r="E1127" s="3"/>
      <c r="F1127" s="4"/>
      <c r="G1127" s="3"/>
      <c r="H1127" s="66"/>
      <c r="I1127" s="4"/>
      <c r="J1127" s="4"/>
      <c r="K1127"/>
      <c r="L1127"/>
      <c r="M1127" s="4"/>
      <c r="N1127" s="4"/>
    </row>
    <row r="1128" spans="5:14" x14ac:dyDescent="0.2">
      <c r="E1128" s="3"/>
      <c r="F1128" s="4"/>
      <c r="G1128" s="3"/>
      <c r="H1128" s="66"/>
      <c r="I1128" s="4"/>
      <c r="J1128" s="4"/>
      <c r="K1128"/>
      <c r="L1128"/>
      <c r="M1128" s="4"/>
      <c r="N1128" s="4"/>
    </row>
    <row r="1129" spans="5:14" x14ac:dyDescent="0.2">
      <c r="E1129" s="3"/>
      <c r="F1129" s="4"/>
      <c r="G1129" s="3"/>
      <c r="H1129" s="66"/>
      <c r="I1129" s="4"/>
      <c r="J1129" s="4"/>
      <c r="K1129"/>
      <c r="L1129"/>
      <c r="M1129" s="4"/>
      <c r="N1129" s="4"/>
    </row>
    <row r="1130" spans="5:14" x14ac:dyDescent="0.2">
      <c r="E1130" s="3"/>
      <c r="F1130" s="4"/>
      <c r="G1130" s="3"/>
      <c r="H1130" s="66"/>
      <c r="I1130" s="4"/>
      <c r="J1130" s="4"/>
      <c r="K1130"/>
      <c r="L1130"/>
      <c r="M1130" s="4"/>
      <c r="N1130" s="4"/>
    </row>
    <row r="1131" spans="5:14" x14ac:dyDescent="0.2">
      <c r="E1131" s="3"/>
      <c r="F1131" s="4"/>
      <c r="G1131" s="3"/>
      <c r="H1131" s="66"/>
      <c r="I1131" s="4"/>
      <c r="J1131" s="4"/>
      <c r="K1131"/>
      <c r="L1131"/>
      <c r="M1131" s="4"/>
      <c r="N1131" s="4"/>
    </row>
    <row r="1132" spans="5:14" x14ac:dyDescent="0.2">
      <c r="E1132" s="3"/>
      <c r="F1132" s="4"/>
      <c r="G1132" s="3"/>
      <c r="H1132" s="66"/>
      <c r="I1132" s="4"/>
      <c r="J1132" s="4"/>
      <c r="K1132"/>
      <c r="L1132"/>
      <c r="M1132" s="4"/>
      <c r="N1132" s="4"/>
    </row>
    <row r="1133" spans="5:14" x14ac:dyDescent="0.2">
      <c r="E1133" s="3"/>
      <c r="F1133" s="4"/>
      <c r="G1133" s="3"/>
      <c r="H1133" s="66"/>
      <c r="I1133" s="4"/>
      <c r="J1133" s="4"/>
      <c r="K1133"/>
      <c r="L1133"/>
      <c r="M1133" s="4"/>
      <c r="N1133" s="4"/>
    </row>
    <row r="1134" spans="5:14" x14ac:dyDescent="0.2">
      <c r="E1134" s="3"/>
      <c r="F1134" s="4"/>
      <c r="G1134" s="3"/>
      <c r="H1134" s="66"/>
      <c r="I1134" s="4"/>
      <c r="J1134" s="4"/>
      <c r="K1134"/>
      <c r="L1134"/>
      <c r="M1134" s="4"/>
      <c r="N1134" s="4"/>
    </row>
    <row r="1135" spans="5:14" x14ac:dyDescent="0.2">
      <c r="E1135" s="3"/>
      <c r="F1135" s="4"/>
      <c r="G1135" s="3"/>
      <c r="H1135" s="66"/>
      <c r="I1135" s="4"/>
      <c r="J1135" s="4"/>
      <c r="K1135"/>
      <c r="L1135"/>
      <c r="M1135" s="4"/>
      <c r="N1135" s="4"/>
    </row>
    <row r="1136" spans="5:14" x14ac:dyDescent="0.2">
      <c r="E1136" s="3"/>
      <c r="F1136" s="4"/>
      <c r="G1136" s="3"/>
      <c r="H1136" s="66"/>
      <c r="I1136" s="4"/>
      <c r="J1136" s="4"/>
      <c r="K1136"/>
      <c r="L1136"/>
      <c r="M1136" s="4"/>
      <c r="N1136" s="4"/>
    </row>
    <row r="1137" spans="5:14" x14ac:dyDescent="0.2">
      <c r="E1137" s="3"/>
      <c r="F1137" s="4"/>
      <c r="G1137" s="3"/>
      <c r="H1137" s="66"/>
      <c r="I1137" s="4"/>
      <c r="J1137" s="4"/>
      <c r="K1137"/>
      <c r="L1137"/>
      <c r="M1137" s="4"/>
      <c r="N1137" s="4"/>
    </row>
    <row r="1138" spans="5:14" x14ac:dyDescent="0.2">
      <c r="E1138" s="3"/>
      <c r="F1138" s="4"/>
      <c r="G1138" s="3"/>
      <c r="H1138" s="66"/>
      <c r="I1138" s="4"/>
      <c r="J1138" s="4"/>
      <c r="K1138"/>
      <c r="L1138"/>
      <c r="M1138" s="4"/>
      <c r="N1138" s="4"/>
    </row>
    <row r="1139" spans="5:14" x14ac:dyDescent="0.2">
      <c r="E1139" s="3"/>
      <c r="F1139" s="4"/>
      <c r="G1139" s="3"/>
      <c r="H1139" s="66"/>
      <c r="I1139" s="4"/>
      <c r="J1139" s="4"/>
      <c r="K1139"/>
      <c r="L1139"/>
      <c r="M1139" s="4"/>
      <c r="N1139" s="4"/>
    </row>
    <row r="1140" spans="5:14" x14ac:dyDescent="0.2">
      <c r="E1140" s="3"/>
      <c r="F1140" s="4"/>
      <c r="G1140" s="3"/>
      <c r="H1140" s="66"/>
      <c r="I1140" s="4"/>
      <c r="J1140" s="4"/>
      <c r="K1140"/>
      <c r="L1140"/>
      <c r="M1140" s="4"/>
      <c r="N1140" s="4"/>
    </row>
    <row r="1141" spans="5:14" x14ac:dyDescent="0.2">
      <c r="E1141" s="3"/>
      <c r="F1141" s="4"/>
      <c r="G1141" s="3"/>
      <c r="H1141" s="66"/>
      <c r="I1141" s="4"/>
      <c r="J1141" s="4"/>
      <c r="K1141"/>
      <c r="L1141"/>
      <c r="M1141" s="4"/>
      <c r="N1141" s="4"/>
    </row>
    <row r="1142" spans="5:14" x14ac:dyDescent="0.2">
      <c r="E1142" s="3"/>
      <c r="F1142" s="4"/>
      <c r="G1142" s="3"/>
      <c r="H1142" s="66"/>
      <c r="I1142" s="4"/>
      <c r="J1142" s="4"/>
      <c r="K1142"/>
      <c r="L1142"/>
      <c r="M1142" s="4"/>
      <c r="N1142" s="4"/>
    </row>
    <row r="1143" spans="5:14" x14ac:dyDescent="0.2">
      <c r="E1143" s="3"/>
      <c r="F1143" s="4"/>
      <c r="G1143" s="3"/>
      <c r="H1143" s="66"/>
      <c r="I1143" s="4"/>
      <c r="J1143" s="4"/>
      <c r="K1143"/>
      <c r="L1143"/>
      <c r="M1143" s="4"/>
      <c r="N1143" s="4"/>
    </row>
    <row r="1144" spans="5:14" x14ac:dyDescent="0.2">
      <c r="E1144" s="3"/>
      <c r="F1144" s="4"/>
      <c r="G1144" s="3"/>
      <c r="H1144" s="66"/>
      <c r="I1144" s="4"/>
      <c r="J1144" s="4"/>
      <c r="K1144"/>
      <c r="L1144"/>
      <c r="M1144" s="4"/>
      <c r="N1144" s="4"/>
    </row>
    <row r="1145" spans="5:14" x14ac:dyDescent="0.2">
      <c r="E1145" s="3"/>
      <c r="F1145" s="4"/>
      <c r="G1145" s="3"/>
      <c r="H1145" s="66"/>
      <c r="I1145" s="4"/>
      <c r="J1145" s="4"/>
      <c r="K1145"/>
      <c r="L1145"/>
      <c r="M1145" s="4"/>
      <c r="N1145" s="4"/>
    </row>
    <row r="1146" spans="5:14" x14ac:dyDescent="0.2">
      <c r="E1146" s="3"/>
      <c r="F1146" s="4"/>
      <c r="G1146" s="3"/>
      <c r="H1146" s="66"/>
      <c r="I1146" s="4"/>
      <c r="J1146" s="4"/>
      <c r="K1146"/>
      <c r="L1146"/>
      <c r="M1146" s="4"/>
      <c r="N1146" s="4"/>
    </row>
    <row r="1147" spans="5:14" x14ac:dyDescent="0.2">
      <c r="E1147" s="3"/>
      <c r="F1147" s="4"/>
      <c r="G1147" s="3"/>
      <c r="H1147" s="66"/>
      <c r="I1147" s="4"/>
      <c r="J1147" s="4"/>
      <c r="K1147"/>
      <c r="L1147"/>
      <c r="M1147" s="4"/>
      <c r="N1147" s="4"/>
    </row>
    <row r="1148" spans="5:14" x14ac:dyDescent="0.2">
      <c r="E1148" s="3"/>
      <c r="F1148" s="4"/>
      <c r="G1148" s="3"/>
      <c r="H1148" s="66"/>
      <c r="I1148" s="4"/>
      <c r="J1148" s="4"/>
      <c r="K1148"/>
      <c r="L1148"/>
      <c r="M1148" s="4"/>
      <c r="N1148" s="4"/>
    </row>
    <row r="1149" spans="5:14" x14ac:dyDescent="0.2">
      <c r="E1149" s="3"/>
      <c r="F1149" s="4"/>
      <c r="G1149" s="3"/>
      <c r="H1149" s="66"/>
      <c r="I1149" s="4"/>
      <c r="J1149" s="4"/>
      <c r="K1149"/>
      <c r="L1149"/>
      <c r="M1149" s="4"/>
      <c r="N1149" s="4"/>
    </row>
    <row r="1150" spans="5:14" x14ac:dyDescent="0.2">
      <c r="E1150" s="3"/>
      <c r="F1150" s="4"/>
      <c r="G1150" s="3"/>
      <c r="H1150" s="66"/>
      <c r="I1150" s="4"/>
      <c r="J1150" s="4"/>
      <c r="K1150"/>
      <c r="L1150"/>
      <c r="M1150" s="4"/>
      <c r="N1150" s="4"/>
    </row>
    <row r="1151" spans="5:14" x14ac:dyDescent="0.2">
      <c r="E1151" s="3"/>
      <c r="F1151" s="4"/>
      <c r="G1151" s="3"/>
      <c r="H1151" s="66"/>
      <c r="I1151" s="4"/>
      <c r="J1151" s="4"/>
      <c r="K1151"/>
      <c r="L1151"/>
      <c r="M1151" s="4"/>
      <c r="N1151" s="4"/>
    </row>
    <row r="1152" spans="5:14" x14ac:dyDescent="0.2">
      <c r="E1152" s="3"/>
      <c r="F1152" s="4"/>
      <c r="G1152" s="3"/>
      <c r="H1152" s="66"/>
      <c r="I1152" s="4"/>
      <c r="J1152" s="4"/>
      <c r="K1152"/>
      <c r="L1152"/>
      <c r="M1152" s="4"/>
      <c r="N1152" s="4"/>
    </row>
    <row r="1153" spans="5:14" x14ac:dyDescent="0.2">
      <c r="E1153" s="3"/>
      <c r="F1153" s="4"/>
      <c r="G1153" s="3"/>
      <c r="H1153" s="66"/>
      <c r="I1153" s="4"/>
      <c r="J1153" s="4"/>
      <c r="K1153"/>
      <c r="L1153"/>
      <c r="M1153" s="4"/>
      <c r="N1153" s="4"/>
    </row>
    <row r="1154" spans="5:14" x14ac:dyDescent="0.2">
      <c r="E1154" s="3"/>
      <c r="F1154" s="4"/>
      <c r="G1154" s="3"/>
      <c r="H1154" s="66"/>
      <c r="I1154" s="4"/>
      <c r="J1154" s="4"/>
      <c r="K1154"/>
      <c r="L1154"/>
      <c r="M1154" s="4"/>
      <c r="N1154" s="4"/>
    </row>
    <row r="1155" spans="5:14" x14ac:dyDescent="0.2">
      <c r="E1155" s="3"/>
      <c r="F1155" s="4"/>
      <c r="G1155" s="3"/>
      <c r="H1155" s="66"/>
      <c r="I1155" s="4"/>
      <c r="J1155" s="4"/>
      <c r="K1155"/>
      <c r="L1155"/>
      <c r="M1155" s="4"/>
      <c r="N1155" s="4"/>
    </row>
    <row r="1156" spans="5:14" x14ac:dyDescent="0.2">
      <c r="E1156" s="3"/>
      <c r="F1156" s="4"/>
      <c r="G1156" s="3"/>
      <c r="H1156" s="66"/>
      <c r="I1156" s="4"/>
      <c r="J1156" s="4"/>
      <c r="K1156"/>
      <c r="L1156"/>
      <c r="M1156" s="4"/>
      <c r="N1156" s="4"/>
    </row>
    <row r="1157" spans="5:14" x14ac:dyDescent="0.2">
      <c r="E1157" s="3"/>
      <c r="F1157" s="4"/>
      <c r="G1157" s="3"/>
      <c r="H1157" s="66"/>
      <c r="I1157" s="4"/>
      <c r="J1157" s="4"/>
      <c r="K1157"/>
      <c r="L1157"/>
      <c r="M1157" s="4"/>
      <c r="N1157" s="4"/>
    </row>
    <row r="1158" spans="5:14" x14ac:dyDescent="0.2">
      <c r="E1158" s="3"/>
      <c r="F1158" s="4"/>
      <c r="G1158" s="3"/>
      <c r="H1158" s="66"/>
      <c r="I1158" s="4"/>
      <c r="J1158" s="4"/>
      <c r="K1158"/>
      <c r="L1158"/>
      <c r="M1158" s="4"/>
      <c r="N1158" s="4"/>
    </row>
    <row r="1159" spans="5:14" x14ac:dyDescent="0.2">
      <c r="E1159" s="3"/>
      <c r="F1159" s="4"/>
      <c r="G1159" s="3"/>
      <c r="H1159" s="66"/>
      <c r="I1159" s="4"/>
      <c r="J1159" s="4"/>
      <c r="K1159"/>
      <c r="L1159"/>
      <c r="M1159" s="4"/>
      <c r="N1159" s="4"/>
    </row>
    <row r="1160" spans="5:14" x14ac:dyDescent="0.2">
      <c r="E1160" s="3"/>
      <c r="F1160" s="4"/>
      <c r="G1160" s="3"/>
      <c r="H1160" s="66"/>
      <c r="I1160" s="4"/>
      <c r="J1160" s="4"/>
      <c r="K1160"/>
      <c r="L1160"/>
      <c r="M1160" s="4"/>
      <c r="N1160" s="4"/>
    </row>
    <row r="1161" spans="5:14" x14ac:dyDescent="0.2">
      <c r="E1161" s="3"/>
      <c r="F1161" s="4"/>
      <c r="G1161" s="3"/>
      <c r="H1161" s="66"/>
      <c r="I1161" s="4"/>
      <c r="J1161" s="4"/>
      <c r="K1161"/>
      <c r="L1161"/>
      <c r="M1161" s="4"/>
      <c r="N1161" s="4"/>
    </row>
    <row r="1162" spans="5:14" x14ac:dyDescent="0.2">
      <c r="E1162" s="3"/>
      <c r="F1162" s="4"/>
      <c r="G1162" s="3"/>
      <c r="H1162" s="66"/>
      <c r="I1162" s="4"/>
      <c r="J1162" s="4"/>
      <c r="K1162"/>
      <c r="L1162"/>
      <c r="M1162" s="4"/>
      <c r="N1162" s="4"/>
    </row>
    <row r="1163" spans="5:14" x14ac:dyDescent="0.2">
      <c r="E1163" s="3"/>
      <c r="F1163" s="4"/>
      <c r="G1163" s="3"/>
      <c r="H1163" s="66"/>
      <c r="I1163" s="4"/>
      <c r="J1163" s="4"/>
      <c r="K1163"/>
      <c r="L1163"/>
      <c r="M1163" s="4"/>
      <c r="N1163" s="4"/>
    </row>
    <row r="1164" spans="5:14" x14ac:dyDescent="0.2">
      <c r="E1164" s="3"/>
      <c r="F1164" s="4"/>
      <c r="G1164" s="3"/>
      <c r="H1164" s="66"/>
      <c r="I1164" s="4"/>
      <c r="J1164" s="4"/>
      <c r="K1164"/>
      <c r="L1164"/>
      <c r="M1164" s="4"/>
      <c r="N1164" s="4"/>
    </row>
    <row r="1165" spans="5:14" x14ac:dyDescent="0.2">
      <c r="E1165" s="3"/>
      <c r="F1165" s="4"/>
      <c r="G1165" s="3"/>
      <c r="H1165" s="66"/>
      <c r="I1165" s="4"/>
      <c r="J1165" s="4"/>
      <c r="K1165"/>
      <c r="L1165"/>
      <c r="M1165" s="4"/>
      <c r="N1165" s="4"/>
    </row>
    <row r="1166" spans="5:14" x14ac:dyDescent="0.2">
      <c r="E1166" s="3"/>
      <c r="F1166" s="4"/>
      <c r="G1166" s="3"/>
      <c r="H1166" s="66"/>
      <c r="I1166" s="4"/>
      <c r="J1166" s="4"/>
      <c r="K1166"/>
      <c r="L1166"/>
      <c r="M1166" s="4"/>
      <c r="N1166" s="4"/>
    </row>
    <row r="1167" spans="5:14" x14ac:dyDescent="0.2">
      <c r="E1167" s="3"/>
      <c r="F1167" s="4"/>
      <c r="G1167" s="3"/>
      <c r="H1167" s="66"/>
      <c r="I1167" s="4"/>
      <c r="J1167" s="4"/>
      <c r="K1167"/>
      <c r="L1167"/>
      <c r="M1167" s="4"/>
      <c r="N1167" s="4"/>
    </row>
    <row r="1168" spans="5:14" x14ac:dyDescent="0.2">
      <c r="E1168" s="3"/>
      <c r="F1168" s="4"/>
      <c r="G1168" s="3"/>
      <c r="H1168" s="66"/>
      <c r="I1168" s="4"/>
      <c r="J1168" s="4"/>
      <c r="K1168"/>
      <c r="L1168"/>
      <c r="M1168" s="4"/>
      <c r="N1168" s="4"/>
    </row>
    <row r="1169" spans="5:14" x14ac:dyDescent="0.2">
      <c r="E1169" s="3"/>
      <c r="F1169" s="4"/>
      <c r="G1169" s="3"/>
      <c r="H1169" s="66"/>
      <c r="I1169" s="4"/>
      <c r="J1169" s="4"/>
      <c r="K1169"/>
      <c r="L1169"/>
      <c r="M1169" s="4"/>
      <c r="N1169" s="4"/>
    </row>
    <row r="1170" spans="5:14" x14ac:dyDescent="0.2">
      <c r="E1170" s="3"/>
      <c r="F1170" s="4"/>
      <c r="G1170" s="3"/>
      <c r="H1170" s="66"/>
      <c r="I1170" s="4"/>
      <c r="J1170" s="4"/>
      <c r="K1170"/>
      <c r="L1170"/>
      <c r="M1170" s="4"/>
      <c r="N1170" s="4"/>
    </row>
    <row r="1171" spans="5:14" x14ac:dyDescent="0.2">
      <c r="E1171" s="3"/>
      <c r="F1171" s="4"/>
      <c r="G1171" s="3"/>
      <c r="H1171" s="66"/>
      <c r="I1171" s="4"/>
      <c r="J1171" s="4"/>
      <c r="K1171"/>
      <c r="L1171"/>
      <c r="M1171" s="4"/>
      <c r="N1171" s="4"/>
    </row>
    <row r="1172" spans="5:14" x14ac:dyDescent="0.2">
      <c r="E1172" s="3"/>
      <c r="F1172" s="4"/>
      <c r="G1172" s="3"/>
      <c r="H1172" s="66"/>
      <c r="I1172" s="4"/>
      <c r="J1172" s="4"/>
      <c r="K1172"/>
      <c r="L1172"/>
      <c r="M1172" s="4"/>
      <c r="N1172" s="4"/>
    </row>
    <row r="1173" spans="5:14" x14ac:dyDescent="0.2">
      <c r="E1173" s="3"/>
      <c r="F1173" s="4"/>
      <c r="G1173" s="3"/>
      <c r="H1173" s="66"/>
      <c r="I1173" s="4"/>
      <c r="J1173" s="4"/>
      <c r="K1173"/>
      <c r="L1173"/>
      <c r="M1173" s="4"/>
      <c r="N1173" s="4"/>
    </row>
    <row r="1174" spans="5:14" x14ac:dyDescent="0.2">
      <c r="E1174" s="3"/>
      <c r="F1174" s="4"/>
      <c r="G1174" s="3"/>
      <c r="H1174" s="66"/>
      <c r="I1174" s="4"/>
      <c r="J1174" s="4"/>
      <c r="K1174"/>
      <c r="L1174"/>
      <c r="M1174" s="4"/>
      <c r="N1174" s="4"/>
    </row>
    <row r="1175" spans="5:14" x14ac:dyDescent="0.2">
      <c r="E1175" s="3"/>
      <c r="F1175" s="4"/>
      <c r="G1175" s="3"/>
      <c r="H1175" s="66"/>
      <c r="I1175" s="4"/>
      <c r="J1175" s="4"/>
      <c r="K1175"/>
      <c r="L1175"/>
      <c r="M1175" s="4"/>
      <c r="N1175" s="4"/>
    </row>
    <row r="1176" spans="5:14" x14ac:dyDescent="0.2">
      <c r="E1176" s="3"/>
      <c r="F1176" s="4"/>
      <c r="G1176" s="3"/>
      <c r="H1176" s="66"/>
      <c r="I1176" s="4"/>
      <c r="J1176" s="4"/>
      <c r="K1176"/>
      <c r="L1176"/>
      <c r="M1176" s="4"/>
      <c r="N1176" s="4"/>
    </row>
    <row r="1177" spans="5:14" x14ac:dyDescent="0.2">
      <c r="E1177" s="3"/>
      <c r="F1177" s="4"/>
      <c r="G1177" s="3"/>
      <c r="H1177" s="66"/>
      <c r="I1177" s="4"/>
      <c r="J1177" s="4"/>
      <c r="K1177"/>
      <c r="L1177"/>
      <c r="M1177" s="4"/>
      <c r="N1177" s="4"/>
    </row>
    <row r="1178" spans="5:14" x14ac:dyDescent="0.2">
      <c r="E1178" s="3"/>
      <c r="F1178" s="4"/>
      <c r="G1178" s="3"/>
      <c r="H1178" s="66"/>
      <c r="I1178" s="4"/>
      <c r="J1178" s="4"/>
      <c r="K1178"/>
      <c r="L1178"/>
      <c r="M1178" s="4"/>
      <c r="N1178" s="4"/>
    </row>
    <row r="1179" spans="5:14" x14ac:dyDescent="0.2">
      <c r="E1179" s="3"/>
      <c r="F1179" s="4"/>
      <c r="G1179" s="3"/>
      <c r="H1179" s="66"/>
      <c r="I1179" s="4"/>
      <c r="J1179" s="4"/>
      <c r="K1179"/>
      <c r="L1179"/>
      <c r="M1179" s="4"/>
      <c r="N1179" s="4"/>
    </row>
    <row r="1180" spans="5:14" x14ac:dyDescent="0.2">
      <c r="E1180" s="3"/>
      <c r="F1180" s="4"/>
      <c r="G1180" s="3"/>
      <c r="H1180" s="66"/>
      <c r="I1180" s="4"/>
      <c r="J1180" s="4"/>
      <c r="K1180"/>
      <c r="L1180"/>
      <c r="M1180" s="4"/>
      <c r="N1180" s="4"/>
    </row>
    <row r="1181" spans="5:14" x14ac:dyDescent="0.2">
      <c r="E1181" s="3"/>
      <c r="F1181" s="4"/>
      <c r="G1181" s="3"/>
      <c r="H1181" s="66"/>
      <c r="I1181" s="4"/>
      <c r="J1181" s="4"/>
      <c r="K1181"/>
      <c r="L1181"/>
      <c r="M1181" s="4"/>
      <c r="N1181" s="4"/>
    </row>
    <row r="1182" spans="5:14" x14ac:dyDescent="0.2">
      <c r="E1182" s="3"/>
      <c r="F1182" s="4"/>
      <c r="G1182" s="3"/>
      <c r="H1182" s="66"/>
      <c r="I1182" s="4"/>
      <c r="J1182" s="4"/>
      <c r="K1182"/>
      <c r="L1182"/>
      <c r="M1182" s="4"/>
      <c r="N1182" s="4"/>
    </row>
    <row r="1183" spans="5:14" x14ac:dyDescent="0.2">
      <c r="E1183" s="3"/>
      <c r="F1183" s="4"/>
      <c r="G1183" s="3"/>
      <c r="H1183" s="66"/>
      <c r="I1183" s="4"/>
      <c r="J1183" s="4"/>
      <c r="K1183"/>
      <c r="L1183"/>
      <c r="M1183" s="4"/>
      <c r="N1183" s="4"/>
    </row>
    <row r="1184" spans="5:14" x14ac:dyDescent="0.2">
      <c r="E1184" s="3"/>
      <c r="F1184" s="4"/>
      <c r="G1184" s="3"/>
      <c r="H1184" s="66"/>
      <c r="I1184" s="4"/>
      <c r="J1184" s="4"/>
      <c r="K1184"/>
      <c r="L1184"/>
      <c r="M1184" s="4"/>
      <c r="N1184" s="4"/>
    </row>
    <row r="1185" spans="5:14" x14ac:dyDescent="0.2">
      <c r="E1185" s="3"/>
      <c r="F1185" s="4"/>
      <c r="G1185" s="3"/>
      <c r="H1185" s="66"/>
      <c r="I1185" s="4"/>
      <c r="J1185" s="4"/>
      <c r="K1185"/>
      <c r="L1185"/>
      <c r="M1185" s="4"/>
      <c r="N1185" s="4"/>
    </row>
    <row r="1186" spans="5:14" x14ac:dyDescent="0.2">
      <c r="E1186" s="3"/>
      <c r="F1186" s="4"/>
      <c r="G1186" s="3"/>
      <c r="H1186" s="66"/>
      <c r="I1186" s="4"/>
      <c r="J1186" s="4"/>
      <c r="K1186"/>
      <c r="L1186"/>
      <c r="M1186" s="4"/>
      <c r="N1186" s="4"/>
    </row>
    <row r="1187" spans="5:14" x14ac:dyDescent="0.2">
      <c r="E1187" s="3"/>
      <c r="F1187" s="4"/>
      <c r="G1187" s="3"/>
      <c r="H1187" s="66"/>
      <c r="I1187" s="4"/>
      <c r="J1187" s="4"/>
      <c r="K1187"/>
      <c r="L1187"/>
      <c r="M1187" s="4"/>
      <c r="N1187" s="4"/>
    </row>
    <row r="1188" spans="5:14" x14ac:dyDescent="0.2">
      <c r="E1188" s="3"/>
      <c r="F1188" s="4"/>
      <c r="G1188" s="3"/>
      <c r="H1188" s="66"/>
      <c r="I1188" s="4"/>
      <c r="J1188" s="4"/>
      <c r="K1188"/>
      <c r="L1188"/>
      <c r="M1188" s="4"/>
      <c r="N1188" s="4"/>
    </row>
    <row r="1189" spans="5:14" x14ac:dyDescent="0.2">
      <c r="E1189" s="3"/>
      <c r="F1189" s="4"/>
      <c r="G1189" s="3"/>
      <c r="H1189" s="66"/>
      <c r="I1189" s="4"/>
      <c r="J1189" s="4"/>
      <c r="K1189"/>
      <c r="L1189"/>
      <c r="M1189" s="4"/>
      <c r="N1189" s="4"/>
    </row>
    <row r="1190" spans="5:14" x14ac:dyDescent="0.2">
      <c r="E1190" s="3"/>
      <c r="F1190" s="4"/>
      <c r="G1190" s="3"/>
      <c r="H1190" s="66"/>
      <c r="I1190" s="4"/>
      <c r="J1190" s="4"/>
      <c r="K1190"/>
      <c r="L1190"/>
      <c r="M1190" s="4"/>
      <c r="N1190" s="4"/>
    </row>
    <row r="1191" spans="5:14" x14ac:dyDescent="0.2">
      <c r="E1191" s="3"/>
      <c r="F1191" s="4"/>
      <c r="G1191" s="3"/>
      <c r="H1191" s="66"/>
      <c r="I1191" s="4"/>
      <c r="J1191" s="4"/>
      <c r="K1191"/>
      <c r="L1191"/>
      <c r="M1191" s="4"/>
      <c r="N1191" s="4"/>
    </row>
    <row r="1192" spans="5:14" x14ac:dyDescent="0.2">
      <c r="E1192" s="3"/>
      <c r="F1192" s="4"/>
      <c r="G1192" s="3"/>
      <c r="H1192" s="66"/>
      <c r="I1192" s="4"/>
      <c r="J1192" s="4"/>
      <c r="K1192"/>
      <c r="L1192"/>
      <c r="M1192" s="4"/>
      <c r="N1192" s="4"/>
    </row>
    <row r="1193" spans="5:14" x14ac:dyDescent="0.2">
      <c r="E1193" s="3"/>
      <c r="F1193" s="4"/>
      <c r="G1193" s="3"/>
      <c r="H1193" s="66"/>
      <c r="I1193" s="4"/>
      <c r="J1193" s="4"/>
      <c r="K1193"/>
      <c r="L1193"/>
      <c r="M1193" s="4"/>
      <c r="N1193" s="4"/>
    </row>
    <row r="1194" spans="5:14" x14ac:dyDescent="0.2">
      <c r="E1194" s="3"/>
      <c r="F1194" s="4"/>
      <c r="G1194" s="3"/>
      <c r="H1194" s="66"/>
      <c r="I1194" s="4"/>
      <c r="J1194" s="4"/>
      <c r="K1194"/>
      <c r="L1194"/>
      <c r="M1194" s="4"/>
      <c r="N1194" s="4"/>
    </row>
    <row r="1195" spans="5:14" x14ac:dyDescent="0.2">
      <c r="E1195" s="3"/>
      <c r="F1195" s="4"/>
      <c r="G1195" s="3"/>
      <c r="H1195" s="66"/>
      <c r="I1195" s="4"/>
      <c r="J1195" s="4"/>
      <c r="K1195"/>
      <c r="L1195"/>
      <c r="M1195" s="4"/>
      <c r="N1195" s="4"/>
    </row>
    <row r="1196" spans="5:14" x14ac:dyDescent="0.2">
      <c r="E1196" s="3"/>
      <c r="F1196" s="4"/>
      <c r="G1196" s="3"/>
      <c r="H1196" s="66"/>
      <c r="I1196" s="4"/>
      <c r="J1196" s="4"/>
      <c r="K1196"/>
      <c r="L1196"/>
      <c r="M1196" s="4"/>
      <c r="N1196" s="4"/>
    </row>
    <row r="1197" spans="5:14" x14ac:dyDescent="0.2">
      <c r="E1197" s="3"/>
      <c r="F1197" s="4"/>
      <c r="G1197" s="3"/>
      <c r="H1197" s="66"/>
      <c r="I1197" s="4"/>
      <c r="J1197" s="4"/>
      <c r="K1197"/>
      <c r="L1197"/>
      <c r="M1197" s="4"/>
      <c r="N1197" s="4"/>
    </row>
    <row r="1198" spans="5:14" x14ac:dyDescent="0.2">
      <c r="E1198" s="3"/>
      <c r="F1198" s="4"/>
      <c r="G1198" s="3"/>
      <c r="H1198" s="66"/>
      <c r="I1198" s="4"/>
      <c r="J1198" s="4"/>
      <c r="K1198"/>
      <c r="L1198"/>
      <c r="M1198" s="4"/>
      <c r="N1198" s="4"/>
    </row>
    <row r="1199" spans="5:14" x14ac:dyDescent="0.2">
      <c r="E1199" s="3"/>
      <c r="F1199" s="4"/>
      <c r="G1199" s="3"/>
      <c r="H1199" s="66"/>
      <c r="I1199" s="4"/>
      <c r="J1199" s="4"/>
      <c r="K1199"/>
      <c r="L1199"/>
      <c r="M1199" s="4"/>
      <c r="N1199" s="4"/>
    </row>
    <row r="1200" spans="5:14" x14ac:dyDescent="0.2">
      <c r="E1200" s="3"/>
      <c r="F1200" s="4"/>
      <c r="G1200" s="3"/>
      <c r="H1200" s="66"/>
      <c r="I1200" s="4"/>
      <c r="J1200" s="4"/>
      <c r="K1200"/>
      <c r="L1200"/>
      <c r="M1200" s="4"/>
      <c r="N1200" s="4"/>
    </row>
    <row r="1201" spans="5:14" x14ac:dyDescent="0.2">
      <c r="E1201" s="3"/>
      <c r="F1201" s="4"/>
      <c r="G1201" s="3"/>
      <c r="H1201" s="66"/>
      <c r="I1201" s="4"/>
      <c r="J1201" s="4"/>
      <c r="K1201"/>
      <c r="L1201"/>
      <c r="M1201" s="4"/>
      <c r="N1201" s="4"/>
    </row>
    <row r="1202" spans="5:14" x14ac:dyDescent="0.2">
      <c r="E1202" s="3"/>
      <c r="F1202" s="4"/>
      <c r="G1202" s="3"/>
      <c r="H1202" s="66"/>
      <c r="I1202" s="4"/>
      <c r="J1202" s="4"/>
      <c r="K1202"/>
      <c r="L1202"/>
      <c r="M1202" s="4"/>
      <c r="N1202" s="4"/>
    </row>
    <row r="1203" spans="5:14" x14ac:dyDescent="0.2">
      <c r="E1203" s="3"/>
      <c r="F1203" s="4"/>
      <c r="G1203" s="3"/>
      <c r="H1203" s="66"/>
      <c r="I1203" s="4"/>
      <c r="J1203" s="4"/>
      <c r="K1203"/>
      <c r="L1203"/>
      <c r="M1203" s="4"/>
      <c r="N1203" s="4"/>
    </row>
    <row r="1204" spans="5:14" x14ac:dyDescent="0.2">
      <c r="E1204" s="3"/>
      <c r="F1204" s="4"/>
      <c r="G1204" s="3"/>
      <c r="H1204" s="66"/>
      <c r="I1204" s="4"/>
      <c r="J1204" s="4"/>
      <c r="K1204"/>
      <c r="L1204"/>
      <c r="M1204" s="4"/>
      <c r="N1204" s="4"/>
    </row>
    <row r="1205" spans="5:14" x14ac:dyDescent="0.2">
      <c r="E1205" s="3"/>
      <c r="F1205" s="4"/>
      <c r="G1205" s="3"/>
      <c r="H1205" s="66"/>
      <c r="I1205" s="4"/>
      <c r="J1205" s="4"/>
      <c r="K1205"/>
      <c r="L1205"/>
      <c r="M1205" s="4"/>
      <c r="N1205" s="4"/>
    </row>
    <row r="1206" spans="5:14" x14ac:dyDescent="0.2">
      <c r="E1206" s="3"/>
      <c r="F1206" s="4"/>
      <c r="G1206" s="3"/>
      <c r="H1206" s="66"/>
      <c r="I1206" s="4"/>
      <c r="J1206" s="4"/>
      <c r="K1206"/>
      <c r="L1206"/>
      <c r="M1206" s="4"/>
      <c r="N1206" s="4"/>
    </row>
    <row r="1207" spans="5:14" x14ac:dyDescent="0.2">
      <c r="E1207" s="3"/>
      <c r="F1207" s="4"/>
      <c r="G1207" s="3"/>
      <c r="H1207" s="66"/>
      <c r="I1207" s="4"/>
      <c r="J1207" s="4"/>
      <c r="K1207"/>
      <c r="L1207"/>
      <c r="M1207" s="4"/>
      <c r="N1207" s="4"/>
    </row>
    <row r="1208" spans="5:14" x14ac:dyDescent="0.2">
      <c r="E1208" s="3"/>
      <c r="F1208" s="4"/>
      <c r="G1208" s="3"/>
      <c r="H1208" s="66"/>
      <c r="I1208" s="4"/>
      <c r="J1208" s="4"/>
      <c r="K1208"/>
      <c r="L1208"/>
      <c r="M1208" s="4"/>
      <c r="N1208" s="4"/>
    </row>
    <row r="1209" spans="5:14" x14ac:dyDescent="0.2">
      <c r="E1209" s="3"/>
      <c r="F1209" s="4"/>
      <c r="G1209" s="3"/>
      <c r="H1209" s="66"/>
      <c r="I1209" s="4"/>
      <c r="J1209" s="4"/>
      <c r="K1209"/>
      <c r="L1209"/>
      <c r="M1209" s="4"/>
      <c r="N1209" s="4"/>
    </row>
    <row r="1210" spans="5:14" x14ac:dyDescent="0.2">
      <c r="E1210" s="3"/>
      <c r="F1210" s="4"/>
      <c r="G1210" s="3"/>
      <c r="H1210" s="66"/>
      <c r="I1210" s="4"/>
      <c r="J1210" s="4"/>
      <c r="K1210"/>
      <c r="L1210"/>
      <c r="M1210" s="4"/>
      <c r="N1210" s="4"/>
    </row>
    <row r="1211" spans="5:14" x14ac:dyDescent="0.2">
      <c r="E1211" s="3"/>
      <c r="F1211" s="4"/>
      <c r="G1211" s="3"/>
      <c r="H1211" s="66"/>
      <c r="I1211" s="4"/>
      <c r="J1211" s="4"/>
      <c r="K1211"/>
      <c r="L1211"/>
      <c r="M1211" s="4"/>
      <c r="N1211" s="4"/>
    </row>
    <row r="1212" spans="5:14" x14ac:dyDescent="0.2">
      <c r="E1212" s="3"/>
      <c r="F1212" s="4"/>
      <c r="G1212" s="3"/>
      <c r="H1212" s="66"/>
      <c r="I1212" s="4"/>
      <c r="J1212" s="4"/>
      <c r="K1212"/>
      <c r="L1212"/>
      <c r="M1212" s="4"/>
      <c r="N1212" s="4"/>
    </row>
    <row r="1213" spans="5:14" x14ac:dyDescent="0.2">
      <c r="E1213" s="3"/>
      <c r="F1213" s="4"/>
      <c r="G1213" s="3"/>
      <c r="H1213" s="66"/>
      <c r="I1213" s="4"/>
      <c r="J1213" s="4"/>
      <c r="K1213"/>
      <c r="L1213"/>
      <c r="M1213" s="4"/>
      <c r="N1213" s="4"/>
    </row>
    <row r="1214" spans="5:14" x14ac:dyDescent="0.2">
      <c r="E1214" s="3"/>
      <c r="F1214" s="4"/>
      <c r="G1214" s="3"/>
      <c r="H1214" s="66"/>
      <c r="I1214" s="4"/>
      <c r="J1214" s="4"/>
      <c r="K1214"/>
      <c r="L1214"/>
      <c r="M1214" s="4"/>
      <c r="N1214" s="4"/>
    </row>
    <row r="1215" spans="5:14" x14ac:dyDescent="0.2">
      <c r="E1215" s="3"/>
      <c r="F1215" s="4"/>
      <c r="G1215" s="3"/>
      <c r="H1215" s="66"/>
      <c r="I1215" s="4"/>
      <c r="J1215" s="4"/>
      <c r="K1215"/>
      <c r="L1215"/>
      <c r="M1215" s="4"/>
      <c r="N1215" s="4"/>
    </row>
    <row r="1216" spans="5:14" x14ac:dyDescent="0.2">
      <c r="E1216" s="3"/>
      <c r="F1216" s="4"/>
      <c r="G1216" s="3"/>
      <c r="H1216" s="66"/>
      <c r="I1216" s="4"/>
      <c r="J1216" s="4"/>
      <c r="K1216"/>
      <c r="L1216"/>
      <c r="M1216" s="4"/>
      <c r="N1216" s="4"/>
    </row>
    <row r="1217" spans="5:14" x14ac:dyDescent="0.2">
      <c r="E1217" s="3"/>
      <c r="F1217" s="4"/>
      <c r="G1217" s="3"/>
      <c r="H1217" s="66"/>
      <c r="I1217" s="4"/>
      <c r="J1217" s="4"/>
      <c r="K1217"/>
      <c r="L1217"/>
      <c r="M1217" s="4"/>
      <c r="N1217" s="4"/>
    </row>
    <row r="1218" spans="5:14" x14ac:dyDescent="0.2">
      <c r="E1218" s="3"/>
      <c r="F1218" s="4"/>
      <c r="G1218" s="3"/>
      <c r="H1218" s="66"/>
      <c r="I1218" s="4"/>
      <c r="J1218" s="4"/>
      <c r="K1218"/>
      <c r="L1218"/>
      <c r="M1218" s="4"/>
      <c r="N1218" s="4"/>
    </row>
    <row r="1219" spans="5:14" x14ac:dyDescent="0.2">
      <c r="E1219" s="3"/>
      <c r="F1219" s="4"/>
      <c r="G1219" s="3"/>
      <c r="H1219" s="66"/>
      <c r="I1219" s="4"/>
      <c r="J1219" s="4"/>
      <c r="K1219"/>
      <c r="L1219"/>
      <c r="M1219" s="4"/>
      <c r="N1219" s="4"/>
    </row>
    <row r="1220" spans="5:14" x14ac:dyDescent="0.2">
      <c r="E1220" s="3"/>
      <c r="F1220" s="4"/>
      <c r="G1220" s="3"/>
      <c r="H1220" s="66"/>
      <c r="I1220" s="4"/>
      <c r="J1220" s="4"/>
      <c r="K1220"/>
      <c r="L1220"/>
      <c r="M1220" s="4"/>
      <c r="N1220" s="4"/>
    </row>
    <row r="1221" spans="5:14" x14ac:dyDescent="0.2">
      <c r="E1221" s="3"/>
      <c r="F1221" s="4"/>
      <c r="G1221" s="3"/>
      <c r="H1221" s="66"/>
      <c r="I1221" s="4"/>
      <c r="J1221" s="4"/>
      <c r="K1221"/>
      <c r="L1221"/>
      <c r="M1221" s="4"/>
      <c r="N1221" s="4"/>
    </row>
    <row r="1222" spans="5:14" x14ac:dyDescent="0.2">
      <c r="E1222" s="3"/>
      <c r="F1222" s="4"/>
      <c r="G1222" s="3"/>
      <c r="H1222" s="66"/>
      <c r="I1222" s="4"/>
      <c r="J1222" s="4"/>
      <c r="K1222"/>
      <c r="L1222"/>
      <c r="M1222" s="4"/>
      <c r="N1222" s="4"/>
    </row>
    <row r="1223" spans="5:14" x14ac:dyDescent="0.2">
      <c r="E1223" s="3"/>
      <c r="F1223" s="4"/>
      <c r="G1223" s="3"/>
      <c r="H1223" s="66"/>
      <c r="I1223" s="4"/>
      <c r="J1223" s="4"/>
      <c r="K1223"/>
      <c r="L1223"/>
      <c r="M1223" s="4"/>
      <c r="N1223" s="4"/>
    </row>
    <row r="1224" spans="5:14" x14ac:dyDescent="0.2">
      <c r="E1224" s="3"/>
      <c r="F1224" s="4"/>
      <c r="G1224" s="3"/>
      <c r="H1224" s="66"/>
      <c r="I1224" s="4"/>
      <c r="J1224" s="4"/>
      <c r="K1224"/>
      <c r="L1224"/>
      <c r="M1224" s="4"/>
      <c r="N1224" s="4"/>
    </row>
    <row r="1225" spans="5:14" x14ac:dyDescent="0.2">
      <c r="E1225" s="3"/>
      <c r="F1225" s="4"/>
      <c r="G1225" s="3"/>
      <c r="H1225" s="66"/>
      <c r="I1225" s="4"/>
      <c r="J1225" s="4"/>
      <c r="K1225"/>
      <c r="L1225"/>
      <c r="M1225" s="4"/>
      <c r="N1225" s="4"/>
    </row>
    <row r="1226" spans="5:14" x14ac:dyDescent="0.2">
      <c r="E1226" s="3"/>
      <c r="F1226" s="4"/>
      <c r="G1226" s="3"/>
      <c r="H1226" s="66"/>
      <c r="I1226" s="4"/>
      <c r="J1226" s="4"/>
      <c r="K1226"/>
      <c r="L1226"/>
      <c r="M1226" s="4"/>
      <c r="N1226" s="4"/>
    </row>
    <row r="1227" spans="5:14" x14ac:dyDescent="0.2">
      <c r="E1227" s="3"/>
      <c r="F1227" s="4"/>
      <c r="G1227" s="3"/>
      <c r="H1227" s="66"/>
      <c r="I1227" s="4"/>
      <c r="J1227" s="4"/>
      <c r="K1227"/>
      <c r="L1227"/>
      <c r="M1227" s="4"/>
      <c r="N1227" s="4"/>
    </row>
    <row r="1228" spans="5:14" x14ac:dyDescent="0.2">
      <c r="E1228" s="3"/>
      <c r="F1228" s="4"/>
      <c r="G1228" s="3"/>
      <c r="H1228" s="66"/>
      <c r="I1228" s="4"/>
      <c r="J1228" s="4"/>
      <c r="K1228"/>
      <c r="L1228"/>
      <c r="M1228" s="4"/>
      <c r="N1228" s="4"/>
    </row>
    <row r="1229" spans="5:14" x14ac:dyDescent="0.2">
      <c r="E1229" s="3"/>
      <c r="F1229" s="4"/>
      <c r="G1229" s="3"/>
      <c r="H1229" s="66"/>
      <c r="I1229" s="4"/>
      <c r="J1229" s="4"/>
      <c r="K1229"/>
      <c r="L1229"/>
      <c r="M1229" s="4"/>
      <c r="N1229" s="4"/>
    </row>
    <row r="1230" spans="5:14" x14ac:dyDescent="0.2">
      <c r="E1230" s="3"/>
      <c r="F1230" s="4"/>
      <c r="G1230" s="3"/>
      <c r="H1230" s="66"/>
      <c r="I1230" s="4"/>
      <c r="J1230" s="4"/>
      <c r="K1230"/>
      <c r="L1230"/>
      <c r="M1230" s="4"/>
      <c r="N1230" s="4"/>
    </row>
    <row r="1231" spans="5:14" x14ac:dyDescent="0.2">
      <c r="E1231" s="3"/>
      <c r="F1231" s="4"/>
      <c r="G1231" s="3"/>
      <c r="H1231" s="66"/>
      <c r="I1231" s="4"/>
      <c r="J1231" s="4"/>
      <c r="K1231"/>
      <c r="L1231"/>
      <c r="M1231" s="4"/>
      <c r="N1231" s="4"/>
    </row>
    <row r="1232" spans="5:14" x14ac:dyDescent="0.2">
      <c r="E1232" s="3"/>
      <c r="F1232" s="4"/>
      <c r="G1232" s="3"/>
      <c r="H1232" s="66"/>
      <c r="I1232" s="4"/>
      <c r="J1232" s="4"/>
      <c r="K1232"/>
      <c r="L1232"/>
      <c r="M1232" s="4"/>
      <c r="N1232" s="4"/>
    </row>
    <row r="1233" spans="5:14" x14ac:dyDescent="0.2">
      <c r="E1233" s="3"/>
      <c r="F1233" s="4"/>
      <c r="G1233" s="3"/>
      <c r="H1233" s="66"/>
      <c r="I1233" s="4"/>
      <c r="J1233" s="4"/>
      <c r="K1233"/>
      <c r="L1233"/>
      <c r="M1233" s="4"/>
      <c r="N1233" s="4"/>
    </row>
    <row r="1234" spans="5:14" x14ac:dyDescent="0.2">
      <c r="E1234" s="3"/>
      <c r="F1234" s="4"/>
      <c r="G1234" s="3"/>
      <c r="H1234" s="66"/>
      <c r="I1234" s="4"/>
      <c r="J1234" s="4"/>
      <c r="K1234"/>
      <c r="L1234"/>
      <c r="M1234" s="4"/>
      <c r="N1234" s="4"/>
    </row>
    <row r="1235" spans="5:14" x14ac:dyDescent="0.2">
      <c r="E1235" s="3"/>
      <c r="F1235" s="4"/>
      <c r="G1235" s="3"/>
      <c r="H1235" s="66"/>
      <c r="I1235" s="4"/>
      <c r="J1235" s="4"/>
      <c r="K1235"/>
      <c r="L1235"/>
      <c r="M1235" s="4"/>
      <c r="N1235" s="4"/>
    </row>
    <row r="1236" spans="5:14" x14ac:dyDescent="0.2">
      <c r="E1236" s="3"/>
      <c r="F1236" s="4"/>
      <c r="G1236" s="3"/>
      <c r="H1236" s="66"/>
      <c r="I1236" s="4"/>
      <c r="J1236" s="4"/>
      <c r="K1236"/>
      <c r="L1236"/>
      <c r="M1236" s="4"/>
      <c r="N1236" s="4"/>
    </row>
    <row r="1237" spans="5:14" x14ac:dyDescent="0.2">
      <c r="E1237" s="3"/>
      <c r="F1237" s="4"/>
      <c r="G1237" s="3"/>
      <c r="H1237" s="66"/>
      <c r="I1237" s="4"/>
      <c r="J1237" s="4"/>
      <c r="K1237"/>
      <c r="L1237"/>
      <c r="M1237" s="4"/>
      <c r="N1237" s="4"/>
    </row>
    <row r="1238" spans="5:14" x14ac:dyDescent="0.2">
      <c r="E1238" s="3"/>
      <c r="F1238" s="4"/>
      <c r="G1238" s="3"/>
      <c r="H1238" s="66"/>
      <c r="I1238" s="4"/>
      <c r="J1238" s="4"/>
      <c r="K1238"/>
      <c r="L1238"/>
      <c r="M1238" s="4"/>
      <c r="N1238" s="4"/>
    </row>
    <row r="1239" spans="5:14" x14ac:dyDescent="0.2">
      <c r="E1239" s="3"/>
      <c r="F1239" s="4"/>
      <c r="G1239" s="3"/>
      <c r="H1239" s="66"/>
      <c r="I1239" s="4"/>
      <c r="J1239" s="4"/>
      <c r="K1239"/>
      <c r="L1239"/>
      <c r="M1239" s="4"/>
      <c r="N1239" s="4"/>
    </row>
    <row r="1240" spans="5:14" x14ac:dyDescent="0.2">
      <c r="E1240" s="3"/>
      <c r="F1240" s="4"/>
      <c r="G1240" s="3"/>
      <c r="H1240" s="66"/>
      <c r="I1240" s="4"/>
      <c r="J1240" s="4"/>
      <c r="K1240"/>
      <c r="L1240"/>
      <c r="M1240" s="4"/>
      <c r="N1240" s="4"/>
    </row>
    <row r="1241" spans="5:14" x14ac:dyDescent="0.2">
      <c r="E1241" s="3"/>
      <c r="F1241" s="4"/>
      <c r="G1241" s="3"/>
      <c r="H1241" s="66"/>
      <c r="I1241" s="4"/>
      <c r="J1241" s="4"/>
      <c r="K1241"/>
      <c r="L1241"/>
      <c r="M1241" s="4"/>
      <c r="N1241" s="4"/>
    </row>
    <row r="1242" spans="5:14" x14ac:dyDescent="0.2">
      <c r="E1242" s="3"/>
      <c r="F1242" s="4"/>
      <c r="G1242" s="3"/>
      <c r="H1242" s="66"/>
      <c r="I1242" s="4"/>
      <c r="J1242" s="4"/>
      <c r="K1242"/>
      <c r="L1242"/>
      <c r="M1242" s="4"/>
      <c r="N1242" s="4"/>
    </row>
    <row r="1243" spans="5:14" x14ac:dyDescent="0.2">
      <c r="E1243" s="3"/>
      <c r="F1243" s="4"/>
      <c r="G1243" s="3"/>
      <c r="H1243" s="66"/>
      <c r="I1243" s="4"/>
      <c r="J1243" s="4"/>
      <c r="K1243"/>
      <c r="L1243"/>
      <c r="M1243" s="4"/>
      <c r="N1243" s="4"/>
    </row>
    <row r="1244" spans="5:14" x14ac:dyDescent="0.2">
      <c r="E1244" s="3"/>
      <c r="F1244" s="4"/>
      <c r="G1244" s="3"/>
      <c r="H1244" s="66"/>
      <c r="I1244" s="4"/>
      <c r="J1244" s="4"/>
      <c r="K1244"/>
      <c r="L1244"/>
      <c r="M1244" s="4"/>
      <c r="N1244" s="4"/>
    </row>
    <row r="1245" spans="5:14" x14ac:dyDescent="0.2">
      <c r="E1245" s="3"/>
      <c r="F1245" s="4"/>
      <c r="G1245" s="3"/>
      <c r="H1245" s="66"/>
      <c r="I1245" s="4"/>
      <c r="J1245" s="4"/>
      <c r="K1245"/>
      <c r="L1245"/>
      <c r="M1245" s="4"/>
      <c r="N1245" s="4"/>
    </row>
    <row r="1246" spans="5:14" x14ac:dyDescent="0.2">
      <c r="E1246" s="3"/>
      <c r="F1246" s="4"/>
      <c r="G1246" s="3"/>
      <c r="H1246" s="66"/>
      <c r="I1246" s="4"/>
      <c r="J1246" s="4"/>
      <c r="K1246"/>
      <c r="L1246"/>
      <c r="M1246" s="4"/>
      <c r="N1246" s="4"/>
    </row>
    <row r="1247" spans="5:14" x14ac:dyDescent="0.2">
      <c r="E1247" s="3"/>
      <c r="F1247" s="4"/>
      <c r="G1247" s="3"/>
      <c r="H1247" s="66"/>
      <c r="I1247" s="4"/>
      <c r="J1247" s="4"/>
      <c r="K1247"/>
      <c r="L1247"/>
      <c r="M1247" s="4"/>
      <c r="N1247" s="4"/>
    </row>
    <row r="1248" spans="5:14" x14ac:dyDescent="0.2">
      <c r="E1248" s="3"/>
      <c r="F1248" s="4"/>
      <c r="G1248" s="3"/>
      <c r="H1248" s="66"/>
      <c r="I1248" s="4"/>
      <c r="J1248" s="4"/>
      <c r="K1248"/>
      <c r="L1248"/>
      <c r="M1248" s="4"/>
      <c r="N1248" s="4"/>
    </row>
    <row r="1249" spans="5:14" x14ac:dyDescent="0.2">
      <c r="E1249" s="3"/>
      <c r="F1249" s="4"/>
      <c r="G1249" s="3"/>
      <c r="H1249" s="66"/>
      <c r="I1249" s="4"/>
      <c r="J1249" s="4"/>
      <c r="K1249"/>
      <c r="L1249"/>
      <c r="M1249" s="4"/>
      <c r="N1249" s="4"/>
    </row>
    <row r="1250" spans="5:14" x14ac:dyDescent="0.2">
      <c r="E1250" s="3"/>
      <c r="F1250" s="4"/>
      <c r="G1250" s="3"/>
      <c r="H1250" s="66"/>
      <c r="I1250" s="4"/>
      <c r="J1250" s="4"/>
      <c r="K1250"/>
      <c r="L1250"/>
      <c r="M1250" s="4"/>
      <c r="N1250" s="4"/>
    </row>
    <row r="1251" spans="5:14" x14ac:dyDescent="0.2">
      <c r="E1251" s="3"/>
      <c r="F1251" s="4"/>
      <c r="G1251" s="3"/>
      <c r="H1251" s="66"/>
      <c r="I1251" s="4"/>
      <c r="J1251" s="4"/>
      <c r="K1251"/>
      <c r="L1251"/>
      <c r="M1251" s="4"/>
      <c r="N1251" s="4"/>
    </row>
    <row r="1252" spans="5:14" x14ac:dyDescent="0.2">
      <c r="E1252" s="3"/>
      <c r="F1252" s="4"/>
      <c r="G1252" s="3"/>
      <c r="H1252" s="66"/>
      <c r="I1252" s="4"/>
      <c r="J1252" s="4"/>
      <c r="K1252"/>
      <c r="L1252"/>
      <c r="M1252" s="4"/>
      <c r="N1252" s="4"/>
    </row>
    <row r="1253" spans="5:14" x14ac:dyDescent="0.2">
      <c r="E1253" s="3"/>
      <c r="F1253" s="4"/>
      <c r="G1253" s="3"/>
      <c r="H1253" s="66"/>
      <c r="I1253" s="4"/>
      <c r="J1253" s="4"/>
      <c r="K1253"/>
      <c r="L1253"/>
      <c r="M1253" s="4"/>
      <c r="N1253" s="4"/>
    </row>
    <row r="1254" spans="5:14" x14ac:dyDescent="0.2">
      <c r="E1254" s="3"/>
      <c r="F1254" s="4"/>
      <c r="G1254" s="3"/>
      <c r="H1254" s="66"/>
      <c r="I1254" s="4"/>
      <c r="J1254" s="4"/>
      <c r="K1254"/>
      <c r="L1254"/>
      <c r="M1254" s="4"/>
      <c r="N1254" s="4"/>
    </row>
    <row r="1255" spans="5:14" x14ac:dyDescent="0.2">
      <c r="E1255" s="3"/>
      <c r="F1255" s="4"/>
      <c r="G1255" s="3"/>
      <c r="H1255" s="66"/>
      <c r="I1255" s="4"/>
      <c r="J1255" s="4"/>
      <c r="K1255"/>
      <c r="L1255"/>
      <c r="M1255" s="4"/>
      <c r="N1255" s="4"/>
    </row>
    <row r="1256" spans="5:14" x14ac:dyDescent="0.2">
      <c r="E1256" s="3"/>
      <c r="F1256" s="4"/>
      <c r="G1256" s="3"/>
      <c r="H1256" s="66"/>
      <c r="I1256" s="4"/>
      <c r="J1256" s="4"/>
      <c r="K1256"/>
      <c r="L1256"/>
      <c r="M1256" s="4"/>
      <c r="N1256" s="4"/>
    </row>
    <row r="1257" spans="5:14" x14ac:dyDescent="0.2">
      <c r="E1257" s="3"/>
      <c r="F1257" s="4"/>
      <c r="G1257" s="3"/>
      <c r="H1257" s="66"/>
      <c r="I1257" s="4"/>
      <c r="J1257" s="4"/>
      <c r="K1257"/>
      <c r="L1257"/>
      <c r="M1257" s="4"/>
      <c r="N1257" s="4"/>
    </row>
    <row r="1258" spans="5:14" x14ac:dyDescent="0.2">
      <c r="E1258" s="3"/>
      <c r="F1258" s="4"/>
      <c r="G1258" s="3"/>
      <c r="H1258" s="66"/>
      <c r="I1258" s="4"/>
      <c r="J1258" s="4"/>
      <c r="K1258"/>
      <c r="L1258"/>
      <c r="M1258" s="4"/>
      <c r="N1258" s="4"/>
    </row>
    <row r="1259" spans="5:14" x14ac:dyDescent="0.2">
      <c r="E1259" s="3"/>
      <c r="F1259" s="4"/>
      <c r="G1259" s="3"/>
      <c r="H1259" s="66"/>
      <c r="I1259" s="4"/>
      <c r="J1259" s="4"/>
      <c r="K1259"/>
      <c r="L1259"/>
      <c r="M1259" s="4"/>
      <c r="N1259" s="4"/>
    </row>
    <row r="1260" spans="5:14" x14ac:dyDescent="0.2">
      <c r="E1260" s="3"/>
      <c r="F1260" s="4"/>
      <c r="G1260" s="3"/>
      <c r="H1260" s="66"/>
      <c r="I1260" s="4"/>
      <c r="J1260" s="4"/>
      <c r="K1260"/>
      <c r="L1260"/>
      <c r="M1260" s="4"/>
      <c r="N1260" s="4"/>
    </row>
    <row r="1261" spans="5:14" x14ac:dyDescent="0.2">
      <c r="E1261" s="3"/>
      <c r="F1261" s="4"/>
      <c r="G1261" s="3"/>
      <c r="H1261" s="66"/>
      <c r="I1261" s="4"/>
      <c r="J1261" s="4"/>
      <c r="K1261"/>
      <c r="L1261"/>
      <c r="M1261" s="4"/>
      <c r="N1261" s="4"/>
    </row>
    <row r="1262" spans="5:14" x14ac:dyDescent="0.2">
      <c r="E1262" s="3"/>
      <c r="F1262" s="4"/>
      <c r="G1262" s="3"/>
      <c r="H1262" s="66"/>
      <c r="I1262" s="4"/>
      <c r="J1262" s="4"/>
      <c r="K1262"/>
      <c r="L1262"/>
      <c r="M1262" s="4"/>
      <c r="N1262" s="4"/>
    </row>
    <row r="1263" spans="5:14" x14ac:dyDescent="0.2">
      <c r="E1263" s="3"/>
      <c r="F1263" s="4"/>
      <c r="G1263" s="3"/>
      <c r="H1263" s="66"/>
      <c r="I1263" s="4"/>
      <c r="J1263" s="4"/>
      <c r="K1263"/>
      <c r="L1263"/>
      <c r="M1263" s="4"/>
      <c r="N1263" s="4"/>
    </row>
    <row r="1264" spans="5:14" x14ac:dyDescent="0.2">
      <c r="E1264" s="3"/>
      <c r="F1264" s="4"/>
      <c r="G1264" s="3"/>
      <c r="H1264" s="66"/>
      <c r="I1264" s="4"/>
      <c r="J1264" s="4"/>
      <c r="K1264"/>
      <c r="L1264"/>
      <c r="M1264" s="4"/>
      <c r="N1264" s="4"/>
    </row>
    <row r="1265" spans="5:14" x14ac:dyDescent="0.2">
      <c r="E1265" s="3"/>
      <c r="F1265" s="4"/>
      <c r="G1265" s="3"/>
      <c r="H1265" s="66"/>
      <c r="I1265" s="4"/>
      <c r="J1265" s="4"/>
      <c r="K1265"/>
      <c r="L1265"/>
      <c r="M1265" s="4"/>
      <c r="N1265" s="4"/>
    </row>
    <row r="1266" spans="5:14" x14ac:dyDescent="0.2">
      <c r="E1266" s="3"/>
      <c r="F1266" s="4"/>
      <c r="G1266" s="3"/>
      <c r="H1266" s="66"/>
      <c r="I1266" s="4"/>
      <c r="J1266" s="4"/>
      <c r="K1266"/>
      <c r="L1266"/>
      <c r="M1266" s="4"/>
      <c r="N1266" s="4"/>
    </row>
    <row r="1267" spans="5:14" x14ac:dyDescent="0.2">
      <c r="E1267" s="3"/>
      <c r="F1267" s="4"/>
      <c r="G1267" s="3"/>
      <c r="H1267" s="66"/>
      <c r="I1267" s="4"/>
      <c r="J1267" s="4"/>
      <c r="K1267"/>
      <c r="L1267"/>
      <c r="M1267" s="4"/>
      <c r="N1267" s="4"/>
    </row>
    <row r="1268" spans="5:14" x14ac:dyDescent="0.2">
      <c r="E1268" s="3"/>
      <c r="F1268" s="4"/>
      <c r="G1268" s="3"/>
      <c r="H1268" s="66"/>
      <c r="I1268" s="4"/>
      <c r="J1268" s="4"/>
      <c r="K1268"/>
      <c r="L1268"/>
      <c r="M1268" s="4"/>
      <c r="N1268" s="4"/>
    </row>
    <row r="1269" spans="5:14" x14ac:dyDescent="0.2">
      <c r="E1269" s="3"/>
      <c r="F1269" s="4"/>
      <c r="G1269" s="3"/>
      <c r="H1269" s="66"/>
      <c r="I1269" s="4"/>
      <c r="J1269" s="4"/>
      <c r="K1269"/>
      <c r="L1269"/>
      <c r="M1269" s="4"/>
      <c r="N1269" s="4"/>
    </row>
    <row r="1270" spans="5:14" x14ac:dyDescent="0.2">
      <c r="E1270" s="3"/>
      <c r="F1270" s="4"/>
      <c r="G1270" s="3"/>
      <c r="H1270" s="66"/>
      <c r="I1270" s="4"/>
      <c r="J1270" s="4"/>
      <c r="K1270"/>
      <c r="L1270"/>
      <c r="M1270" s="4"/>
      <c r="N1270" s="4"/>
    </row>
    <row r="1271" spans="5:14" x14ac:dyDescent="0.2">
      <c r="E1271" s="3"/>
      <c r="F1271" s="4"/>
      <c r="G1271" s="3"/>
      <c r="H1271" s="66"/>
      <c r="I1271" s="4"/>
      <c r="J1271" s="4"/>
      <c r="K1271"/>
      <c r="L1271"/>
      <c r="M1271" s="4"/>
      <c r="N1271" s="4"/>
    </row>
    <row r="1272" spans="5:14" x14ac:dyDescent="0.2">
      <c r="E1272" s="3"/>
      <c r="F1272" s="4"/>
      <c r="G1272" s="3"/>
      <c r="H1272" s="66"/>
      <c r="I1272" s="4"/>
      <c r="J1272" s="4"/>
      <c r="K1272"/>
      <c r="L1272"/>
      <c r="M1272" s="4"/>
      <c r="N1272" s="4"/>
    </row>
    <row r="1273" spans="5:14" x14ac:dyDescent="0.2">
      <c r="E1273" s="3"/>
      <c r="F1273" s="4"/>
      <c r="G1273" s="3"/>
      <c r="H1273" s="66"/>
      <c r="I1273" s="4"/>
      <c r="J1273" s="4"/>
      <c r="K1273"/>
      <c r="L1273"/>
      <c r="M1273" s="4"/>
      <c r="N1273" s="4"/>
    </row>
    <row r="1274" spans="5:14" x14ac:dyDescent="0.2">
      <c r="E1274" s="3"/>
      <c r="F1274" s="4"/>
      <c r="G1274" s="3"/>
      <c r="H1274" s="66"/>
      <c r="I1274" s="4"/>
      <c r="J1274" s="4"/>
      <c r="K1274"/>
      <c r="L1274"/>
      <c r="M1274" s="4"/>
      <c r="N1274" s="4"/>
    </row>
    <row r="1275" spans="5:14" x14ac:dyDescent="0.2">
      <c r="E1275" s="3"/>
      <c r="F1275" s="4"/>
      <c r="G1275" s="3"/>
      <c r="H1275" s="66"/>
      <c r="I1275" s="4"/>
      <c r="J1275" s="4"/>
      <c r="K1275"/>
      <c r="L1275"/>
      <c r="M1275" s="4"/>
      <c r="N1275" s="4"/>
    </row>
    <row r="1276" spans="5:14" x14ac:dyDescent="0.2">
      <c r="E1276" s="3"/>
      <c r="F1276" s="4"/>
      <c r="G1276" s="3"/>
      <c r="H1276" s="66"/>
      <c r="I1276" s="4"/>
      <c r="J1276" s="4"/>
      <c r="K1276"/>
      <c r="L1276"/>
      <c r="M1276" s="4"/>
      <c r="N1276" s="4"/>
    </row>
    <row r="1277" spans="5:14" x14ac:dyDescent="0.2">
      <c r="E1277" s="3"/>
      <c r="F1277" s="4"/>
      <c r="G1277" s="3"/>
      <c r="H1277" s="66"/>
      <c r="I1277" s="4"/>
      <c r="J1277" s="4"/>
      <c r="K1277"/>
      <c r="L1277"/>
      <c r="M1277" s="4"/>
      <c r="N1277" s="4"/>
    </row>
    <row r="1278" spans="5:14" x14ac:dyDescent="0.2">
      <c r="E1278" s="3"/>
      <c r="F1278" s="4"/>
      <c r="G1278" s="3"/>
      <c r="H1278" s="66"/>
      <c r="I1278" s="4"/>
      <c r="J1278" s="4"/>
      <c r="K1278"/>
      <c r="L1278"/>
      <c r="M1278" s="4"/>
      <c r="N1278" s="4"/>
    </row>
    <row r="1279" spans="5:14" x14ac:dyDescent="0.2">
      <c r="E1279" s="3"/>
      <c r="F1279" s="4"/>
      <c r="G1279" s="3"/>
      <c r="H1279" s="66"/>
      <c r="I1279" s="4"/>
      <c r="J1279" s="4"/>
      <c r="K1279"/>
      <c r="L1279"/>
      <c r="M1279" s="4"/>
      <c r="N1279" s="4"/>
    </row>
    <row r="1280" spans="5:14" x14ac:dyDescent="0.2">
      <c r="E1280" s="3"/>
      <c r="F1280" s="4"/>
      <c r="G1280" s="3"/>
      <c r="H1280" s="66"/>
      <c r="I1280" s="4"/>
      <c r="J1280" s="4"/>
      <c r="K1280"/>
      <c r="L1280"/>
      <c r="M1280" s="4"/>
      <c r="N1280" s="4"/>
    </row>
    <row r="1281" spans="5:14" x14ac:dyDescent="0.2">
      <c r="E1281" s="3"/>
      <c r="F1281" s="4"/>
      <c r="G1281" s="3"/>
      <c r="H1281" s="66"/>
      <c r="I1281" s="4"/>
      <c r="J1281" s="4"/>
      <c r="K1281"/>
      <c r="L1281"/>
      <c r="M1281" s="4"/>
      <c r="N1281" s="4"/>
    </row>
    <row r="1282" spans="5:14" x14ac:dyDescent="0.2">
      <c r="E1282" s="3"/>
      <c r="F1282" s="4"/>
      <c r="G1282" s="3"/>
      <c r="H1282" s="66"/>
      <c r="I1282" s="4"/>
      <c r="J1282" s="4"/>
      <c r="K1282"/>
      <c r="L1282"/>
      <c r="M1282" s="4"/>
      <c r="N1282" s="4"/>
    </row>
    <row r="1283" spans="5:14" x14ac:dyDescent="0.2">
      <c r="E1283" s="3"/>
      <c r="F1283" s="4"/>
      <c r="G1283" s="3"/>
      <c r="H1283" s="66"/>
      <c r="I1283" s="4"/>
      <c r="J1283" s="4"/>
      <c r="K1283"/>
      <c r="L1283"/>
      <c r="M1283" s="4"/>
      <c r="N1283" s="4"/>
    </row>
    <row r="1284" spans="5:14" x14ac:dyDescent="0.2">
      <c r="E1284" s="3"/>
      <c r="F1284" s="4"/>
      <c r="G1284" s="3"/>
      <c r="H1284" s="66"/>
      <c r="I1284" s="4"/>
      <c r="J1284" s="4"/>
      <c r="K1284"/>
      <c r="L1284"/>
      <c r="M1284" s="4"/>
      <c r="N1284" s="4"/>
    </row>
    <row r="1285" spans="5:14" x14ac:dyDescent="0.2">
      <c r="E1285" s="3"/>
      <c r="F1285" s="4"/>
      <c r="G1285" s="3"/>
      <c r="H1285" s="66"/>
      <c r="I1285" s="4"/>
      <c r="J1285" s="4"/>
      <c r="K1285"/>
      <c r="L1285"/>
      <c r="M1285" s="4"/>
      <c r="N1285" s="4"/>
    </row>
    <row r="1286" spans="5:14" x14ac:dyDescent="0.2">
      <c r="E1286" s="3"/>
      <c r="F1286" s="4"/>
      <c r="G1286" s="3"/>
      <c r="H1286" s="66"/>
      <c r="I1286" s="4"/>
      <c r="J1286" s="4"/>
      <c r="K1286"/>
      <c r="L1286"/>
      <c r="M1286" s="4"/>
      <c r="N1286" s="4"/>
    </row>
    <row r="1287" spans="5:14" x14ac:dyDescent="0.2">
      <c r="E1287" s="3"/>
      <c r="F1287" s="4"/>
      <c r="G1287" s="3"/>
      <c r="H1287" s="66"/>
      <c r="I1287" s="4"/>
      <c r="J1287" s="4"/>
      <c r="K1287"/>
      <c r="L1287"/>
      <c r="M1287" s="4"/>
      <c r="N1287" s="4"/>
    </row>
    <row r="1288" spans="5:14" x14ac:dyDescent="0.2">
      <c r="E1288" s="3"/>
      <c r="F1288" s="4"/>
      <c r="G1288" s="3"/>
      <c r="H1288" s="66"/>
      <c r="I1288" s="4"/>
      <c r="J1288" s="4"/>
      <c r="K1288"/>
      <c r="L1288"/>
      <c r="M1288" s="4"/>
      <c r="N1288" s="4"/>
    </row>
    <row r="1289" spans="5:14" x14ac:dyDescent="0.2">
      <c r="E1289" s="3"/>
      <c r="F1289" s="4"/>
      <c r="G1289" s="3"/>
      <c r="H1289" s="66"/>
      <c r="I1289" s="4"/>
      <c r="J1289" s="4"/>
      <c r="K1289"/>
      <c r="L1289"/>
      <c r="M1289" s="4"/>
      <c r="N1289" s="4"/>
    </row>
    <row r="1290" spans="5:14" x14ac:dyDescent="0.2">
      <c r="E1290" s="3"/>
      <c r="F1290" s="4"/>
      <c r="G1290" s="3"/>
      <c r="H1290" s="66"/>
      <c r="I1290" s="4"/>
      <c r="J1290" s="4"/>
      <c r="K1290"/>
      <c r="L1290"/>
      <c r="M1290" s="4"/>
      <c r="N1290" s="4"/>
    </row>
    <row r="1291" spans="5:14" x14ac:dyDescent="0.2">
      <c r="E1291" s="3"/>
      <c r="F1291" s="4"/>
      <c r="G1291" s="3"/>
      <c r="H1291" s="66"/>
      <c r="I1291" s="4"/>
      <c r="J1291" s="4"/>
      <c r="K1291"/>
      <c r="L1291"/>
      <c r="M1291" s="4"/>
      <c r="N1291" s="4"/>
    </row>
    <row r="1292" spans="5:14" x14ac:dyDescent="0.2">
      <c r="E1292" s="3"/>
      <c r="F1292" s="4"/>
      <c r="G1292" s="3"/>
      <c r="H1292" s="66"/>
      <c r="I1292" s="4"/>
      <c r="J1292" s="4"/>
      <c r="K1292"/>
      <c r="L1292"/>
      <c r="M1292" s="4"/>
      <c r="N1292" s="4"/>
    </row>
    <row r="1293" spans="5:14" x14ac:dyDescent="0.2">
      <c r="E1293" s="3"/>
      <c r="F1293" s="4"/>
      <c r="G1293" s="3"/>
      <c r="H1293" s="66"/>
      <c r="I1293" s="4"/>
      <c r="J1293" s="4"/>
      <c r="K1293"/>
      <c r="L1293"/>
      <c r="M1293" s="4"/>
      <c r="N1293" s="4"/>
    </row>
    <row r="1294" spans="5:14" x14ac:dyDescent="0.2">
      <c r="E1294" s="3"/>
      <c r="F1294" s="4"/>
      <c r="G1294" s="3"/>
      <c r="H1294" s="66"/>
      <c r="I1294" s="4"/>
      <c r="J1294" s="4"/>
      <c r="K1294"/>
      <c r="L1294"/>
      <c r="M1294" s="4"/>
      <c r="N1294" s="4"/>
    </row>
    <row r="1295" spans="5:14" x14ac:dyDescent="0.2">
      <c r="E1295" s="3"/>
      <c r="F1295" s="4"/>
      <c r="G1295" s="3"/>
      <c r="H1295" s="66"/>
      <c r="I1295" s="4"/>
      <c r="J1295" s="4"/>
      <c r="K1295"/>
      <c r="L1295"/>
      <c r="M1295" s="4"/>
      <c r="N1295" s="4"/>
    </row>
    <row r="1296" spans="5:14" x14ac:dyDescent="0.2">
      <c r="E1296" s="3"/>
      <c r="F1296" s="4"/>
      <c r="G1296" s="3"/>
      <c r="H1296" s="66"/>
      <c r="I1296" s="4"/>
      <c r="J1296" s="4"/>
      <c r="K1296"/>
      <c r="L1296"/>
      <c r="M1296" s="4"/>
      <c r="N1296" s="4"/>
    </row>
    <row r="1297" spans="5:14" x14ac:dyDescent="0.2">
      <c r="E1297" s="3"/>
      <c r="F1297" s="4"/>
      <c r="G1297" s="3"/>
      <c r="H1297" s="66"/>
      <c r="I1297" s="4"/>
      <c r="J1297" s="4"/>
      <c r="K1297"/>
      <c r="L1297"/>
      <c r="M1297" s="4"/>
      <c r="N1297" s="4"/>
    </row>
    <row r="1298" spans="5:14" x14ac:dyDescent="0.2">
      <c r="E1298" s="3"/>
      <c r="F1298" s="4"/>
      <c r="G1298" s="3"/>
      <c r="H1298" s="66"/>
      <c r="I1298" s="4"/>
      <c r="J1298" s="4"/>
      <c r="K1298"/>
      <c r="L1298"/>
      <c r="M1298" s="4"/>
      <c r="N1298" s="4"/>
    </row>
    <row r="1299" spans="5:14" x14ac:dyDescent="0.2">
      <c r="E1299" s="3"/>
      <c r="F1299" s="4"/>
      <c r="G1299" s="3"/>
      <c r="H1299" s="66"/>
      <c r="I1299" s="4"/>
      <c r="J1299" s="4"/>
      <c r="K1299"/>
      <c r="L1299"/>
      <c r="M1299" s="4"/>
      <c r="N1299" s="4"/>
    </row>
    <row r="1300" spans="5:14" x14ac:dyDescent="0.2">
      <c r="E1300" s="3"/>
      <c r="F1300" s="4"/>
      <c r="G1300" s="3"/>
      <c r="H1300" s="66"/>
      <c r="I1300" s="4"/>
      <c r="J1300" s="4"/>
      <c r="K1300"/>
      <c r="L1300"/>
      <c r="M1300" s="4"/>
      <c r="N1300" s="4"/>
    </row>
    <row r="1301" spans="5:14" x14ac:dyDescent="0.2">
      <c r="E1301" s="3"/>
      <c r="F1301" s="4"/>
      <c r="G1301" s="3"/>
      <c r="H1301" s="66"/>
      <c r="I1301" s="4"/>
      <c r="J1301" s="4"/>
      <c r="K1301"/>
      <c r="L1301"/>
      <c r="M1301" s="4"/>
      <c r="N1301" s="4"/>
    </row>
    <row r="1302" spans="5:14" x14ac:dyDescent="0.2">
      <c r="E1302" s="3"/>
      <c r="F1302" s="4"/>
      <c r="G1302" s="3"/>
      <c r="H1302" s="66"/>
      <c r="I1302" s="4"/>
      <c r="J1302" s="4"/>
      <c r="K1302"/>
      <c r="L1302"/>
      <c r="M1302" s="4"/>
      <c r="N1302" s="4"/>
    </row>
    <row r="1303" spans="5:14" x14ac:dyDescent="0.2">
      <c r="E1303" s="3"/>
      <c r="F1303" s="4"/>
      <c r="G1303" s="3"/>
      <c r="H1303" s="66"/>
      <c r="I1303" s="4"/>
      <c r="J1303" s="4"/>
      <c r="K1303"/>
      <c r="L1303"/>
      <c r="M1303" s="4"/>
      <c r="N1303" s="4"/>
    </row>
    <row r="1304" spans="5:14" x14ac:dyDescent="0.2">
      <c r="E1304" s="3"/>
      <c r="F1304" s="4"/>
      <c r="G1304" s="3"/>
      <c r="H1304" s="66"/>
      <c r="I1304" s="4"/>
      <c r="J1304" s="4"/>
      <c r="K1304"/>
      <c r="L1304"/>
      <c r="M1304" s="4"/>
      <c r="N1304" s="4"/>
    </row>
    <row r="1305" spans="5:14" x14ac:dyDescent="0.2">
      <c r="E1305" s="3"/>
      <c r="F1305" s="4"/>
      <c r="G1305" s="3"/>
      <c r="H1305" s="66"/>
      <c r="I1305" s="4"/>
      <c r="J1305" s="4"/>
      <c r="K1305"/>
      <c r="L1305"/>
      <c r="M1305" s="4"/>
      <c r="N1305" s="4"/>
    </row>
    <row r="1306" spans="5:14" x14ac:dyDescent="0.2">
      <c r="E1306" s="3"/>
      <c r="F1306" s="4"/>
      <c r="G1306" s="3"/>
      <c r="H1306" s="66"/>
      <c r="I1306" s="4"/>
      <c r="J1306" s="4"/>
      <c r="K1306"/>
      <c r="L1306"/>
      <c r="M1306" s="4"/>
      <c r="N1306" s="4"/>
    </row>
    <row r="1307" spans="5:14" x14ac:dyDescent="0.2">
      <c r="E1307" s="3"/>
      <c r="F1307" s="4"/>
      <c r="G1307" s="3"/>
      <c r="H1307" s="66"/>
      <c r="I1307" s="4"/>
      <c r="J1307" s="4"/>
      <c r="K1307"/>
      <c r="L1307"/>
      <c r="M1307" s="4"/>
      <c r="N1307" s="4"/>
    </row>
    <row r="1308" spans="5:14" x14ac:dyDescent="0.2">
      <c r="E1308" s="3"/>
      <c r="F1308" s="4"/>
      <c r="G1308" s="3"/>
      <c r="H1308" s="66"/>
      <c r="I1308" s="4"/>
      <c r="J1308" s="4"/>
      <c r="K1308"/>
      <c r="L1308"/>
      <c r="M1308" s="4"/>
      <c r="N1308" s="4"/>
    </row>
    <row r="1309" spans="5:14" x14ac:dyDescent="0.2">
      <c r="E1309" s="3"/>
      <c r="F1309" s="4"/>
      <c r="G1309" s="3"/>
      <c r="H1309" s="66"/>
      <c r="I1309" s="4"/>
      <c r="J1309" s="4"/>
      <c r="K1309"/>
      <c r="L1309"/>
      <c r="M1309" s="4"/>
      <c r="N1309" s="4"/>
    </row>
    <row r="1310" spans="5:14" x14ac:dyDescent="0.2">
      <c r="E1310" s="3"/>
      <c r="F1310" s="4"/>
      <c r="G1310" s="3"/>
      <c r="H1310" s="66"/>
      <c r="I1310" s="4"/>
      <c r="J1310" s="4"/>
      <c r="K1310"/>
      <c r="L1310"/>
      <c r="M1310" s="4"/>
      <c r="N1310" s="4"/>
    </row>
    <row r="1311" spans="5:14" x14ac:dyDescent="0.2">
      <c r="E1311" s="3"/>
      <c r="F1311" s="4"/>
      <c r="G1311" s="3"/>
      <c r="H1311" s="66"/>
      <c r="I1311" s="4"/>
      <c r="J1311" s="4"/>
      <c r="K1311"/>
      <c r="L1311"/>
      <c r="M1311" s="4"/>
      <c r="N1311" s="4"/>
    </row>
    <row r="1312" spans="5:14" x14ac:dyDescent="0.2">
      <c r="E1312" s="3"/>
      <c r="F1312" s="4"/>
      <c r="G1312" s="3"/>
      <c r="H1312" s="66"/>
      <c r="I1312" s="4"/>
      <c r="J1312" s="4"/>
      <c r="K1312"/>
      <c r="L1312"/>
      <c r="M1312" s="4"/>
      <c r="N1312" s="4"/>
    </row>
    <row r="1313" spans="5:14" x14ac:dyDescent="0.2">
      <c r="E1313" s="3"/>
      <c r="F1313" s="4"/>
      <c r="G1313" s="3"/>
      <c r="H1313" s="66"/>
      <c r="I1313" s="4"/>
      <c r="J1313" s="4"/>
      <c r="K1313"/>
      <c r="L1313"/>
      <c r="M1313" s="4"/>
      <c r="N1313" s="4"/>
    </row>
    <row r="1314" spans="5:14" x14ac:dyDescent="0.2">
      <c r="E1314" s="3"/>
      <c r="F1314" s="4"/>
      <c r="G1314" s="3"/>
      <c r="H1314" s="66"/>
      <c r="I1314" s="4"/>
      <c r="J1314" s="4"/>
      <c r="K1314"/>
      <c r="L1314"/>
      <c r="M1314" s="4"/>
      <c r="N1314" s="4"/>
    </row>
    <row r="1315" spans="5:14" x14ac:dyDescent="0.2">
      <c r="E1315" s="3"/>
      <c r="F1315" s="4"/>
      <c r="G1315" s="3"/>
      <c r="H1315" s="66"/>
      <c r="I1315" s="4"/>
      <c r="J1315" s="4"/>
      <c r="K1315"/>
      <c r="L1315"/>
      <c r="M1315" s="4"/>
      <c r="N1315" s="4"/>
    </row>
    <row r="1316" spans="5:14" x14ac:dyDescent="0.2">
      <c r="E1316" s="3"/>
      <c r="F1316" s="4"/>
      <c r="G1316" s="3"/>
      <c r="H1316" s="66"/>
      <c r="I1316" s="4"/>
      <c r="J1316" s="4"/>
      <c r="K1316"/>
      <c r="L1316"/>
      <c r="M1316" s="4"/>
      <c r="N1316" s="4"/>
    </row>
    <row r="1317" spans="5:14" x14ac:dyDescent="0.2">
      <c r="E1317" s="3"/>
      <c r="F1317" s="4"/>
      <c r="G1317" s="3"/>
      <c r="H1317" s="66"/>
      <c r="I1317" s="4"/>
      <c r="J1317" s="4"/>
      <c r="K1317"/>
      <c r="L1317"/>
      <c r="M1317" s="4"/>
      <c r="N1317" s="4"/>
    </row>
    <row r="1318" spans="5:14" x14ac:dyDescent="0.2">
      <c r="E1318" s="3"/>
      <c r="F1318" s="4"/>
      <c r="G1318" s="3"/>
      <c r="H1318" s="66"/>
      <c r="I1318" s="4"/>
      <c r="J1318" s="4"/>
      <c r="K1318"/>
      <c r="L1318"/>
      <c r="M1318" s="4"/>
      <c r="N1318" s="4"/>
    </row>
    <row r="1319" spans="5:14" x14ac:dyDescent="0.2">
      <c r="E1319" s="3"/>
      <c r="F1319" s="4"/>
      <c r="G1319" s="3"/>
      <c r="H1319" s="66"/>
      <c r="I1319" s="4"/>
      <c r="J1319" s="4"/>
      <c r="K1319"/>
      <c r="L1319"/>
      <c r="M1319" s="4"/>
      <c r="N1319" s="4"/>
    </row>
    <row r="1320" spans="5:14" x14ac:dyDescent="0.2">
      <c r="E1320" s="3"/>
      <c r="F1320" s="4"/>
      <c r="G1320" s="3"/>
      <c r="H1320" s="66"/>
      <c r="I1320" s="4"/>
      <c r="J1320" s="4"/>
      <c r="K1320"/>
      <c r="L1320"/>
      <c r="M1320" s="4"/>
      <c r="N1320" s="4"/>
    </row>
    <row r="1321" spans="5:14" x14ac:dyDescent="0.2">
      <c r="E1321" s="3"/>
      <c r="F1321" s="4"/>
      <c r="G1321" s="3"/>
      <c r="H1321" s="66"/>
      <c r="I1321" s="4"/>
      <c r="J1321" s="4"/>
      <c r="K1321"/>
      <c r="L1321"/>
      <c r="M1321" s="4"/>
      <c r="N1321" s="4"/>
    </row>
    <row r="1322" spans="5:14" x14ac:dyDescent="0.2">
      <c r="E1322" s="3"/>
      <c r="F1322" s="4"/>
      <c r="G1322" s="3"/>
      <c r="H1322" s="66"/>
      <c r="I1322" s="4"/>
      <c r="J1322" s="4"/>
      <c r="K1322"/>
      <c r="L1322"/>
      <c r="M1322" s="4"/>
      <c r="N1322" s="4"/>
    </row>
    <row r="1323" spans="5:14" x14ac:dyDescent="0.2">
      <c r="E1323" s="3"/>
      <c r="F1323" s="4"/>
      <c r="G1323" s="3"/>
      <c r="H1323" s="66"/>
      <c r="I1323" s="4"/>
      <c r="J1323" s="4"/>
      <c r="K1323"/>
      <c r="L1323"/>
      <c r="M1323" s="4"/>
      <c r="N1323" s="4"/>
    </row>
    <row r="1324" spans="5:14" x14ac:dyDescent="0.2">
      <c r="E1324" s="3"/>
      <c r="F1324" s="4"/>
      <c r="G1324" s="3"/>
      <c r="H1324" s="66"/>
      <c r="I1324" s="4"/>
      <c r="J1324" s="4"/>
      <c r="K1324"/>
      <c r="L1324"/>
      <c r="M1324" s="4"/>
      <c r="N1324" s="4"/>
    </row>
    <row r="1325" spans="5:14" x14ac:dyDescent="0.2">
      <c r="E1325" s="3"/>
      <c r="F1325" s="4"/>
      <c r="G1325" s="3"/>
      <c r="H1325" s="66"/>
      <c r="I1325" s="4"/>
      <c r="J1325" s="4"/>
      <c r="K1325"/>
      <c r="L1325"/>
      <c r="M1325" s="4"/>
      <c r="N1325" s="4"/>
    </row>
    <row r="1326" spans="5:14" x14ac:dyDescent="0.2">
      <c r="E1326" s="3"/>
      <c r="F1326" s="4"/>
      <c r="G1326" s="3"/>
      <c r="H1326" s="66"/>
      <c r="I1326" s="4"/>
      <c r="J1326" s="4"/>
      <c r="K1326"/>
      <c r="L1326"/>
      <c r="M1326" s="4"/>
      <c r="N1326" s="4"/>
    </row>
    <row r="1327" spans="5:14" x14ac:dyDescent="0.2">
      <c r="E1327" s="3"/>
      <c r="F1327" s="4"/>
      <c r="G1327" s="3"/>
      <c r="H1327" s="66"/>
      <c r="I1327" s="4"/>
      <c r="J1327" s="4"/>
      <c r="K1327"/>
      <c r="L1327"/>
      <c r="M1327" s="4"/>
      <c r="N1327" s="4"/>
    </row>
    <row r="1328" spans="5:14" x14ac:dyDescent="0.2">
      <c r="E1328" s="3"/>
      <c r="F1328" s="4"/>
      <c r="G1328" s="3"/>
      <c r="H1328" s="66"/>
      <c r="I1328" s="4"/>
      <c r="J1328" s="4"/>
      <c r="K1328"/>
      <c r="L1328"/>
      <c r="M1328" s="4"/>
      <c r="N1328" s="4"/>
    </row>
    <row r="1329" spans="5:14" x14ac:dyDescent="0.2">
      <c r="E1329" s="3"/>
      <c r="F1329" s="4"/>
      <c r="G1329" s="3"/>
      <c r="H1329" s="66"/>
      <c r="I1329" s="4"/>
      <c r="J1329" s="4"/>
      <c r="K1329"/>
      <c r="L1329"/>
      <c r="M1329" s="4"/>
      <c r="N1329" s="4"/>
    </row>
    <row r="1330" spans="5:14" x14ac:dyDescent="0.2">
      <c r="E1330" s="3"/>
      <c r="F1330" s="4"/>
      <c r="G1330" s="3"/>
      <c r="H1330" s="66"/>
      <c r="I1330" s="4"/>
      <c r="J1330" s="4"/>
      <c r="K1330"/>
      <c r="L1330"/>
      <c r="M1330" s="4"/>
      <c r="N1330" s="4"/>
    </row>
    <row r="1331" spans="5:14" x14ac:dyDescent="0.2">
      <c r="E1331" s="3"/>
      <c r="F1331" s="4"/>
      <c r="G1331" s="3"/>
      <c r="H1331" s="66"/>
      <c r="I1331" s="4"/>
      <c r="J1331" s="4"/>
      <c r="K1331"/>
      <c r="L1331"/>
      <c r="M1331" s="4"/>
      <c r="N1331" s="4"/>
    </row>
    <row r="1332" spans="5:14" x14ac:dyDescent="0.2">
      <c r="E1332" s="3"/>
      <c r="F1332" s="4"/>
      <c r="G1332" s="3"/>
      <c r="H1332" s="66"/>
      <c r="I1332" s="4"/>
      <c r="J1332" s="4"/>
      <c r="K1332"/>
      <c r="L1332"/>
      <c r="M1332" s="4"/>
      <c r="N1332" s="4"/>
    </row>
    <row r="1333" spans="5:14" x14ac:dyDescent="0.2">
      <c r="E1333" s="3"/>
      <c r="F1333" s="4"/>
      <c r="G1333" s="3"/>
      <c r="H1333" s="66"/>
      <c r="I1333" s="4"/>
      <c r="J1333" s="4"/>
      <c r="K1333"/>
      <c r="L1333"/>
      <c r="M1333" s="4"/>
      <c r="N1333" s="4"/>
    </row>
    <row r="1334" spans="5:14" x14ac:dyDescent="0.2">
      <c r="E1334" s="3"/>
      <c r="F1334" s="4"/>
      <c r="G1334" s="3"/>
      <c r="H1334" s="66"/>
      <c r="I1334" s="4"/>
      <c r="J1334" s="4"/>
      <c r="K1334"/>
      <c r="L1334"/>
      <c r="M1334" s="4"/>
      <c r="N1334" s="4"/>
    </row>
    <row r="1335" spans="5:14" x14ac:dyDescent="0.2">
      <c r="E1335" s="3"/>
      <c r="F1335" s="4"/>
      <c r="G1335" s="3"/>
      <c r="H1335" s="66"/>
      <c r="I1335" s="4"/>
      <c r="J1335" s="4"/>
      <c r="K1335"/>
      <c r="L1335"/>
      <c r="M1335" s="4"/>
      <c r="N1335" s="4"/>
    </row>
    <row r="1336" spans="5:14" x14ac:dyDescent="0.2">
      <c r="E1336" s="3"/>
      <c r="F1336" s="4"/>
      <c r="G1336" s="3"/>
      <c r="H1336" s="66"/>
      <c r="I1336" s="4"/>
      <c r="J1336" s="4"/>
      <c r="K1336"/>
      <c r="L1336"/>
      <c r="M1336" s="4"/>
      <c r="N1336" s="4"/>
    </row>
    <row r="1337" spans="5:14" x14ac:dyDescent="0.2">
      <c r="E1337" s="3"/>
      <c r="F1337" s="4"/>
      <c r="G1337" s="3"/>
      <c r="H1337" s="66"/>
      <c r="I1337" s="4"/>
      <c r="J1337" s="4"/>
      <c r="K1337"/>
      <c r="L1337"/>
      <c r="M1337" s="4"/>
      <c r="N1337" s="4"/>
    </row>
    <row r="1338" spans="5:14" x14ac:dyDescent="0.2">
      <c r="E1338" s="3"/>
      <c r="F1338" s="4"/>
      <c r="G1338" s="3"/>
      <c r="H1338" s="66"/>
      <c r="I1338" s="4"/>
      <c r="J1338" s="4"/>
      <c r="K1338"/>
      <c r="L1338"/>
      <c r="M1338" s="4"/>
      <c r="N1338" s="4"/>
    </row>
    <row r="1339" spans="5:14" x14ac:dyDescent="0.2">
      <c r="E1339" s="3"/>
      <c r="F1339" s="4"/>
      <c r="G1339" s="3"/>
      <c r="H1339" s="66"/>
      <c r="I1339" s="4"/>
      <c r="J1339" s="4"/>
      <c r="K1339"/>
      <c r="L1339"/>
      <c r="M1339" s="4"/>
      <c r="N1339" s="4"/>
    </row>
    <row r="1340" spans="5:14" x14ac:dyDescent="0.2">
      <c r="E1340" s="3"/>
      <c r="F1340" s="4"/>
      <c r="G1340" s="3"/>
      <c r="H1340" s="66"/>
      <c r="I1340" s="4"/>
      <c r="J1340" s="4"/>
      <c r="K1340"/>
      <c r="L1340"/>
      <c r="M1340" s="4"/>
      <c r="N1340" s="4"/>
    </row>
    <row r="1341" spans="5:14" x14ac:dyDescent="0.2">
      <c r="E1341" s="3"/>
      <c r="F1341" s="4"/>
      <c r="G1341" s="3"/>
      <c r="H1341" s="66"/>
      <c r="I1341" s="4"/>
      <c r="J1341" s="4"/>
      <c r="K1341"/>
      <c r="L1341"/>
      <c r="M1341" s="4"/>
      <c r="N1341" s="4"/>
    </row>
    <row r="1342" spans="5:14" x14ac:dyDescent="0.2">
      <c r="E1342" s="3"/>
      <c r="F1342" s="4"/>
      <c r="G1342" s="3"/>
      <c r="H1342" s="66"/>
      <c r="I1342" s="4"/>
      <c r="J1342" s="4"/>
      <c r="K1342"/>
      <c r="L1342"/>
      <c r="M1342" s="4"/>
      <c r="N1342" s="4"/>
    </row>
    <row r="1343" spans="5:14" x14ac:dyDescent="0.2">
      <c r="E1343" s="3"/>
      <c r="F1343" s="4"/>
      <c r="G1343" s="3"/>
      <c r="H1343" s="66"/>
      <c r="I1343" s="4"/>
      <c r="J1343" s="4"/>
      <c r="K1343"/>
      <c r="L1343"/>
      <c r="M1343" s="4"/>
      <c r="N1343" s="4"/>
    </row>
    <row r="1344" spans="5:14" x14ac:dyDescent="0.2">
      <c r="E1344" s="3"/>
      <c r="F1344" s="4"/>
      <c r="G1344" s="3"/>
      <c r="H1344" s="66"/>
      <c r="I1344" s="4"/>
      <c r="J1344" s="4"/>
      <c r="K1344"/>
      <c r="L1344"/>
      <c r="M1344" s="4"/>
      <c r="N1344" s="4"/>
    </row>
    <row r="1345" spans="5:14" x14ac:dyDescent="0.2">
      <c r="E1345" s="3"/>
      <c r="F1345" s="4"/>
      <c r="G1345" s="3"/>
      <c r="H1345" s="66"/>
      <c r="I1345" s="4"/>
      <c r="J1345" s="4"/>
      <c r="K1345"/>
      <c r="L1345"/>
      <c r="M1345" s="4"/>
      <c r="N1345" s="4"/>
    </row>
    <row r="1346" spans="5:14" x14ac:dyDescent="0.2">
      <c r="E1346" s="3"/>
      <c r="F1346" s="4"/>
      <c r="G1346" s="3"/>
      <c r="H1346" s="66"/>
      <c r="I1346" s="4"/>
      <c r="J1346" s="4"/>
      <c r="K1346"/>
      <c r="L1346"/>
      <c r="M1346" s="4"/>
      <c r="N1346" s="4"/>
    </row>
    <row r="1347" spans="5:14" x14ac:dyDescent="0.2">
      <c r="E1347" s="3"/>
      <c r="F1347" s="4"/>
      <c r="G1347" s="3"/>
      <c r="H1347" s="66"/>
      <c r="I1347" s="4"/>
      <c r="J1347" s="4"/>
      <c r="K1347"/>
      <c r="L1347"/>
      <c r="M1347" s="4"/>
      <c r="N1347" s="4"/>
    </row>
    <row r="1348" spans="5:14" x14ac:dyDescent="0.2">
      <c r="E1348" s="3"/>
      <c r="F1348" s="4"/>
      <c r="G1348" s="3"/>
      <c r="H1348" s="66"/>
      <c r="I1348" s="4"/>
      <c r="J1348" s="4"/>
      <c r="K1348"/>
      <c r="L1348"/>
      <c r="M1348" s="4"/>
      <c r="N1348" s="4"/>
    </row>
    <row r="1349" spans="5:14" x14ac:dyDescent="0.2">
      <c r="E1349" s="3"/>
      <c r="F1349" s="4"/>
      <c r="G1349" s="3"/>
      <c r="H1349" s="66"/>
      <c r="I1349" s="4"/>
      <c r="J1349" s="4"/>
      <c r="K1349"/>
      <c r="L1349"/>
      <c r="M1349" s="4"/>
      <c r="N1349" s="4"/>
    </row>
    <row r="1350" spans="5:14" x14ac:dyDescent="0.2">
      <c r="E1350" s="3"/>
      <c r="F1350" s="4"/>
      <c r="G1350" s="3"/>
      <c r="H1350" s="66"/>
      <c r="I1350" s="4"/>
      <c r="J1350" s="4"/>
      <c r="K1350"/>
      <c r="L1350"/>
      <c r="M1350" s="4"/>
      <c r="N1350" s="4"/>
    </row>
    <row r="1351" spans="5:14" x14ac:dyDescent="0.2">
      <c r="E1351" s="3"/>
      <c r="F1351" s="4"/>
      <c r="G1351" s="3"/>
      <c r="H1351" s="66"/>
      <c r="I1351" s="4"/>
      <c r="J1351" s="4"/>
      <c r="K1351"/>
      <c r="L1351"/>
      <c r="M1351" s="4"/>
      <c r="N1351" s="4"/>
    </row>
    <row r="1352" spans="5:14" x14ac:dyDescent="0.2">
      <c r="E1352" s="3"/>
      <c r="F1352" s="4"/>
      <c r="G1352" s="3"/>
      <c r="H1352" s="66"/>
      <c r="I1352" s="4"/>
      <c r="J1352" s="4"/>
      <c r="K1352"/>
      <c r="L1352"/>
      <c r="M1352" s="4"/>
      <c r="N1352" s="4"/>
    </row>
    <row r="1353" spans="5:14" x14ac:dyDescent="0.2">
      <c r="E1353" s="3"/>
      <c r="F1353" s="4"/>
      <c r="G1353" s="3"/>
      <c r="H1353" s="66"/>
      <c r="I1353" s="4"/>
      <c r="J1353" s="4"/>
      <c r="K1353"/>
      <c r="L1353"/>
      <c r="M1353" s="4"/>
      <c r="N1353" s="4"/>
    </row>
    <row r="1354" spans="5:14" x14ac:dyDescent="0.2">
      <c r="E1354" s="3"/>
      <c r="F1354" s="4"/>
      <c r="G1354" s="3"/>
      <c r="H1354" s="66"/>
      <c r="I1354" s="4"/>
      <c r="J1354" s="4"/>
      <c r="K1354"/>
      <c r="L1354"/>
      <c r="M1354" s="4"/>
      <c r="N1354" s="4"/>
    </row>
    <row r="1355" spans="5:14" x14ac:dyDescent="0.2">
      <c r="E1355" s="3"/>
      <c r="F1355" s="4"/>
      <c r="G1355" s="3"/>
      <c r="H1355" s="66"/>
      <c r="I1355" s="4"/>
      <c r="J1355" s="4"/>
      <c r="K1355"/>
      <c r="L1355"/>
      <c r="M1355" s="4"/>
      <c r="N1355" s="4"/>
    </row>
    <row r="1356" spans="5:14" x14ac:dyDescent="0.2">
      <c r="E1356" s="3"/>
      <c r="F1356" s="4"/>
      <c r="G1356" s="3"/>
      <c r="H1356" s="66"/>
      <c r="I1356" s="4"/>
      <c r="J1356" s="4"/>
      <c r="K1356"/>
      <c r="L1356"/>
      <c r="M1356" s="4"/>
      <c r="N1356" s="4"/>
    </row>
    <row r="1357" spans="5:14" x14ac:dyDescent="0.2">
      <c r="E1357" s="3"/>
      <c r="F1357" s="4"/>
      <c r="G1357" s="3"/>
      <c r="H1357" s="66"/>
      <c r="I1357" s="4"/>
      <c r="J1357" s="4"/>
      <c r="K1357"/>
      <c r="L1357"/>
      <c r="M1357" s="4"/>
      <c r="N1357" s="4"/>
    </row>
    <row r="1358" spans="5:14" x14ac:dyDescent="0.2">
      <c r="E1358" s="3"/>
      <c r="F1358" s="4"/>
      <c r="G1358" s="3"/>
      <c r="H1358" s="66"/>
      <c r="I1358" s="4"/>
      <c r="J1358" s="4"/>
      <c r="K1358"/>
      <c r="L1358"/>
      <c r="M1358" s="4"/>
      <c r="N1358" s="4"/>
    </row>
    <row r="1359" spans="5:14" x14ac:dyDescent="0.2">
      <c r="E1359" s="3"/>
      <c r="F1359" s="4"/>
      <c r="G1359" s="3"/>
      <c r="H1359" s="66"/>
      <c r="I1359" s="4"/>
      <c r="J1359" s="4"/>
      <c r="K1359"/>
      <c r="L1359"/>
      <c r="M1359" s="4"/>
      <c r="N1359" s="4"/>
    </row>
    <row r="1360" spans="5:14" x14ac:dyDescent="0.2">
      <c r="E1360" s="3"/>
      <c r="F1360" s="4"/>
      <c r="G1360" s="3"/>
      <c r="H1360" s="66"/>
      <c r="I1360" s="4"/>
      <c r="J1360" s="4"/>
      <c r="K1360"/>
      <c r="L1360"/>
      <c r="M1360" s="4"/>
      <c r="N1360" s="4"/>
    </row>
    <row r="1361" spans="5:14" x14ac:dyDescent="0.2">
      <c r="E1361" s="3"/>
      <c r="F1361" s="4"/>
      <c r="G1361" s="3"/>
      <c r="H1361" s="66"/>
      <c r="I1361" s="4"/>
      <c r="J1361" s="4"/>
      <c r="K1361"/>
      <c r="L1361"/>
      <c r="M1361" s="4"/>
      <c r="N1361" s="4"/>
    </row>
    <row r="1362" spans="5:14" x14ac:dyDescent="0.2">
      <c r="E1362" s="3"/>
      <c r="F1362" s="4"/>
      <c r="G1362" s="3"/>
      <c r="H1362" s="66"/>
      <c r="I1362" s="4"/>
      <c r="J1362" s="4"/>
      <c r="K1362"/>
      <c r="L1362"/>
      <c r="M1362" s="4"/>
      <c r="N1362" s="4"/>
    </row>
    <row r="1363" spans="5:14" x14ac:dyDescent="0.2">
      <c r="E1363" s="3"/>
      <c r="F1363" s="4"/>
      <c r="G1363" s="3"/>
      <c r="H1363" s="66"/>
      <c r="I1363" s="4"/>
      <c r="J1363" s="4"/>
      <c r="K1363"/>
      <c r="L1363"/>
      <c r="M1363" s="4"/>
      <c r="N1363" s="4"/>
    </row>
    <row r="1364" spans="5:14" x14ac:dyDescent="0.2">
      <c r="E1364" s="3"/>
      <c r="F1364" s="4"/>
      <c r="G1364" s="3"/>
      <c r="H1364" s="66"/>
      <c r="I1364" s="4"/>
      <c r="J1364" s="4"/>
      <c r="K1364"/>
      <c r="L1364"/>
      <c r="M1364" s="4"/>
      <c r="N1364" s="4"/>
    </row>
    <row r="1365" spans="5:14" x14ac:dyDescent="0.2">
      <c r="E1365" s="3"/>
      <c r="F1365" s="4"/>
      <c r="G1365" s="3"/>
      <c r="H1365" s="66"/>
      <c r="I1365" s="4"/>
      <c r="J1365" s="4"/>
      <c r="K1365"/>
      <c r="L1365"/>
      <c r="M1365" s="4"/>
      <c r="N1365" s="4"/>
    </row>
    <row r="1366" spans="5:14" x14ac:dyDescent="0.2">
      <c r="E1366" s="3"/>
      <c r="F1366" s="4"/>
      <c r="G1366" s="3"/>
      <c r="H1366" s="66"/>
      <c r="I1366" s="4"/>
      <c r="J1366" s="4"/>
      <c r="K1366"/>
      <c r="L1366"/>
      <c r="M1366" s="4"/>
      <c r="N1366" s="4"/>
    </row>
    <row r="1367" spans="5:14" x14ac:dyDescent="0.2">
      <c r="E1367" s="3"/>
      <c r="F1367" s="4"/>
      <c r="G1367" s="3"/>
      <c r="H1367" s="66"/>
      <c r="I1367" s="4"/>
      <c r="J1367" s="4"/>
      <c r="K1367"/>
      <c r="L1367"/>
      <c r="M1367" s="4"/>
      <c r="N1367" s="4"/>
    </row>
    <row r="1368" spans="5:14" x14ac:dyDescent="0.2">
      <c r="E1368" s="3"/>
      <c r="F1368" s="4"/>
      <c r="G1368" s="3"/>
      <c r="H1368" s="66"/>
      <c r="I1368" s="4"/>
      <c r="J1368" s="4"/>
      <c r="K1368"/>
      <c r="L1368"/>
      <c r="M1368" s="4"/>
      <c r="N1368" s="4"/>
    </row>
    <row r="1369" spans="5:14" x14ac:dyDescent="0.2">
      <c r="E1369" s="3"/>
      <c r="F1369" s="4"/>
      <c r="G1369" s="3"/>
      <c r="H1369" s="66"/>
      <c r="I1369" s="4"/>
      <c r="J1369" s="4"/>
      <c r="K1369"/>
      <c r="L1369"/>
      <c r="M1369" s="4"/>
      <c r="N1369" s="4"/>
    </row>
    <row r="1370" spans="5:14" x14ac:dyDescent="0.2">
      <c r="E1370" s="3"/>
      <c r="F1370" s="4"/>
      <c r="G1370" s="3"/>
      <c r="H1370" s="66"/>
      <c r="I1370" s="4"/>
      <c r="J1370" s="4"/>
      <c r="K1370"/>
      <c r="L1370"/>
      <c r="M1370" s="4"/>
      <c r="N1370" s="4"/>
    </row>
    <row r="1371" spans="5:14" x14ac:dyDescent="0.2">
      <c r="E1371" s="3"/>
      <c r="F1371" s="4"/>
      <c r="G1371" s="3"/>
      <c r="H1371" s="66"/>
      <c r="I1371" s="4"/>
      <c r="J1371" s="4"/>
      <c r="K1371"/>
      <c r="L1371"/>
      <c r="M1371" s="4"/>
      <c r="N1371" s="4"/>
    </row>
    <row r="1372" spans="5:14" x14ac:dyDescent="0.2">
      <c r="E1372" s="3"/>
      <c r="F1372" s="4"/>
      <c r="G1372" s="3"/>
      <c r="H1372" s="66"/>
      <c r="I1372" s="4"/>
      <c r="J1372" s="4"/>
      <c r="K1372"/>
      <c r="L1372"/>
      <c r="M1372" s="4"/>
      <c r="N1372" s="4"/>
    </row>
    <row r="1373" spans="5:14" x14ac:dyDescent="0.2">
      <c r="E1373" s="3"/>
      <c r="F1373" s="4"/>
      <c r="G1373" s="3"/>
      <c r="H1373" s="66"/>
      <c r="I1373" s="4"/>
      <c r="J1373" s="4"/>
      <c r="K1373"/>
      <c r="L1373"/>
      <c r="M1373" s="4"/>
      <c r="N1373" s="4"/>
    </row>
    <row r="1374" spans="5:14" x14ac:dyDescent="0.2">
      <c r="E1374" s="3"/>
      <c r="F1374" s="4"/>
      <c r="G1374" s="3"/>
      <c r="H1374" s="66"/>
      <c r="I1374" s="4"/>
      <c r="J1374" s="4"/>
      <c r="K1374"/>
      <c r="L1374"/>
      <c r="M1374" s="4"/>
      <c r="N1374" s="4"/>
    </row>
    <row r="1375" spans="5:14" x14ac:dyDescent="0.2">
      <c r="E1375" s="3"/>
      <c r="F1375" s="4"/>
      <c r="G1375" s="3"/>
      <c r="H1375" s="66"/>
      <c r="I1375" s="4"/>
      <c r="J1375" s="4"/>
      <c r="K1375"/>
      <c r="L1375"/>
      <c r="M1375" s="4"/>
      <c r="N1375" s="4"/>
    </row>
    <row r="1376" spans="5:14" x14ac:dyDescent="0.2">
      <c r="E1376" s="3"/>
      <c r="F1376" s="4"/>
      <c r="G1376" s="3"/>
      <c r="H1376" s="66"/>
      <c r="I1376" s="4"/>
      <c r="J1376" s="4"/>
      <c r="K1376"/>
      <c r="L1376"/>
      <c r="M1376" s="4"/>
      <c r="N1376" s="4"/>
    </row>
    <row r="1377" spans="5:14" x14ac:dyDescent="0.2">
      <c r="E1377" s="3"/>
      <c r="F1377" s="4"/>
      <c r="G1377" s="3"/>
      <c r="H1377" s="66"/>
      <c r="I1377" s="4"/>
      <c r="J1377" s="4"/>
      <c r="K1377"/>
      <c r="L1377"/>
      <c r="M1377" s="4"/>
      <c r="N1377" s="4"/>
    </row>
    <row r="1378" spans="5:14" x14ac:dyDescent="0.2">
      <c r="E1378" s="3"/>
      <c r="F1378" s="4"/>
      <c r="G1378" s="3"/>
      <c r="H1378" s="66"/>
      <c r="I1378" s="4"/>
      <c r="J1378" s="4"/>
      <c r="K1378"/>
      <c r="L1378"/>
      <c r="M1378" s="4"/>
      <c r="N1378" s="4"/>
    </row>
    <row r="1379" spans="5:14" x14ac:dyDescent="0.2">
      <c r="E1379" s="3"/>
      <c r="F1379" s="4"/>
      <c r="G1379" s="3"/>
      <c r="H1379" s="66"/>
      <c r="I1379" s="4"/>
      <c r="J1379" s="4"/>
      <c r="K1379"/>
      <c r="L1379"/>
      <c r="M1379" s="4"/>
      <c r="N1379" s="4"/>
    </row>
    <row r="1380" spans="5:14" x14ac:dyDescent="0.2">
      <c r="E1380" s="3"/>
      <c r="F1380" s="4"/>
      <c r="G1380" s="3"/>
      <c r="H1380" s="66"/>
      <c r="I1380" s="4"/>
      <c r="J1380" s="4"/>
      <c r="K1380"/>
      <c r="L1380"/>
      <c r="M1380" s="4"/>
      <c r="N1380" s="4"/>
    </row>
    <row r="1381" spans="5:14" x14ac:dyDescent="0.2">
      <c r="E1381" s="3"/>
      <c r="F1381" s="4"/>
      <c r="G1381" s="3"/>
      <c r="H1381" s="66"/>
      <c r="I1381" s="4"/>
      <c r="J1381" s="4"/>
      <c r="K1381"/>
      <c r="L1381"/>
      <c r="M1381" s="4"/>
      <c r="N1381" s="4"/>
    </row>
    <row r="1382" spans="5:14" x14ac:dyDescent="0.2">
      <c r="E1382" s="3"/>
      <c r="F1382" s="4"/>
      <c r="G1382" s="3"/>
      <c r="H1382" s="66"/>
      <c r="I1382" s="4"/>
      <c r="J1382" s="4"/>
      <c r="K1382"/>
      <c r="L1382"/>
      <c r="M1382" s="4"/>
      <c r="N1382" s="4"/>
    </row>
    <row r="1383" spans="5:14" x14ac:dyDescent="0.2">
      <c r="E1383" s="3"/>
      <c r="F1383" s="4"/>
      <c r="G1383" s="3"/>
      <c r="H1383" s="66"/>
      <c r="I1383" s="4"/>
      <c r="J1383" s="4"/>
      <c r="K1383"/>
      <c r="L1383"/>
      <c r="M1383" s="4"/>
      <c r="N1383" s="4"/>
    </row>
    <row r="1384" spans="5:14" x14ac:dyDescent="0.2">
      <c r="E1384" s="3"/>
      <c r="F1384" s="4"/>
      <c r="G1384" s="3"/>
      <c r="H1384" s="66"/>
      <c r="I1384" s="4"/>
      <c r="J1384" s="4"/>
      <c r="K1384"/>
      <c r="L1384"/>
      <c r="M1384" s="4"/>
      <c r="N1384" s="4"/>
    </row>
    <row r="1385" spans="5:14" x14ac:dyDescent="0.2">
      <c r="E1385" s="3"/>
      <c r="F1385" s="4"/>
      <c r="G1385" s="3"/>
      <c r="H1385" s="66"/>
      <c r="I1385" s="4"/>
      <c r="J1385" s="4"/>
      <c r="K1385"/>
      <c r="L1385"/>
      <c r="M1385" s="4"/>
      <c r="N1385" s="4"/>
    </row>
    <row r="1386" spans="5:14" x14ac:dyDescent="0.2">
      <c r="E1386" s="3"/>
      <c r="F1386" s="4"/>
      <c r="G1386" s="3"/>
      <c r="H1386" s="66"/>
      <c r="I1386" s="4"/>
      <c r="J1386" s="4"/>
      <c r="K1386"/>
      <c r="L1386"/>
      <c r="M1386" s="4"/>
      <c r="N1386" s="4"/>
    </row>
    <row r="1387" spans="5:14" x14ac:dyDescent="0.2">
      <c r="E1387" s="3"/>
      <c r="F1387" s="4"/>
      <c r="G1387" s="3"/>
      <c r="H1387" s="66"/>
      <c r="I1387" s="4"/>
      <c r="J1387" s="4"/>
      <c r="K1387"/>
      <c r="L1387"/>
      <c r="M1387" s="4"/>
      <c r="N1387" s="4"/>
    </row>
    <row r="1388" spans="5:14" x14ac:dyDescent="0.2">
      <c r="E1388" s="3"/>
      <c r="F1388" s="4"/>
      <c r="G1388" s="3"/>
      <c r="H1388" s="66"/>
      <c r="I1388" s="4"/>
      <c r="J1388" s="4"/>
      <c r="K1388"/>
      <c r="L1388"/>
      <c r="M1388" s="4"/>
      <c r="N1388" s="4"/>
    </row>
    <row r="1389" spans="5:14" x14ac:dyDescent="0.2">
      <c r="E1389" s="3"/>
      <c r="F1389" s="4"/>
      <c r="G1389" s="3"/>
      <c r="H1389" s="66"/>
      <c r="I1389" s="4"/>
      <c r="J1389" s="4"/>
      <c r="K1389"/>
      <c r="L1389"/>
      <c r="M1389" s="4"/>
      <c r="N1389" s="4"/>
    </row>
    <row r="1390" spans="5:14" x14ac:dyDescent="0.2">
      <c r="E1390" s="3"/>
      <c r="F1390" s="4"/>
      <c r="G1390" s="3"/>
      <c r="H1390" s="66"/>
      <c r="I1390" s="4"/>
      <c r="J1390" s="4"/>
      <c r="K1390"/>
      <c r="L1390"/>
      <c r="M1390" s="4"/>
      <c r="N1390" s="4"/>
    </row>
    <row r="1391" spans="5:14" x14ac:dyDescent="0.2">
      <c r="E1391" s="3"/>
      <c r="F1391" s="4"/>
      <c r="G1391" s="3"/>
      <c r="H1391" s="66"/>
      <c r="I1391" s="4"/>
      <c r="J1391" s="4"/>
      <c r="K1391"/>
      <c r="L1391"/>
      <c r="M1391" s="4"/>
      <c r="N1391" s="4"/>
    </row>
    <row r="1392" spans="5:14" x14ac:dyDescent="0.2">
      <c r="E1392" s="3"/>
      <c r="F1392" s="4"/>
      <c r="G1392" s="3"/>
      <c r="H1392" s="66"/>
      <c r="I1392" s="4"/>
      <c r="J1392" s="4"/>
      <c r="K1392"/>
      <c r="L1392"/>
      <c r="M1392" s="4"/>
      <c r="N1392" s="4"/>
    </row>
    <row r="1393" spans="5:14" x14ac:dyDescent="0.2">
      <c r="E1393" s="3"/>
      <c r="F1393" s="4"/>
      <c r="G1393" s="3"/>
      <c r="H1393" s="66"/>
      <c r="I1393" s="4"/>
      <c r="J1393" s="4"/>
      <c r="K1393"/>
      <c r="L1393"/>
      <c r="M1393" s="4"/>
      <c r="N1393" s="4"/>
    </row>
    <row r="1394" spans="5:14" x14ac:dyDescent="0.2">
      <c r="E1394" s="3"/>
      <c r="F1394" s="4"/>
      <c r="G1394" s="3"/>
      <c r="H1394" s="66"/>
      <c r="I1394" s="4"/>
      <c r="J1394" s="4"/>
      <c r="K1394"/>
      <c r="L1394"/>
      <c r="M1394" s="4"/>
      <c r="N1394" s="4"/>
    </row>
    <row r="1395" spans="5:14" x14ac:dyDescent="0.2">
      <c r="E1395" s="3"/>
      <c r="F1395" s="4"/>
      <c r="G1395" s="3"/>
      <c r="H1395" s="66"/>
      <c r="I1395" s="4"/>
      <c r="J1395" s="4"/>
      <c r="K1395"/>
      <c r="L1395"/>
      <c r="M1395" s="4"/>
      <c r="N1395" s="4"/>
    </row>
    <row r="1396" spans="5:14" x14ac:dyDescent="0.2">
      <c r="E1396" s="3"/>
      <c r="F1396" s="4"/>
      <c r="G1396" s="3"/>
      <c r="H1396" s="66"/>
      <c r="I1396" s="4"/>
      <c r="J1396" s="4"/>
      <c r="K1396"/>
      <c r="L1396"/>
      <c r="M1396" s="4"/>
      <c r="N1396" s="4"/>
    </row>
    <row r="1397" spans="5:14" x14ac:dyDescent="0.2">
      <c r="E1397" s="3"/>
      <c r="F1397" s="4"/>
      <c r="G1397" s="3"/>
      <c r="H1397" s="66"/>
      <c r="I1397" s="4"/>
      <c r="J1397" s="4"/>
      <c r="K1397"/>
      <c r="L1397"/>
      <c r="M1397" s="4"/>
      <c r="N1397" s="4"/>
    </row>
    <row r="1398" spans="5:14" x14ac:dyDescent="0.2">
      <c r="E1398" s="3"/>
      <c r="F1398" s="4"/>
      <c r="G1398" s="3"/>
      <c r="H1398" s="66"/>
      <c r="I1398" s="4"/>
      <c r="J1398" s="4"/>
      <c r="K1398"/>
      <c r="L1398"/>
      <c r="M1398" s="4"/>
      <c r="N1398" s="4"/>
    </row>
    <row r="1399" spans="5:14" x14ac:dyDescent="0.2">
      <c r="E1399" s="3"/>
      <c r="F1399" s="4"/>
      <c r="G1399" s="3"/>
      <c r="H1399" s="66"/>
      <c r="I1399" s="4"/>
      <c r="J1399" s="4"/>
      <c r="K1399"/>
      <c r="L1399"/>
      <c r="M1399" s="4"/>
      <c r="N1399" s="4"/>
    </row>
    <row r="1400" spans="5:14" x14ac:dyDescent="0.2">
      <c r="E1400" s="3"/>
      <c r="F1400" s="4"/>
      <c r="G1400" s="3"/>
      <c r="H1400" s="66"/>
      <c r="I1400" s="4"/>
      <c r="J1400" s="4"/>
      <c r="K1400"/>
      <c r="L1400"/>
      <c r="M1400" s="4"/>
      <c r="N1400" s="4"/>
    </row>
    <row r="1401" spans="5:14" x14ac:dyDescent="0.2">
      <c r="E1401" s="3"/>
      <c r="F1401" s="4"/>
      <c r="G1401" s="3"/>
      <c r="H1401" s="66"/>
      <c r="I1401" s="4"/>
      <c r="J1401" s="4"/>
      <c r="K1401"/>
      <c r="L1401"/>
      <c r="M1401" s="4"/>
      <c r="N1401" s="4"/>
    </row>
    <row r="1402" spans="5:14" x14ac:dyDescent="0.2">
      <c r="E1402" s="3"/>
      <c r="F1402" s="4"/>
      <c r="G1402" s="3"/>
      <c r="H1402" s="66"/>
      <c r="I1402" s="4"/>
      <c r="J1402" s="4"/>
      <c r="K1402"/>
      <c r="L1402"/>
      <c r="M1402" s="4"/>
      <c r="N1402" s="4"/>
    </row>
    <row r="1403" spans="5:14" x14ac:dyDescent="0.2">
      <c r="E1403" s="3"/>
      <c r="F1403" s="4"/>
      <c r="G1403" s="3"/>
      <c r="H1403" s="66"/>
      <c r="I1403" s="4"/>
      <c r="J1403" s="4"/>
      <c r="K1403"/>
      <c r="L1403"/>
      <c r="M1403" s="4"/>
      <c r="N1403" s="4"/>
    </row>
    <row r="1404" spans="5:14" x14ac:dyDescent="0.2">
      <c r="E1404" s="3"/>
      <c r="F1404" s="4"/>
      <c r="G1404" s="3"/>
      <c r="H1404" s="66"/>
      <c r="I1404" s="4"/>
      <c r="J1404" s="4"/>
      <c r="K1404"/>
      <c r="L1404"/>
      <c r="M1404" s="4"/>
      <c r="N1404" s="4"/>
    </row>
    <row r="1405" spans="5:14" x14ac:dyDescent="0.2">
      <c r="E1405" s="3"/>
      <c r="F1405" s="4"/>
      <c r="G1405" s="3"/>
      <c r="H1405" s="66"/>
      <c r="I1405" s="4"/>
      <c r="J1405" s="4"/>
      <c r="K1405"/>
      <c r="L1405"/>
      <c r="M1405" s="4"/>
      <c r="N1405" s="4"/>
    </row>
    <row r="1406" spans="5:14" x14ac:dyDescent="0.2">
      <c r="E1406" s="3"/>
      <c r="F1406" s="4"/>
      <c r="G1406" s="3"/>
      <c r="H1406" s="66"/>
      <c r="I1406" s="4"/>
      <c r="J1406" s="4"/>
      <c r="K1406"/>
      <c r="L1406"/>
      <c r="M1406" s="4"/>
      <c r="N1406" s="4"/>
    </row>
    <row r="1407" spans="5:14" x14ac:dyDescent="0.2">
      <c r="E1407" s="3"/>
      <c r="F1407" s="4"/>
      <c r="G1407" s="3"/>
      <c r="H1407" s="66"/>
      <c r="I1407" s="4"/>
      <c r="J1407" s="4"/>
      <c r="K1407"/>
      <c r="L1407"/>
      <c r="M1407" s="4"/>
      <c r="N1407" s="4"/>
    </row>
    <row r="1408" spans="5:14" x14ac:dyDescent="0.2">
      <c r="E1408" s="3"/>
      <c r="F1408" s="4"/>
      <c r="G1408" s="3"/>
      <c r="H1408" s="66"/>
      <c r="I1408" s="4"/>
      <c r="J1408" s="4"/>
      <c r="K1408"/>
      <c r="L1408"/>
      <c r="M1408" s="4"/>
      <c r="N1408" s="4"/>
    </row>
    <row r="1409" spans="5:14" x14ac:dyDescent="0.2">
      <c r="E1409" s="3"/>
      <c r="F1409" s="4"/>
      <c r="G1409" s="3"/>
      <c r="H1409" s="66"/>
      <c r="I1409" s="4"/>
      <c r="J1409" s="4"/>
      <c r="K1409"/>
      <c r="L1409"/>
      <c r="M1409" s="4"/>
      <c r="N1409" s="4"/>
    </row>
    <row r="1410" spans="5:14" x14ac:dyDescent="0.2">
      <c r="E1410" s="3"/>
      <c r="F1410" s="4"/>
      <c r="G1410" s="3"/>
      <c r="H1410" s="66"/>
      <c r="I1410" s="4"/>
      <c r="J1410" s="4"/>
      <c r="K1410"/>
      <c r="L1410"/>
      <c r="M1410" s="4"/>
      <c r="N1410" s="4"/>
    </row>
    <row r="1411" spans="5:14" x14ac:dyDescent="0.2">
      <c r="E1411" s="3"/>
      <c r="F1411" s="4"/>
      <c r="G1411" s="3"/>
      <c r="H1411" s="66"/>
      <c r="I1411" s="4"/>
      <c r="J1411" s="4"/>
      <c r="K1411"/>
      <c r="L1411"/>
      <c r="M1411" s="4"/>
      <c r="N1411" s="4"/>
    </row>
    <row r="1412" spans="5:14" x14ac:dyDescent="0.2">
      <c r="E1412" s="3"/>
      <c r="F1412" s="4"/>
      <c r="G1412" s="3"/>
      <c r="H1412" s="66"/>
      <c r="I1412" s="4"/>
      <c r="J1412" s="4"/>
      <c r="K1412"/>
      <c r="L1412"/>
      <c r="M1412" s="4"/>
      <c r="N1412" s="4"/>
    </row>
    <row r="1413" spans="5:14" x14ac:dyDescent="0.2">
      <c r="E1413" s="3"/>
      <c r="F1413" s="4"/>
      <c r="G1413" s="3"/>
      <c r="H1413" s="66"/>
      <c r="I1413" s="4"/>
      <c r="J1413" s="4"/>
      <c r="K1413"/>
      <c r="L1413"/>
      <c r="M1413" s="4"/>
      <c r="N1413" s="4"/>
    </row>
    <row r="1414" spans="5:14" x14ac:dyDescent="0.2">
      <c r="E1414" s="3"/>
      <c r="F1414" s="4"/>
      <c r="G1414" s="3"/>
      <c r="H1414" s="66"/>
      <c r="I1414" s="4"/>
      <c r="J1414" s="4"/>
      <c r="K1414"/>
      <c r="L1414"/>
      <c r="M1414" s="4"/>
      <c r="N1414" s="4"/>
    </row>
    <row r="1415" spans="5:14" x14ac:dyDescent="0.2">
      <c r="E1415" s="3"/>
      <c r="F1415" s="4"/>
      <c r="G1415" s="3"/>
      <c r="H1415" s="66"/>
      <c r="I1415" s="4"/>
      <c r="J1415" s="4"/>
      <c r="K1415"/>
      <c r="L1415"/>
      <c r="M1415" s="4"/>
      <c r="N1415" s="4"/>
    </row>
    <row r="1416" spans="5:14" x14ac:dyDescent="0.2">
      <c r="E1416" s="3"/>
      <c r="F1416" s="4"/>
      <c r="G1416" s="3"/>
      <c r="H1416" s="66"/>
      <c r="I1416" s="4"/>
      <c r="J1416" s="4"/>
      <c r="K1416"/>
      <c r="L1416"/>
      <c r="M1416" s="4"/>
      <c r="N1416" s="4"/>
    </row>
    <row r="1417" spans="5:14" x14ac:dyDescent="0.2">
      <c r="E1417" s="3"/>
      <c r="F1417" s="4"/>
      <c r="G1417" s="3"/>
      <c r="H1417" s="66"/>
      <c r="I1417" s="4"/>
      <c r="J1417" s="4"/>
      <c r="K1417"/>
      <c r="L1417"/>
      <c r="M1417" s="4"/>
      <c r="N1417" s="4"/>
    </row>
    <row r="1418" spans="5:14" x14ac:dyDescent="0.2">
      <c r="E1418" s="3"/>
      <c r="F1418" s="4"/>
      <c r="G1418" s="3"/>
      <c r="H1418" s="66"/>
      <c r="I1418" s="4"/>
      <c r="J1418" s="4"/>
      <c r="K1418"/>
      <c r="L1418"/>
      <c r="M1418" s="4"/>
      <c r="N1418" s="4"/>
    </row>
    <row r="1419" spans="5:14" x14ac:dyDescent="0.2">
      <c r="E1419" s="3"/>
      <c r="F1419" s="4"/>
      <c r="G1419" s="3"/>
      <c r="H1419" s="66"/>
      <c r="I1419" s="4"/>
      <c r="J1419" s="4"/>
      <c r="K1419"/>
      <c r="L1419"/>
      <c r="M1419" s="4"/>
      <c r="N1419" s="4"/>
    </row>
    <row r="1420" spans="5:14" x14ac:dyDescent="0.2">
      <c r="E1420" s="3"/>
      <c r="F1420" s="4"/>
      <c r="G1420" s="3"/>
      <c r="H1420" s="66"/>
      <c r="I1420" s="4"/>
      <c r="J1420" s="4"/>
      <c r="K1420"/>
      <c r="L1420"/>
      <c r="M1420" s="4"/>
      <c r="N1420" s="4"/>
    </row>
    <row r="1421" spans="5:14" x14ac:dyDescent="0.2">
      <c r="E1421" s="3"/>
      <c r="F1421" s="4"/>
      <c r="G1421" s="3"/>
      <c r="H1421" s="66"/>
      <c r="I1421" s="4"/>
      <c r="J1421" s="4"/>
      <c r="K1421"/>
      <c r="L1421"/>
      <c r="M1421" s="4"/>
      <c r="N1421" s="4"/>
    </row>
    <row r="1422" spans="5:14" x14ac:dyDescent="0.2">
      <c r="E1422" s="3"/>
      <c r="F1422" s="4"/>
      <c r="G1422" s="3"/>
      <c r="H1422" s="66"/>
      <c r="I1422" s="4"/>
      <c r="J1422" s="4"/>
      <c r="K1422"/>
      <c r="L1422"/>
      <c r="M1422" s="4"/>
      <c r="N1422" s="4"/>
    </row>
    <row r="1423" spans="5:14" x14ac:dyDescent="0.2">
      <c r="E1423" s="3"/>
      <c r="F1423" s="4"/>
      <c r="G1423" s="3"/>
      <c r="H1423" s="66"/>
      <c r="I1423" s="4"/>
      <c r="J1423" s="4"/>
      <c r="K1423"/>
      <c r="L1423"/>
      <c r="M1423" s="4"/>
      <c r="N1423" s="4"/>
    </row>
    <row r="1424" spans="5:14" x14ac:dyDescent="0.2">
      <c r="E1424" s="3"/>
      <c r="F1424" s="4"/>
      <c r="G1424" s="3"/>
      <c r="H1424" s="66"/>
      <c r="I1424" s="4"/>
      <c r="J1424" s="4"/>
      <c r="K1424"/>
      <c r="L1424"/>
      <c r="M1424" s="4"/>
      <c r="N1424" s="4"/>
    </row>
    <row r="1425" spans="5:14" x14ac:dyDescent="0.2">
      <c r="E1425" s="3"/>
      <c r="F1425" s="4"/>
      <c r="G1425" s="3"/>
      <c r="H1425" s="66"/>
      <c r="I1425" s="4"/>
      <c r="J1425" s="4"/>
      <c r="K1425"/>
      <c r="L1425"/>
      <c r="M1425" s="4"/>
      <c r="N1425" s="4"/>
    </row>
    <row r="1426" spans="5:14" x14ac:dyDescent="0.2">
      <c r="E1426" s="3"/>
      <c r="F1426" s="4"/>
      <c r="G1426" s="3"/>
      <c r="H1426" s="66"/>
      <c r="I1426" s="4"/>
      <c r="J1426" s="4"/>
      <c r="K1426"/>
      <c r="L1426"/>
      <c r="M1426" s="4"/>
      <c r="N1426" s="4"/>
    </row>
    <row r="1427" spans="5:14" x14ac:dyDescent="0.2">
      <c r="E1427" s="3"/>
      <c r="F1427" s="4"/>
      <c r="G1427" s="3"/>
      <c r="H1427" s="66"/>
      <c r="I1427" s="4"/>
      <c r="J1427" s="4"/>
      <c r="K1427"/>
      <c r="L1427"/>
      <c r="M1427" s="4"/>
      <c r="N1427" s="4"/>
    </row>
    <row r="1428" spans="5:14" x14ac:dyDescent="0.2">
      <c r="E1428" s="3"/>
      <c r="F1428" s="4"/>
      <c r="G1428" s="3"/>
      <c r="H1428" s="66"/>
      <c r="I1428" s="4"/>
      <c r="J1428" s="4"/>
      <c r="K1428"/>
      <c r="L1428"/>
      <c r="M1428" s="4"/>
      <c r="N1428" s="4"/>
    </row>
    <row r="1429" spans="5:14" x14ac:dyDescent="0.2">
      <c r="E1429" s="3"/>
      <c r="F1429" s="4"/>
      <c r="G1429" s="3"/>
      <c r="H1429" s="66"/>
      <c r="I1429" s="4"/>
      <c r="J1429" s="4"/>
      <c r="K1429"/>
      <c r="L1429"/>
      <c r="M1429" s="4"/>
      <c r="N1429" s="4"/>
    </row>
    <row r="1430" spans="5:14" x14ac:dyDescent="0.2">
      <c r="E1430" s="3"/>
      <c r="F1430" s="4"/>
      <c r="G1430" s="3"/>
      <c r="H1430" s="66"/>
      <c r="I1430" s="4"/>
      <c r="J1430" s="4"/>
      <c r="K1430"/>
      <c r="L1430"/>
      <c r="M1430" s="4"/>
      <c r="N1430" s="4"/>
    </row>
    <row r="1431" spans="5:14" x14ac:dyDescent="0.2">
      <c r="E1431" s="3"/>
      <c r="F1431" s="4"/>
      <c r="G1431" s="3"/>
      <c r="H1431" s="66"/>
      <c r="I1431" s="4"/>
      <c r="J1431" s="4"/>
      <c r="K1431"/>
      <c r="L1431"/>
      <c r="M1431" s="4"/>
      <c r="N1431" s="4"/>
    </row>
    <row r="1432" spans="5:14" x14ac:dyDescent="0.2">
      <c r="E1432" s="3"/>
      <c r="F1432" s="4"/>
      <c r="G1432" s="3"/>
      <c r="H1432" s="66"/>
      <c r="I1432" s="4"/>
      <c r="J1432" s="4"/>
      <c r="K1432"/>
      <c r="L1432"/>
      <c r="M1432" s="4"/>
      <c r="N1432" s="4"/>
    </row>
    <row r="1433" spans="5:14" x14ac:dyDescent="0.2">
      <c r="E1433" s="3"/>
      <c r="F1433" s="4"/>
      <c r="G1433" s="3"/>
      <c r="H1433" s="66"/>
      <c r="I1433" s="4"/>
      <c r="J1433" s="4"/>
      <c r="K1433"/>
      <c r="L1433"/>
      <c r="M1433" s="4"/>
      <c r="N1433" s="4"/>
    </row>
    <row r="1434" spans="5:14" x14ac:dyDescent="0.2">
      <c r="E1434" s="3"/>
      <c r="F1434" s="4"/>
      <c r="G1434" s="3"/>
      <c r="H1434" s="66"/>
      <c r="I1434" s="4"/>
      <c r="J1434" s="4"/>
      <c r="K1434"/>
      <c r="L1434"/>
      <c r="M1434" s="4"/>
      <c r="N1434" s="4"/>
    </row>
    <row r="1435" spans="5:14" x14ac:dyDescent="0.2">
      <c r="E1435" s="3"/>
      <c r="F1435" s="4"/>
      <c r="G1435" s="3"/>
      <c r="H1435" s="66"/>
      <c r="I1435" s="4"/>
      <c r="J1435" s="4"/>
      <c r="K1435"/>
      <c r="L1435"/>
      <c r="M1435" s="4"/>
      <c r="N1435" s="4"/>
    </row>
    <row r="1436" spans="5:14" x14ac:dyDescent="0.2">
      <c r="E1436" s="3"/>
      <c r="F1436" s="4"/>
      <c r="G1436" s="3"/>
      <c r="H1436" s="66"/>
      <c r="I1436" s="4"/>
      <c r="J1436" s="4"/>
      <c r="K1436"/>
      <c r="L1436"/>
      <c r="M1436" s="4"/>
      <c r="N1436" s="4"/>
    </row>
    <row r="1437" spans="5:14" x14ac:dyDescent="0.2">
      <c r="E1437" s="3"/>
      <c r="F1437" s="4"/>
      <c r="G1437" s="3"/>
      <c r="H1437" s="66"/>
      <c r="I1437" s="4"/>
      <c r="J1437" s="4"/>
      <c r="K1437"/>
      <c r="L1437"/>
      <c r="M1437" s="4"/>
      <c r="N1437" s="4"/>
    </row>
    <row r="1438" spans="5:14" x14ac:dyDescent="0.2">
      <c r="E1438" s="3"/>
      <c r="F1438" s="4"/>
      <c r="G1438" s="3"/>
      <c r="H1438" s="66"/>
      <c r="I1438" s="4"/>
      <c r="J1438" s="4"/>
      <c r="K1438"/>
      <c r="L1438"/>
      <c r="M1438" s="4"/>
      <c r="N1438" s="4"/>
    </row>
    <row r="1439" spans="5:14" x14ac:dyDescent="0.2">
      <c r="E1439" s="3"/>
      <c r="F1439" s="4"/>
      <c r="G1439" s="3"/>
      <c r="H1439" s="66"/>
      <c r="I1439" s="4"/>
      <c r="J1439" s="4"/>
      <c r="K1439"/>
      <c r="L1439"/>
      <c r="M1439" s="4"/>
      <c r="N1439" s="4"/>
    </row>
    <row r="1440" spans="5:14" x14ac:dyDescent="0.2">
      <c r="E1440" s="3"/>
      <c r="F1440" s="4"/>
      <c r="G1440" s="3"/>
      <c r="H1440" s="66"/>
      <c r="I1440" s="4"/>
      <c r="J1440" s="4"/>
      <c r="K1440"/>
      <c r="L1440"/>
      <c r="M1440" s="4"/>
      <c r="N1440" s="4"/>
    </row>
    <row r="1441" spans="5:14" x14ac:dyDescent="0.2">
      <c r="E1441" s="3"/>
      <c r="F1441" s="4"/>
      <c r="G1441" s="3"/>
      <c r="H1441" s="66"/>
      <c r="I1441" s="4"/>
      <c r="J1441" s="4"/>
      <c r="K1441"/>
      <c r="L1441"/>
      <c r="M1441" s="4"/>
      <c r="N1441" s="4"/>
    </row>
    <row r="1442" spans="5:14" x14ac:dyDescent="0.2">
      <c r="E1442" s="3"/>
      <c r="F1442" s="4"/>
      <c r="G1442" s="3"/>
      <c r="H1442" s="66"/>
      <c r="I1442" s="4"/>
      <c r="J1442" s="4"/>
      <c r="K1442"/>
      <c r="L1442"/>
      <c r="M1442" s="4"/>
      <c r="N1442" s="4"/>
    </row>
    <row r="1443" spans="5:14" x14ac:dyDescent="0.2">
      <c r="E1443" s="3"/>
      <c r="F1443" s="4"/>
      <c r="G1443" s="3"/>
      <c r="H1443" s="66"/>
      <c r="I1443" s="4"/>
      <c r="J1443" s="4"/>
      <c r="K1443"/>
      <c r="L1443"/>
      <c r="M1443" s="4"/>
      <c r="N1443" s="4"/>
    </row>
    <row r="1444" spans="5:14" x14ac:dyDescent="0.2">
      <c r="E1444" s="3"/>
      <c r="F1444" s="4"/>
      <c r="G1444" s="3"/>
      <c r="H1444" s="66"/>
      <c r="I1444" s="4"/>
      <c r="J1444" s="4"/>
      <c r="K1444"/>
      <c r="L1444"/>
      <c r="M1444" s="4"/>
      <c r="N1444" s="4"/>
    </row>
    <row r="1445" spans="5:14" x14ac:dyDescent="0.2">
      <c r="E1445" s="3"/>
      <c r="F1445" s="4"/>
      <c r="G1445" s="3"/>
      <c r="H1445" s="66"/>
      <c r="I1445" s="4"/>
      <c r="J1445" s="4"/>
      <c r="K1445"/>
      <c r="L1445"/>
      <c r="M1445" s="4"/>
      <c r="N1445" s="4"/>
    </row>
    <row r="1446" spans="5:14" x14ac:dyDescent="0.2">
      <c r="E1446" s="3"/>
      <c r="F1446" s="4"/>
      <c r="G1446" s="3"/>
      <c r="H1446" s="66"/>
      <c r="I1446" s="4"/>
      <c r="J1446" s="4"/>
      <c r="K1446"/>
      <c r="L1446"/>
      <c r="M1446" s="4"/>
      <c r="N1446" s="4"/>
    </row>
    <row r="1447" spans="5:14" x14ac:dyDescent="0.2">
      <c r="E1447" s="3"/>
      <c r="F1447" s="4"/>
      <c r="G1447" s="3"/>
      <c r="H1447" s="66"/>
      <c r="I1447" s="4"/>
      <c r="J1447" s="4"/>
      <c r="K1447"/>
      <c r="L1447"/>
      <c r="M1447" s="4"/>
      <c r="N1447" s="4"/>
    </row>
    <row r="1448" spans="5:14" x14ac:dyDescent="0.2">
      <c r="E1448" s="3"/>
      <c r="F1448" s="4"/>
      <c r="G1448" s="3"/>
      <c r="H1448" s="66"/>
      <c r="I1448" s="4"/>
      <c r="J1448" s="4"/>
      <c r="K1448"/>
      <c r="L1448"/>
      <c r="M1448" s="4"/>
      <c r="N1448" s="4"/>
    </row>
    <row r="1449" spans="5:14" x14ac:dyDescent="0.2">
      <c r="E1449" s="3"/>
      <c r="F1449" s="4"/>
      <c r="G1449" s="3"/>
      <c r="H1449" s="66"/>
      <c r="I1449" s="4"/>
      <c r="J1449" s="4"/>
      <c r="K1449"/>
      <c r="L1449"/>
      <c r="M1449" s="4"/>
      <c r="N1449" s="4"/>
    </row>
    <row r="1450" spans="5:14" x14ac:dyDescent="0.2">
      <c r="E1450" s="3"/>
      <c r="F1450" s="4"/>
      <c r="G1450" s="3"/>
      <c r="H1450" s="66"/>
      <c r="I1450" s="4"/>
      <c r="J1450" s="4"/>
      <c r="K1450"/>
      <c r="L1450"/>
      <c r="M1450" s="4"/>
      <c r="N1450" s="4"/>
    </row>
    <row r="1451" spans="5:14" x14ac:dyDescent="0.2">
      <c r="E1451" s="3"/>
      <c r="F1451" s="4"/>
      <c r="G1451" s="3"/>
      <c r="H1451" s="66"/>
      <c r="I1451" s="4"/>
      <c r="J1451" s="4"/>
      <c r="K1451"/>
      <c r="L1451"/>
      <c r="M1451" s="4"/>
      <c r="N1451" s="4"/>
    </row>
    <row r="1452" spans="5:14" x14ac:dyDescent="0.2">
      <c r="E1452" s="3"/>
      <c r="F1452" s="4"/>
      <c r="G1452" s="3"/>
      <c r="H1452" s="66"/>
      <c r="I1452" s="4"/>
      <c r="J1452" s="4"/>
      <c r="K1452"/>
      <c r="L1452"/>
      <c r="M1452" s="4"/>
      <c r="N1452" s="4"/>
    </row>
    <row r="1453" spans="5:14" x14ac:dyDescent="0.2">
      <c r="E1453" s="3"/>
      <c r="F1453" s="4"/>
      <c r="G1453" s="3"/>
      <c r="H1453" s="66"/>
      <c r="I1453" s="4"/>
      <c r="J1453" s="4"/>
      <c r="K1453"/>
      <c r="L1453"/>
      <c r="M1453" s="4"/>
      <c r="N1453" s="4"/>
    </row>
    <row r="1454" spans="5:14" x14ac:dyDescent="0.2">
      <c r="E1454" s="3"/>
      <c r="F1454" s="4"/>
      <c r="G1454" s="3"/>
      <c r="H1454" s="66"/>
      <c r="I1454" s="4"/>
      <c r="J1454" s="4"/>
      <c r="K1454"/>
      <c r="L1454"/>
      <c r="M1454" s="4"/>
      <c r="N1454" s="4"/>
    </row>
    <row r="1455" spans="5:14" x14ac:dyDescent="0.2">
      <c r="E1455" s="3"/>
      <c r="F1455" s="4"/>
      <c r="G1455" s="3"/>
      <c r="H1455" s="66"/>
      <c r="I1455" s="4"/>
      <c r="J1455" s="4"/>
      <c r="K1455"/>
      <c r="L1455"/>
      <c r="M1455" s="4"/>
      <c r="N1455" s="4"/>
    </row>
    <row r="1456" spans="5:14" x14ac:dyDescent="0.2">
      <c r="E1456" s="3"/>
      <c r="F1456" s="4"/>
      <c r="G1456" s="3"/>
      <c r="H1456" s="66"/>
      <c r="I1456" s="4"/>
      <c r="J1456" s="4"/>
      <c r="K1456"/>
      <c r="L1456"/>
      <c r="M1456" s="4"/>
      <c r="N1456" s="4"/>
    </row>
    <row r="1457" spans="5:14" x14ac:dyDescent="0.2">
      <c r="E1457" s="3"/>
      <c r="F1457" s="4"/>
      <c r="G1457" s="3"/>
      <c r="H1457" s="66"/>
      <c r="I1457" s="4"/>
      <c r="J1457" s="4"/>
      <c r="K1457"/>
      <c r="L1457"/>
      <c r="M1457" s="4"/>
      <c r="N1457" s="4"/>
    </row>
    <row r="1458" spans="5:14" x14ac:dyDescent="0.2">
      <c r="E1458" s="3"/>
      <c r="F1458" s="4"/>
      <c r="G1458" s="3"/>
      <c r="H1458" s="66"/>
      <c r="I1458" s="4"/>
      <c r="J1458" s="4"/>
      <c r="K1458"/>
      <c r="L1458"/>
      <c r="M1458" s="4"/>
      <c r="N1458" s="4"/>
    </row>
    <row r="1459" spans="5:14" x14ac:dyDescent="0.2">
      <c r="E1459" s="3"/>
      <c r="F1459" s="4"/>
      <c r="G1459" s="3"/>
      <c r="H1459" s="66"/>
      <c r="I1459" s="4"/>
      <c r="J1459" s="4"/>
      <c r="K1459"/>
      <c r="L1459"/>
      <c r="M1459" s="4"/>
      <c r="N1459" s="4"/>
    </row>
    <row r="1460" spans="5:14" x14ac:dyDescent="0.2">
      <c r="E1460" s="3"/>
      <c r="F1460" s="4"/>
      <c r="G1460" s="3"/>
      <c r="H1460" s="66"/>
      <c r="I1460" s="4"/>
      <c r="J1460" s="4"/>
      <c r="K1460"/>
      <c r="L1460"/>
      <c r="M1460" s="4"/>
      <c r="N1460" s="4"/>
    </row>
    <row r="1461" spans="5:14" x14ac:dyDescent="0.2">
      <c r="E1461" s="3"/>
      <c r="F1461" s="4"/>
      <c r="G1461" s="3"/>
      <c r="H1461" s="66"/>
      <c r="I1461" s="4"/>
      <c r="J1461" s="4"/>
      <c r="K1461"/>
      <c r="L1461"/>
      <c r="M1461" s="4"/>
      <c r="N1461" s="4"/>
    </row>
    <row r="1462" spans="5:14" x14ac:dyDescent="0.2">
      <c r="E1462" s="3"/>
      <c r="F1462" s="4"/>
      <c r="G1462" s="3"/>
      <c r="H1462" s="66"/>
      <c r="I1462" s="4"/>
      <c r="J1462" s="4"/>
      <c r="K1462"/>
      <c r="L1462"/>
      <c r="M1462" s="4"/>
      <c r="N1462" s="4"/>
    </row>
    <row r="1463" spans="5:14" x14ac:dyDescent="0.2">
      <c r="E1463" s="3"/>
      <c r="F1463" s="4"/>
      <c r="G1463" s="3"/>
      <c r="H1463" s="66"/>
      <c r="I1463" s="4"/>
      <c r="J1463" s="4"/>
      <c r="K1463"/>
      <c r="L1463"/>
      <c r="M1463" s="4"/>
      <c r="N1463" s="4"/>
    </row>
    <row r="1464" spans="5:14" x14ac:dyDescent="0.2">
      <c r="E1464" s="3"/>
      <c r="F1464" s="4"/>
      <c r="G1464" s="3"/>
      <c r="H1464" s="66"/>
      <c r="I1464" s="4"/>
      <c r="J1464" s="4"/>
      <c r="K1464"/>
      <c r="L1464"/>
      <c r="M1464" s="4"/>
      <c r="N1464" s="4"/>
    </row>
    <row r="1465" spans="5:14" x14ac:dyDescent="0.2">
      <c r="E1465" s="3"/>
      <c r="F1465" s="4"/>
      <c r="G1465" s="3"/>
      <c r="H1465" s="66"/>
      <c r="I1465" s="4"/>
      <c r="J1465" s="4"/>
      <c r="K1465"/>
      <c r="L1465"/>
      <c r="M1465" s="4"/>
      <c r="N1465" s="4"/>
    </row>
    <row r="1466" spans="5:14" x14ac:dyDescent="0.2">
      <c r="E1466" s="3"/>
      <c r="F1466" s="4"/>
      <c r="G1466" s="3"/>
      <c r="H1466" s="66"/>
      <c r="I1466" s="4"/>
      <c r="J1466" s="4"/>
      <c r="K1466"/>
      <c r="L1466"/>
      <c r="M1466" s="4"/>
      <c r="N1466" s="4"/>
    </row>
    <row r="1467" spans="5:14" x14ac:dyDescent="0.2">
      <c r="E1467" s="3"/>
      <c r="F1467" s="4"/>
      <c r="G1467" s="3"/>
      <c r="H1467" s="66"/>
      <c r="I1467" s="4"/>
      <c r="J1467" s="4"/>
      <c r="K1467"/>
      <c r="L1467"/>
      <c r="M1467" s="4"/>
      <c r="N1467" s="4"/>
    </row>
    <row r="1468" spans="5:14" x14ac:dyDescent="0.2">
      <c r="E1468" s="3"/>
      <c r="F1468" s="4"/>
      <c r="G1468" s="3"/>
      <c r="H1468" s="66"/>
      <c r="I1468" s="4"/>
      <c r="J1468" s="4"/>
      <c r="K1468"/>
      <c r="L1468"/>
      <c r="M1468" s="4"/>
      <c r="N1468" s="4"/>
    </row>
    <row r="1469" spans="5:14" x14ac:dyDescent="0.2">
      <c r="E1469" s="3"/>
      <c r="F1469" s="4"/>
      <c r="G1469" s="3"/>
      <c r="H1469" s="66"/>
      <c r="I1469" s="4"/>
      <c r="J1469" s="4"/>
      <c r="K1469"/>
      <c r="L1469"/>
      <c r="M1469" s="4"/>
      <c r="N1469" s="4"/>
    </row>
    <row r="1470" spans="5:14" x14ac:dyDescent="0.2">
      <c r="E1470" s="3"/>
      <c r="F1470" s="4"/>
      <c r="G1470" s="3"/>
      <c r="H1470" s="66"/>
      <c r="I1470" s="4"/>
      <c r="J1470" s="4"/>
      <c r="K1470"/>
      <c r="L1470"/>
      <c r="M1470" s="4"/>
      <c r="N1470" s="4"/>
    </row>
    <row r="1471" spans="5:14" x14ac:dyDescent="0.2">
      <c r="E1471" s="3"/>
      <c r="F1471" s="4"/>
      <c r="G1471" s="3"/>
      <c r="H1471" s="66"/>
      <c r="I1471" s="4"/>
      <c r="J1471" s="4"/>
      <c r="K1471"/>
      <c r="L1471"/>
      <c r="M1471" s="4"/>
      <c r="N1471" s="4"/>
    </row>
    <row r="1472" spans="5:14" x14ac:dyDescent="0.2">
      <c r="E1472" s="3"/>
      <c r="F1472" s="4"/>
      <c r="G1472" s="3"/>
      <c r="H1472" s="66"/>
      <c r="I1472" s="4"/>
      <c r="J1472" s="4"/>
      <c r="K1472"/>
      <c r="L1472"/>
      <c r="M1472" s="4"/>
      <c r="N1472" s="4"/>
    </row>
    <row r="1473" spans="5:14" x14ac:dyDescent="0.2">
      <c r="E1473" s="3"/>
      <c r="F1473" s="4"/>
      <c r="G1473" s="3"/>
      <c r="H1473" s="66"/>
      <c r="I1473" s="4"/>
      <c r="J1473" s="4"/>
      <c r="K1473"/>
      <c r="L1473"/>
      <c r="M1473" s="4"/>
      <c r="N1473" s="4"/>
    </row>
    <row r="1474" spans="5:14" x14ac:dyDescent="0.2">
      <c r="E1474" s="3"/>
      <c r="F1474" s="4"/>
      <c r="G1474" s="3"/>
      <c r="H1474" s="66"/>
      <c r="I1474" s="4"/>
      <c r="J1474" s="4"/>
      <c r="K1474"/>
      <c r="L1474"/>
      <c r="M1474" s="4"/>
      <c r="N1474" s="4"/>
    </row>
    <row r="1475" spans="5:14" x14ac:dyDescent="0.2">
      <c r="E1475" s="3"/>
      <c r="F1475" s="4"/>
      <c r="G1475" s="3"/>
      <c r="H1475" s="66"/>
      <c r="I1475" s="4"/>
      <c r="J1475" s="4"/>
      <c r="K1475"/>
      <c r="L1475"/>
      <c r="M1475" s="4"/>
      <c r="N1475" s="4"/>
    </row>
    <row r="1476" spans="5:14" x14ac:dyDescent="0.2">
      <c r="E1476" s="3"/>
      <c r="F1476" s="4"/>
      <c r="G1476" s="3"/>
      <c r="H1476" s="66"/>
      <c r="I1476" s="4"/>
      <c r="J1476" s="4"/>
      <c r="K1476"/>
      <c r="L1476"/>
      <c r="M1476" s="4"/>
      <c r="N1476" s="4"/>
    </row>
    <row r="1477" spans="5:14" x14ac:dyDescent="0.2">
      <c r="E1477" s="3"/>
      <c r="F1477" s="4"/>
      <c r="G1477" s="3"/>
      <c r="H1477" s="66"/>
      <c r="I1477" s="4"/>
      <c r="J1477" s="4"/>
      <c r="K1477"/>
      <c r="L1477"/>
      <c r="M1477" s="4"/>
      <c r="N1477" s="4"/>
    </row>
    <row r="1478" spans="5:14" x14ac:dyDescent="0.2">
      <c r="E1478" s="3"/>
      <c r="F1478" s="4"/>
      <c r="G1478" s="3"/>
      <c r="H1478" s="66"/>
      <c r="I1478" s="4"/>
      <c r="J1478" s="4"/>
      <c r="K1478"/>
      <c r="L1478"/>
      <c r="M1478" s="4"/>
      <c r="N1478" s="4"/>
    </row>
    <row r="1479" spans="5:14" x14ac:dyDescent="0.2">
      <c r="E1479" s="3"/>
      <c r="F1479" s="4"/>
      <c r="G1479" s="3"/>
      <c r="H1479" s="66"/>
      <c r="I1479" s="4"/>
      <c r="J1479" s="4"/>
      <c r="K1479"/>
      <c r="L1479"/>
      <c r="M1479" s="4"/>
      <c r="N1479" s="4"/>
    </row>
    <row r="1480" spans="5:14" x14ac:dyDescent="0.2">
      <c r="E1480" s="3"/>
      <c r="F1480" s="4"/>
      <c r="G1480" s="3"/>
      <c r="H1480" s="66"/>
      <c r="I1480" s="4"/>
      <c r="J1480" s="4"/>
      <c r="K1480"/>
      <c r="L1480"/>
      <c r="M1480" s="4"/>
      <c r="N1480" s="4"/>
    </row>
    <row r="1481" spans="5:14" x14ac:dyDescent="0.2">
      <c r="E1481" s="3"/>
      <c r="F1481" s="4"/>
      <c r="G1481" s="3"/>
      <c r="H1481" s="66"/>
      <c r="I1481" s="4"/>
      <c r="J1481" s="4"/>
      <c r="K1481"/>
      <c r="L1481"/>
      <c r="M1481" s="4"/>
      <c r="N1481" s="4"/>
    </row>
    <row r="1482" spans="5:14" x14ac:dyDescent="0.2">
      <c r="E1482" s="3"/>
      <c r="F1482" s="4"/>
      <c r="G1482" s="3"/>
      <c r="H1482" s="66"/>
      <c r="I1482" s="4"/>
      <c r="J1482" s="4"/>
      <c r="K1482"/>
      <c r="L1482"/>
      <c r="M1482" s="4"/>
      <c r="N1482" s="4"/>
    </row>
    <row r="1483" spans="5:14" x14ac:dyDescent="0.2">
      <c r="E1483" s="3"/>
      <c r="F1483" s="4"/>
      <c r="G1483" s="3"/>
      <c r="H1483" s="66"/>
      <c r="I1483" s="4"/>
      <c r="J1483" s="4"/>
      <c r="K1483"/>
      <c r="L1483"/>
      <c r="M1483" s="4"/>
      <c r="N1483" s="4"/>
    </row>
    <row r="1484" spans="5:14" x14ac:dyDescent="0.2">
      <c r="E1484" s="3"/>
      <c r="F1484" s="4"/>
      <c r="G1484" s="3"/>
      <c r="H1484" s="66"/>
      <c r="I1484" s="4"/>
      <c r="J1484" s="4"/>
      <c r="K1484"/>
      <c r="L1484"/>
      <c r="M1484" s="4"/>
      <c r="N1484" s="4"/>
    </row>
    <row r="1485" spans="5:14" x14ac:dyDescent="0.2">
      <c r="E1485" s="3"/>
      <c r="F1485" s="4"/>
      <c r="G1485" s="3"/>
      <c r="H1485" s="66"/>
      <c r="I1485" s="4"/>
      <c r="J1485" s="4"/>
      <c r="K1485"/>
      <c r="L1485"/>
      <c r="M1485" s="4"/>
      <c r="N1485" s="4"/>
    </row>
    <row r="1486" spans="5:14" x14ac:dyDescent="0.2">
      <c r="E1486" s="3"/>
      <c r="F1486" s="4"/>
      <c r="G1486" s="3"/>
      <c r="H1486" s="66"/>
      <c r="I1486" s="4"/>
      <c r="J1486" s="4"/>
      <c r="K1486"/>
      <c r="L1486"/>
      <c r="M1486" s="4"/>
      <c r="N1486" s="4"/>
    </row>
    <row r="1487" spans="5:14" x14ac:dyDescent="0.2">
      <c r="E1487" s="3"/>
      <c r="F1487" s="4"/>
      <c r="G1487" s="3"/>
      <c r="H1487" s="66"/>
      <c r="I1487" s="4"/>
      <c r="J1487" s="4"/>
      <c r="K1487"/>
      <c r="L1487"/>
      <c r="M1487" s="4"/>
      <c r="N1487" s="4"/>
    </row>
    <row r="1488" spans="5:14" x14ac:dyDescent="0.2">
      <c r="E1488" s="3"/>
      <c r="F1488" s="4"/>
      <c r="G1488" s="3"/>
      <c r="H1488" s="66"/>
      <c r="I1488" s="4"/>
      <c r="J1488" s="4"/>
      <c r="K1488"/>
      <c r="L1488"/>
      <c r="M1488" s="4"/>
      <c r="N1488" s="4"/>
    </row>
    <row r="1489" spans="5:14" x14ac:dyDescent="0.2">
      <c r="E1489" s="3"/>
      <c r="F1489" s="4"/>
      <c r="G1489" s="3"/>
      <c r="H1489" s="66"/>
      <c r="I1489" s="4"/>
      <c r="J1489" s="4"/>
      <c r="K1489"/>
      <c r="L1489"/>
      <c r="M1489" s="4"/>
      <c r="N1489" s="4"/>
    </row>
    <row r="1490" spans="5:14" x14ac:dyDescent="0.2">
      <c r="E1490" s="3"/>
      <c r="F1490" s="4"/>
      <c r="G1490" s="3"/>
      <c r="H1490" s="66"/>
      <c r="I1490" s="4"/>
      <c r="J1490" s="4"/>
      <c r="K1490"/>
      <c r="L1490"/>
      <c r="M1490" s="4"/>
      <c r="N1490" s="4"/>
    </row>
    <row r="1491" spans="5:14" x14ac:dyDescent="0.2">
      <c r="E1491" s="3"/>
      <c r="F1491" s="4"/>
      <c r="G1491" s="3"/>
      <c r="H1491" s="66"/>
      <c r="I1491" s="4"/>
      <c r="J1491" s="4"/>
      <c r="K1491"/>
      <c r="L1491"/>
      <c r="M1491" s="4"/>
      <c r="N1491" s="4"/>
    </row>
    <row r="1492" spans="5:14" x14ac:dyDescent="0.2">
      <c r="E1492" s="3"/>
      <c r="F1492" s="4"/>
      <c r="G1492" s="3"/>
      <c r="H1492" s="66"/>
      <c r="I1492" s="4"/>
      <c r="J1492" s="4"/>
      <c r="K1492"/>
      <c r="L1492"/>
      <c r="M1492" s="4"/>
      <c r="N1492" s="4"/>
    </row>
    <row r="1493" spans="5:14" x14ac:dyDescent="0.2">
      <c r="E1493" s="3"/>
      <c r="F1493" s="4"/>
      <c r="G1493" s="3"/>
      <c r="H1493" s="66"/>
      <c r="I1493" s="4"/>
      <c r="J1493" s="4"/>
      <c r="K1493"/>
      <c r="L1493"/>
      <c r="M1493" s="4"/>
      <c r="N1493" s="4"/>
    </row>
    <row r="1494" spans="5:14" x14ac:dyDescent="0.2">
      <c r="E1494" s="3"/>
      <c r="F1494" s="4"/>
      <c r="G1494" s="3"/>
      <c r="H1494" s="66"/>
      <c r="I1494" s="4"/>
      <c r="J1494" s="4"/>
      <c r="K1494"/>
      <c r="L1494"/>
      <c r="M1494" s="4"/>
      <c r="N1494" s="4"/>
    </row>
    <row r="1495" spans="5:14" x14ac:dyDescent="0.2">
      <c r="E1495" s="3"/>
      <c r="F1495" s="4"/>
      <c r="G1495" s="3"/>
      <c r="H1495" s="66"/>
      <c r="I1495" s="4"/>
      <c r="J1495" s="4"/>
      <c r="K1495"/>
      <c r="L1495"/>
      <c r="M1495" s="4"/>
      <c r="N1495" s="4"/>
    </row>
    <row r="1496" spans="5:14" x14ac:dyDescent="0.2">
      <c r="E1496" s="3"/>
      <c r="F1496" s="4"/>
      <c r="G1496" s="3"/>
      <c r="H1496" s="66"/>
      <c r="I1496" s="4"/>
      <c r="J1496" s="4"/>
      <c r="K1496"/>
      <c r="L1496"/>
      <c r="M1496" s="4"/>
      <c r="N1496" s="4"/>
    </row>
    <row r="1497" spans="5:14" x14ac:dyDescent="0.2">
      <c r="E1497" s="3"/>
      <c r="F1497" s="4"/>
      <c r="G1497" s="3"/>
      <c r="H1497" s="66"/>
      <c r="I1497" s="4"/>
      <c r="J1497" s="4"/>
      <c r="K1497"/>
      <c r="L1497"/>
      <c r="M1497" s="4"/>
      <c r="N1497" s="4"/>
    </row>
    <row r="1498" spans="5:14" x14ac:dyDescent="0.2">
      <c r="E1498" s="3"/>
      <c r="F1498" s="4"/>
      <c r="G1498" s="3"/>
      <c r="H1498" s="66"/>
      <c r="I1498" s="4"/>
      <c r="J1498" s="4"/>
      <c r="K1498"/>
      <c r="L1498"/>
      <c r="M1498" s="4"/>
      <c r="N1498" s="4"/>
    </row>
    <row r="1499" spans="5:14" x14ac:dyDescent="0.2">
      <c r="E1499" s="3"/>
      <c r="F1499" s="4"/>
      <c r="G1499" s="3"/>
      <c r="H1499" s="66"/>
      <c r="I1499" s="4"/>
      <c r="J1499" s="4"/>
      <c r="K1499"/>
      <c r="L1499"/>
      <c r="M1499" s="4"/>
      <c r="N1499" s="4"/>
    </row>
    <row r="1500" spans="5:14" x14ac:dyDescent="0.2">
      <c r="E1500" s="3"/>
      <c r="F1500" s="4"/>
      <c r="G1500" s="3"/>
      <c r="H1500" s="66"/>
      <c r="I1500" s="4"/>
      <c r="J1500" s="4"/>
      <c r="K1500"/>
      <c r="L1500"/>
      <c r="M1500" s="4"/>
      <c r="N1500" s="4"/>
    </row>
    <row r="1501" spans="5:14" x14ac:dyDescent="0.2">
      <c r="E1501" s="3"/>
      <c r="F1501" s="4"/>
      <c r="G1501" s="3"/>
      <c r="H1501" s="66"/>
      <c r="I1501" s="4"/>
      <c r="J1501" s="4"/>
      <c r="K1501"/>
      <c r="L1501"/>
      <c r="M1501" s="4"/>
      <c r="N1501" s="4"/>
    </row>
    <row r="1502" spans="5:14" x14ac:dyDescent="0.2">
      <c r="E1502" s="3"/>
      <c r="F1502" s="4"/>
      <c r="G1502" s="3"/>
      <c r="H1502" s="66"/>
      <c r="I1502" s="4"/>
      <c r="J1502" s="4"/>
      <c r="K1502"/>
      <c r="L1502"/>
      <c r="M1502" s="4"/>
      <c r="N1502" s="4"/>
    </row>
    <row r="1503" spans="5:14" x14ac:dyDescent="0.2">
      <c r="E1503" s="3"/>
      <c r="F1503" s="4"/>
      <c r="G1503" s="3"/>
      <c r="H1503" s="66"/>
      <c r="I1503" s="4"/>
      <c r="J1503" s="4"/>
      <c r="K1503"/>
      <c r="L1503"/>
      <c r="M1503" s="4"/>
      <c r="N1503" s="4"/>
    </row>
    <row r="1504" spans="5:14" x14ac:dyDescent="0.2">
      <c r="E1504" s="3"/>
      <c r="F1504" s="4"/>
      <c r="G1504" s="3"/>
      <c r="H1504" s="66"/>
      <c r="I1504" s="4"/>
      <c r="J1504" s="4"/>
      <c r="K1504"/>
      <c r="L1504"/>
      <c r="M1504" s="4"/>
      <c r="N1504" s="4"/>
    </row>
    <row r="1505" spans="5:14" x14ac:dyDescent="0.2">
      <c r="E1505" s="3"/>
      <c r="F1505" s="4"/>
      <c r="G1505" s="3"/>
      <c r="H1505" s="66"/>
      <c r="I1505" s="4"/>
      <c r="J1505" s="4"/>
      <c r="K1505"/>
      <c r="L1505"/>
      <c r="M1505" s="4"/>
      <c r="N1505" s="4"/>
    </row>
    <row r="1506" spans="5:14" x14ac:dyDescent="0.2">
      <c r="E1506" s="3"/>
      <c r="F1506" s="4"/>
      <c r="G1506" s="3"/>
      <c r="H1506" s="66"/>
      <c r="I1506" s="4"/>
      <c r="J1506" s="4"/>
      <c r="K1506"/>
      <c r="L1506"/>
      <c r="M1506" s="4"/>
      <c r="N1506" s="4"/>
    </row>
    <row r="1507" spans="5:14" x14ac:dyDescent="0.2">
      <c r="E1507" s="3"/>
      <c r="F1507" s="4"/>
      <c r="G1507" s="3"/>
      <c r="H1507" s="66"/>
      <c r="I1507" s="4"/>
      <c r="J1507" s="4"/>
      <c r="K1507"/>
      <c r="L1507"/>
      <c r="M1507" s="4"/>
      <c r="N1507" s="4"/>
    </row>
    <row r="1508" spans="5:14" x14ac:dyDescent="0.2">
      <c r="E1508" s="3"/>
      <c r="F1508" s="4"/>
      <c r="G1508" s="3"/>
      <c r="H1508" s="66"/>
      <c r="I1508" s="4"/>
      <c r="J1508" s="4"/>
      <c r="K1508"/>
      <c r="L1508"/>
      <c r="M1508" s="4"/>
      <c r="N1508" s="4"/>
    </row>
    <row r="1509" spans="5:14" x14ac:dyDescent="0.2">
      <c r="E1509" s="3"/>
      <c r="F1509" s="4"/>
      <c r="G1509" s="3"/>
      <c r="H1509" s="66"/>
      <c r="I1509" s="4"/>
      <c r="J1509" s="4"/>
      <c r="K1509"/>
      <c r="L1509"/>
      <c r="M1509" s="4"/>
      <c r="N1509" s="4"/>
    </row>
    <row r="1510" spans="5:14" x14ac:dyDescent="0.2">
      <c r="E1510" s="3"/>
      <c r="F1510" s="4"/>
      <c r="G1510" s="3"/>
      <c r="H1510" s="66"/>
      <c r="I1510" s="4"/>
      <c r="J1510" s="4"/>
      <c r="K1510"/>
      <c r="L1510"/>
      <c r="M1510" s="4"/>
      <c r="N1510" s="4"/>
    </row>
    <row r="1511" spans="5:14" x14ac:dyDescent="0.2">
      <c r="E1511" s="3"/>
      <c r="F1511" s="4"/>
      <c r="G1511" s="3"/>
      <c r="H1511" s="66"/>
      <c r="I1511" s="4"/>
      <c r="J1511" s="4"/>
      <c r="K1511"/>
      <c r="L1511"/>
      <c r="M1511" s="4"/>
      <c r="N1511" s="4"/>
    </row>
    <row r="1512" spans="5:14" x14ac:dyDescent="0.2">
      <c r="E1512" s="3"/>
      <c r="F1512" s="4"/>
      <c r="G1512" s="3"/>
      <c r="H1512" s="66"/>
      <c r="I1512" s="4"/>
      <c r="J1512" s="4"/>
      <c r="K1512"/>
      <c r="L1512"/>
      <c r="M1512" s="4"/>
      <c r="N1512" s="4"/>
    </row>
    <row r="1513" spans="5:14" x14ac:dyDescent="0.2">
      <c r="E1513" s="3"/>
      <c r="F1513" s="4"/>
      <c r="G1513" s="3"/>
      <c r="H1513" s="66"/>
      <c r="I1513" s="4"/>
      <c r="J1513" s="4"/>
      <c r="K1513"/>
      <c r="L1513"/>
      <c r="M1513" s="4"/>
      <c r="N1513" s="4"/>
    </row>
    <row r="1514" spans="5:14" x14ac:dyDescent="0.2">
      <c r="E1514" s="3"/>
      <c r="F1514" s="4"/>
      <c r="G1514" s="3"/>
      <c r="H1514" s="66"/>
      <c r="I1514" s="4"/>
      <c r="J1514" s="4"/>
      <c r="K1514"/>
      <c r="L1514"/>
      <c r="M1514" s="4"/>
      <c r="N1514" s="4"/>
    </row>
    <row r="1515" spans="5:14" x14ac:dyDescent="0.2">
      <c r="E1515" s="3"/>
      <c r="F1515" s="4"/>
      <c r="G1515" s="3"/>
      <c r="H1515" s="66"/>
      <c r="I1515" s="4"/>
      <c r="J1515" s="4"/>
      <c r="K1515"/>
      <c r="L1515"/>
      <c r="M1515" s="4"/>
      <c r="N1515" s="4"/>
    </row>
    <row r="1516" spans="5:14" x14ac:dyDescent="0.2">
      <c r="E1516" s="3"/>
      <c r="F1516" s="4"/>
      <c r="G1516" s="3"/>
      <c r="H1516" s="66"/>
      <c r="I1516" s="4"/>
      <c r="J1516" s="4"/>
      <c r="K1516"/>
      <c r="L1516"/>
      <c r="M1516" s="4"/>
      <c r="N1516" s="4"/>
    </row>
    <row r="1517" spans="5:14" x14ac:dyDescent="0.2">
      <c r="E1517" s="3"/>
      <c r="F1517" s="4"/>
      <c r="G1517" s="3"/>
      <c r="H1517" s="66"/>
      <c r="I1517" s="4"/>
      <c r="J1517" s="4"/>
      <c r="K1517"/>
      <c r="L1517"/>
      <c r="M1517" s="4"/>
      <c r="N1517" s="4"/>
    </row>
    <row r="1518" spans="5:14" x14ac:dyDescent="0.2">
      <c r="E1518" s="3"/>
      <c r="F1518" s="4"/>
      <c r="G1518" s="3"/>
      <c r="H1518" s="66"/>
      <c r="I1518" s="4"/>
      <c r="J1518" s="4"/>
      <c r="K1518"/>
      <c r="L1518"/>
      <c r="M1518" s="4"/>
      <c r="N1518" s="4"/>
    </row>
    <row r="1519" spans="5:14" x14ac:dyDescent="0.2">
      <c r="E1519" s="3"/>
      <c r="F1519" s="4"/>
      <c r="G1519" s="3"/>
      <c r="H1519" s="66"/>
      <c r="I1519" s="4"/>
      <c r="J1519" s="4"/>
      <c r="K1519"/>
      <c r="L1519"/>
      <c r="M1519" s="4"/>
      <c r="N1519" s="4"/>
    </row>
    <row r="1520" spans="5:14" x14ac:dyDescent="0.2">
      <c r="E1520" s="3"/>
      <c r="F1520" s="4"/>
      <c r="G1520" s="3"/>
      <c r="H1520" s="66"/>
      <c r="I1520" s="4"/>
      <c r="J1520" s="4"/>
      <c r="K1520"/>
      <c r="L1520"/>
      <c r="M1520" s="4"/>
      <c r="N1520" s="4"/>
    </row>
    <row r="1521" spans="5:14" x14ac:dyDescent="0.2">
      <c r="E1521" s="3"/>
      <c r="F1521" s="4"/>
      <c r="G1521" s="3"/>
      <c r="H1521" s="66"/>
      <c r="I1521" s="4"/>
      <c r="J1521" s="4"/>
      <c r="K1521"/>
      <c r="L1521"/>
      <c r="M1521" s="4"/>
      <c r="N1521" s="4"/>
    </row>
    <row r="1522" spans="5:14" x14ac:dyDescent="0.2">
      <c r="E1522" s="3"/>
      <c r="F1522" s="4"/>
      <c r="G1522" s="3"/>
      <c r="H1522" s="66"/>
      <c r="I1522" s="4"/>
      <c r="J1522" s="4"/>
      <c r="K1522"/>
      <c r="L1522"/>
      <c r="M1522" s="4"/>
      <c r="N1522" s="4"/>
    </row>
    <row r="1523" spans="5:14" x14ac:dyDescent="0.2">
      <c r="E1523" s="3"/>
      <c r="F1523" s="4"/>
      <c r="G1523" s="3"/>
      <c r="H1523" s="66"/>
      <c r="I1523" s="4"/>
      <c r="J1523" s="4"/>
      <c r="K1523"/>
      <c r="L1523"/>
      <c r="M1523" s="4"/>
      <c r="N1523" s="4"/>
    </row>
    <row r="1524" spans="5:14" x14ac:dyDescent="0.2">
      <c r="E1524" s="3"/>
      <c r="F1524" s="4"/>
      <c r="G1524" s="3"/>
      <c r="H1524" s="66"/>
      <c r="I1524" s="4"/>
      <c r="J1524" s="4"/>
      <c r="K1524"/>
      <c r="L1524"/>
      <c r="M1524" s="4"/>
      <c r="N1524" s="4"/>
    </row>
    <row r="1525" spans="5:14" x14ac:dyDescent="0.2">
      <c r="E1525" s="3"/>
      <c r="F1525" s="4"/>
      <c r="G1525" s="3"/>
      <c r="H1525" s="66"/>
      <c r="I1525" s="4"/>
      <c r="J1525" s="4"/>
      <c r="K1525"/>
      <c r="L1525"/>
      <c r="M1525" s="4"/>
      <c r="N1525" s="4"/>
    </row>
    <row r="1526" spans="5:14" x14ac:dyDescent="0.2">
      <c r="E1526" s="3"/>
      <c r="F1526" s="4"/>
      <c r="G1526" s="3"/>
      <c r="H1526" s="66"/>
      <c r="I1526" s="4"/>
      <c r="J1526" s="4"/>
      <c r="K1526"/>
      <c r="L1526"/>
      <c r="M1526" s="4"/>
      <c r="N1526" s="4"/>
    </row>
    <row r="1527" spans="5:14" x14ac:dyDescent="0.2">
      <c r="E1527" s="3"/>
      <c r="F1527" s="4"/>
      <c r="G1527" s="3"/>
      <c r="H1527" s="66"/>
      <c r="I1527" s="4"/>
      <c r="J1527" s="4"/>
      <c r="K1527"/>
      <c r="L1527"/>
      <c r="M1527" s="4"/>
      <c r="N1527" s="4"/>
    </row>
    <row r="1528" spans="5:14" x14ac:dyDescent="0.2">
      <c r="E1528" s="3"/>
      <c r="F1528" s="4"/>
      <c r="G1528" s="3"/>
      <c r="H1528" s="66"/>
      <c r="I1528" s="4"/>
      <c r="J1528" s="4"/>
      <c r="K1528"/>
      <c r="L1528"/>
      <c r="M1528" s="4"/>
      <c r="N1528" s="4"/>
    </row>
    <row r="1529" spans="5:14" x14ac:dyDescent="0.2">
      <c r="E1529" s="3"/>
      <c r="F1529" s="4"/>
      <c r="G1529" s="3"/>
      <c r="H1529" s="66"/>
      <c r="I1529" s="4"/>
      <c r="J1529" s="4"/>
      <c r="K1529"/>
      <c r="L1529"/>
      <c r="M1529" s="4"/>
      <c r="N1529" s="4"/>
    </row>
    <row r="1530" spans="5:14" x14ac:dyDescent="0.2">
      <c r="E1530" s="3"/>
      <c r="F1530" s="4"/>
      <c r="G1530" s="3"/>
      <c r="H1530" s="66"/>
      <c r="I1530" s="4"/>
      <c r="J1530" s="4"/>
      <c r="K1530"/>
      <c r="L1530"/>
      <c r="M1530" s="4"/>
      <c r="N1530" s="4"/>
    </row>
    <row r="1531" spans="5:14" x14ac:dyDescent="0.2">
      <c r="E1531" s="3"/>
      <c r="F1531" s="4"/>
      <c r="G1531" s="3"/>
      <c r="H1531" s="66"/>
      <c r="I1531" s="4"/>
      <c r="J1531" s="4"/>
      <c r="K1531"/>
      <c r="L1531"/>
      <c r="M1531" s="4"/>
      <c r="N1531" s="4"/>
    </row>
    <row r="1532" spans="5:14" x14ac:dyDescent="0.2">
      <c r="E1532" s="3"/>
      <c r="F1532" s="4"/>
      <c r="G1532" s="3"/>
      <c r="H1532" s="66"/>
      <c r="I1532" s="4"/>
      <c r="J1532" s="4"/>
      <c r="K1532"/>
      <c r="L1532"/>
      <c r="M1532" s="4"/>
      <c r="N1532" s="4"/>
    </row>
    <row r="1533" spans="5:14" x14ac:dyDescent="0.2">
      <c r="E1533" s="3"/>
      <c r="F1533" s="4"/>
      <c r="G1533" s="3"/>
      <c r="H1533" s="66"/>
      <c r="I1533" s="4"/>
      <c r="J1533" s="4"/>
      <c r="K1533"/>
      <c r="L1533"/>
      <c r="M1533" s="4"/>
      <c r="N1533" s="4"/>
    </row>
    <row r="1534" spans="5:14" x14ac:dyDescent="0.2">
      <c r="E1534" s="3"/>
      <c r="F1534" s="4"/>
      <c r="G1534" s="3"/>
      <c r="H1534" s="66"/>
      <c r="I1534" s="4"/>
      <c r="J1534" s="4"/>
      <c r="K1534"/>
      <c r="L1534"/>
      <c r="M1534" s="4"/>
      <c r="N1534" s="4"/>
    </row>
    <row r="1535" spans="5:14" x14ac:dyDescent="0.2">
      <c r="E1535" s="3"/>
      <c r="F1535" s="4"/>
      <c r="G1535" s="3"/>
      <c r="H1535" s="66"/>
      <c r="I1535" s="4"/>
      <c r="J1535" s="4"/>
      <c r="K1535"/>
      <c r="L1535"/>
      <c r="M1535" s="4"/>
      <c r="N1535" s="4"/>
    </row>
    <row r="1536" spans="5:14" x14ac:dyDescent="0.2">
      <c r="E1536" s="3"/>
      <c r="F1536" s="4"/>
      <c r="G1536" s="3"/>
      <c r="H1536" s="66"/>
      <c r="I1536" s="4"/>
      <c r="J1536" s="4"/>
      <c r="K1536"/>
      <c r="L1536"/>
      <c r="M1536" s="4"/>
      <c r="N1536" s="4"/>
    </row>
    <row r="1537" spans="5:14" x14ac:dyDescent="0.2">
      <c r="E1537" s="3"/>
      <c r="F1537" s="4"/>
      <c r="G1537" s="3"/>
      <c r="H1537" s="66"/>
      <c r="I1537" s="4"/>
      <c r="J1537" s="4"/>
      <c r="K1537"/>
      <c r="L1537"/>
      <c r="M1537" s="4"/>
      <c r="N1537" s="4"/>
    </row>
    <row r="1538" spans="5:14" x14ac:dyDescent="0.2">
      <c r="E1538" s="3"/>
      <c r="F1538" s="4"/>
      <c r="G1538" s="3"/>
      <c r="H1538" s="66"/>
      <c r="I1538" s="4"/>
      <c r="J1538" s="4"/>
      <c r="K1538"/>
      <c r="L1538"/>
      <c r="M1538" s="4"/>
      <c r="N1538" s="4"/>
    </row>
    <row r="1539" spans="5:14" x14ac:dyDescent="0.2">
      <c r="E1539" s="3"/>
      <c r="F1539" s="4"/>
      <c r="G1539" s="3"/>
      <c r="H1539" s="66"/>
      <c r="I1539" s="4"/>
      <c r="J1539" s="4"/>
      <c r="K1539"/>
      <c r="L1539"/>
      <c r="M1539" s="4"/>
      <c r="N1539" s="4"/>
    </row>
    <row r="1540" spans="5:14" x14ac:dyDescent="0.2">
      <c r="E1540" s="3"/>
      <c r="F1540" s="4"/>
      <c r="G1540" s="3"/>
      <c r="H1540" s="66"/>
      <c r="I1540" s="4"/>
      <c r="J1540" s="4"/>
      <c r="K1540"/>
      <c r="L1540"/>
      <c r="M1540" s="4"/>
      <c r="N1540" s="4"/>
    </row>
    <row r="1541" spans="5:14" x14ac:dyDescent="0.2">
      <c r="E1541" s="3"/>
      <c r="F1541" s="4"/>
      <c r="G1541" s="3"/>
      <c r="H1541" s="66"/>
      <c r="I1541" s="4"/>
      <c r="J1541" s="4"/>
      <c r="K1541"/>
      <c r="L1541"/>
      <c r="M1541" s="4"/>
      <c r="N1541" s="4"/>
    </row>
    <row r="1542" spans="5:14" x14ac:dyDescent="0.2">
      <c r="E1542" s="3"/>
      <c r="F1542" s="4"/>
      <c r="G1542" s="3"/>
      <c r="H1542" s="66"/>
      <c r="I1542" s="4"/>
      <c r="J1542" s="4"/>
      <c r="K1542"/>
      <c r="L1542"/>
      <c r="M1542" s="4"/>
      <c r="N1542" s="4"/>
    </row>
    <row r="1543" spans="5:14" x14ac:dyDescent="0.2">
      <c r="E1543" s="3"/>
      <c r="F1543" s="4"/>
      <c r="G1543" s="3"/>
      <c r="H1543" s="66"/>
      <c r="I1543" s="4"/>
      <c r="J1543" s="4"/>
      <c r="K1543"/>
      <c r="L1543"/>
      <c r="M1543" s="4"/>
      <c r="N1543" s="4"/>
    </row>
    <row r="1544" spans="5:14" x14ac:dyDescent="0.2">
      <c r="E1544" s="3"/>
      <c r="F1544" s="4"/>
      <c r="G1544" s="3"/>
      <c r="H1544" s="66"/>
      <c r="I1544" s="4"/>
      <c r="J1544" s="4"/>
      <c r="K1544"/>
      <c r="L1544"/>
      <c r="M1544" s="4"/>
      <c r="N1544" s="4"/>
    </row>
    <row r="1545" spans="5:14" x14ac:dyDescent="0.2">
      <c r="E1545" s="3"/>
      <c r="F1545" s="4"/>
      <c r="G1545" s="3"/>
      <c r="H1545" s="66"/>
      <c r="I1545" s="4"/>
      <c r="J1545" s="4"/>
      <c r="K1545"/>
      <c r="L1545"/>
      <c r="M1545" s="4"/>
      <c r="N1545" s="4"/>
    </row>
    <row r="1546" spans="5:14" x14ac:dyDescent="0.2">
      <c r="E1546" s="3"/>
      <c r="F1546" s="4"/>
      <c r="G1546" s="3"/>
      <c r="H1546" s="66"/>
      <c r="I1546" s="4"/>
      <c r="J1546" s="4"/>
      <c r="K1546"/>
      <c r="L1546"/>
      <c r="M1546" s="4"/>
      <c r="N1546" s="4"/>
    </row>
    <row r="1547" spans="5:14" x14ac:dyDescent="0.2">
      <c r="E1547" s="3"/>
      <c r="F1547" s="4"/>
      <c r="G1547" s="3"/>
      <c r="H1547" s="66"/>
      <c r="I1547" s="4"/>
      <c r="J1547" s="4"/>
      <c r="K1547"/>
      <c r="L1547"/>
      <c r="M1547" s="4"/>
      <c r="N1547" s="4"/>
    </row>
    <row r="1548" spans="5:14" x14ac:dyDescent="0.2">
      <c r="E1548" s="3"/>
      <c r="F1548" s="4"/>
      <c r="G1548" s="3"/>
      <c r="H1548" s="66"/>
      <c r="I1548" s="4"/>
      <c r="J1548" s="4"/>
      <c r="K1548"/>
      <c r="L1548"/>
      <c r="M1548" s="4"/>
      <c r="N1548" s="4"/>
    </row>
    <row r="1549" spans="5:14" x14ac:dyDescent="0.2">
      <c r="E1549" s="3"/>
      <c r="F1549" s="4"/>
      <c r="G1549" s="3"/>
      <c r="H1549" s="66"/>
      <c r="I1549" s="4"/>
      <c r="J1549" s="4"/>
      <c r="K1549"/>
      <c r="L1549"/>
      <c r="M1549" s="4"/>
      <c r="N1549" s="4"/>
    </row>
    <row r="1550" spans="5:14" x14ac:dyDescent="0.2">
      <c r="E1550" s="3"/>
      <c r="F1550" s="4"/>
      <c r="G1550" s="3"/>
      <c r="H1550" s="66"/>
      <c r="I1550" s="4"/>
      <c r="J1550" s="4"/>
      <c r="K1550"/>
      <c r="L1550"/>
      <c r="M1550" s="4"/>
      <c r="N1550" s="4"/>
    </row>
    <row r="1551" spans="5:14" x14ac:dyDescent="0.2">
      <c r="E1551" s="3"/>
      <c r="F1551" s="4"/>
      <c r="G1551" s="3"/>
      <c r="H1551" s="66"/>
      <c r="I1551" s="4"/>
      <c r="J1551" s="4"/>
      <c r="K1551"/>
      <c r="L1551"/>
      <c r="M1551" s="4"/>
      <c r="N1551" s="4"/>
    </row>
    <row r="1552" spans="5:14" x14ac:dyDescent="0.2">
      <c r="E1552" s="3"/>
      <c r="F1552" s="4"/>
      <c r="G1552" s="3"/>
      <c r="H1552" s="66"/>
      <c r="I1552" s="4"/>
      <c r="J1552" s="4"/>
      <c r="K1552"/>
      <c r="L1552"/>
      <c r="M1552" s="4"/>
      <c r="N1552" s="4"/>
    </row>
    <row r="1553" spans="5:14" x14ac:dyDescent="0.2">
      <c r="E1553" s="3"/>
      <c r="F1553" s="4"/>
      <c r="G1553" s="3"/>
      <c r="H1553" s="66"/>
      <c r="I1553" s="4"/>
      <c r="J1553" s="4"/>
      <c r="K1553"/>
      <c r="L1553"/>
      <c r="M1553" s="4"/>
      <c r="N1553" s="4"/>
    </row>
    <row r="1554" spans="5:14" x14ac:dyDescent="0.2">
      <c r="E1554" s="3"/>
      <c r="F1554" s="4"/>
      <c r="G1554" s="3"/>
      <c r="H1554" s="66"/>
      <c r="I1554" s="4"/>
      <c r="J1554" s="4"/>
      <c r="K1554"/>
      <c r="L1554"/>
      <c r="M1554" s="4"/>
      <c r="N1554" s="4"/>
    </row>
    <row r="1555" spans="5:14" x14ac:dyDescent="0.2">
      <c r="E1555" s="3"/>
      <c r="F1555" s="4"/>
      <c r="G1555" s="3"/>
      <c r="H1555" s="66"/>
      <c r="I1555" s="4"/>
      <c r="J1555" s="4"/>
      <c r="K1555"/>
      <c r="L1555"/>
      <c r="M1555" s="4"/>
      <c r="N1555" s="4"/>
    </row>
    <row r="1556" spans="5:14" x14ac:dyDescent="0.2">
      <c r="E1556" s="3"/>
      <c r="F1556" s="4"/>
      <c r="G1556" s="3"/>
      <c r="H1556" s="66"/>
      <c r="I1556" s="4"/>
      <c r="J1556" s="4"/>
      <c r="K1556"/>
      <c r="L1556"/>
      <c r="M1556" s="4"/>
      <c r="N1556" s="4"/>
    </row>
    <row r="1557" spans="5:14" x14ac:dyDescent="0.2">
      <c r="E1557" s="3"/>
      <c r="F1557" s="4"/>
      <c r="G1557" s="3"/>
      <c r="H1557" s="66"/>
      <c r="I1557" s="4"/>
      <c r="J1557" s="4"/>
      <c r="K1557"/>
      <c r="L1557"/>
      <c r="M1557" s="4"/>
      <c r="N1557" s="4"/>
    </row>
    <row r="1558" spans="5:14" x14ac:dyDescent="0.2">
      <c r="E1558" s="3"/>
      <c r="F1558" s="4"/>
      <c r="G1558" s="3"/>
      <c r="H1558" s="66"/>
      <c r="I1558" s="4"/>
      <c r="J1558" s="4"/>
      <c r="K1558"/>
      <c r="L1558"/>
      <c r="M1558" s="4"/>
      <c r="N1558" s="4"/>
    </row>
    <row r="1559" spans="5:14" x14ac:dyDescent="0.2">
      <c r="E1559" s="3"/>
      <c r="F1559" s="4"/>
      <c r="G1559" s="3"/>
      <c r="H1559" s="66"/>
      <c r="I1559" s="4"/>
      <c r="J1559" s="4"/>
      <c r="K1559"/>
      <c r="L1559"/>
      <c r="M1559" s="4"/>
      <c r="N1559" s="4"/>
    </row>
    <row r="1560" spans="5:14" x14ac:dyDescent="0.2">
      <c r="E1560" s="3"/>
      <c r="F1560" s="4"/>
      <c r="G1560" s="3"/>
      <c r="H1560" s="66"/>
      <c r="I1560" s="4"/>
      <c r="J1560" s="4"/>
      <c r="K1560"/>
      <c r="L1560"/>
      <c r="M1560" s="4"/>
      <c r="N1560" s="4"/>
    </row>
    <row r="1561" spans="5:14" x14ac:dyDescent="0.2">
      <c r="E1561" s="3"/>
      <c r="F1561" s="4"/>
      <c r="G1561" s="3"/>
      <c r="H1561" s="66"/>
      <c r="I1561" s="4"/>
      <c r="J1561" s="4"/>
      <c r="K1561"/>
      <c r="L1561"/>
      <c r="M1561" s="4"/>
      <c r="N1561" s="4"/>
    </row>
    <row r="1562" spans="5:14" x14ac:dyDescent="0.2">
      <c r="E1562" s="3"/>
      <c r="F1562" s="4"/>
      <c r="G1562" s="3"/>
      <c r="H1562" s="66"/>
      <c r="I1562" s="4"/>
      <c r="J1562" s="4"/>
      <c r="K1562"/>
      <c r="L1562"/>
      <c r="M1562" s="4"/>
      <c r="N1562" s="4"/>
    </row>
    <row r="1563" spans="5:14" x14ac:dyDescent="0.2">
      <c r="E1563" s="3"/>
      <c r="F1563" s="4"/>
      <c r="G1563" s="3"/>
      <c r="H1563" s="66"/>
      <c r="I1563" s="4"/>
      <c r="J1563" s="4"/>
      <c r="K1563"/>
      <c r="L1563"/>
      <c r="M1563" s="4"/>
      <c r="N1563" s="4"/>
    </row>
    <row r="1564" spans="5:14" x14ac:dyDescent="0.2">
      <c r="E1564" s="3"/>
      <c r="F1564" s="4"/>
      <c r="G1564" s="3"/>
      <c r="H1564" s="66"/>
      <c r="I1564" s="4"/>
      <c r="J1564" s="4"/>
      <c r="K1564"/>
      <c r="L1564"/>
      <c r="M1564" s="4"/>
      <c r="N1564" s="4"/>
    </row>
    <row r="1565" spans="5:14" x14ac:dyDescent="0.2">
      <c r="E1565" s="3"/>
      <c r="F1565" s="4"/>
      <c r="G1565" s="3"/>
      <c r="H1565" s="66"/>
      <c r="I1565" s="4"/>
      <c r="J1565" s="4"/>
      <c r="K1565"/>
      <c r="L1565"/>
      <c r="M1565" s="4"/>
      <c r="N1565" s="4"/>
    </row>
    <row r="1566" spans="5:14" x14ac:dyDescent="0.2">
      <c r="E1566" s="3"/>
      <c r="F1566" s="4"/>
      <c r="G1566" s="3"/>
      <c r="H1566" s="66"/>
      <c r="I1566" s="4"/>
      <c r="J1566" s="4"/>
      <c r="K1566"/>
      <c r="L1566"/>
      <c r="M1566" s="4"/>
      <c r="N1566" s="4"/>
    </row>
    <row r="1567" spans="5:14" x14ac:dyDescent="0.2">
      <c r="E1567" s="3"/>
      <c r="F1567" s="4"/>
      <c r="G1567" s="3"/>
      <c r="H1567" s="66"/>
      <c r="I1567" s="4"/>
      <c r="J1567" s="4"/>
      <c r="K1567"/>
      <c r="L1567"/>
      <c r="M1567" s="4"/>
      <c r="N1567" s="4"/>
    </row>
    <row r="1568" spans="5:14" x14ac:dyDescent="0.2">
      <c r="E1568" s="3"/>
      <c r="F1568" s="4"/>
      <c r="G1568" s="3"/>
      <c r="H1568" s="66"/>
      <c r="I1568" s="4"/>
      <c r="J1568" s="4"/>
      <c r="K1568"/>
      <c r="L1568"/>
      <c r="M1568" s="4"/>
      <c r="N1568" s="4"/>
    </row>
    <row r="1569" spans="5:14" x14ac:dyDescent="0.2">
      <c r="E1569" s="3"/>
      <c r="F1569" s="4"/>
      <c r="G1569" s="3"/>
      <c r="H1569" s="66"/>
      <c r="I1569" s="4"/>
      <c r="J1569" s="4"/>
      <c r="K1569"/>
      <c r="L1569"/>
      <c r="M1569" s="4"/>
      <c r="N1569" s="4"/>
    </row>
    <row r="1570" spans="5:14" x14ac:dyDescent="0.2">
      <c r="E1570" s="3"/>
      <c r="F1570" s="4"/>
      <c r="G1570" s="3"/>
      <c r="H1570" s="66"/>
      <c r="I1570" s="4"/>
      <c r="J1570" s="4"/>
      <c r="K1570"/>
      <c r="L1570"/>
      <c r="M1570" s="4"/>
      <c r="N1570" s="4"/>
    </row>
    <row r="1571" spans="5:14" x14ac:dyDescent="0.2">
      <c r="E1571" s="3"/>
      <c r="F1571" s="4"/>
      <c r="G1571" s="3"/>
      <c r="H1571" s="66"/>
      <c r="I1571" s="4"/>
      <c r="J1571" s="4"/>
      <c r="K1571"/>
      <c r="L1571"/>
      <c r="M1571" s="4"/>
      <c r="N1571" s="4"/>
    </row>
    <row r="1572" spans="5:14" x14ac:dyDescent="0.2">
      <c r="E1572" s="3"/>
      <c r="F1572" s="4"/>
      <c r="G1572" s="3"/>
      <c r="H1572" s="66"/>
      <c r="I1572" s="4"/>
      <c r="J1572" s="4"/>
      <c r="K1572"/>
      <c r="L1572"/>
      <c r="M1572" s="4"/>
      <c r="N1572" s="4"/>
    </row>
    <row r="1573" spans="5:14" x14ac:dyDescent="0.2">
      <c r="E1573" s="3"/>
      <c r="F1573" s="4"/>
      <c r="G1573" s="3"/>
      <c r="H1573" s="66"/>
      <c r="I1573" s="4"/>
      <c r="J1573" s="4"/>
      <c r="K1573"/>
      <c r="L1573"/>
      <c r="M1573" s="4"/>
      <c r="N1573" s="4"/>
    </row>
    <row r="1574" spans="5:14" x14ac:dyDescent="0.2">
      <c r="E1574" s="3"/>
      <c r="F1574" s="4"/>
      <c r="G1574" s="3"/>
      <c r="H1574" s="66"/>
      <c r="I1574" s="4"/>
      <c r="J1574" s="4"/>
      <c r="K1574"/>
      <c r="L1574"/>
      <c r="M1574" s="4"/>
      <c r="N1574" s="4"/>
    </row>
    <row r="1575" spans="5:14" x14ac:dyDescent="0.2">
      <c r="E1575" s="3"/>
      <c r="F1575" s="4"/>
      <c r="G1575" s="3"/>
      <c r="H1575" s="66"/>
      <c r="I1575" s="4"/>
      <c r="J1575" s="4"/>
      <c r="K1575"/>
      <c r="L1575"/>
      <c r="M1575" s="4"/>
      <c r="N1575" s="4"/>
    </row>
    <row r="1576" spans="5:14" x14ac:dyDescent="0.2">
      <c r="E1576" s="3"/>
      <c r="F1576" s="4"/>
      <c r="G1576" s="3"/>
      <c r="H1576" s="66"/>
      <c r="I1576" s="4"/>
      <c r="J1576" s="4"/>
      <c r="K1576"/>
      <c r="L1576"/>
      <c r="M1576" s="4"/>
      <c r="N1576" s="4"/>
    </row>
    <row r="1577" spans="5:14" x14ac:dyDescent="0.2">
      <c r="E1577" s="3"/>
      <c r="F1577" s="4"/>
      <c r="G1577" s="3"/>
      <c r="H1577" s="66"/>
      <c r="I1577" s="4"/>
      <c r="J1577" s="4"/>
      <c r="K1577"/>
      <c r="L1577"/>
      <c r="M1577" s="4"/>
      <c r="N1577" s="4"/>
    </row>
    <row r="1578" spans="5:14" x14ac:dyDescent="0.2">
      <c r="E1578" s="3"/>
      <c r="F1578" s="4"/>
      <c r="G1578" s="3"/>
      <c r="H1578" s="66"/>
      <c r="I1578" s="4"/>
      <c r="J1578" s="4"/>
      <c r="K1578"/>
      <c r="L1578"/>
      <c r="M1578" s="4"/>
      <c r="N1578" s="4"/>
    </row>
    <row r="1579" spans="5:14" x14ac:dyDescent="0.2">
      <c r="E1579" s="3"/>
      <c r="F1579" s="4"/>
      <c r="G1579" s="3"/>
      <c r="H1579" s="66"/>
      <c r="I1579" s="4"/>
      <c r="J1579" s="4"/>
      <c r="K1579"/>
      <c r="L1579"/>
      <c r="M1579" s="4"/>
      <c r="N1579" s="4"/>
    </row>
    <row r="1580" spans="5:14" x14ac:dyDescent="0.2">
      <c r="E1580" s="3"/>
      <c r="F1580" s="4"/>
      <c r="G1580" s="3"/>
      <c r="H1580" s="66"/>
      <c r="I1580" s="4"/>
      <c r="J1580" s="4"/>
      <c r="K1580"/>
      <c r="L1580"/>
      <c r="M1580" s="4"/>
      <c r="N1580" s="4"/>
    </row>
    <row r="1581" spans="5:14" x14ac:dyDescent="0.2">
      <c r="E1581" s="3"/>
      <c r="F1581" s="4"/>
      <c r="G1581" s="3"/>
      <c r="H1581" s="66"/>
      <c r="I1581" s="4"/>
      <c r="J1581" s="4"/>
      <c r="K1581"/>
      <c r="L1581"/>
      <c r="M1581" s="4"/>
      <c r="N1581" s="4"/>
    </row>
    <row r="1582" spans="5:14" x14ac:dyDescent="0.2">
      <c r="E1582" s="3"/>
      <c r="F1582" s="4"/>
      <c r="G1582" s="3"/>
      <c r="H1582" s="66"/>
      <c r="I1582" s="4"/>
      <c r="J1582" s="4"/>
      <c r="K1582"/>
      <c r="L1582"/>
      <c r="M1582" s="4"/>
      <c r="N1582" s="4"/>
    </row>
    <row r="1583" spans="5:14" x14ac:dyDescent="0.2">
      <c r="E1583" s="3"/>
      <c r="F1583" s="4"/>
      <c r="G1583" s="3"/>
      <c r="H1583" s="66"/>
      <c r="I1583" s="4"/>
      <c r="J1583" s="4"/>
      <c r="K1583"/>
      <c r="L1583"/>
      <c r="M1583" s="4"/>
      <c r="N1583" s="4"/>
    </row>
    <row r="1584" spans="5:14" x14ac:dyDescent="0.2">
      <c r="E1584" s="3"/>
      <c r="F1584" s="4"/>
      <c r="G1584" s="3"/>
      <c r="H1584" s="66"/>
      <c r="I1584" s="4"/>
      <c r="J1584" s="4"/>
      <c r="K1584"/>
      <c r="L1584"/>
      <c r="M1584" s="4"/>
      <c r="N1584" s="4"/>
    </row>
    <row r="1585" spans="5:14" x14ac:dyDescent="0.2">
      <c r="E1585" s="3"/>
      <c r="F1585" s="4"/>
      <c r="G1585" s="3"/>
      <c r="H1585" s="66"/>
      <c r="I1585" s="4"/>
      <c r="J1585" s="4"/>
      <c r="K1585"/>
      <c r="L1585"/>
      <c r="M1585" s="4"/>
      <c r="N1585" s="4"/>
    </row>
    <row r="1586" spans="5:14" x14ac:dyDescent="0.2">
      <c r="E1586" s="3"/>
      <c r="F1586" s="4"/>
      <c r="G1586" s="3"/>
      <c r="H1586" s="66"/>
      <c r="I1586" s="4"/>
      <c r="J1586" s="4"/>
      <c r="K1586"/>
      <c r="L1586"/>
      <c r="M1586" s="4"/>
      <c r="N1586" s="4"/>
    </row>
    <row r="1587" spans="5:14" x14ac:dyDescent="0.2">
      <c r="E1587" s="3"/>
      <c r="F1587" s="4"/>
      <c r="G1587" s="3"/>
      <c r="H1587" s="66"/>
      <c r="I1587" s="4"/>
      <c r="J1587" s="4"/>
      <c r="K1587"/>
      <c r="L1587"/>
      <c r="M1587" s="4"/>
      <c r="N1587" s="4"/>
    </row>
    <row r="1588" spans="5:14" x14ac:dyDescent="0.2">
      <c r="E1588" s="3"/>
      <c r="F1588" s="4"/>
      <c r="G1588" s="3"/>
      <c r="H1588" s="66"/>
      <c r="I1588" s="4"/>
      <c r="J1588" s="4"/>
      <c r="K1588"/>
      <c r="L1588"/>
      <c r="M1588" s="4"/>
      <c r="N1588" s="4"/>
    </row>
    <row r="1589" spans="5:14" x14ac:dyDescent="0.2">
      <c r="E1589" s="3"/>
      <c r="F1589" s="4"/>
      <c r="G1589" s="3"/>
      <c r="H1589" s="66"/>
      <c r="I1589" s="4"/>
      <c r="J1589" s="4"/>
      <c r="K1589"/>
      <c r="L1589"/>
      <c r="M1589" s="4"/>
      <c r="N1589" s="4"/>
    </row>
    <row r="1590" spans="5:14" x14ac:dyDescent="0.2">
      <c r="E1590" s="3"/>
      <c r="F1590" s="4"/>
      <c r="G1590" s="3"/>
      <c r="H1590" s="66"/>
      <c r="I1590" s="4"/>
      <c r="J1590" s="4"/>
      <c r="K1590"/>
      <c r="L1590"/>
      <c r="M1590" s="4"/>
      <c r="N1590" s="4"/>
    </row>
    <row r="1591" spans="5:14" x14ac:dyDescent="0.2">
      <c r="E1591" s="3"/>
      <c r="F1591" s="4"/>
      <c r="G1591" s="3"/>
      <c r="H1591" s="66"/>
      <c r="I1591" s="4"/>
      <c r="J1591" s="4"/>
      <c r="K1591"/>
      <c r="L1591"/>
      <c r="M1591" s="4"/>
      <c r="N1591" s="4"/>
    </row>
    <row r="1592" spans="5:14" x14ac:dyDescent="0.2">
      <c r="E1592" s="3"/>
      <c r="F1592" s="4"/>
      <c r="G1592" s="3"/>
      <c r="H1592" s="66"/>
      <c r="I1592" s="4"/>
      <c r="J1592" s="4"/>
      <c r="K1592"/>
      <c r="L1592"/>
      <c r="M1592" s="4"/>
      <c r="N1592" s="4"/>
    </row>
    <row r="1593" spans="5:14" x14ac:dyDescent="0.2">
      <c r="E1593" s="3"/>
      <c r="F1593" s="4"/>
      <c r="G1593" s="3"/>
      <c r="H1593" s="66"/>
      <c r="I1593" s="4"/>
      <c r="J1593" s="4"/>
      <c r="K1593"/>
      <c r="L1593"/>
      <c r="M1593" s="4"/>
      <c r="N1593" s="4"/>
    </row>
    <row r="1594" spans="5:14" x14ac:dyDescent="0.2">
      <c r="E1594" s="3"/>
      <c r="F1594" s="4"/>
      <c r="G1594" s="3"/>
      <c r="H1594" s="66"/>
      <c r="I1594" s="4"/>
      <c r="J1594" s="4"/>
      <c r="K1594"/>
      <c r="L1594"/>
      <c r="M1594" s="4"/>
      <c r="N1594" s="4"/>
    </row>
    <row r="1595" spans="5:14" x14ac:dyDescent="0.2">
      <c r="E1595" s="3"/>
      <c r="F1595" s="4"/>
      <c r="G1595" s="3"/>
      <c r="H1595" s="66"/>
      <c r="I1595" s="4"/>
      <c r="J1595" s="4"/>
      <c r="K1595"/>
      <c r="L1595"/>
      <c r="M1595" s="4"/>
      <c r="N1595" s="4"/>
    </row>
    <row r="1596" spans="5:14" x14ac:dyDescent="0.2">
      <c r="E1596" s="3"/>
      <c r="F1596" s="4"/>
      <c r="G1596" s="3"/>
      <c r="H1596" s="66"/>
      <c r="I1596" s="4"/>
      <c r="J1596" s="4"/>
      <c r="K1596"/>
      <c r="L1596"/>
      <c r="M1596" s="4"/>
      <c r="N1596" s="4"/>
    </row>
    <row r="1597" spans="5:14" x14ac:dyDescent="0.2">
      <c r="E1597" s="3"/>
      <c r="F1597" s="4"/>
      <c r="G1597" s="3"/>
      <c r="H1597" s="66"/>
      <c r="I1597" s="4"/>
      <c r="J1597" s="4"/>
      <c r="K1597"/>
      <c r="L1597"/>
      <c r="M1597" s="4"/>
      <c r="N1597" s="4"/>
    </row>
    <row r="1598" spans="5:14" x14ac:dyDescent="0.2">
      <c r="E1598" s="3"/>
      <c r="F1598" s="4"/>
      <c r="G1598" s="3"/>
      <c r="H1598" s="66"/>
      <c r="I1598" s="4"/>
      <c r="J1598" s="4"/>
      <c r="K1598"/>
      <c r="L1598"/>
      <c r="M1598" s="4"/>
      <c r="N1598" s="4"/>
    </row>
    <row r="1599" spans="5:14" x14ac:dyDescent="0.2">
      <c r="E1599" s="3"/>
      <c r="F1599" s="4"/>
      <c r="G1599" s="3"/>
      <c r="H1599" s="66"/>
      <c r="I1599" s="4"/>
      <c r="J1599" s="4"/>
      <c r="K1599"/>
      <c r="L1599"/>
      <c r="M1599" s="4"/>
      <c r="N1599" s="4"/>
    </row>
    <row r="1600" spans="5:14" x14ac:dyDescent="0.2">
      <c r="E1600" s="3"/>
      <c r="F1600" s="4"/>
      <c r="G1600" s="3"/>
      <c r="H1600" s="66"/>
      <c r="I1600" s="4"/>
      <c r="J1600" s="4"/>
      <c r="K1600"/>
      <c r="L1600"/>
      <c r="M1600" s="4"/>
      <c r="N1600" s="4"/>
    </row>
    <row r="1601" spans="5:14" x14ac:dyDescent="0.2">
      <c r="E1601" s="3"/>
      <c r="F1601" s="4"/>
      <c r="G1601" s="3"/>
      <c r="H1601" s="66"/>
      <c r="I1601" s="4"/>
      <c r="J1601" s="4"/>
      <c r="K1601"/>
      <c r="L1601"/>
      <c r="M1601" s="4"/>
      <c r="N1601" s="4"/>
    </row>
    <row r="1602" spans="5:14" x14ac:dyDescent="0.2">
      <c r="E1602" s="3"/>
      <c r="F1602" s="4"/>
      <c r="G1602" s="3"/>
      <c r="H1602" s="66"/>
      <c r="I1602" s="4"/>
      <c r="J1602" s="4"/>
      <c r="K1602"/>
      <c r="L1602"/>
      <c r="M1602" s="4"/>
      <c r="N1602" s="4"/>
    </row>
    <row r="1603" spans="5:14" x14ac:dyDescent="0.2">
      <c r="E1603" s="3"/>
      <c r="F1603" s="4"/>
      <c r="G1603" s="3"/>
      <c r="H1603" s="66"/>
      <c r="I1603" s="4"/>
      <c r="J1603" s="4"/>
      <c r="K1603"/>
      <c r="L1603"/>
      <c r="M1603" s="4"/>
      <c r="N1603" s="4"/>
    </row>
    <row r="1604" spans="5:14" x14ac:dyDescent="0.2">
      <c r="E1604" s="3"/>
      <c r="F1604" s="4"/>
      <c r="G1604" s="3"/>
      <c r="H1604" s="66"/>
      <c r="I1604" s="4"/>
      <c r="J1604" s="4"/>
      <c r="K1604"/>
      <c r="L1604"/>
      <c r="M1604" s="4"/>
      <c r="N1604" s="4"/>
    </row>
    <row r="1605" spans="5:14" x14ac:dyDescent="0.2">
      <c r="E1605" s="3"/>
      <c r="F1605" s="4"/>
      <c r="G1605" s="3"/>
      <c r="H1605" s="66"/>
      <c r="I1605" s="4"/>
      <c r="J1605" s="4"/>
      <c r="K1605"/>
      <c r="L1605"/>
      <c r="M1605" s="4"/>
      <c r="N1605" s="4"/>
    </row>
    <row r="1606" spans="5:14" x14ac:dyDescent="0.2">
      <c r="E1606" s="3"/>
      <c r="F1606" s="4"/>
      <c r="G1606" s="3"/>
      <c r="H1606" s="66"/>
      <c r="I1606" s="4"/>
      <c r="J1606" s="4"/>
      <c r="K1606"/>
      <c r="L1606"/>
      <c r="M1606" s="4"/>
      <c r="N1606" s="4"/>
    </row>
    <row r="1607" spans="5:14" x14ac:dyDescent="0.2">
      <c r="E1607" s="3"/>
      <c r="F1607" s="4"/>
      <c r="G1607" s="3"/>
      <c r="H1607" s="66"/>
      <c r="I1607" s="4"/>
      <c r="J1607" s="4"/>
      <c r="K1607"/>
      <c r="L1607"/>
      <c r="M1607" s="4"/>
      <c r="N1607" s="4"/>
    </row>
    <row r="1608" spans="5:14" x14ac:dyDescent="0.2">
      <c r="E1608" s="3"/>
      <c r="F1608" s="4"/>
      <c r="G1608" s="3"/>
      <c r="H1608" s="66"/>
      <c r="I1608" s="4"/>
      <c r="J1608" s="4"/>
      <c r="K1608"/>
      <c r="L1608"/>
      <c r="M1608" s="4"/>
      <c r="N1608" s="4"/>
    </row>
    <row r="1609" spans="5:14" x14ac:dyDescent="0.2">
      <c r="E1609" s="3"/>
      <c r="F1609" s="4"/>
      <c r="G1609" s="3"/>
      <c r="H1609" s="66"/>
      <c r="I1609" s="4"/>
      <c r="J1609" s="4"/>
      <c r="K1609"/>
      <c r="L1609"/>
      <c r="M1609" s="4"/>
      <c r="N1609" s="4"/>
    </row>
    <row r="1610" spans="5:14" x14ac:dyDescent="0.2">
      <c r="E1610" s="3"/>
      <c r="F1610" s="4"/>
      <c r="G1610" s="3"/>
      <c r="H1610" s="66"/>
      <c r="I1610" s="4"/>
      <c r="J1610" s="4"/>
      <c r="K1610"/>
      <c r="L1610"/>
      <c r="M1610" s="4"/>
      <c r="N1610" s="4"/>
    </row>
    <row r="1611" spans="5:14" x14ac:dyDescent="0.2">
      <c r="E1611" s="3"/>
      <c r="F1611" s="4"/>
      <c r="G1611" s="3"/>
      <c r="H1611" s="66"/>
      <c r="I1611" s="4"/>
      <c r="J1611" s="4"/>
      <c r="K1611"/>
      <c r="L1611"/>
      <c r="M1611" s="4"/>
      <c r="N1611" s="4"/>
    </row>
    <row r="1612" spans="5:14" x14ac:dyDescent="0.2">
      <c r="E1612" s="3"/>
      <c r="F1612" s="4"/>
      <c r="G1612" s="3"/>
      <c r="H1612" s="66"/>
      <c r="I1612" s="4"/>
      <c r="J1612" s="4"/>
      <c r="K1612"/>
      <c r="L1612"/>
      <c r="M1612" s="4"/>
      <c r="N1612" s="4"/>
    </row>
    <row r="1613" spans="5:14" x14ac:dyDescent="0.2">
      <c r="E1613" s="3"/>
      <c r="F1613" s="4"/>
      <c r="G1613" s="3"/>
      <c r="H1613" s="66"/>
      <c r="I1613" s="4"/>
      <c r="J1613" s="4"/>
      <c r="K1613"/>
      <c r="L1613"/>
      <c r="M1613" s="4"/>
      <c r="N1613" s="4"/>
    </row>
    <row r="1614" spans="5:14" x14ac:dyDescent="0.2">
      <c r="E1614" s="3"/>
      <c r="F1614" s="4"/>
      <c r="G1614" s="3"/>
      <c r="H1614" s="66"/>
      <c r="I1614" s="4"/>
      <c r="J1614" s="4"/>
      <c r="K1614"/>
      <c r="L1614"/>
      <c r="M1614" s="4"/>
      <c r="N1614" s="4"/>
    </row>
    <row r="1615" spans="5:14" x14ac:dyDescent="0.2">
      <c r="E1615" s="3"/>
      <c r="F1615" s="4"/>
      <c r="G1615" s="3"/>
      <c r="H1615" s="66"/>
      <c r="I1615" s="4"/>
      <c r="J1615" s="4"/>
      <c r="K1615"/>
      <c r="L1615"/>
      <c r="M1615" s="4"/>
      <c r="N1615" s="4"/>
    </row>
    <row r="1616" spans="5:14" x14ac:dyDescent="0.2">
      <c r="E1616" s="3"/>
      <c r="F1616" s="4"/>
      <c r="G1616" s="3"/>
      <c r="H1616" s="66"/>
      <c r="I1616" s="4"/>
      <c r="J1616" s="4"/>
      <c r="K1616"/>
      <c r="L1616"/>
      <c r="M1616" s="4"/>
      <c r="N1616" s="4"/>
    </row>
    <row r="1617" spans="5:14" x14ac:dyDescent="0.2">
      <c r="E1617" s="3"/>
      <c r="F1617" s="4"/>
      <c r="G1617" s="3"/>
      <c r="H1617" s="66"/>
      <c r="I1617" s="4"/>
      <c r="J1617" s="4"/>
      <c r="K1617"/>
      <c r="L1617"/>
      <c r="M1617" s="4"/>
      <c r="N1617" s="4"/>
    </row>
    <row r="1618" spans="5:14" x14ac:dyDescent="0.2">
      <c r="E1618" s="3"/>
      <c r="F1618" s="4"/>
      <c r="G1618" s="3"/>
      <c r="H1618" s="66"/>
      <c r="I1618" s="4"/>
      <c r="J1618" s="4"/>
      <c r="K1618"/>
      <c r="L1618"/>
      <c r="M1618" s="4"/>
      <c r="N1618" s="4"/>
    </row>
    <row r="1619" spans="5:14" x14ac:dyDescent="0.2">
      <c r="E1619" s="3"/>
      <c r="F1619" s="4"/>
      <c r="G1619" s="3"/>
      <c r="H1619" s="66"/>
      <c r="I1619" s="4"/>
      <c r="J1619" s="4"/>
      <c r="K1619"/>
      <c r="L1619"/>
      <c r="M1619" s="4"/>
      <c r="N1619" s="4"/>
    </row>
    <row r="1620" spans="5:14" x14ac:dyDescent="0.2">
      <c r="E1620" s="3"/>
      <c r="F1620" s="4"/>
      <c r="G1620" s="3"/>
      <c r="H1620" s="66"/>
      <c r="I1620" s="4"/>
      <c r="J1620" s="4"/>
      <c r="K1620"/>
      <c r="L1620"/>
      <c r="M1620" s="4"/>
      <c r="N1620" s="4"/>
    </row>
    <row r="1621" spans="5:14" x14ac:dyDescent="0.2">
      <c r="E1621" s="3"/>
      <c r="F1621" s="4"/>
      <c r="G1621" s="3"/>
      <c r="H1621" s="66"/>
      <c r="I1621" s="4"/>
      <c r="J1621" s="4"/>
      <c r="K1621"/>
      <c r="L1621"/>
      <c r="M1621" s="4"/>
      <c r="N1621" s="4"/>
    </row>
    <row r="1622" spans="5:14" x14ac:dyDescent="0.2">
      <c r="E1622" s="3"/>
      <c r="F1622" s="4"/>
      <c r="G1622" s="3"/>
      <c r="H1622" s="66"/>
      <c r="I1622" s="4"/>
      <c r="J1622" s="4"/>
      <c r="K1622"/>
      <c r="L1622"/>
      <c r="M1622" s="4"/>
      <c r="N1622" s="4"/>
    </row>
    <row r="1623" spans="5:14" x14ac:dyDescent="0.2">
      <c r="E1623" s="3"/>
      <c r="F1623" s="4"/>
      <c r="G1623" s="3"/>
      <c r="H1623" s="66"/>
      <c r="I1623" s="4"/>
      <c r="J1623" s="4"/>
      <c r="K1623"/>
      <c r="L1623"/>
      <c r="M1623" s="4"/>
      <c r="N1623" s="4"/>
    </row>
    <row r="1624" spans="5:14" x14ac:dyDescent="0.2">
      <c r="E1624" s="3"/>
      <c r="F1624" s="4"/>
      <c r="G1624" s="3"/>
      <c r="H1624" s="66"/>
      <c r="I1624" s="4"/>
      <c r="J1624" s="4"/>
      <c r="K1624"/>
      <c r="L1624"/>
      <c r="M1624" s="4"/>
      <c r="N1624" s="4"/>
    </row>
    <row r="1625" spans="5:14" x14ac:dyDescent="0.2">
      <c r="E1625" s="3"/>
      <c r="F1625" s="4"/>
      <c r="G1625" s="3"/>
      <c r="H1625" s="66"/>
      <c r="I1625" s="4"/>
      <c r="J1625" s="4"/>
      <c r="K1625"/>
      <c r="L1625"/>
      <c r="M1625" s="4"/>
      <c r="N1625" s="4"/>
    </row>
    <row r="1626" spans="5:14" x14ac:dyDescent="0.2">
      <c r="E1626" s="3"/>
      <c r="F1626" s="4"/>
      <c r="G1626" s="3"/>
      <c r="H1626" s="66"/>
      <c r="I1626" s="4"/>
      <c r="J1626" s="4"/>
      <c r="K1626"/>
      <c r="L1626"/>
      <c r="M1626" s="4"/>
      <c r="N1626" s="4"/>
    </row>
    <row r="1627" spans="5:14" x14ac:dyDescent="0.2">
      <c r="E1627" s="3"/>
      <c r="F1627" s="4"/>
      <c r="G1627" s="3"/>
      <c r="H1627" s="66"/>
      <c r="I1627" s="4"/>
      <c r="J1627" s="4"/>
      <c r="K1627"/>
      <c r="L1627"/>
      <c r="M1627" s="4"/>
      <c r="N1627" s="4"/>
    </row>
    <row r="1628" spans="5:14" x14ac:dyDescent="0.2">
      <c r="E1628" s="3"/>
      <c r="F1628" s="4"/>
      <c r="G1628" s="3"/>
      <c r="H1628" s="66"/>
      <c r="I1628" s="4"/>
      <c r="J1628" s="4"/>
      <c r="K1628"/>
      <c r="L1628"/>
      <c r="M1628" s="4"/>
      <c r="N1628" s="4"/>
    </row>
    <row r="1629" spans="5:14" x14ac:dyDescent="0.2">
      <c r="E1629" s="3"/>
      <c r="F1629" s="4"/>
      <c r="G1629" s="3"/>
      <c r="H1629" s="66"/>
      <c r="I1629" s="4"/>
      <c r="J1629" s="4"/>
      <c r="K1629"/>
      <c r="L1629"/>
      <c r="M1629" s="4"/>
      <c r="N1629" s="4"/>
    </row>
    <row r="1630" spans="5:14" x14ac:dyDescent="0.2">
      <c r="E1630" s="3"/>
      <c r="F1630" s="4"/>
      <c r="G1630" s="3"/>
      <c r="H1630" s="66"/>
      <c r="I1630" s="4"/>
      <c r="J1630" s="4"/>
      <c r="K1630"/>
      <c r="L1630"/>
      <c r="M1630" s="4"/>
      <c r="N1630" s="4"/>
    </row>
    <row r="1631" spans="5:14" x14ac:dyDescent="0.2">
      <c r="E1631" s="3"/>
      <c r="F1631" s="4"/>
      <c r="G1631" s="3"/>
      <c r="H1631" s="66"/>
      <c r="I1631" s="4"/>
      <c r="J1631" s="4"/>
      <c r="K1631"/>
      <c r="L1631"/>
      <c r="M1631" s="4"/>
      <c r="N1631" s="4"/>
    </row>
    <row r="1632" spans="5:14" x14ac:dyDescent="0.2">
      <c r="E1632" s="3"/>
      <c r="F1632" s="4"/>
      <c r="G1632" s="3"/>
      <c r="H1632" s="66"/>
      <c r="I1632" s="4"/>
      <c r="J1632" s="4"/>
      <c r="K1632"/>
      <c r="L1632"/>
      <c r="M1632" s="4"/>
      <c r="N1632" s="4"/>
    </row>
    <row r="1633" spans="5:14" x14ac:dyDescent="0.2">
      <c r="E1633" s="3"/>
      <c r="F1633" s="4"/>
      <c r="G1633" s="3"/>
      <c r="H1633" s="66"/>
      <c r="I1633" s="4"/>
      <c r="J1633" s="4"/>
      <c r="K1633"/>
      <c r="L1633"/>
      <c r="M1633" s="4"/>
      <c r="N1633" s="4"/>
    </row>
    <row r="1634" spans="5:14" x14ac:dyDescent="0.2">
      <c r="E1634" s="3"/>
      <c r="F1634" s="4"/>
      <c r="G1634" s="3"/>
      <c r="H1634" s="66"/>
      <c r="I1634" s="4"/>
      <c r="J1634" s="4"/>
      <c r="K1634"/>
      <c r="L1634"/>
      <c r="M1634" s="4"/>
      <c r="N1634" s="4"/>
    </row>
    <row r="1635" spans="5:14" x14ac:dyDescent="0.2">
      <c r="E1635" s="3"/>
      <c r="F1635" s="4"/>
      <c r="G1635" s="3"/>
      <c r="H1635" s="66"/>
      <c r="I1635" s="4"/>
      <c r="J1635" s="4"/>
      <c r="K1635"/>
      <c r="L1635"/>
      <c r="M1635" s="4"/>
      <c r="N1635" s="4"/>
    </row>
    <row r="1636" spans="5:14" x14ac:dyDescent="0.2">
      <c r="E1636" s="3"/>
      <c r="F1636" s="4"/>
      <c r="G1636" s="3"/>
      <c r="H1636" s="66"/>
      <c r="I1636" s="4"/>
      <c r="J1636" s="4"/>
      <c r="K1636"/>
      <c r="L1636"/>
      <c r="M1636" s="4"/>
      <c r="N1636" s="4"/>
    </row>
    <row r="1637" spans="5:14" x14ac:dyDescent="0.2">
      <c r="E1637" s="3"/>
      <c r="F1637" s="4"/>
      <c r="G1637" s="3"/>
      <c r="H1637" s="66"/>
      <c r="I1637" s="4"/>
      <c r="J1637" s="4"/>
      <c r="K1637"/>
      <c r="L1637"/>
      <c r="M1637" s="4"/>
      <c r="N1637" s="4"/>
    </row>
    <row r="1638" spans="5:14" x14ac:dyDescent="0.2">
      <c r="E1638" s="3"/>
      <c r="F1638" s="4"/>
      <c r="G1638" s="3"/>
      <c r="H1638" s="66"/>
      <c r="I1638" s="4"/>
      <c r="J1638" s="4"/>
      <c r="K1638"/>
      <c r="L1638"/>
      <c r="M1638" s="4"/>
      <c r="N1638" s="4"/>
    </row>
    <row r="1639" spans="5:14" x14ac:dyDescent="0.2">
      <c r="E1639" s="3"/>
      <c r="F1639" s="4"/>
      <c r="G1639" s="3"/>
      <c r="H1639" s="66"/>
      <c r="I1639" s="4"/>
      <c r="J1639" s="4"/>
      <c r="K1639"/>
      <c r="L1639"/>
      <c r="M1639" s="4"/>
      <c r="N1639" s="4"/>
    </row>
    <row r="1640" spans="5:14" x14ac:dyDescent="0.2">
      <c r="E1640" s="3"/>
      <c r="F1640" s="4"/>
      <c r="G1640" s="3"/>
      <c r="H1640" s="66"/>
      <c r="I1640" s="4"/>
      <c r="J1640" s="4"/>
      <c r="K1640"/>
      <c r="L1640"/>
      <c r="M1640" s="4"/>
      <c r="N1640" s="4"/>
    </row>
    <row r="1641" spans="5:14" x14ac:dyDescent="0.2">
      <c r="E1641" s="3"/>
      <c r="F1641" s="4"/>
      <c r="G1641" s="3"/>
      <c r="H1641" s="66"/>
      <c r="I1641" s="4"/>
      <c r="J1641" s="4"/>
      <c r="K1641"/>
      <c r="L1641"/>
      <c r="M1641" s="4"/>
      <c r="N1641" s="4"/>
    </row>
    <row r="1642" spans="5:14" x14ac:dyDescent="0.2">
      <c r="E1642" s="3"/>
      <c r="F1642" s="4"/>
      <c r="G1642" s="3"/>
      <c r="H1642" s="66"/>
      <c r="I1642" s="4"/>
      <c r="J1642" s="4"/>
      <c r="K1642"/>
      <c r="L1642"/>
      <c r="M1642" s="4"/>
      <c r="N1642" s="4"/>
    </row>
    <row r="1643" spans="5:14" x14ac:dyDescent="0.2">
      <c r="E1643" s="3"/>
      <c r="F1643" s="4"/>
      <c r="G1643" s="3"/>
      <c r="H1643" s="66"/>
      <c r="I1643" s="4"/>
      <c r="J1643" s="4"/>
      <c r="K1643"/>
      <c r="L1643"/>
      <c r="M1643" s="4"/>
      <c r="N1643" s="4"/>
    </row>
    <row r="1644" spans="5:14" x14ac:dyDescent="0.2">
      <c r="E1644" s="3"/>
      <c r="F1644" s="4"/>
      <c r="G1644" s="3"/>
      <c r="H1644" s="66"/>
      <c r="I1644" s="4"/>
      <c r="J1644" s="4"/>
      <c r="K1644"/>
      <c r="L1644"/>
      <c r="M1644" s="4"/>
      <c r="N1644" s="4"/>
    </row>
    <row r="1645" spans="5:14" x14ac:dyDescent="0.2">
      <c r="E1645" s="3"/>
      <c r="F1645" s="4"/>
      <c r="G1645" s="3"/>
      <c r="H1645" s="66"/>
      <c r="I1645" s="4"/>
      <c r="J1645" s="4"/>
      <c r="K1645"/>
      <c r="L1645"/>
      <c r="M1645" s="4"/>
      <c r="N1645" s="4"/>
    </row>
    <row r="1646" spans="5:14" x14ac:dyDescent="0.2">
      <c r="E1646" s="3"/>
      <c r="F1646" s="4"/>
      <c r="G1646" s="3"/>
      <c r="H1646" s="66"/>
      <c r="I1646" s="4"/>
      <c r="J1646" s="4"/>
      <c r="K1646"/>
      <c r="L1646"/>
      <c r="M1646" s="4"/>
      <c r="N1646" s="4"/>
    </row>
    <row r="1647" spans="5:14" x14ac:dyDescent="0.2">
      <c r="E1647" s="3"/>
      <c r="F1647" s="4"/>
      <c r="G1647" s="3"/>
      <c r="H1647" s="66"/>
      <c r="I1647" s="4"/>
      <c r="J1647" s="4"/>
      <c r="K1647"/>
      <c r="L1647"/>
      <c r="M1647" s="4"/>
      <c r="N1647" s="4"/>
    </row>
    <row r="1648" spans="5:14" x14ac:dyDescent="0.2">
      <c r="E1648" s="3"/>
      <c r="F1648" s="4"/>
      <c r="G1648" s="3"/>
      <c r="H1648" s="66"/>
      <c r="I1648" s="4"/>
      <c r="J1648" s="4"/>
      <c r="K1648"/>
      <c r="L1648"/>
      <c r="M1648" s="4"/>
      <c r="N1648" s="4"/>
    </row>
    <row r="1649" spans="5:14" x14ac:dyDescent="0.2">
      <c r="E1649" s="3"/>
      <c r="F1649" s="4"/>
      <c r="G1649" s="3"/>
      <c r="H1649" s="66"/>
      <c r="I1649" s="4"/>
      <c r="J1649" s="4"/>
      <c r="K1649"/>
      <c r="L1649"/>
      <c r="M1649" s="4"/>
      <c r="N1649" s="4"/>
    </row>
    <row r="1650" spans="5:14" x14ac:dyDescent="0.2">
      <c r="E1650" s="3"/>
      <c r="F1650" s="4"/>
      <c r="G1650" s="3"/>
      <c r="H1650" s="66"/>
      <c r="I1650" s="4"/>
      <c r="J1650" s="4"/>
      <c r="K1650"/>
      <c r="L1650"/>
      <c r="M1650" s="4"/>
      <c r="N1650" s="4"/>
    </row>
    <row r="1651" spans="5:14" x14ac:dyDescent="0.2">
      <c r="E1651" s="3"/>
      <c r="F1651" s="4"/>
      <c r="G1651" s="3"/>
      <c r="H1651" s="66"/>
      <c r="I1651" s="4"/>
      <c r="J1651" s="4"/>
      <c r="K1651"/>
      <c r="L1651"/>
      <c r="M1651" s="4"/>
      <c r="N1651" s="4"/>
    </row>
    <row r="1652" spans="5:14" x14ac:dyDescent="0.2">
      <c r="E1652" s="3"/>
      <c r="F1652" s="4"/>
      <c r="G1652" s="3"/>
      <c r="H1652" s="66"/>
      <c r="I1652" s="4"/>
      <c r="J1652" s="4"/>
      <c r="K1652"/>
      <c r="L1652"/>
      <c r="M1652" s="4"/>
      <c r="N1652" s="4"/>
    </row>
    <row r="1653" spans="5:14" x14ac:dyDescent="0.2">
      <c r="E1653" s="3"/>
      <c r="F1653" s="4"/>
      <c r="G1653" s="3"/>
      <c r="H1653" s="66"/>
      <c r="I1653" s="4"/>
      <c r="J1653" s="4"/>
      <c r="K1653"/>
      <c r="L1653"/>
      <c r="M1653" s="4"/>
      <c r="N1653" s="4"/>
    </row>
    <row r="1654" spans="5:14" x14ac:dyDescent="0.2">
      <c r="E1654" s="3"/>
      <c r="F1654" s="4"/>
      <c r="G1654" s="3"/>
      <c r="H1654" s="66"/>
      <c r="I1654" s="4"/>
      <c r="J1654" s="4"/>
      <c r="K1654"/>
      <c r="L1654"/>
      <c r="M1654" s="4"/>
      <c r="N1654" s="4"/>
    </row>
    <row r="1655" spans="5:14" x14ac:dyDescent="0.2">
      <c r="E1655" s="3"/>
      <c r="F1655" s="4"/>
      <c r="G1655" s="3"/>
      <c r="H1655" s="66"/>
      <c r="I1655" s="4"/>
      <c r="J1655" s="4"/>
      <c r="K1655"/>
      <c r="L1655"/>
      <c r="M1655" s="4"/>
      <c r="N1655" s="4"/>
    </row>
    <row r="1656" spans="5:14" x14ac:dyDescent="0.2">
      <c r="E1656" s="3"/>
      <c r="F1656" s="4"/>
      <c r="G1656" s="3"/>
      <c r="H1656" s="66"/>
      <c r="I1656" s="4"/>
      <c r="J1656" s="4"/>
      <c r="K1656"/>
      <c r="L1656"/>
      <c r="M1656" s="4"/>
      <c r="N1656" s="4"/>
    </row>
    <row r="1657" spans="5:14" x14ac:dyDescent="0.2">
      <c r="E1657" s="3"/>
      <c r="F1657" s="4"/>
      <c r="G1657" s="3"/>
      <c r="H1657" s="66"/>
      <c r="I1657" s="4"/>
      <c r="J1657" s="4"/>
      <c r="K1657"/>
      <c r="L1657"/>
      <c r="M1657" s="4"/>
      <c r="N1657" s="4"/>
    </row>
    <row r="1658" spans="5:14" x14ac:dyDescent="0.2">
      <c r="E1658" s="3"/>
      <c r="F1658" s="4"/>
      <c r="G1658" s="3"/>
      <c r="H1658" s="66"/>
      <c r="I1658" s="4"/>
      <c r="J1658" s="4"/>
      <c r="K1658"/>
      <c r="L1658"/>
      <c r="M1658" s="4"/>
      <c r="N1658" s="4"/>
    </row>
    <row r="1659" spans="5:14" x14ac:dyDescent="0.2">
      <c r="E1659" s="3"/>
      <c r="F1659" s="4"/>
      <c r="G1659" s="3"/>
      <c r="H1659" s="66"/>
      <c r="I1659" s="4"/>
      <c r="J1659" s="4"/>
      <c r="K1659"/>
      <c r="L1659"/>
      <c r="M1659" s="4"/>
      <c r="N1659" s="4"/>
    </row>
    <row r="1660" spans="5:14" x14ac:dyDescent="0.2">
      <c r="E1660" s="3"/>
      <c r="F1660" s="4"/>
      <c r="G1660" s="3"/>
      <c r="H1660" s="66"/>
      <c r="I1660" s="4"/>
      <c r="J1660" s="4"/>
      <c r="K1660"/>
      <c r="L1660"/>
      <c r="M1660" s="4"/>
      <c r="N1660" s="4"/>
    </row>
    <row r="1661" spans="5:14" x14ac:dyDescent="0.2">
      <c r="E1661" s="3"/>
      <c r="F1661" s="4"/>
      <c r="G1661" s="3"/>
      <c r="H1661" s="66"/>
      <c r="I1661" s="4"/>
      <c r="J1661" s="4"/>
      <c r="K1661"/>
      <c r="L1661"/>
      <c r="M1661" s="4"/>
      <c r="N1661" s="4"/>
    </row>
    <row r="1662" spans="5:14" x14ac:dyDescent="0.2">
      <c r="E1662" s="3"/>
      <c r="F1662" s="4"/>
      <c r="G1662" s="3"/>
      <c r="H1662" s="66"/>
      <c r="I1662" s="4"/>
      <c r="J1662" s="4"/>
      <c r="K1662"/>
      <c r="L1662"/>
      <c r="M1662" s="4"/>
      <c r="N1662" s="4"/>
    </row>
    <row r="1663" spans="5:14" x14ac:dyDescent="0.2">
      <c r="E1663" s="3"/>
      <c r="F1663" s="4"/>
      <c r="G1663" s="3"/>
      <c r="H1663" s="66"/>
      <c r="I1663" s="4"/>
      <c r="J1663" s="4"/>
      <c r="K1663"/>
      <c r="L1663"/>
      <c r="M1663" s="4"/>
      <c r="N1663" s="4"/>
    </row>
    <row r="1664" spans="5:14" x14ac:dyDescent="0.2">
      <c r="E1664" s="3"/>
      <c r="F1664" s="4"/>
      <c r="G1664" s="3"/>
      <c r="H1664" s="66"/>
      <c r="I1664" s="4"/>
      <c r="J1664" s="4"/>
      <c r="K1664"/>
      <c r="L1664"/>
      <c r="M1664" s="4"/>
      <c r="N1664" s="4"/>
    </row>
    <row r="1665" spans="5:14" x14ac:dyDescent="0.2">
      <c r="E1665" s="3"/>
      <c r="F1665" s="4"/>
      <c r="G1665" s="3"/>
      <c r="H1665" s="66"/>
      <c r="I1665" s="4"/>
      <c r="J1665" s="4"/>
      <c r="K1665"/>
      <c r="L1665"/>
      <c r="M1665" s="4"/>
      <c r="N1665" s="4"/>
    </row>
    <row r="1666" spans="5:14" x14ac:dyDescent="0.2">
      <c r="E1666" s="3"/>
      <c r="F1666" s="4"/>
      <c r="G1666" s="3"/>
      <c r="H1666" s="66"/>
      <c r="I1666" s="4"/>
      <c r="J1666" s="4"/>
      <c r="K1666"/>
      <c r="L1666"/>
      <c r="M1666" s="4"/>
      <c r="N1666" s="4"/>
    </row>
    <row r="1667" spans="5:14" x14ac:dyDescent="0.2">
      <c r="E1667" s="3"/>
      <c r="F1667" s="4"/>
      <c r="G1667" s="3"/>
      <c r="H1667" s="66"/>
      <c r="I1667" s="4"/>
      <c r="J1667" s="4"/>
      <c r="K1667"/>
      <c r="L1667"/>
      <c r="M1667" s="4"/>
      <c r="N1667" s="4"/>
    </row>
    <row r="1668" spans="5:14" x14ac:dyDescent="0.2">
      <c r="E1668" s="3"/>
      <c r="F1668" s="4"/>
      <c r="G1668" s="3"/>
      <c r="H1668" s="66"/>
      <c r="I1668" s="4"/>
      <c r="J1668" s="4"/>
      <c r="K1668"/>
      <c r="L1668"/>
      <c r="M1668" s="4"/>
      <c r="N1668" s="4"/>
    </row>
    <row r="1669" spans="5:14" x14ac:dyDescent="0.2">
      <c r="E1669" s="3"/>
      <c r="F1669" s="4"/>
      <c r="G1669" s="3"/>
      <c r="H1669" s="66"/>
      <c r="I1669" s="4"/>
      <c r="J1669" s="4"/>
      <c r="K1669"/>
      <c r="L1669"/>
      <c r="M1669" s="4"/>
      <c r="N1669" s="4"/>
    </row>
    <row r="1670" spans="5:14" x14ac:dyDescent="0.2">
      <c r="E1670" s="3"/>
      <c r="F1670" s="4"/>
      <c r="G1670" s="3"/>
      <c r="H1670" s="66"/>
      <c r="I1670" s="4"/>
      <c r="J1670" s="4"/>
      <c r="K1670"/>
      <c r="L1670"/>
      <c r="M1670" s="4"/>
      <c r="N1670" s="4"/>
    </row>
    <row r="1671" spans="5:14" x14ac:dyDescent="0.2">
      <c r="E1671" s="3"/>
      <c r="F1671" s="4"/>
      <c r="G1671" s="3"/>
      <c r="H1671" s="66"/>
      <c r="I1671" s="4"/>
      <c r="J1671" s="4"/>
      <c r="K1671"/>
      <c r="L1671"/>
      <c r="M1671" s="4"/>
      <c r="N1671" s="4"/>
    </row>
    <row r="1672" spans="5:14" x14ac:dyDescent="0.2">
      <c r="E1672" s="3"/>
      <c r="F1672" s="4"/>
      <c r="G1672" s="3"/>
      <c r="H1672" s="66"/>
      <c r="I1672" s="4"/>
      <c r="J1672" s="4"/>
      <c r="K1672"/>
      <c r="L1672"/>
      <c r="M1672" s="4"/>
      <c r="N1672" s="4"/>
    </row>
    <row r="1673" spans="5:14" x14ac:dyDescent="0.2">
      <c r="E1673" s="3"/>
      <c r="F1673" s="4"/>
      <c r="G1673" s="3"/>
      <c r="H1673" s="66"/>
      <c r="I1673" s="4"/>
      <c r="J1673" s="4"/>
      <c r="K1673"/>
      <c r="L1673"/>
      <c r="M1673" s="4"/>
      <c r="N1673" s="4"/>
    </row>
    <row r="1674" spans="5:14" x14ac:dyDescent="0.2">
      <c r="E1674" s="3"/>
      <c r="F1674" s="4"/>
      <c r="G1674" s="3"/>
      <c r="H1674" s="66"/>
      <c r="I1674" s="4"/>
      <c r="J1674" s="4"/>
      <c r="K1674"/>
      <c r="L1674"/>
      <c r="M1674" s="4"/>
      <c r="N1674" s="4"/>
    </row>
    <row r="1675" spans="5:14" x14ac:dyDescent="0.2">
      <c r="E1675" s="3"/>
      <c r="F1675" s="4"/>
      <c r="G1675" s="3"/>
      <c r="H1675" s="66"/>
      <c r="I1675" s="4"/>
      <c r="J1675" s="4"/>
      <c r="K1675"/>
      <c r="L1675"/>
      <c r="M1675" s="4"/>
      <c r="N1675" s="4"/>
    </row>
    <row r="1676" spans="5:14" x14ac:dyDescent="0.2">
      <c r="E1676" s="3"/>
      <c r="F1676" s="4"/>
      <c r="G1676" s="3"/>
      <c r="H1676" s="66"/>
      <c r="I1676" s="4"/>
      <c r="J1676" s="4"/>
      <c r="K1676"/>
      <c r="L1676"/>
      <c r="M1676" s="4"/>
      <c r="N1676" s="4"/>
    </row>
    <row r="1677" spans="5:14" x14ac:dyDescent="0.2">
      <c r="E1677" s="3"/>
      <c r="F1677" s="4"/>
      <c r="G1677" s="3"/>
      <c r="H1677" s="66"/>
      <c r="I1677" s="4"/>
      <c r="J1677" s="4"/>
      <c r="K1677"/>
      <c r="L1677"/>
      <c r="M1677" s="4"/>
      <c r="N1677" s="4"/>
    </row>
    <row r="1678" spans="5:14" x14ac:dyDescent="0.2">
      <c r="E1678" s="3"/>
      <c r="F1678" s="4"/>
      <c r="G1678" s="3"/>
      <c r="H1678" s="66"/>
      <c r="I1678" s="4"/>
      <c r="J1678" s="4"/>
      <c r="K1678"/>
      <c r="L1678"/>
      <c r="M1678" s="4"/>
      <c r="N1678" s="4"/>
    </row>
    <row r="1679" spans="5:14" x14ac:dyDescent="0.2">
      <c r="E1679" s="3"/>
      <c r="F1679" s="4"/>
      <c r="G1679" s="3"/>
      <c r="H1679" s="66"/>
      <c r="I1679" s="4"/>
      <c r="J1679" s="4"/>
      <c r="K1679"/>
      <c r="L1679"/>
      <c r="M1679" s="4"/>
      <c r="N1679" s="4"/>
    </row>
    <row r="1680" spans="5:14" x14ac:dyDescent="0.2">
      <c r="E1680" s="3"/>
      <c r="F1680" s="4"/>
      <c r="G1680" s="3"/>
      <c r="H1680" s="66"/>
      <c r="I1680" s="4"/>
      <c r="J1680" s="4"/>
      <c r="K1680"/>
      <c r="L1680"/>
      <c r="M1680" s="4"/>
      <c r="N1680" s="4"/>
    </row>
    <row r="1681" spans="5:14" x14ac:dyDescent="0.2">
      <c r="E1681" s="3"/>
      <c r="F1681" s="4"/>
      <c r="G1681" s="3"/>
      <c r="H1681" s="66"/>
      <c r="I1681" s="4"/>
      <c r="J1681" s="4"/>
      <c r="K1681"/>
      <c r="L1681"/>
      <c r="M1681" s="4"/>
      <c r="N1681" s="4"/>
    </row>
    <row r="1682" spans="5:14" x14ac:dyDescent="0.2">
      <c r="E1682" s="3"/>
      <c r="F1682" s="4"/>
      <c r="G1682" s="3"/>
      <c r="H1682" s="66"/>
      <c r="I1682" s="4"/>
      <c r="J1682" s="4"/>
      <c r="K1682"/>
      <c r="L1682"/>
      <c r="M1682" s="4"/>
      <c r="N1682" s="4"/>
    </row>
    <row r="1683" spans="5:14" x14ac:dyDescent="0.2">
      <c r="E1683" s="3"/>
      <c r="F1683" s="4"/>
      <c r="G1683" s="3"/>
      <c r="H1683" s="66"/>
      <c r="I1683" s="4"/>
      <c r="J1683" s="4"/>
      <c r="K1683"/>
      <c r="L1683"/>
      <c r="M1683" s="4"/>
      <c r="N1683" s="4"/>
    </row>
    <row r="1684" spans="5:14" x14ac:dyDescent="0.2">
      <c r="E1684" s="3"/>
      <c r="F1684" s="4"/>
      <c r="G1684" s="3"/>
      <c r="H1684" s="66"/>
      <c r="I1684" s="4"/>
      <c r="J1684" s="4"/>
      <c r="K1684"/>
      <c r="L1684"/>
      <c r="M1684" s="4"/>
      <c r="N1684" s="4"/>
    </row>
    <row r="1685" spans="5:14" x14ac:dyDescent="0.2">
      <c r="E1685" s="3"/>
      <c r="F1685" s="4"/>
      <c r="G1685" s="3"/>
      <c r="H1685" s="66"/>
      <c r="I1685" s="4"/>
      <c r="J1685" s="4"/>
      <c r="K1685"/>
      <c r="L1685"/>
      <c r="M1685" s="4"/>
      <c r="N1685" s="4"/>
    </row>
    <row r="1686" spans="5:14" x14ac:dyDescent="0.2">
      <c r="E1686" s="3"/>
      <c r="F1686" s="4"/>
      <c r="G1686" s="3"/>
      <c r="H1686" s="66"/>
      <c r="I1686" s="4"/>
      <c r="J1686" s="4"/>
      <c r="K1686"/>
      <c r="L1686"/>
      <c r="M1686" s="4"/>
      <c r="N1686" s="4"/>
    </row>
    <row r="1687" spans="5:14" x14ac:dyDescent="0.2">
      <c r="E1687" s="3"/>
      <c r="F1687" s="4"/>
      <c r="G1687" s="3"/>
      <c r="H1687" s="66"/>
      <c r="I1687" s="4"/>
      <c r="J1687" s="4"/>
      <c r="K1687"/>
      <c r="L1687"/>
      <c r="M1687" s="4"/>
      <c r="N1687" s="4"/>
    </row>
    <row r="1688" spans="5:14" x14ac:dyDescent="0.2">
      <c r="E1688" s="3"/>
      <c r="F1688" s="4"/>
      <c r="G1688" s="3"/>
      <c r="H1688" s="66"/>
      <c r="I1688" s="4"/>
      <c r="J1688" s="4"/>
      <c r="K1688"/>
      <c r="L1688"/>
      <c r="M1688" s="4"/>
      <c r="N1688" s="4"/>
    </row>
    <row r="1689" spans="5:14" x14ac:dyDescent="0.2">
      <c r="E1689" s="3"/>
      <c r="F1689" s="4"/>
      <c r="G1689" s="3"/>
      <c r="H1689" s="66"/>
      <c r="I1689" s="4"/>
      <c r="J1689" s="4"/>
      <c r="K1689"/>
      <c r="L1689"/>
      <c r="M1689" s="4"/>
      <c r="N1689" s="4"/>
    </row>
    <row r="1690" spans="5:14" x14ac:dyDescent="0.2">
      <c r="E1690" s="3"/>
      <c r="F1690" s="4"/>
      <c r="G1690" s="3"/>
      <c r="H1690" s="66"/>
      <c r="I1690" s="4"/>
      <c r="J1690" s="4"/>
      <c r="K1690"/>
      <c r="L1690"/>
      <c r="M1690" s="4"/>
      <c r="N1690" s="4"/>
    </row>
    <row r="1691" spans="5:14" x14ac:dyDescent="0.2">
      <c r="E1691" s="3"/>
      <c r="F1691" s="4"/>
      <c r="G1691" s="3"/>
      <c r="H1691" s="66"/>
      <c r="I1691" s="4"/>
      <c r="J1691" s="4"/>
      <c r="K1691"/>
      <c r="L1691"/>
      <c r="M1691" s="4"/>
      <c r="N1691" s="4"/>
    </row>
    <row r="1692" spans="5:14" x14ac:dyDescent="0.2">
      <c r="E1692" s="3"/>
      <c r="F1692" s="4"/>
      <c r="G1692" s="3"/>
      <c r="H1692" s="66"/>
      <c r="I1692" s="4"/>
      <c r="J1692" s="4"/>
      <c r="K1692"/>
      <c r="L1692"/>
      <c r="M1692" s="4"/>
      <c r="N1692" s="4"/>
    </row>
    <row r="1693" spans="5:14" x14ac:dyDescent="0.2">
      <c r="E1693" s="3"/>
      <c r="F1693" s="4"/>
      <c r="G1693" s="3"/>
      <c r="H1693" s="66"/>
      <c r="I1693" s="4"/>
      <c r="J1693" s="4"/>
      <c r="K1693"/>
      <c r="L1693"/>
      <c r="M1693" s="4"/>
      <c r="N1693" s="4"/>
    </row>
    <row r="1694" spans="5:14" x14ac:dyDescent="0.2">
      <c r="E1694" s="3"/>
      <c r="F1694" s="4"/>
      <c r="G1694" s="3"/>
      <c r="H1694" s="66"/>
      <c r="I1694" s="4"/>
      <c r="J1694" s="4"/>
      <c r="K1694"/>
      <c r="L1694"/>
      <c r="M1694" s="4"/>
      <c r="N1694" s="4"/>
    </row>
    <row r="1695" spans="5:14" x14ac:dyDescent="0.2">
      <c r="E1695" s="3"/>
      <c r="F1695" s="4"/>
      <c r="G1695" s="3"/>
      <c r="H1695" s="66"/>
      <c r="I1695" s="4"/>
      <c r="J1695" s="4"/>
      <c r="K1695"/>
      <c r="L1695"/>
      <c r="M1695" s="4"/>
      <c r="N1695" s="4"/>
    </row>
    <row r="1696" spans="5:14" x14ac:dyDescent="0.2">
      <c r="E1696" s="3"/>
      <c r="F1696" s="4"/>
      <c r="G1696" s="3"/>
      <c r="H1696" s="66"/>
      <c r="I1696" s="4"/>
      <c r="J1696" s="4"/>
      <c r="K1696"/>
      <c r="L1696"/>
      <c r="M1696" s="4"/>
      <c r="N1696" s="4"/>
    </row>
    <row r="1697" spans="5:14" x14ac:dyDescent="0.2">
      <c r="E1697" s="3"/>
      <c r="F1697" s="4"/>
      <c r="G1697" s="3"/>
      <c r="H1697" s="66"/>
      <c r="I1697" s="4"/>
      <c r="J1697" s="4"/>
      <c r="K1697"/>
      <c r="L1697"/>
      <c r="M1697" s="4"/>
      <c r="N1697" s="4"/>
    </row>
    <row r="1698" spans="5:14" x14ac:dyDescent="0.2">
      <c r="E1698" s="3"/>
      <c r="F1698" s="4"/>
      <c r="G1698" s="3"/>
      <c r="H1698" s="66"/>
      <c r="I1698" s="4"/>
      <c r="J1698" s="4"/>
      <c r="K1698"/>
      <c r="L1698"/>
      <c r="M1698" s="4"/>
      <c r="N1698" s="4"/>
    </row>
    <row r="1699" spans="5:14" x14ac:dyDescent="0.2">
      <c r="E1699" s="3"/>
      <c r="F1699" s="4"/>
      <c r="G1699" s="3"/>
      <c r="H1699" s="66"/>
      <c r="I1699" s="4"/>
      <c r="J1699" s="4"/>
      <c r="K1699"/>
      <c r="L1699"/>
      <c r="M1699" s="4"/>
      <c r="N1699" s="4"/>
    </row>
    <row r="1700" spans="5:14" x14ac:dyDescent="0.2">
      <c r="E1700" s="3"/>
      <c r="F1700" s="4"/>
      <c r="G1700" s="3"/>
      <c r="H1700" s="66"/>
      <c r="I1700" s="4"/>
      <c r="J1700" s="4"/>
      <c r="K1700"/>
      <c r="L1700"/>
      <c r="M1700" s="4"/>
      <c r="N1700" s="4"/>
    </row>
    <row r="1701" spans="5:14" x14ac:dyDescent="0.2">
      <c r="E1701" s="3"/>
      <c r="F1701" s="4"/>
      <c r="G1701" s="3"/>
      <c r="H1701" s="66"/>
      <c r="I1701" s="4"/>
      <c r="J1701" s="4"/>
      <c r="K1701"/>
      <c r="L1701"/>
      <c r="M1701" s="4"/>
      <c r="N1701" s="4"/>
    </row>
    <row r="1702" spans="5:14" x14ac:dyDescent="0.2">
      <c r="E1702" s="3"/>
      <c r="F1702" s="4"/>
      <c r="G1702" s="3"/>
      <c r="H1702" s="66"/>
      <c r="I1702" s="4"/>
      <c r="J1702" s="4"/>
      <c r="K1702"/>
      <c r="L1702"/>
      <c r="M1702" s="4"/>
      <c r="N1702" s="4"/>
    </row>
    <row r="1703" spans="5:14" x14ac:dyDescent="0.2">
      <c r="E1703" s="3"/>
      <c r="F1703" s="4"/>
      <c r="G1703" s="3"/>
      <c r="H1703" s="66"/>
      <c r="I1703" s="4"/>
      <c r="J1703" s="4"/>
      <c r="K1703"/>
      <c r="L1703"/>
      <c r="M1703" s="4"/>
      <c r="N1703" s="4"/>
    </row>
    <row r="1704" spans="5:14" x14ac:dyDescent="0.2">
      <c r="E1704" s="3"/>
      <c r="F1704" s="4"/>
      <c r="G1704" s="3"/>
      <c r="H1704" s="66"/>
      <c r="I1704" s="4"/>
      <c r="J1704" s="4"/>
      <c r="K1704"/>
      <c r="L1704"/>
      <c r="M1704" s="4"/>
      <c r="N1704" s="4"/>
    </row>
    <row r="1705" spans="5:14" x14ac:dyDescent="0.2">
      <c r="E1705" s="3"/>
      <c r="F1705" s="4"/>
      <c r="G1705" s="3"/>
      <c r="H1705" s="66"/>
      <c r="I1705" s="4"/>
      <c r="J1705" s="4"/>
      <c r="K1705"/>
      <c r="L1705"/>
      <c r="M1705" s="4"/>
      <c r="N1705" s="4"/>
    </row>
    <row r="1706" spans="5:14" x14ac:dyDescent="0.2">
      <c r="E1706" s="3"/>
      <c r="F1706" s="4"/>
      <c r="G1706" s="3"/>
      <c r="H1706" s="66"/>
      <c r="I1706" s="4"/>
      <c r="J1706" s="4"/>
      <c r="K1706"/>
      <c r="L1706"/>
      <c r="M1706" s="4"/>
      <c r="N1706" s="4"/>
    </row>
    <row r="1707" spans="5:14" x14ac:dyDescent="0.2">
      <c r="E1707" s="3"/>
      <c r="F1707" s="4"/>
      <c r="G1707" s="3"/>
      <c r="H1707" s="66"/>
      <c r="I1707" s="4"/>
      <c r="J1707" s="4"/>
      <c r="K1707"/>
      <c r="L1707"/>
      <c r="M1707" s="4"/>
      <c r="N1707" s="4"/>
    </row>
    <row r="1708" spans="5:14" x14ac:dyDescent="0.2">
      <c r="E1708" s="3"/>
      <c r="F1708" s="4"/>
      <c r="G1708" s="3"/>
      <c r="H1708" s="66"/>
      <c r="I1708" s="4"/>
      <c r="J1708" s="4"/>
      <c r="K1708"/>
      <c r="L1708"/>
      <c r="M1708" s="4"/>
      <c r="N1708" s="4"/>
    </row>
    <row r="1709" spans="5:14" x14ac:dyDescent="0.2">
      <c r="E1709" s="3"/>
      <c r="F1709" s="4"/>
      <c r="G1709" s="3"/>
      <c r="H1709" s="66"/>
      <c r="I1709" s="4"/>
      <c r="J1709" s="4"/>
      <c r="K1709"/>
      <c r="L1709"/>
      <c r="M1709" s="4"/>
      <c r="N1709" s="4"/>
    </row>
    <row r="1710" spans="5:14" x14ac:dyDescent="0.2">
      <c r="E1710" s="3"/>
      <c r="F1710" s="4"/>
      <c r="G1710" s="3"/>
      <c r="H1710" s="66"/>
      <c r="I1710" s="4"/>
      <c r="J1710" s="4"/>
      <c r="K1710"/>
      <c r="L1710"/>
      <c r="M1710" s="4"/>
      <c r="N1710" s="4"/>
    </row>
    <row r="1711" spans="5:14" x14ac:dyDescent="0.2">
      <c r="E1711" s="3"/>
      <c r="F1711" s="4"/>
      <c r="G1711" s="3"/>
      <c r="H1711" s="66"/>
      <c r="I1711" s="4"/>
      <c r="J1711" s="4"/>
      <c r="K1711"/>
      <c r="L1711"/>
      <c r="M1711" s="4"/>
      <c r="N1711" s="4"/>
    </row>
    <row r="1712" spans="5:14" x14ac:dyDescent="0.2">
      <c r="E1712" s="3"/>
      <c r="F1712" s="4"/>
      <c r="G1712" s="3"/>
      <c r="H1712" s="66"/>
      <c r="I1712" s="4"/>
      <c r="J1712" s="4"/>
      <c r="K1712"/>
      <c r="L1712"/>
      <c r="M1712" s="4"/>
      <c r="N1712" s="4"/>
    </row>
    <row r="1713" spans="5:14" x14ac:dyDescent="0.2">
      <c r="E1713" s="3"/>
      <c r="F1713" s="4"/>
      <c r="G1713" s="3"/>
      <c r="H1713" s="66"/>
      <c r="I1713" s="4"/>
      <c r="J1713" s="4"/>
      <c r="K1713"/>
      <c r="L1713"/>
      <c r="M1713" s="4"/>
      <c r="N1713" s="4"/>
    </row>
    <row r="1714" spans="5:14" x14ac:dyDescent="0.2">
      <c r="E1714" s="3"/>
      <c r="F1714" s="4"/>
      <c r="G1714" s="3"/>
      <c r="H1714" s="66"/>
      <c r="I1714" s="4"/>
      <c r="J1714" s="4"/>
      <c r="K1714"/>
      <c r="L1714"/>
      <c r="M1714" s="4"/>
      <c r="N1714" s="4"/>
    </row>
    <row r="1715" spans="5:14" x14ac:dyDescent="0.2">
      <c r="E1715" s="3"/>
      <c r="F1715" s="4"/>
      <c r="G1715" s="3"/>
      <c r="H1715" s="66"/>
      <c r="I1715" s="4"/>
      <c r="J1715" s="4"/>
      <c r="K1715"/>
      <c r="L1715"/>
      <c r="M1715" s="4"/>
      <c r="N1715" s="4"/>
    </row>
    <row r="1716" spans="5:14" x14ac:dyDescent="0.2">
      <c r="E1716" s="3"/>
      <c r="F1716" s="4"/>
      <c r="G1716" s="3"/>
      <c r="H1716" s="66"/>
      <c r="I1716" s="4"/>
      <c r="J1716" s="4"/>
      <c r="K1716"/>
      <c r="L1716"/>
      <c r="M1716" s="4"/>
      <c r="N1716" s="4"/>
    </row>
    <row r="1717" spans="5:14" x14ac:dyDescent="0.2">
      <c r="E1717" s="3"/>
      <c r="F1717" s="4"/>
      <c r="G1717" s="3"/>
      <c r="H1717" s="66"/>
      <c r="I1717" s="4"/>
      <c r="J1717" s="4"/>
      <c r="K1717"/>
      <c r="L1717"/>
      <c r="M1717" s="4"/>
      <c r="N1717" s="4"/>
    </row>
    <row r="1718" spans="5:14" x14ac:dyDescent="0.2">
      <c r="E1718" s="3"/>
      <c r="F1718" s="4"/>
      <c r="G1718" s="3"/>
      <c r="H1718" s="66"/>
      <c r="I1718" s="4"/>
      <c r="J1718" s="4"/>
      <c r="K1718"/>
      <c r="L1718"/>
      <c r="M1718" s="4"/>
      <c r="N1718" s="4"/>
    </row>
    <row r="1719" spans="5:14" x14ac:dyDescent="0.2">
      <c r="E1719" s="3"/>
      <c r="F1719" s="4"/>
      <c r="G1719" s="3"/>
      <c r="H1719" s="66"/>
      <c r="I1719" s="4"/>
      <c r="J1719" s="4"/>
      <c r="K1719"/>
      <c r="L1719"/>
      <c r="M1719" s="4"/>
      <c r="N1719" s="4"/>
    </row>
    <row r="1720" spans="5:14" x14ac:dyDescent="0.2">
      <c r="E1720" s="3"/>
      <c r="F1720" s="4"/>
      <c r="G1720" s="3"/>
      <c r="H1720" s="66"/>
      <c r="I1720" s="4"/>
      <c r="J1720" s="4"/>
      <c r="K1720"/>
      <c r="L1720"/>
      <c r="M1720" s="4"/>
      <c r="N1720" s="4"/>
    </row>
    <row r="1721" spans="5:14" x14ac:dyDescent="0.2">
      <c r="E1721" s="3"/>
      <c r="F1721" s="4"/>
      <c r="G1721" s="3"/>
      <c r="H1721" s="66"/>
      <c r="I1721" s="4"/>
      <c r="J1721" s="4"/>
      <c r="K1721"/>
      <c r="L1721"/>
      <c r="M1721" s="4"/>
      <c r="N1721" s="4"/>
    </row>
    <row r="1722" spans="5:14" x14ac:dyDescent="0.2">
      <c r="E1722" s="3"/>
      <c r="F1722" s="4"/>
      <c r="G1722" s="3"/>
      <c r="H1722" s="66"/>
      <c r="I1722" s="4"/>
      <c r="J1722" s="4"/>
      <c r="K1722"/>
      <c r="L1722"/>
      <c r="M1722" s="4"/>
      <c r="N1722" s="4"/>
    </row>
    <row r="1723" spans="5:14" x14ac:dyDescent="0.2">
      <c r="E1723" s="3"/>
      <c r="F1723" s="4"/>
      <c r="G1723" s="3"/>
      <c r="H1723" s="66"/>
      <c r="I1723" s="4"/>
      <c r="J1723" s="4"/>
      <c r="K1723"/>
      <c r="L1723"/>
      <c r="M1723" s="4"/>
      <c r="N1723" s="4"/>
    </row>
    <row r="1724" spans="5:14" x14ac:dyDescent="0.2">
      <c r="E1724" s="3"/>
      <c r="F1724" s="4"/>
      <c r="G1724" s="3"/>
      <c r="H1724" s="66"/>
      <c r="I1724" s="4"/>
      <c r="J1724" s="4"/>
      <c r="K1724"/>
      <c r="L1724"/>
      <c r="M1724" s="4"/>
      <c r="N1724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B050"/>
  </sheetPr>
  <dimension ref="A1:AK52"/>
  <sheetViews>
    <sheetView tabSelected="1" zoomScale="90" zoomScaleNormal="90" workbookViewId="0">
      <selection activeCell="B35" sqref="B35"/>
    </sheetView>
  </sheetViews>
  <sheetFormatPr defaultColWidth="11.5703125" defaultRowHeight="12.75" x14ac:dyDescent="0.2"/>
  <cols>
    <col min="1" max="1" width="15.85546875" customWidth="1"/>
    <col min="2" max="2" width="10.85546875" customWidth="1"/>
    <col min="3" max="3" width="6.5703125" style="10" customWidth="1"/>
    <col min="4" max="4" width="10" style="4" customWidth="1"/>
    <col min="5" max="5" width="6.5703125" style="10" customWidth="1"/>
    <col min="6" max="6" width="10" style="4" customWidth="1"/>
    <col min="7" max="7" width="6.5703125" style="10" customWidth="1"/>
    <col min="8" max="9" width="9.7109375" style="4" customWidth="1"/>
    <col min="10" max="10" width="8.7109375" style="4" customWidth="1"/>
    <col min="11" max="11" width="5.7109375" style="10" customWidth="1"/>
    <col min="12" max="12" width="9.5703125" style="4" customWidth="1"/>
    <col min="13" max="13" width="4.85546875" style="10" customWidth="1"/>
    <col min="14" max="14" width="8.28515625" style="4" customWidth="1"/>
    <col min="15" max="15" width="4.85546875" style="10" customWidth="1"/>
    <col min="16" max="16" width="8.28515625" style="4" customWidth="1"/>
    <col min="17" max="17" width="4.85546875" style="10" customWidth="1"/>
    <col min="18" max="18" width="15.85546875" customWidth="1"/>
    <col min="19" max="20" width="6.5703125" style="3" customWidth="1"/>
    <col min="21" max="21" width="4.42578125" style="83" customWidth="1"/>
    <col min="22" max="23" width="4.7109375" customWidth="1"/>
    <col min="24" max="24" width="7.85546875" customWidth="1"/>
    <col min="25" max="25" width="7.85546875" style="3" customWidth="1"/>
    <col min="26" max="26" width="5.42578125" style="83" bestFit="1" customWidth="1"/>
    <col min="27" max="27" width="8.42578125" customWidth="1"/>
    <col min="28" max="28" width="8.140625" style="83" bestFit="1" customWidth="1"/>
    <col min="29" max="29" width="7.85546875" style="4" customWidth="1"/>
    <col min="30" max="30" width="4.28515625" style="83" customWidth="1"/>
    <col min="31" max="31" width="8.85546875" customWidth="1"/>
    <col min="32" max="32" width="4.28515625" style="83" customWidth="1"/>
    <col min="33" max="34" width="7.5703125" style="5" hidden="1" customWidth="1"/>
    <col min="35" max="35" width="4.28515625" style="83" hidden="1" customWidth="1"/>
    <col min="36" max="36" width="6.42578125" customWidth="1"/>
    <col min="37" max="37" width="7" customWidth="1"/>
  </cols>
  <sheetData>
    <row r="1" spans="1:37" s="2" customFormat="1" ht="72" customHeight="1" thickTop="1" x14ac:dyDescent="0.2">
      <c r="A1" s="17" t="s">
        <v>14</v>
      </c>
      <c r="B1" s="18" t="s">
        <v>15</v>
      </c>
      <c r="C1" s="74" t="s">
        <v>16</v>
      </c>
      <c r="D1" s="14" t="s">
        <v>17</v>
      </c>
      <c r="E1" s="72" t="s">
        <v>18</v>
      </c>
      <c r="F1" s="14" t="s">
        <v>19</v>
      </c>
      <c r="G1" s="73" t="s">
        <v>20</v>
      </c>
      <c r="H1" s="81" t="s">
        <v>21</v>
      </c>
      <c r="I1" s="82" t="s">
        <v>22</v>
      </c>
      <c r="J1" s="37" t="s">
        <v>23</v>
      </c>
      <c r="K1" s="78" t="s">
        <v>24</v>
      </c>
      <c r="L1" s="38" t="s">
        <v>25</v>
      </c>
      <c r="M1" s="78" t="s">
        <v>24</v>
      </c>
      <c r="N1" s="38" t="s">
        <v>26</v>
      </c>
      <c r="O1" s="78" t="s">
        <v>24</v>
      </c>
      <c r="P1" s="37" t="s">
        <v>27</v>
      </c>
      <c r="Q1" s="77" t="s">
        <v>24</v>
      </c>
      <c r="R1" s="17" t="s">
        <v>14</v>
      </c>
      <c r="S1" s="21" t="s">
        <v>28</v>
      </c>
      <c r="T1" s="36" t="s">
        <v>29</v>
      </c>
      <c r="U1" s="76" t="s">
        <v>24</v>
      </c>
      <c r="V1" s="19" t="s">
        <v>30</v>
      </c>
      <c r="W1" s="22" t="s">
        <v>31</v>
      </c>
      <c r="X1" s="24" t="s">
        <v>32</v>
      </c>
      <c r="Y1" s="23" t="s">
        <v>33</v>
      </c>
      <c r="Z1" s="76" t="s">
        <v>24</v>
      </c>
      <c r="AA1" s="27" t="s">
        <v>34</v>
      </c>
      <c r="AB1" s="76" t="s">
        <v>24</v>
      </c>
      <c r="AC1" s="27" t="s">
        <v>35</v>
      </c>
      <c r="AD1" s="76" t="s">
        <v>24</v>
      </c>
      <c r="AE1" s="29" t="s">
        <v>36</v>
      </c>
      <c r="AF1" s="76" t="s">
        <v>24</v>
      </c>
      <c r="AG1" s="31" t="s">
        <v>37</v>
      </c>
      <c r="AH1" s="34" t="s">
        <v>38</v>
      </c>
      <c r="AI1" s="76" t="s">
        <v>24</v>
      </c>
      <c r="AJ1" s="15" t="s">
        <v>11</v>
      </c>
      <c r="AK1" s="16" t="s">
        <v>39</v>
      </c>
    </row>
    <row r="2" spans="1:37" x14ac:dyDescent="0.2">
      <c r="A2" s="94">
        <v>46143</v>
      </c>
      <c r="B2" s="6">
        <v>34073737</v>
      </c>
      <c r="C2" s="75">
        <f t="shared" ref="C2:C9" si="0">IF(OR(B3="", B2=""), "", B3 - B2)</f>
        <v>4475</v>
      </c>
      <c r="D2" s="20">
        <v>1689174</v>
      </c>
      <c r="E2" s="75">
        <f t="shared" ref="E2" si="1">IF(OR(D3="", D2=""), "", D3 - D2)</f>
        <v>303</v>
      </c>
      <c r="F2" s="85">
        <v>209328</v>
      </c>
      <c r="G2" s="75">
        <f t="shared" ref="G2" si="2">IF(OR(F3="", F2=""), "", F3 - F2)</f>
        <v>0</v>
      </c>
      <c r="H2" s="79">
        <f t="shared" ref="H2:H8" si="3">IF(OR(C2="", E2="", G2=""), "", C2 + E2 - G2)</f>
        <v>4778</v>
      </c>
      <c r="I2" s="80">
        <f t="shared" ref="I2:I10" si="4">IF(OR(H2="", K2="", M2="", O2="", Q2=""), "", H2 - K2 - M2 - O2 - Q2)</f>
        <v>3965.980000000287</v>
      </c>
      <c r="J2" s="86">
        <v>5079002.4000000004</v>
      </c>
      <c r="K2" s="75">
        <f>IF(OR(J3="", J2=""), "", J3 - J2)</f>
        <v>614</v>
      </c>
      <c r="L2" s="9">
        <v>479900.315789518</v>
      </c>
      <c r="M2" s="75">
        <f t="shared" ref="M2:M10" si="5">IF(OR(L3="", L2=""), "", L3 - L2)</f>
        <v>15</v>
      </c>
      <c r="N2" s="9">
        <v>164242.9</v>
      </c>
      <c r="O2" s="75">
        <f t="shared" ref="O2:O10" si="6">IF(OR(N3="", N2=""), "", N3 - N2)</f>
        <v>69.473333333007758</v>
      </c>
      <c r="P2" s="35">
        <v>49616.299999999996</v>
      </c>
      <c r="Q2" s="75">
        <f t="shared" ref="Q2:Q10" si="7">IF(OR(P3="", P2=""), "", P3 - P2)</f>
        <v>113.54666666670528</v>
      </c>
      <c r="R2" s="95">
        <f>A2</f>
        <v>46143</v>
      </c>
      <c r="S2" s="90">
        <v>4306</v>
      </c>
      <c r="T2" s="88"/>
      <c r="U2" s="75">
        <f>IF(OR(S2="", S3=""), "", S2 + T2 - S3)</f>
        <v>90</v>
      </c>
      <c r="V2" s="11">
        <v>0.77</v>
      </c>
      <c r="W2" s="26">
        <v>0.8</v>
      </c>
      <c r="X2" s="25">
        <f>IF(OR(V2="", W2=""), "", (V2 * 2500) + (W2 * 2500))</f>
        <v>3925</v>
      </c>
      <c r="Y2" s="84"/>
      <c r="Z2" s="75">
        <f>IF(OR(X2="", X3=""), "", X2 + Y2 - X3)</f>
        <v>200</v>
      </c>
      <c r="AA2" s="28">
        <v>141659</v>
      </c>
      <c r="AB2" s="75">
        <f t="shared" ref="AB2:AB10" si="8">IF(OR(AA3="", AA2=""), "", AA3 - AA2)</f>
        <v>60</v>
      </c>
      <c r="AC2" s="28">
        <v>4615.8999999999996</v>
      </c>
      <c r="AD2" s="75">
        <f t="shared" ref="AD2:AD10" si="9">IF(OR(AC3="", AC2=""), "", AC3 - AC2)</f>
        <v>9.1000000000003638</v>
      </c>
      <c r="AE2" s="30">
        <v>73669</v>
      </c>
      <c r="AF2" s="75">
        <f t="shared" ref="AF2:AF10" si="10">IF(OR(AE3="", AE2=""), "", AE3 - AE2)</f>
        <v>0</v>
      </c>
      <c r="AG2" s="32">
        <v>0</v>
      </c>
      <c r="AH2" s="70"/>
      <c r="AI2" s="75" t="str">
        <f t="shared" ref="AI2:AI10" si="11">IF(OR(AH3="", AH2=""), "", AH3 - AH2)</f>
        <v/>
      </c>
      <c r="AJ2" s="7">
        <v>156</v>
      </c>
      <c r="AK2" s="12">
        <v>234</v>
      </c>
    </row>
    <row r="3" spans="1:37" x14ac:dyDescent="0.2">
      <c r="A3" s="94">
        <f t="shared" ref="A3:A33" si="12">A2+1</f>
        <v>46144</v>
      </c>
      <c r="B3" s="6">
        <v>34078212</v>
      </c>
      <c r="C3" s="75">
        <f t="shared" si="0"/>
        <v>4149</v>
      </c>
      <c r="D3" s="20">
        <v>1689477</v>
      </c>
      <c r="E3" s="75">
        <f t="shared" ref="E3" si="13">IF(OR(D4="", D3=""), "", D4 - D3)</f>
        <v>859</v>
      </c>
      <c r="F3" s="20">
        <v>209328</v>
      </c>
      <c r="G3" s="75">
        <f t="shared" ref="G3" si="14">IF(OR(F4="", F3=""), "", F4 - F3)</f>
        <v>0</v>
      </c>
      <c r="H3" s="79">
        <f t="shared" si="3"/>
        <v>5008</v>
      </c>
      <c r="I3" s="80">
        <f t="shared" si="4"/>
        <v>3782.0197895180027</v>
      </c>
      <c r="J3" s="35">
        <v>5079616.4000000004</v>
      </c>
      <c r="K3" s="75">
        <f>IF(OR(J4="", J3=""), "", J4 - J3)</f>
        <v>1028</v>
      </c>
      <c r="L3" s="9">
        <v>479915.315789518</v>
      </c>
      <c r="M3" s="75">
        <f t="shared" si="5"/>
        <v>14.684210481995251</v>
      </c>
      <c r="N3" s="9">
        <v>164312.373333333</v>
      </c>
      <c r="O3" s="75">
        <f t="shared" si="6"/>
        <v>67.077555555559229</v>
      </c>
      <c r="P3" s="35">
        <v>49729.846666666701</v>
      </c>
      <c r="Q3" s="75">
        <f t="shared" si="7"/>
        <v>116.21844444444287</v>
      </c>
      <c r="R3" s="94">
        <f>A3</f>
        <v>46144</v>
      </c>
      <c r="S3" s="87">
        <v>4216</v>
      </c>
      <c r="T3" s="89"/>
      <c r="U3" s="75">
        <f t="shared" ref="U3:U33" si="15">IF(OR(S3="", S4=""), "", S3 + T3 - S4)</f>
        <v>99</v>
      </c>
      <c r="V3" s="11">
        <v>0.74</v>
      </c>
      <c r="W3" s="26">
        <v>0.75</v>
      </c>
      <c r="X3" s="96">
        <f t="shared" ref="X3:X34" si="16">IF(OR(V3="", W3=""), "", (V3 * 2500) + (W3 * 2500))</f>
        <v>3725</v>
      </c>
      <c r="Y3" s="84"/>
      <c r="Z3" s="75">
        <f t="shared" ref="Z3:Z33" si="17">IF(OR(X3="", X4=""), "", X3 + Y3 - X4)</f>
        <v>475</v>
      </c>
      <c r="AA3" s="28">
        <v>141719</v>
      </c>
      <c r="AB3" s="75">
        <f t="shared" si="8"/>
        <v>68</v>
      </c>
      <c r="AC3" s="28">
        <v>4625</v>
      </c>
      <c r="AD3" s="75">
        <f t="shared" si="9"/>
        <v>4.8000000000001819</v>
      </c>
      <c r="AE3" s="30">
        <v>73669</v>
      </c>
      <c r="AF3" s="75">
        <f t="shared" si="10"/>
        <v>0</v>
      </c>
      <c r="AG3" s="33">
        <v>0</v>
      </c>
      <c r="AH3" s="71"/>
      <c r="AI3" s="75" t="str">
        <f t="shared" si="11"/>
        <v/>
      </c>
      <c r="AJ3" s="8">
        <v>181</v>
      </c>
      <c r="AK3" s="13">
        <v>272</v>
      </c>
    </row>
    <row r="4" spans="1:37" x14ac:dyDescent="0.2">
      <c r="A4" s="94">
        <f t="shared" si="12"/>
        <v>46145</v>
      </c>
      <c r="B4" s="6">
        <v>34082361</v>
      </c>
      <c r="C4" s="75">
        <f t="shared" si="0"/>
        <v>4339</v>
      </c>
      <c r="D4" s="20">
        <v>1690336</v>
      </c>
      <c r="E4" s="75">
        <f t="shared" ref="E4" si="18">IF(OR(D5="", D4=""), "", D5 - D4)</f>
        <v>427</v>
      </c>
      <c r="F4" s="20">
        <v>209328</v>
      </c>
      <c r="G4" s="75">
        <f t="shared" ref="G4" si="19">IF(OR(F5="", F4=""), "", F5 - F4)</f>
        <v>33</v>
      </c>
      <c r="H4" s="79">
        <f t="shared" si="3"/>
        <v>4733</v>
      </c>
      <c r="I4" s="80">
        <f t="shared" si="4"/>
        <v>3634.2197895181598</v>
      </c>
      <c r="J4" s="35">
        <v>5080644.4000000004</v>
      </c>
      <c r="K4" s="75">
        <f>IF(OR(J5="", J4=""), "", J5 - J4)</f>
        <v>900.79999999981374</v>
      </c>
      <c r="L4" s="9">
        <v>479930</v>
      </c>
      <c r="M4" s="75">
        <f t="shared" si="5"/>
        <v>14.684210481995251</v>
      </c>
      <c r="N4" s="9">
        <v>164379.45088888856</v>
      </c>
      <c r="O4" s="75">
        <f t="shared" si="6"/>
        <v>67.077555555588333</v>
      </c>
      <c r="P4" s="35">
        <v>49846.065111111144</v>
      </c>
      <c r="Q4" s="75">
        <f t="shared" si="7"/>
        <v>116.21844444444287</v>
      </c>
      <c r="R4" s="94">
        <f t="shared" ref="R4:R32" si="20">A4</f>
        <v>46145</v>
      </c>
      <c r="S4" s="87">
        <v>4117</v>
      </c>
      <c r="T4" s="89"/>
      <c r="U4" s="75">
        <f t="shared" si="15"/>
        <v>188</v>
      </c>
      <c r="V4" s="11">
        <v>0.65</v>
      </c>
      <c r="W4" s="26">
        <v>0.65</v>
      </c>
      <c r="X4" s="96">
        <f t="shared" si="16"/>
        <v>3250</v>
      </c>
      <c r="Y4" s="84"/>
      <c r="Z4" s="75">
        <f t="shared" si="17"/>
        <v>250</v>
      </c>
      <c r="AA4" s="28">
        <v>141787</v>
      </c>
      <c r="AB4" s="75">
        <f t="shared" si="8"/>
        <v>59</v>
      </c>
      <c r="AC4" s="28">
        <v>4629.8</v>
      </c>
      <c r="AD4" s="75">
        <f t="shared" si="9"/>
        <v>5.3999999999996362</v>
      </c>
      <c r="AE4" s="30">
        <v>73669</v>
      </c>
      <c r="AF4" s="75">
        <f t="shared" si="10"/>
        <v>0</v>
      </c>
      <c r="AG4" s="33">
        <v>0</v>
      </c>
      <c r="AH4" s="71"/>
      <c r="AI4" s="75" t="str">
        <f t="shared" si="11"/>
        <v/>
      </c>
      <c r="AJ4" s="8">
        <v>160</v>
      </c>
      <c r="AK4" s="13">
        <v>228</v>
      </c>
    </row>
    <row r="5" spans="1:37" x14ac:dyDescent="0.2">
      <c r="A5" s="94">
        <f t="shared" si="12"/>
        <v>46146</v>
      </c>
      <c r="B5" s="6">
        <v>34086700</v>
      </c>
      <c r="C5" s="75">
        <f t="shared" si="0"/>
        <v>3947</v>
      </c>
      <c r="D5" s="20">
        <v>1690763</v>
      </c>
      <c r="E5" s="75">
        <f t="shared" ref="E5" si="21">IF(OR(D6="", D5=""), "", D6 - D5)</f>
        <v>883</v>
      </c>
      <c r="F5" s="20">
        <v>209361</v>
      </c>
      <c r="G5" s="75">
        <f t="shared" ref="G5" si="22">IF(OR(F6="", F5=""), "", F6 - F5)</f>
        <v>68</v>
      </c>
      <c r="H5" s="79">
        <f t="shared" si="3"/>
        <v>4762</v>
      </c>
      <c r="I5" s="80">
        <f t="shared" si="4"/>
        <v>3620.8197895178164</v>
      </c>
      <c r="J5" s="35">
        <v>5081545.2</v>
      </c>
      <c r="K5" s="75">
        <f t="shared" ref="K5:K10" si="23">IF(OR(J6="", J5=""), "", J6 - J5)</f>
        <v>943.20000000018626</v>
      </c>
      <c r="L5" s="9">
        <v>479944.684210482</v>
      </c>
      <c r="M5" s="75">
        <f t="shared" si="5"/>
        <v>14.684210481995251</v>
      </c>
      <c r="N5" s="9">
        <v>164446.52844444415</v>
      </c>
      <c r="O5" s="75">
        <f t="shared" si="6"/>
        <v>67.077555555559229</v>
      </c>
      <c r="P5" s="35">
        <v>49962.283555555587</v>
      </c>
      <c r="Q5" s="75">
        <f t="shared" si="7"/>
        <v>116.21844444444287</v>
      </c>
      <c r="R5" s="94">
        <f t="shared" si="20"/>
        <v>46146</v>
      </c>
      <c r="S5" s="87">
        <v>3929</v>
      </c>
      <c r="T5" s="89"/>
      <c r="U5" s="75">
        <f t="shared" si="15"/>
        <v>186</v>
      </c>
      <c r="V5" s="11">
        <v>0.6</v>
      </c>
      <c r="W5" s="26">
        <v>0.6</v>
      </c>
      <c r="X5" s="96">
        <f t="shared" si="16"/>
        <v>3000</v>
      </c>
      <c r="Y5" s="84">
        <v>1217.54</v>
      </c>
      <c r="Z5" s="75">
        <f t="shared" si="17"/>
        <v>492.53999999999996</v>
      </c>
      <c r="AA5" s="28">
        <v>141846</v>
      </c>
      <c r="AB5" s="75">
        <f t="shared" si="8"/>
        <v>64</v>
      </c>
      <c r="AC5" s="28">
        <v>4635.2</v>
      </c>
      <c r="AD5" s="75">
        <f t="shared" si="9"/>
        <v>8.9000000000005457</v>
      </c>
      <c r="AE5" s="30">
        <v>73669</v>
      </c>
      <c r="AF5" s="75">
        <f t="shared" si="10"/>
        <v>0</v>
      </c>
      <c r="AG5" s="33">
        <v>0</v>
      </c>
      <c r="AH5" s="71"/>
      <c r="AI5" s="75" t="str">
        <f t="shared" si="11"/>
        <v/>
      </c>
      <c r="AJ5" s="8">
        <v>161</v>
      </c>
      <c r="AK5" s="13">
        <v>222</v>
      </c>
    </row>
    <row r="6" spans="1:37" x14ac:dyDescent="0.2">
      <c r="A6" s="94">
        <f t="shared" si="12"/>
        <v>46147</v>
      </c>
      <c r="B6" s="6">
        <v>34090647</v>
      </c>
      <c r="C6" s="75">
        <f t="shared" si="0"/>
        <v>4040</v>
      </c>
      <c r="D6" s="20">
        <v>1691646</v>
      </c>
      <c r="E6" s="75">
        <f t="shared" ref="E6" si="24">IF(OR(D7="", D6=""), "", D7 - D6)</f>
        <v>582</v>
      </c>
      <c r="F6" s="20">
        <v>209429</v>
      </c>
      <c r="G6" s="75">
        <f t="shared" ref="G6" si="25">IF(OR(F7="", F6=""), "", F7 - F6)</f>
        <v>7</v>
      </c>
      <c r="H6" s="79">
        <f t="shared" si="3"/>
        <v>4615</v>
      </c>
      <c r="I6" s="80">
        <f t="shared" si="4"/>
        <v>3545.0197895180027</v>
      </c>
      <c r="J6" s="35">
        <v>5082488.4000000004</v>
      </c>
      <c r="K6" s="75">
        <f t="shared" si="23"/>
        <v>872</v>
      </c>
      <c r="L6" s="9">
        <v>479959.36842096399</v>
      </c>
      <c r="M6" s="75">
        <f t="shared" si="5"/>
        <v>14.684210481995251</v>
      </c>
      <c r="N6" s="9">
        <v>164513.60599999971</v>
      </c>
      <c r="O6" s="75">
        <f t="shared" si="6"/>
        <v>67.077555555559229</v>
      </c>
      <c r="P6" s="35">
        <v>50078.50200000003</v>
      </c>
      <c r="Q6" s="75">
        <f t="shared" si="7"/>
        <v>116.21844444444287</v>
      </c>
      <c r="R6" s="94">
        <f t="shared" si="20"/>
        <v>46147</v>
      </c>
      <c r="S6" s="87">
        <v>3743</v>
      </c>
      <c r="T6" s="89"/>
      <c r="U6" s="75">
        <f t="shared" si="15"/>
        <v>185</v>
      </c>
      <c r="V6" s="11">
        <v>0.75</v>
      </c>
      <c r="W6" s="26">
        <v>0.74</v>
      </c>
      <c r="X6" s="96">
        <f t="shared" si="16"/>
        <v>3725</v>
      </c>
      <c r="Y6" s="84"/>
      <c r="Z6" s="75">
        <f t="shared" si="17"/>
        <v>250</v>
      </c>
      <c r="AA6" s="28">
        <v>141910</v>
      </c>
      <c r="AB6" s="75">
        <f t="shared" si="8"/>
        <v>67</v>
      </c>
      <c r="AC6" s="28">
        <v>4644.1000000000004</v>
      </c>
      <c r="AD6" s="75">
        <f t="shared" si="9"/>
        <v>6</v>
      </c>
      <c r="AE6" s="30">
        <v>73669</v>
      </c>
      <c r="AF6" s="75">
        <f t="shared" si="10"/>
        <v>0</v>
      </c>
      <c r="AG6" s="33">
        <v>0</v>
      </c>
      <c r="AH6" s="71"/>
      <c r="AI6" s="75" t="str">
        <f t="shared" si="11"/>
        <v/>
      </c>
      <c r="AJ6" s="8">
        <v>159</v>
      </c>
      <c r="AK6" s="13">
        <v>212</v>
      </c>
    </row>
    <row r="7" spans="1:37" x14ac:dyDescent="0.2">
      <c r="A7" s="94">
        <f t="shared" si="12"/>
        <v>46148</v>
      </c>
      <c r="B7" s="6">
        <v>34094687</v>
      </c>
      <c r="C7" s="75">
        <f t="shared" si="0"/>
        <v>3971</v>
      </c>
      <c r="D7" s="20">
        <v>1692228</v>
      </c>
      <c r="E7" s="75">
        <f t="shared" ref="E7" si="26">IF(OR(D8="", D7=""), "", D8 - D7)</f>
        <v>806</v>
      </c>
      <c r="F7" s="20">
        <v>209436</v>
      </c>
      <c r="G7" s="75">
        <f t="shared" ref="G7" si="27">IF(OR(F8="", F7=""), "", F8 - F7)</f>
        <v>47</v>
      </c>
      <c r="H7" s="79">
        <f t="shared" si="3"/>
        <v>4730</v>
      </c>
      <c r="I7" s="80">
        <f t="shared" si="4"/>
        <v>3612.8197895187477</v>
      </c>
      <c r="J7" s="35">
        <v>5083360.4000000004</v>
      </c>
      <c r="K7" s="75">
        <f t="shared" si="23"/>
        <v>919.19999999925494</v>
      </c>
      <c r="L7" s="9">
        <v>479974.05263144599</v>
      </c>
      <c r="M7" s="75">
        <f t="shared" si="5"/>
        <v>14.684210481995251</v>
      </c>
      <c r="N7" s="9">
        <v>164580.68355555527</v>
      </c>
      <c r="O7" s="75">
        <f t="shared" si="6"/>
        <v>67.077555555559229</v>
      </c>
      <c r="P7" s="35">
        <v>50194.720444444472</v>
      </c>
      <c r="Q7" s="75">
        <f t="shared" si="7"/>
        <v>116.21844444444287</v>
      </c>
      <c r="R7" s="94">
        <f t="shared" si="20"/>
        <v>46148</v>
      </c>
      <c r="S7" s="87">
        <v>3558</v>
      </c>
      <c r="T7" s="89"/>
      <c r="U7" s="75">
        <f t="shared" si="15"/>
        <v>78</v>
      </c>
      <c r="V7" s="11">
        <v>0.69</v>
      </c>
      <c r="W7" s="26">
        <v>0.7</v>
      </c>
      <c r="X7" s="96">
        <f t="shared" si="16"/>
        <v>3475</v>
      </c>
      <c r="Y7" s="84"/>
      <c r="Z7" s="75">
        <f t="shared" si="17"/>
        <v>325</v>
      </c>
      <c r="AA7" s="28">
        <v>141977</v>
      </c>
      <c r="AB7" s="75">
        <f t="shared" si="8"/>
        <v>58</v>
      </c>
      <c r="AC7" s="28">
        <v>4650.1000000000004</v>
      </c>
      <c r="AD7" s="75">
        <f t="shared" si="9"/>
        <v>4.7999999999992724</v>
      </c>
      <c r="AE7" s="30">
        <v>73669</v>
      </c>
      <c r="AF7" s="75">
        <f t="shared" si="10"/>
        <v>0</v>
      </c>
      <c r="AG7" s="33">
        <v>0</v>
      </c>
      <c r="AH7" s="71"/>
      <c r="AI7" s="75" t="str">
        <f t="shared" si="11"/>
        <v/>
      </c>
      <c r="AJ7" s="8">
        <v>179</v>
      </c>
      <c r="AK7" s="13">
        <v>244</v>
      </c>
    </row>
    <row r="8" spans="1:37" x14ac:dyDescent="0.2">
      <c r="A8" s="94">
        <f t="shared" si="12"/>
        <v>46149</v>
      </c>
      <c r="B8" s="6">
        <v>34098658</v>
      </c>
      <c r="C8" s="75">
        <f t="shared" si="0"/>
        <v>4602</v>
      </c>
      <c r="D8" s="20">
        <v>1693034</v>
      </c>
      <c r="E8" s="75">
        <f t="shared" ref="E8" si="28">IF(OR(D9="", D8=""), "", D9 - D8)</f>
        <v>373</v>
      </c>
      <c r="F8" s="20">
        <v>209483</v>
      </c>
      <c r="G8" s="75">
        <f t="shared" ref="G8" si="29">IF(OR(F9="", F8=""), "", F9 - F8)</f>
        <v>0</v>
      </c>
      <c r="H8" s="79">
        <f t="shared" si="3"/>
        <v>4975</v>
      </c>
      <c r="I8" s="80">
        <f t="shared" si="4"/>
        <v>3850.2197895172285</v>
      </c>
      <c r="J8" s="35">
        <v>5084279.5999999996</v>
      </c>
      <c r="K8" s="75">
        <f t="shared" si="23"/>
        <v>926.80000000074506</v>
      </c>
      <c r="L8" s="9">
        <v>479988.73684192798</v>
      </c>
      <c r="M8" s="75">
        <f t="shared" si="5"/>
        <v>14.684210481995251</v>
      </c>
      <c r="N8" s="9">
        <v>164647.76111111083</v>
      </c>
      <c r="O8" s="75">
        <f t="shared" si="6"/>
        <v>67.077555555588333</v>
      </c>
      <c r="P8" s="35">
        <v>50310.938888888915</v>
      </c>
      <c r="Q8" s="75">
        <f t="shared" si="7"/>
        <v>116.21844444444287</v>
      </c>
      <c r="R8" s="94">
        <f t="shared" si="20"/>
        <v>46149</v>
      </c>
      <c r="S8" s="87">
        <v>3480</v>
      </c>
      <c r="T8" s="89"/>
      <c r="U8" s="75">
        <f t="shared" si="15"/>
        <v>194</v>
      </c>
      <c r="V8" s="11">
        <v>0.63</v>
      </c>
      <c r="W8" s="26">
        <v>0.63</v>
      </c>
      <c r="X8" s="96">
        <f t="shared" si="16"/>
        <v>3150</v>
      </c>
      <c r="Y8" s="84"/>
      <c r="Z8" s="75">
        <f t="shared" si="17"/>
        <v>75</v>
      </c>
      <c r="AA8" s="28">
        <v>142035</v>
      </c>
      <c r="AB8" s="75">
        <f t="shared" si="8"/>
        <v>84</v>
      </c>
      <c r="AC8" s="28">
        <v>4654.8999999999996</v>
      </c>
      <c r="AD8" s="75">
        <f t="shared" si="9"/>
        <v>12.400000000000546</v>
      </c>
      <c r="AE8" s="30">
        <v>73669</v>
      </c>
      <c r="AF8" s="75">
        <f t="shared" si="10"/>
        <v>10</v>
      </c>
      <c r="AG8" s="33">
        <v>0</v>
      </c>
      <c r="AH8" s="71"/>
      <c r="AI8" s="75" t="str">
        <f t="shared" si="11"/>
        <v/>
      </c>
      <c r="AJ8" s="8">
        <v>184</v>
      </c>
      <c r="AK8" s="13">
        <v>261</v>
      </c>
    </row>
    <row r="9" spans="1:37" x14ac:dyDescent="0.2">
      <c r="A9" s="94">
        <f t="shared" si="12"/>
        <v>46150</v>
      </c>
      <c r="B9" s="6">
        <v>34103260</v>
      </c>
      <c r="C9" s="75">
        <f t="shared" si="0"/>
        <v>4811</v>
      </c>
      <c r="D9" s="20">
        <v>1693407</v>
      </c>
      <c r="E9" s="75">
        <f t="shared" ref="E9" si="30">IF(OR(D10="", D9=""), "", D10 - D9)</f>
        <v>383</v>
      </c>
      <c r="F9" s="20">
        <v>209483</v>
      </c>
      <c r="G9" s="75">
        <f t="shared" ref="G9" si="31">IF(OR(F10="", F9=""), "", F10 - F9)</f>
        <v>0</v>
      </c>
      <c r="H9" s="79">
        <f t="shared" ref="H9:H10" si="32">IF(OR(C9="", E9="", G9=""), "", C9 + E9 - G9)</f>
        <v>5194</v>
      </c>
      <c r="I9" s="80">
        <f t="shared" si="4"/>
        <v>4094.0197895180027</v>
      </c>
      <c r="J9" s="35">
        <v>5085206.4000000004</v>
      </c>
      <c r="K9" s="75">
        <f t="shared" si="23"/>
        <v>902</v>
      </c>
      <c r="L9" s="9">
        <v>480003.42105240998</v>
      </c>
      <c r="M9" s="75">
        <f t="shared" si="5"/>
        <v>14.684210481995251</v>
      </c>
      <c r="N9" s="9">
        <v>164714.83866666642</v>
      </c>
      <c r="O9" s="75">
        <f t="shared" si="6"/>
        <v>67.077555555559229</v>
      </c>
      <c r="P9" s="35">
        <v>50427.157333333358</v>
      </c>
      <c r="Q9" s="75">
        <f t="shared" si="7"/>
        <v>116.21844444444287</v>
      </c>
      <c r="R9" s="94">
        <f t="shared" si="20"/>
        <v>46150</v>
      </c>
      <c r="S9" s="87">
        <v>3286</v>
      </c>
      <c r="T9" s="89"/>
      <c r="U9" s="75">
        <f t="shared" si="15"/>
        <v>180</v>
      </c>
      <c r="V9" s="11">
        <v>0.6</v>
      </c>
      <c r="W9" s="26">
        <v>0.63</v>
      </c>
      <c r="X9" s="96">
        <f t="shared" si="16"/>
        <v>3075</v>
      </c>
      <c r="Y9" s="84"/>
      <c r="Z9" s="75">
        <f t="shared" si="17"/>
        <v>300</v>
      </c>
      <c r="AA9" s="28">
        <v>142119</v>
      </c>
      <c r="AB9" s="75">
        <f t="shared" si="8"/>
        <v>80</v>
      </c>
      <c r="AC9" s="28">
        <v>4667.3</v>
      </c>
      <c r="AD9" s="75">
        <f t="shared" si="9"/>
        <v>10.899999999999636</v>
      </c>
      <c r="AE9" s="30">
        <v>73679</v>
      </c>
      <c r="AF9" s="75">
        <f t="shared" si="10"/>
        <v>62</v>
      </c>
      <c r="AG9" s="33">
        <v>0</v>
      </c>
      <c r="AH9" s="71"/>
      <c r="AI9" s="75" t="str">
        <f t="shared" si="11"/>
        <v/>
      </c>
      <c r="AJ9" s="8">
        <v>170</v>
      </c>
      <c r="AK9" s="13">
        <v>250</v>
      </c>
    </row>
    <row r="10" spans="1:37" x14ac:dyDescent="0.2">
      <c r="A10" s="94">
        <f t="shared" si="12"/>
        <v>46151</v>
      </c>
      <c r="B10" s="6">
        <v>34108071</v>
      </c>
      <c r="C10" s="75">
        <f>IF(OR(B11="", B10=""), "", B11 - B10)</f>
        <v>4734</v>
      </c>
      <c r="D10" s="20">
        <v>1693790</v>
      </c>
      <c r="E10" s="75">
        <f t="shared" ref="E10" si="33">IF(OR(D11="", D10=""), "", D11 - D10)</f>
        <v>342</v>
      </c>
      <c r="F10" s="20">
        <v>209483</v>
      </c>
      <c r="G10" s="75">
        <f t="shared" ref="G10" si="34">IF(OR(F11="", F10=""), "", F11 - F10)</f>
        <v>0</v>
      </c>
      <c r="H10" s="79">
        <f t="shared" si="32"/>
        <v>5076</v>
      </c>
      <c r="I10" s="80">
        <f t="shared" si="4"/>
        <v>4001.2197895181307</v>
      </c>
      <c r="J10" s="35">
        <v>5086108.4000000004</v>
      </c>
      <c r="K10" s="75">
        <f t="shared" si="23"/>
        <v>876.79999999981374</v>
      </c>
      <c r="L10" s="9">
        <v>480018.10526289197</v>
      </c>
      <c r="M10" s="75">
        <f t="shared" si="5"/>
        <v>14.684210482053459</v>
      </c>
      <c r="N10" s="9">
        <v>164781.91622222197</v>
      </c>
      <c r="O10" s="75">
        <f t="shared" si="6"/>
        <v>67.077555555559229</v>
      </c>
      <c r="P10" s="35">
        <v>50543.375777777801</v>
      </c>
      <c r="Q10" s="75">
        <f t="shared" si="7"/>
        <v>116.21844444444287</v>
      </c>
      <c r="R10" s="94">
        <f t="shared" si="20"/>
        <v>46151</v>
      </c>
      <c r="S10" s="87">
        <v>3106</v>
      </c>
      <c r="T10" s="89"/>
      <c r="U10" s="75">
        <f t="shared" si="15"/>
        <v>146</v>
      </c>
      <c r="V10" s="11">
        <v>0.55000000000000004</v>
      </c>
      <c r="W10" s="26">
        <v>0.56000000000000005</v>
      </c>
      <c r="X10" s="96">
        <f t="shared" si="16"/>
        <v>2775</v>
      </c>
      <c r="Y10" s="84"/>
      <c r="Z10" s="75">
        <f t="shared" si="17"/>
        <v>100</v>
      </c>
      <c r="AA10" s="28">
        <v>142199</v>
      </c>
      <c r="AB10" s="75">
        <f t="shared" si="8"/>
        <v>72</v>
      </c>
      <c r="AC10" s="28">
        <v>4678.2</v>
      </c>
      <c r="AD10" s="75">
        <f t="shared" si="9"/>
        <v>5.8000000000001819</v>
      </c>
      <c r="AE10" s="30">
        <v>73741</v>
      </c>
      <c r="AF10" s="75">
        <f t="shared" si="10"/>
        <v>0</v>
      </c>
      <c r="AG10" s="33">
        <v>0</v>
      </c>
      <c r="AH10" s="71"/>
      <c r="AI10" s="75" t="str">
        <f t="shared" si="11"/>
        <v/>
      </c>
      <c r="AJ10" s="8">
        <v>184</v>
      </c>
      <c r="AK10" s="13">
        <v>272</v>
      </c>
    </row>
    <row r="11" spans="1:37" x14ac:dyDescent="0.2">
      <c r="A11" s="94">
        <f t="shared" si="12"/>
        <v>46152</v>
      </c>
      <c r="B11" s="6">
        <v>34112805</v>
      </c>
      <c r="C11" s="75">
        <f t="shared" ref="C11:G32" si="35">IF(OR(B12="", B11=""), "", B12 - B11)</f>
        <v>5111</v>
      </c>
      <c r="D11" s="20">
        <v>1694132</v>
      </c>
      <c r="E11" s="75">
        <f t="shared" si="35"/>
        <v>210</v>
      </c>
      <c r="F11" s="20">
        <v>209483</v>
      </c>
      <c r="G11" s="75">
        <f t="shared" si="35"/>
        <v>0</v>
      </c>
      <c r="H11" s="79">
        <f>IF(OR(C11="", E11="", G11=""), "", C11 + E11 - G11)</f>
        <v>5321</v>
      </c>
      <c r="I11" s="80">
        <f>IF(OR(H11="", K11="", M11="", O11="", Q11=""), "", H11 - K11 - M11 - O11 - Q11)</f>
        <v>4235.0197895180027</v>
      </c>
      <c r="J11" s="35">
        <v>5086985.2</v>
      </c>
      <c r="K11" s="75">
        <f t="shared" ref="K11:K33" si="36">IF(OR(J12="", J11=""), "", J12 - J11)</f>
        <v>888</v>
      </c>
      <c r="L11" s="9">
        <v>480032.78947337402</v>
      </c>
      <c r="M11" s="75">
        <f t="shared" ref="M11:M33" si="37">IF(OR(L12="", L11=""), "", L12 - L11)</f>
        <v>14.684210481995251</v>
      </c>
      <c r="N11" s="9">
        <v>164848.99377777753</v>
      </c>
      <c r="O11" s="75">
        <f t="shared" ref="O11:O33" si="38">IF(OR(N12="", N11=""), "", N12 - N11)</f>
        <v>67.077555555559229</v>
      </c>
      <c r="P11" s="35">
        <v>50659.594222222244</v>
      </c>
      <c r="Q11" s="75">
        <f t="shared" ref="Q11:Q33" si="39">IF(OR(P12="", P11=""), "", P12 - P11)</f>
        <v>116.21844444444287</v>
      </c>
      <c r="R11" s="94">
        <f t="shared" si="20"/>
        <v>46152</v>
      </c>
      <c r="S11" s="87">
        <v>2960</v>
      </c>
      <c r="T11" s="89"/>
      <c r="U11" s="75">
        <f t="shared" si="15"/>
        <v>118</v>
      </c>
      <c r="V11" s="11">
        <v>0.53</v>
      </c>
      <c r="W11" s="26">
        <v>0.54</v>
      </c>
      <c r="X11" s="96">
        <f t="shared" si="16"/>
        <v>2675</v>
      </c>
      <c r="Y11" s="84"/>
      <c r="Z11" s="75">
        <f t="shared" si="17"/>
        <v>225</v>
      </c>
      <c r="AA11" s="28">
        <v>142271</v>
      </c>
      <c r="AB11" s="75">
        <f t="shared" ref="AB11:AB33" si="40">IF(OR(AA12="", AA11=""), "", AA12 - AA11)</f>
        <v>63</v>
      </c>
      <c r="AC11" s="28">
        <v>4684</v>
      </c>
      <c r="AD11" s="75">
        <f t="shared" ref="AD11:AD33" si="41">IF(OR(AC12="", AC11=""), "", AC12 - AC11)</f>
        <v>4.3999999999996362</v>
      </c>
      <c r="AE11" s="30">
        <v>73741</v>
      </c>
      <c r="AF11" s="75">
        <f t="shared" ref="AF11:AF33" si="42">IF(OR(AE12="", AE11=""), "", AE12 - AE11)</f>
        <v>9</v>
      </c>
      <c r="AG11" s="33">
        <v>0</v>
      </c>
      <c r="AH11" s="71"/>
      <c r="AI11" s="75" t="str">
        <f t="shared" ref="AI11:AI33" si="43">IF(OR(AH12="", AH11=""), "", AH12 - AH11)</f>
        <v/>
      </c>
      <c r="AJ11" s="8">
        <v>150</v>
      </c>
      <c r="AK11" s="13">
        <v>199</v>
      </c>
    </row>
    <row r="12" spans="1:37" x14ac:dyDescent="0.2">
      <c r="A12" s="94">
        <f t="shared" si="12"/>
        <v>46153</v>
      </c>
      <c r="B12" s="6">
        <v>34117916</v>
      </c>
      <c r="C12" s="75">
        <f t="shared" si="35"/>
        <v>4575</v>
      </c>
      <c r="D12" s="20">
        <v>1694342</v>
      </c>
      <c r="E12" s="75">
        <f t="shared" ref="E12" si="44">IF(OR(D13="", D12=""), "", D13 - D12)</f>
        <v>614</v>
      </c>
      <c r="F12" s="20">
        <v>209483</v>
      </c>
      <c r="G12" s="75">
        <f t="shared" ref="G12" si="45">IF(OR(F13="", F12=""), "", F13 - F12)</f>
        <v>3</v>
      </c>
      <c r="H12" s="79">
        <f t="shared" ref="H12:H33" si="46">IF(OR(C12="", E12="", G12=""), "", C12 + E12 - G12)</f>
        <v>5186</v>
      </c>
      <c r="I12" s="80">
        <f t="shared" ref="I12:I33" si="47">IF(OR(H12="", K12="", M12="", O12="", Q12=""), "", H12 - K12 - M12 - O12 - Q12)</f>
        <v>4169.6197895185323</v>
      </c>
      <c r="J12" s="35">
        <v>5087873.2</v>
      </c>
      <c r="K12" s="75">
        <f t="shared" si="36"/>
        <v>818.39999999944121</v>
      </c>
      <c r="L12" s="9">
        <v>480047.47368385602</v>
      </c>
      <c r="M12" s="75">
        <f t="shared" si="37"/>
        <v>14.684210481995251</v>
      </c>
      <c r="N12" s="9">
        <v>164916.07133333309</v>
      </c>
      <c r="O12" s="75">
        <f t="shared" si="38"/>
        <v>67.077555555588333</v>
      </c>
      <c r="P12" s="35">
        <v>50775.812666666687</v>
      </c>
      <c r="Q12" s="75">
        <f t="shared" si="39"/>
        <v>116.21844444444287</v>
      </c>
      <c r="R12" s="94">
        <f t="shared" si="20"/>
        <v>46153</v>
      </c>
      <c r="S12" s="87">
        <v>2842</v>
      </c>
      <c r="T12" s="89"/>
      <c r="U12" s="75">
        <f t="shared" si="15"/>
        <v>173</v>
      </c>
      <c r="V12" s="11">
        <v>0.5</v>
      </c>
      <c r="W12" s="26">
        <v>0.48</v>
      </c>
      <c r="X12" s="96">
        <f t="shared" si="16"/>
        <v>2450</v>
      </c>
      <c r="Y12" s="84">
        <v>2118.38</v>
      </c>
      <c r="Z12" s="75">
        <f t="shared" si="17"/>
        <v>593.38000000000011</v>
      </c>
      <c r="AA12" s="28">
        <v>142334</v>
      </c>
      <c r="AB12" s="75">
        <f t="shared" si="40"/>
        <v>67</v>
      </c>
      <c r="AC12" s="28">
        <v>4688.3999999999996</v>
      </c>
      <c r="AD12" s="75">
        <f t="shared" si="41"/>
        <v>3.8000000000001819</v>
      </c>
      <c r="AE12" s="30">
        <v>73750</v>
      </c>
      <c r="AF12" s="75">
        <f t="shared" si="42"/>
        <v>53</v>
      </c>
      <c r="AG12" s="33">
        <v>0</v>
      </c>
      <c r="AH12" s="71"/>
      <c r="AI12" s="75" t="str">
        <f t="shared" si="43"/>
        <v/>
      </c>
      <c r="AJ12" s="8">
        <v>147</v>
      </c>
      <c r="AK12" s="13">
        <v>202</v>
      </c>
    </row>
    <row r="13" spans="1:37" x14ac:dyDescent="0.2">
      <c r="A13" s="94">
        <f t="shared" si="12"/>
        <v>46154</v>
      </c>
      <c r="B13" s="6">
        <v>34122491</v>
      </c>
      <c r="C13" s="75">
        <f t="shared" si="35"/>
        <v>4682</v>
      </c>
      <c r="D13" s="20">
        <v>1694956</v>
      </c>
      <c r="E13" s="75">
        <f t="shared" ref="E13" si="48">IF(OR(D14="", D13=""), "", D14 - D13)</f>
        <v>532</v>
      </c>
      <c r="F13" s="20">
        <v>209486</v>
      </c>
      <c r="G13" s="75">
        <f t="shared" ref="G13" si="49">IF(OR(F14="", F13=""), "", F14 - F13)</f>
        <v>0</v>
      </c>
      <c r="H13" s="79">
        <f t="shared" si="46"/>
        <v>5214</v>
      </c>
      <c r="I13" s="80">
        <f t="shared" si="47"/>
        <v>4186.4197895174439</v>
      </c>
      <c r="J13" s="35">
        <v>5088691.5999999996</v>
      </c>
      <c r="K13" s="75">
        <f t="shared" si="36"/>
        <v>829.60000000055879</v>
      </c>
      <c r="L13" s="9">
        <v>480062.15789433802</v>
      </c>
      <c r="M13" s="75">
        <f t="shared" si="37"/>
        <v>14.684210481995251</v>
      </c>
      <c r="N13" s="9">
        <v>164983.14888888868</v>
      </c>
      <c r="O13" s="75">
        <f t="shared" si="38"/>
        <v>67.077555555559229</v>
      </c>
      <c r="P13" s="35">
        <v>50892.03111111113</v>
      </c>
      <c r="Q13" s="75">
        <f t="shared" si="39"/>
        <v>116.21844444444287</v>
      </c>
      <c r="R13" s="94">
        <f t="shared" si="20"/>
        <v>46154</v>
      </c>
      <c r="S13" s="87">
        <v>2669</v>
      </c>
      <c r="T13" s="89"/>
      <c r="U13" s="75">
        <f t="shared" si="15"/>
        <v>160</v>
      </c>
      <c r="V13" s="11">
        <v>0.8</v>
      </c>
      <c r="W13" s="26">
        <v>0.79</v>
      </c>
      <c r="X13" s="96">
        <f t="shared" si="16"/>
        <v>3975</v>
      </c>
      <c r="Y13" s="84"/>
      <c r="Z13" s="75">
        <f t="shared" si="17"/>
        <v>225</v>
      </c>
      <c r="AA13" s="28">
        <v>142401</v>
      </c>
      <c r="AB13" s="75">
        <f t="shared" si="40"/>
        <v>62</v>
      </c>
      <c r="AC13" s="28">
        <v>4692.2</v>
      </c>
      <c r="AD13" s="75">
        <f t="shared" si="41"/>
        <v>5</v>
      </c>
      <c r="AE13" s="30">
        <v>73803</v>
      </c>
      <c r="AF13" s="75">
        <f t="shared" si="42"/>
        <v>16</v>
      </c>
      <c r="AG13" s="33">
        <v>0</v>
      </c>
      <c r="AH13" s="71"/>
      <c r="AI13" s="75" t="str">
        <f t="shared" si="43"/>
        <v/>
      </c>
      <c r="AJ13" s="8">
        <v>96</v>
      </c>
      <c r="AK13" s="13">
        <v>154</v>
      </c>
    </row>
    <row r="14" spans="1:37" x14ac:dyDescent="0.2">
      <c r="A14" s="94">
        <f t="shared" si="12"/>
        <v>46155</v>
      </c>
      <c r="B14" s="6">
        <v>34127173</v>
      </c>
      <c r="C14" s="75">
        <f t="shared" si="35"/>
        <v>4783</v>
      </c>
      <c r="D14" s="20">
        <v>1695488</v>
      </c>
      <c r="E14" s="75">
        <f t="shared" ref="E14" si="50">IF(OR(D15="", D14=""), "", D15 - D14)</f>
        <v>496</v>
      </c>
      <c r="F14" s="20">
        <v>209486</v>
      </c>
      <c r="G14" s="75">
        <f t="shared" ref="G14" si="51">IF(OR(F15="", F14=""), "", F15 - F14)</f>
        <v>1</v>
      </c>
      <c r="H14" s="79">
        <f t="shared" si="46"/>
        <v>5278</v>
      </c>
      <c r="I14" s="80">
        <f t="shared" si="47"/>
        <v>4249.0197895180027</v>
      </c>
      <c r="J14" s="35">
        <v>5089521.2</v>
      </c>
      <c r="K14" s="75">
        <f t="shared" si="36"/>
        <v>831</v>
      </c>
      <c r="L14" s="9">
        <v>480076.84210482001</v>
      </c>
      <c r="M14" s="75">
        <f t="shared" si="37"/>
        <v>14.684210481995251</v>
      </c>
      <c r="N14" s="9">
        <v>165050.22644444424</v>
      </c>
      <c r="O14" s="75">
        <f t="shared" si="38"/>
        <v>67.077555555559229</v>
      </c>
      <c r="P14" s="35">
        <v>51008.249555555572</v>
      </c>
      <c r="Q14" s="75">
        <f t="shared" si="39"/>
        <v>116.21844444444287</v>
      </c>
      <c r="R14" s="94">
        <f t="shared" si="20"/>
        <v>46155</v>
      </c>
      <c r="S14" s="87">
        <v>2509</v>
      </c>
      <c r="T14" s="89"/>
      <c r="U14" s="75">
        <f t="shared" si="15"/>
        <v>94</v>
      </c>
      <c r="V14" s="11">
        <v>0.75</v>
      </c>
      <c r="W14" s="26">
        <v>0.75</v>
      </c>
      <c r="X14" s="96">
        <f t="shared" si="16"/>
        <v>3750</v>
      </c>
      <c r="Y14" s="84"/>
      <c r="Z14" s="75">
        <f t="shared" si="17"/>
        <v>275</v>
      </c>
      <c r="AA14" s="28">
        <v>142463</v>
      </c>
      <c r="AB14" s="75">
        <f t="shared" si="40"/>
        <v>61</v>
      </c>
      <c r="AC14" s="28">
        <v>4697.2</v>
      </c>
      <c r="AD14" s="75">
        <f t="shared" si="41"/>
        <v>7.6999999999998181</v>
      </c>
      <c r="AE14" s="30">
        <v>73819</v>
      </c>
      <c r="AF14" s="75">
        <f t="shared" si="42"/>
        <v>21</v>
      </c>
      <c r="AG14" s="33">
        <v>0</v>
      </c>
      <c r="AH14" s="71"/>
      <c r="AI14" s="75" t="str">
        <f t="shared" si="43"/>
        <v/>
      </c>
      <c r="AJ14" s="8">
        <v>109</v>
      </c>
      <c r="AK14" s="13">
        <v>175</v>
      </c>
    </row>
    <row r="15" spans="1:37" x14ac:dyDescent="0.2">
      <c r="A15" s="94">
        <f t="shared" si="12"/>
        <v>46156</v>
      </c>
      <c r="B15" s="6">
        <v>34131956</v>
      </c>
      <c r="C15" s="75">
        <f t="shared" si="35"/>
        <v>3964</v>
      </c>
      <c r="D15" s="20">
        <v>1695984</v>
      </c>
      <c r="E15" s="75">
        <f t="shared" ref="E15" si="52">IF(OR(D16="", D15=""), "", D16 - D15)</f>
        <v>934</v>
      </c>
      <c r="F15" s="20">
        <v>209487</v>
      </c>
      <c r="G15" s="75">
        <f t="shared" ref="G15" si="53">IF(OR(F16="", F15=""), "", F16 - F15)</f>
        <v>37</v>
      </c>
      <c r="H15" s="79">
        <f t="shared" si="46"/>
        <v>4861</v>
      </c>
      <c r="I15" s="80">
        <f t="shared" si="47"/>
        <v>3869.2197895181889</v>
      </c>
      <c r="J15" s="35">
        <v>5090352.2</v>
      </c>
      <c r="K15" s="75">
        <f t="shared" si="36"/>
        <v>793.79999999981374</v>
      </c>
      <c r="L15" s="9">
        <v>480091.52631530201</v>
      </c>
      <c r="M15" s="75">
        <f t="shared" si="37"/>
        <v>14.684210481995251</v>
      </c>
      <c r="N15" s="9">
        <v>165117.3039999998</v>
      </c>
      <c r="O15" s="75">
        <f t="shared" si="38"/>
        <v>67.077555555559229</v>
      </c>
      <c r="P15" s="35">
        <v>51124.468000000015</v>
      </c>
      <c r="Q15" s="75">
        <f t="shared" si="39"/>
        <v>116.21844444444287</v>
      </c>
      <c r="R15" s="94">
        <f t="shared" si="20"/>
        <v>46156</v>
      </c>
      <c r="S15" s="87">
        <v>2415</v>
      </c>
      <c r="T15" s="89">
        <v>6000</v>
      </c>
      <c r="U15" s="75">
        <f t="shared" si="15"/>
        <v>234</v>
      </c>
      <c r="V15" s="11">
        <v>0.7</v>
      </c>
      <c r="W15" s="26">
        <v>0.69</v>
      </c>
      <c r="X15" s="96">
        <f t="shared" si="16"/>
        <v>3475</v>
      </c>
      <c r="Y15" s="84"/>
      <c r="Z15" s="75">
        <f t="shared" si="17"/>
        <v>225</v>
      </c>
      <c r="AA15" s="28">
        <v>142524</v>
      </c>
      <c r="AB15" s="75">
        <f t="shared" si="40"/>
        <v>59</v>
      </c>
      <c r="AC15" s="28">
        <v>4704.8999999999996</v>
      </c>
      <c r="AD15" s="75">
        <f t="shared" si="41"/>
        <v>5</v>
      </c>
      <c r="AE15" s="30">
        <v>73840</v>
      </c>
      <c r="AF15" s="75">
        <f t="shared" si="42"/>
        <v>29</v>
      </c>
      <c r="AG15" s="33">
        <v>0</v>
      </c>
      <c r="AH15" s="71"/>
      <c r="AI15" s="75" t="str">
        <f t="shared" si="43"/>
        <v/>
      </c>
      <c r="AJ15" s="8">
        <v>142</v>
      </c>
      <c r="AK15" s="13">
        <v>223</v>
      </c>
    </row>
    <row r="16" spans="1:37" x14ac:dyDescent="0.2">
      <c r="A16" s="94">
        <f t="shared" si="12"/>
        <v>46157</v>
      </c>
      <c r="B16" s="6">
        <v>34135920</v>
      </c>
      <c r="C16" s="75">
        <f t="shared" si="35"/>
        <v>4793</v>
      </c>
      <c r="D16" s="20">
        <v>1696918</v>
      </c>
      <c r="E16" s="75">
        <f t="shared" ref="E16" si="54">IF(OR(D17="", D16=""), "", D17 - D16)</f>
        <v>345</v>
      </c>
      <c r="F16" s="20">
        <v>209524</v>
      </c>
      <c r="G16" s="75">
        <f t="shared" ref="G16" si="55">IF(OR(F17="", F16=""), "", F17 - F16)</f>
        <v>1</v>
      </c>
      <c r="H16" s="79">
        <f t="shared" si="46"/>
        <v>5137</v>
      </c>
      <c r="I16" s="80">
        <f t="shared" si="47"/>
        <v>4084.619789517601</v>
      </c>
      <c r="J16" s="35">
        <v>5091146</v>
      </c>
      <c r="K16" s="75">
        <f t="shared" si="36"/>
        <v>854.40000000037253</v>
      </c>
      <c r="L16" s="9">
        <v>480106.210525784</v>
      </c>
      <c r="M16" s="75">
        <f t="shared" si="37"/>
        <v>14.684210481995251</v>
      </c>
      <c r="N16" s="9">
        <v>165184.38155555536</v>
      </c>
      <c r="O16" s="75">
        <f t="shared" si="38"/>
        <v>67.077555555588333</v>
      </c>
      <c r="P16" s="35">
        <v>51240.686444444458</v>
      </c>
      <c r="Q16" s="75">
        <f t="shared" si="39"/>
        <v>116.21844444444287</v>
      </c>
      <c r="R16" s="94">
        <f t="shared" si="20"/>
        <v>46157</v>
      </c>
      <c r="S16" s="87">
        <v>8181</v>
      </c>
      <c r="T16" s="89"/>
      <c r="U16" s="75">
        <f t="shared" si="15"/>
        <v>101</v>
      </c>
      <c r="V16" s="11">
        <v>0.65</v>
      </c>
      <c r="W16" s="26">
        <v>0.65</v>
      </c>
      <c r="X16" s="96">
        <f t="shared" si="16"/>
        <v>3250</v>
      </c>
      <c r="Y16" s="84"/>
      <c r="Z16" s="75">
        <f t="shared" si="17"/>
        <v>175</v>
      </c>
      <c r="AA16" s="28">
        <v>142583</v>
      </c>
      <c r="AB16" s="75">
        <f t="shared" si="40"/>
        <v>69</v>
      </c>
      <c r="AC16" s="28">
        <v>4709.8999999999996</v>
      </c>
      <c r="AD16" s="75">
        <f t="shared" si="41"/>
        <v>7.9000000000005457</v>
      </c>
      <c r="AE16" s="30">
        <v>73869</v>
      </c>
      <c r="AF16" s="75">
        <f t="shared" si="42"/>
        <v>35</v>
      </c>
      <c r="AG16" s="33">
        <v>0</v>
      </c>
      <c r="AH16" s="71"/>
      <c r="AI16" s="75" t="str">
        <f t="shared" si="43"/>
        <v/>
      </c>
      <c r="AJ16" s="8">
        <v>133</v>
      </c>
      <c r="AK16" s="13">
        <v>217</v>
      </c>
    </row>
    <row r="17" spans="1:37" x14ac:dyDescent="0.2">
      <c r="A17" s="94">
        <f t="shared" si="12"/>
        <v>46158</v>
      </c>
      <c r="B17" s="6">
        <v>34140713</v>
      </c>
      <c r="C17" s="75">
        <f t="shared" si="35"/>
        <v>4737</v>
      </c>
      <c r="D17" s="20">
        <v>1697263</v>
      </c>
      <c r="E17" s="75">
        <f t="shared" ref="E17" si="56">IF(OR(D18="", D17=""), "", D18 - D17)</f>
        <v>480</v>
      </c>
      <c r="F17" s="20">
        <v>209525</v>
      </c>
      <c r="G17" s="75">
        <f t="shared" ref="G17" si="57">IF(OR(F18="", F17=""), "", F18 - F17)</f>
        <v>0</v>
      </c>
      <c r="H17" s="79">
        <f t="shared" si="46"/>
        <v>5217</v>
      </c>
      <c r="I17" s="80">
        <f t="shared" si="47"/>
        <v>4138.2197895181889</v>
      </c>
      <c r="J17" s="35">
        <v>5092000.4000000004</v>
      </c>
      <c r="K17" s="75">
        <f t="shared" si="36"/>
        <v>880.79999999981374</v>
      </c>
      <c r="L17" s="9">
        <v>480120.894736266</v>
      </c>
      <c r="M17" s="75">
        <f t="shared" si="37"/>
        <v>14.684210481995251</v>
      </c>
      <c r="N17" s="9">
        <v>165251.45911111095</v>
      </c>
      <c r="O17" s="75">
        <f t="shared" si="38"/>
        <v>67.077555555559229</v>
      </c>
      <c r="P17" s="35">
        <v>51356.904888888901</v>
      </c>
      <c r="Q17" s="75">
        <f t="shared" si="39"/>
        <v>116.21844444444287</v>
      </c>
      <c r="R17" s="94">
        <f t="shared" si="20"/>
        <v>46158</v>
      </c>
      <c r="S17" s="87">
        <v>8080</v>
      </c>
      <c r="T17" s="89"/>
      <c r="U17" s="75">
        <f t="shared" si="15"/>
        <v>100</v>
      </c>
      <c r="V17" s="11">
        <v>0.6</v>
      </c>
      <c r="W17" s="26">
        <v>0.63</v>
      </c>
      <c r="X17" s="96">
        <f t="shared" si="16"/>
        <v>3075</v>
      </c>
      <c r="Y17" s="84"/>
      <c r="Z17" s="75">
        <f t="shared" si="17"/>
        <v>150</v>
      </c>
      <c r="AA17" s="28">
        <v>142652</v>
      </c>
      <c r="AB17" s="75">
        <f t="shared" si="40"/>
        <v>65</v>
      </c>
      <c r="AC17" s="28">
        <v>4717.8</v>
      </c>
      <c r="AD17" s="75">
        <f t="shared" si="41"/>
        <v>5.3999999999996362</v>
      </c>
      <c r="AE17" s="30">
        <v>73904</v>
      </c>
      <c r="AF17" s="75">
        <f t="shared" si="42"/>
        <v>0</v>
      </c>
      <c r="AG17" s="33">
        <v>0</v>
      </c>
      <c r="AH17" s="71"/>
      <c r="AI17" s="75" t="str">
        <f t="shared" si="43"/>
        <v/>
      </c>
      <c r="AJ17" s="8">
        <v>104</v>
      </c>
      <c r="AK17" s="13">
        <v>189</v>
      </c>
    </row>
    <row r="18" spans="1:37" x14ac:dyDescent="0.2">
      <c r="A18" s="94">
        <f t="shared" si="12"/>
        <v>46159</v>
      </c>
      <c r="B18" s="6">
        <v>34145450</v>
      </c>
      <c r="C18" s="75">
        <f t="shared" si="35"/>
        <v>4472</v>
      </c>
      <c r="D18" s="20">
        <v>1697743</v>
      </c>
      <c r="E18" s="75">
        <f t="shared" ref="E18" si="58">IF(OR(D19="", D18=""), "", D19 - D18)</f>
        <v>243</v>
      </c>
      <c r="F18" s="20">
        <v>209525</v>
      </c>
      <c r="G18" s="75">
        <f t="shared" ref="G18" si="59">IF(OR(F19="", F18=""), "", F19 - F18)</f>
        <v>0</v>
      </c>
      <c r="H18" s="79">
        <f t="shared" si="46"/>
        <v>4715</v>
      </c>
      <c r="I18" s="80">
        <f t="shared" si="47"/>
        <v>3637.8197895178164</v>
      </c>
      <c r="J18" s="35">
        <v>5092881.2</v>
      </c>
      <c r="K18" s="75">
        <f t="shared" si="36"/>
        <v>879.20000000018626</v>
      </c>
      <c r="L18" s="9">
        <v>480135.57894674799</v>
      </c>
      <c r="M18" s="75">
        <f t="shared" si="37"/>
        <v>14.684210481995251</v>
      </c>
      <c r="N18" s="9">
        <v>165318.53666666651</v>
      </c>
      <c r="O18" s="75">
        <f t="shared" si="38"/>
        <v>67.077555555559229</v>
      </c>
      <c r="P18" s="35">
        <v>51473.123333333344</v>
      </c>
      <c r="Q18" s="75">
        <f t="shared" si="39"/>
        <v>116.21844444444287</v>
      </c>
      <c r="R18" s="94">
        <f t="shared" si="20"/>
        <v>46159</v>
      </c>
      <c r="S18" s="87">
        <v>7980</v>
      </c>
      <c r="T18" s="89"/>
      <c r="U18" s="75">
        <f t="shared" si="15"/>
        <v>101</v>
      </c>
      <c r="V18" s="11">
        <v>0.56999999999999995</v>
      </c>
      <c r="W18" s="26">
        <v>0.6</v>
      </c>
      <c r="X18" s="96">
        <f t="shared" si="16"/>
        <v>2925</v>
      </c>
      <c r="Y18" s="84"/>
      <c r="Z18" s="75">
        <f t="shared" si="17"/>
        <v>200</v>
      </c>
      <c r="AA18" s="28">
        <v>142717</v>
      </c>
      <c r="AB18" s="75">
        <f t="shared" si="40"/>
        <v>58</v>
      </c>
      <c r="AC18" s="28">
        <v>4723.2</v>
      </c>
      <c r="AD18" s="75">
        <f t="shared" si="41"/>
        <v>4.6000000000003638</v>
      </c>
      <c r="AE18" s="30">
        <v>73904</v>
      </c>
      <c r="AF18" s="75">
        <f t="shared" si="42"/>
        <v>6</v>
      </c>
      <c r="AG18" s="33">
        <v>0</v>
      </c>
      <c r="AH18" s="71"/>
      <c r="AI18" s="75" t="str">
        <f t="shared" si="43"/>
        <v/>
      </c>
      <c r="AJ18" s="8">
        <v>94</v>
      </c>
      <c r="AK18" s="13">
        <v>168</v>
      </c>
    </row>
    <row r="19" spans="1:37" x14ac:dyDescent="0.2">
      <c r="A19" s="94">
        <f t="shared" si="12"/>
        <v>46160</v>
      </c>
      <c r="B19" s="6">
        <v>34149922</v>
      </c>
      <c r="C19" s="75">
        <f t="shared" si="35"/>
        <v>4469</v>
      </c>
      <c r="D19" s="20">
        <v>1697986</v>
      </c>
      <c r="E19" s="75">
        <f t="shared" ref="E19" si="60">IF(OR(D20="", D19=""), "", D20 - D19)</f>
        <v>560</v>
      </c>
      <c r="F19" s="20">
        <v>209525</v>
      </c>
      <c r="G19" s="75">
        <f t="shared" ref="G19" si="61">IF(OR(F20="", F19=""), "", F20 - F19)</f>
        <v>0</v>
      </c>
      <c r="H19" s="79">
        <f t="shared" si="46"/>
        <v>5029</v>
      </c>
      <c r="I19" s="80">
        <f t="shared" si="47"/>
        <v>3905.0197895179735</v>
      </c>
      <c r="J19" s="35">
        <v>5093760.4000000004</v>
      </c>
      <c r="K19" s="75">
        <f t="shared" si="36"/>
        <v>926</v>
      </c>
      <c r="L19" s="9">
        <v>480150.26315722999</v>
      </c>
      <c r="M19" s="75">
        <f t="shared" si="37"/>
        <v>14.684210481995251</v>
      </c>
      <c r="N19" s="9">
        <v>165385.61422222207</v>
      </c>
      <c r="O19" s="75">
        <f t="shared" si="38"/>
        <v>67.077555555588333</v>
      </c>
      <c r="P19" s="35">
        <v>51589.341777777787</v>
      </c>
      <c r="Q19" s="75">
        <f t="shared" si="39"/>
        <v>116.21844444444287</v>
      </c>
      <c r="R19" s="94">
        <f t="shared" si="20"/>
        <v>46160</v>
      </c>
      <c r="S19" s="87">
        <v>7879</v>
      </c>
      <c r="T19" s="89"/>
      <c r="U19" s="75">
        <f t="shared" si="15"/>
        <v>123</v>
      </c>
      <c r="V19" s="11">
        <v>0.54</v>
      </c>
      <c r="W19" s="26">
        <v>0.55000000000000004</v>
      </c>
      <c r="X19" s="96">
        <f t="shared" si="16"/>
        <v>2725</v>
      </c>
      <c r="Y19" s="84">
        <v>1632.91</v>
      </c>
      <c r="Z19" s="75">
        <f t="shared" si="17"/>
        <v>357.90999999999985</v>
      </c>
      <c r="AA19" s="28">
        <v>142775</v>
      </c>
      <c r="AB19" s="75">
        <f t="shared" si="40"/>
        <v>70</v>
      </c>
      <c r="AC19" s="28">
        <v>4727.8</v>
      </c>
      <c r="AD19" s="75">
        <f t="shared" si="41"/>
        <v>10.899999999999636</v>
      </c>
      <c r="AE19" s="30">
        <v>73910</v>
      </c>
      <c r="AF19" s="75">
        <f t="shared" si="42"/>
        <v>39</v>
      </c>
      <c r="AG19" s="33">
        <v>0</v>
      </c>
      <c r="AH19" s="71"/>
      <c r="AI19" s="75" t="str">
        <f t="shared" si="43"/>
        <v/>
      </c>
      <c r="AJ19" s="8">
        <v>93</v>
      </c>
      <c r="AK19" s="13">
        <v>161</v>
      </c>
    </row>
    <row r="20" spans="1:37" x14ac:dyDescent="0.2">
      <c r="A20" s="94">
        <f t="shared" si="12"/>
        <v>46161</v>
      </c>
      <c r="B20" s="6">
        <v>34154391</v>
      </c>
      <c r="C20" s="75">
        <f t="shared" si="35"/>
        <v>4219</v>
      </c>
      <c r="D20" s="20">
        <v>1698546</v>
      </c>
      <c r="E20" s="75">
        <f t="shared" ref="E20" si="62">IF(OR(D21="", D20=""), "", D21 - D20)</f>
        <v>725</v>
      </c>
      <c r="F20" s="20">
        <v>209525</v>
      </c>
      <c r="G20" s="75">
        <f t="shared" ref="G20" si="63">IF(OR(F21="", F20=""), "", F21 - F20)</f>
        <v>4</v>
      </c>
      <c r="H20" s="79">
        <f t="shared" si="46"/>
        <v>4940</v>
      </c>
      <c r="I20" s="80">
        <f t="shared" si="47"/>
        <v>3914.0197895180027</v>
      </c>
      <c r="J20" s="35">
        <v>5094686.4000000004</v>
      </c>
      <c r="K20" s="75">
        <f t="shared" si="36"/>
        <v>828</v>
      </c>
      <c r="L20" s="9">
        <v>480164.94736771198</v>
      </c>
      <c r="M20" s="75">
        <f t="shared" si="37"/>
        <v>14.684210481995251</v>
      </c>
      <c r="N20" s="9">
        <v>165452.69177777765</v>
      </c>
      <c r="O20" s="75">
        <f t="shared" si="38"/>
        <v>67.077555555559229</v>
      </c>
      <c r="P20" s="35">
        <v>51705.56022222223</v>
      </c>
      <c r="Q20" s="75">
        <f t="shared" si="39"/>
        <v>116.21844444444287</v>
      </c>
      <c r="R20" s="94">
        <f t="shared" si="20"/>
        <v>46161</v>
      </c>
      <c r="S20" s="87">
        <v>7756</v>
      </c>
      <c r="T20" s="89"/>
      <c r="U20" s="75">
        <f t="shared" si="15"/>
        <v>145</v>
      </c>
      <c r="V20" s="11">
        <v>0.8</v>
      </c>
      <c r="W20" s="26">
        <v>0.8</v>
      </c>
      <c r="X20" s="96">
        <f t="shared" si="16"/>
        <v>4000</v>
      </c>
      <c r="Y20" s="84"/>
      <c r="Z20" s="75">
        <f t="shared" si="17"/>
        <v>300</v>
      </c>
      <c r="AA20" s="28">
        <v>142845</v>
      </c>
      <c r="AB20" s="75">
        <f t="shared" si="40"/>
        <v>58</v>
      </c>
      <c r="AC20" s="28">
        <v>4738.7</v>
      </c>
      <c r="AD20" s="75">
        <f t="shared" si="41"/>
        <v>5.8000000000001819</v>
      </c>
      <c r="AE20" s="30">
        <v>73949</v>
      </c>
      <c r="AF20" s="75">
        <f t="shared" si="42"/>
        <v>14</v>
      </c>
      <c r="AG20" s="33">
        <v>0</v>
      </c>
      <c r="AH20" s="71"/>
      <c r="AI20" s="75" t="str">
        <f t="shared" si="43"/>
        <v/>
      </c>
      <c r="AJ20" s="8">
        <v>100</v>
      </c>
      <c r="AK20" s="13">
        <v>171</v>
      </c>
    </row>
    <row r="21" spans="1:37" x14ac:dyDescent="0.2">
      <c r="A21" s="94">
        <f t="shared" si="12"/>
        <v>46162</v>
      </c>
      <c r="B21" s="6">
        <v>34158610</v>
      </c>
      <c r="C21" s="75">
        <f t="shared" si="35"/>
        <v>4147</v>
      </c>
      <c r="D21" s="20">
        <v>1699271</v>
      </c>
      <c r="E21" s="75">
        <f t="shared" ref="E21" si="64">IF(OR(D22="", D21=""), "", D22 - D21)</f>
        <v>597</v>
      </c>
      <c r="F21" s="20">
        <v>209529</v>
      </c>
      <c r="G21" s="75">
        <f t="shared" ref="G21" si="65">IF(OR(F22="", F21=""), "", F22 - F21)</f>
        <v>3</v>
      </c>
      <c r="H21" s="79">
        <f t="shared" si="46"/>
        <v>4741</v>
      </c>
      <c r="I21" s="80">
        <f t="shared" si="47"/>
        <v>3706.6197895185614</v>
      </c>
      <c r="J21" s="35">
        <v>5095514.4000000004</v>
      </c>
      <c r="K21" s="75">
        <f t="shared" si="36"/>
        <v>836.39999999944121</v>
      </c>
      <c r="L21" s="9">
        <v>480179.63157819398</v>
      </c>
      <c r="M21" s="75">
        <f t="shared" si="37"/>
        <v>14.684210481995251</v>
      </c>
      <c r="N21" s="9">
        <v>165519.76933333321</v>
      </c>
      <c r="O21" s="75">
        <f t="shared" si="38"/>
        <v>67.077555555559229</v>
      </c>
      <c r="P21" s="35">
        <v>51821.778666666673</v>
      </c>
      <c r="Q21" s="75">
        <f t="shared" si="39"/>
        <v>116.21844444444287</v>
      </c>
      <c r="R21" s="94">
        <f t="shared" si="20"/>
        <v>46162</v>
      </c>
      <c r="S21" s="87">
        <v>7611</v>
      </c>
      <c r="T21" s="89"/>
      <c r="U21" s="75">
        <f t="shared" si="15"/>
        <v>115</v>
      </c>
      <c r="V21" s="11">
        <v>0.73</v>
      </c>
      <c r="W21" s="26">
        <v>0.75</v>
      </c>
      <c r="X21" s="96">
        <f t="shared" si="16"/>
        <v>3700</v>
      </c>
      <c r="Y21" s="84"/>
      <c r="Z21" s="75">
        <f>IF(OR(X21="", X22=""), "", X21 + Y21 - X22)</f>
        <v>299.99999999999955</v>
      </c>
      <c r="AA21" s="28">
        <v>142903</v>
      </c>
      <c r="AB21" s="75">
        <f t="shared" si="40"/>
        <v>59</v>
      </c>
      <c r="AC21" s="28">
        <v>4744.5</v>
      </c>
      <c r="AD21" s="75">
        <f t="shared" si="41"/>
        <v>4.8999999999996362</v>
      </c>
      <c r="AE21" s="30">
        <v>73963</v>
      </c>
      <c r="AF21" s="75">
        <f t="shared" si="42"/>
        <v>37</v>
      </c>
      <c r="AG21" s="33">
        <v>0</v>
      </c>
      <c r="AH21" s="71"/>
      <c r="AI21" s="75" t="str">
        <f t="shared" si="43"/>
        <v/>
      </c>
      <c r="AJ21" s="8">
        <v>117</v>
      </c>
      <c r="AK21" s="13">
        <v>204</v>
      </c>
    </row>
    <row r="22" spans="1:37" x14ac:dyDescent="0.2">
      <c r="A22" s="94">
        <f t="shared" si="12"/>
        <v>46163</v>
      </c>
      <c r="B22" s="6">
        <v>34162757</v>
      </c>
      <c r="C22" s="75">
        <f t="shared" si="35"/>
        <v>5173</v>
      </c>
      <c r="D22" s="20">
        <v>1699868</v>
      </c>
      <c r="E22" s="75">
        <f t="shared" ref="E22" si="66">IF(OR(D23="", D22=""), "", D23 - D22)</f>
        <v>412</v>
      </c>
      <c r="F22" s="20">
        <v>209532</v>
      </c>
      <c r="G22" s="75">
        <f t="shared" ref="G22" si="67">IF(OR(F23="", F22=""), "", F23 - F22)</f>
        <v>5</v>
      </c>
      <c r="H22" s="79">
        <f t="shared" si="46"/>
        <v>5580</v>
      </c>
      <c r="I22" s="80">
        <f t="shared" si="47"/>
        <v>4476.4197895173857</v>
      </c>
      <c r="J22" s="35">
        <v>5096350.8</v>
      </c>
      <c r="K22" s="75">
        <f t="shared" si="36"/>
        <v>905.60000000055879</v>
      </c>
      <c r="L22" s="9">
        <v>480194.31578867597</v>
      </c>
      <c r="M22" s="75">
        <f t="shared" si="37"/>
        <v>14.684210482053459</v>
      </c>
      <c r="N22" s="9">
        <v>165586.84688888877</v>
      </c>
      <c r="O22" s="75">
        <f t="shared" si="38"/>
        <v>67.077555555559229</v>
      </c>
      <c r="P22" s="35">
        <v>51937.997111111115</v>
      </c>
      <c r="Q22" s="75">
        <f t="shared" si="39"/>
        <v>116.21844444444287</v>
      </c>
      <c r="R22" s="94">
        <f t="shared" si="20"/>
        <v>46163</v>
      </c>
      <c r="S22" s="87">
        <v>7496</v>
      </c>
      <c r="T22" s="89"/>
      <c r="U22" s="75">
        <f t="shared" si="15"/>
        <v>121</v>
      </c>
      <c r="V22" s="11">
        <v>0.68</v>
      </c>
      <c r="W22" s="26">
        <v>0.68</v>
      </c>
      <c r="X22" s="96">
        <f t="shared" si="16"/>
        <v>3400.0000000000005</v>
      </c>
      <c r="Y22" s="84"/>
      <c r="Z22" s="75">
        <f t="shared" si="17"/>
        <v>275.00000000000045</v>
      </c>
      <c r="AA22" s="28">
        <v>142962</v>
      </c>
      <c r="AB22" s="75">
        <f t="shared" si="40"/>
        <v>68</v>
      </c>
      <c r="AC22" s="28">
        <v>4749.3999999999996</v>
      </c>
      <c r="AD22" s="75">
        <f t="shared" si="41"/>
        <v>6.8000000000001819</v>
      </c>
      <c r="AE22" s="30">
        <v>74000</v>
      </c>
      <c r="AF22" s="75">
        <f t="shared" si="42"/>
        <v>19</v>
      </c>
      <c r="AG22" s="33">
        <v>0</v>
      </c>
      <c r="AH22" s="71"/>
      <c r="AI22" s="75" t="str">
        <f t="shared" si="43"/>
        <v/>
      </c>
      <c r="AJ22" s="8">
        <v>132</v>
      </c>
      <c r="AK22" s="13">
        <v>242</v>
      </c>
    </row>
    <row r="23" spans="1:37" x14ac:dyDescent="0.2">
      <c r="A23" s="94">
        <f t="shared" si="12"/>
        <v>46164</v>
      </c>
      <c r="B23" s="6">
        <v>34167930</v>
      </c>
      <c r="C23" s="75">
        <f t="shared" si="35"/>
        <v>4786</v>
      </c>
      <c r="D23" s="20">
        <v>1700280</v>
      </c>
      <c r="E23" s="75">
        <f t="shared" ref="E23" si="68">IF(OR(D24="", D23=""), "", D24 - D23)</f>
        <v>843</v>
      </c>
      <c r="F23" s="20">
        <v>209537</v>
      </c>
      <c r="G23" s="75">
        <f t="shared" ref="G23" si="69">IF(OR(F24="", F23=""), "", F24 - F23)</f>
        <v>0</v>
      </c>
      <c r="H23" s="79">
        <f t="shared" si="46"/>
        <v>5629</v>
      </c>
      <c r="I23" s="80">
        <f t="shared" si="47"/>
        <v>4474.2197895181598</v>
      </c>
      <c r="J23" s="35">
        <v>5097256.4000000004</v>
      </c>
      <c r="K23" s="75">
        <f t="shared" si="36"/>
        <v>956.79999999981374</v>
      </c>
      <c r="L23" s="9">
        <v>480208.99999915803</v>
      </c>
      <c r="M23" s="75">
        <f t="shared" si="37"/>
        <v>14.684210481995251</v>
      </c>
      <c r="N23" s="9">
        <v>165653.92444444433</v>
      </c>
      <c r="O23" s="75">
        <f t="shared" si="38"/>
        <v>67.077555555588333</v>
      </c>
      <c r="P23" s="35">
        <v>52054.215555555558</v>
      </c>
      <c r="Q23" s="75">
        <f t="shared" si="39"/>
        <v>116.21844444444287</v>
      </c>
      <c r="R23" s="94">
        <f t="shared" si="20"/>
        <v>46164</v>
      </c>
      <c r="S23" s="87">
        <v>7375</v>
      </c>
      <c r="T23" s="89"/>
      <c r="U23" s="75">
        <f t="shared" si="15"/>
        <v>201</v>
      </c>
      <c r="V23" s="11">
        <v>0.62</v>
      </c>
      <c r="W23" s="26">
        <v>0.63</v>
      </c>
      <c r="X23" s="96">
        <f t="shared" si="16"/>
        <v>3125</v>
      </c>
      <c r="Y23" s="84"/>
      <c r="Z23" s="75">
        <f t="shared" si="17"/>
        <v>100</v>
      </c>
      <c r="AA23" s="28">
        <v>143030</v>
      </c>
      <c r="AB23" s="75">
        <f t="shared" si="40"/>
        <v>71</v>
      </c>
      <c r="AC23" s="28">
        <v>4756.2</v>
      </c>
      <c r="AD23" s="75">
        <f t="shared" si="41"/>
        <v>4.5</v>
      </c>
      <c r="AE23" s="30">
        <v>74019</v>
      </c>
      <c r="AF23" s="75">
        <f t="shared" si="42"/>
        <v>47</v>
      </c>
      <c r="AG23" s="33">
        <v>0</v>
      </c>
      <c r="AH23" s="71"/>
      <c r="AI23" s="75" t="str">
        <f t="shared" si="43"/>
        <v/>
      </c>
      <c r="AJ23" s="8">
        <v>158</v>
      </c>
      <c r="AK23" s="13">
        <v>304</v>
      </c>
    </row>
    <row r="24" spans="1:37" x14ac:dyDescent="0.2">
      <c r="A24" s="94">
        <f t="shared" si="12"/>
        <v>46165</v>
      </c>
      <c r="B24" s="6">
        <v>34172716</v>
      </c>
      <c r="C24" s="75">
        <f t="shared" si="35"/>
        <v>5171</v>
      </c>
      <c r="D24" s="20">
        <v>1701123</v>
      </c>
      <c r="E24" s="75">
        <f t="shared" ref="E24" si="70">IF(OR(D25="", D24=""), "", D25 - D24)</f>
        <v>299</v>
      </c>
      <c r="F24" s="20">
        <v>209537</v>
      </c>
      <c r="G24" s="75">
        <f t="shared" ref="G24" si="71">IF(OR(F25="", F24=""), "", F25 - F24)</f>
        <v>0</v>
      </c>
      <c r="H24" s="79">
        <f t="shared" si="46"/>
        <v>5470</v>
      </c>
      <c r="I24" s="80">
        <f t="shared" si="47"/>
        <v>4412.0197895180027</v>
      </c>
      <c r="J24" s="35">
        <v>5098213.2</v>
      </c>
      <c r="K24" s="75">
        <f t="shared" si="36"/>
        <v>860</v>
      </c>
      <c r="L24" s="9">
        <v>480223.68420964002</v>
      </c>
      <c r="M24" s="75">
        <f t="shared" si="37"/>
        <v>14.684210481995251</v>
      </c>
      <c r="N24" s="9">
        <v>165721.00199999992</v>
      </c>
      <c r="O24" s="75">
        <f t="shared" si="38"/>
        <v>67.077555555559229</v>
      </c>
      <c r="P24" s="35">
        <v>52170.434000000001</v>
      </c>
      <c r="Q24" s="75">
        <f t="shared" si="39"/>
        <v>116.21844444444287</v>
      </c>
      <c r="R24" s="94">
        <f t="shared" si="20"/>
        <v>46165</v>
      </c>
      <c r="S24" s="87">
        <v>7174</v>
      </c>
      <c r="T24" s="89"/>
      <c r="U24" s="75">
        <f t="shared" si="15"/>
        <v>202</v>
      </c>
      <c r="V24" s="11">
        <v>0.6</v>
      </c>
      <c r="W24" s="26">
        <v>0.61</v>
      </c>
      <c r="X24" s="96">
        <f t="shared" si="16"/>
        <v>3025</v>
      </c>
      <c r="Y24" s="84"/>
      <c r="Z24" s="75">
        <f t="shared" si="17"/>
        <v>224.99999999999955</v>
      </c>
      <c r="AA24" s="28">
        <v>143101</v>
      </c>
      <c r="AB24" s="75">
        <f t="shared" si="40"/>
        <v>76</v>
      </c>
      <c r="AC24" s="28">
        <v>4760.7</v>
      </c>
      <c r="AD24" s="75">
        <f t="shared" si="41"/>
        <v>6.1999999999998181</v>
      </c>
      <c r="AE24" s="30">
        <v>74066</v>
      </c>
      <c r="AF24" s="75">
        <f t="shared" si="42"/>
        <v>1</v>
      </c>
      <c r="AG24" s="33">
        <v>0</v>
      </c>
      <c r="AH24" s="71"/>
      <c r="AI24" s="75" t="str">
        <f t="shared" si="43"/>
        <v/>
      </c>
      <c r="AJ24" s="8">
        <v>164</v>
      </c>
      <c r="AK24" s="13">
        <v>326</v>
      </c>
    </row>
    <row r="25" spans="1:37" x14ac:dyDescent="0.2">
      <c r="A25" s="94">
        <f t="shared" si="12"/>
        <v>46166</v>
      </c>
      <c r="B25" s="6">
        <v>34177887</v>
      </c>
      <c r="C25" s="75">
        <f t="shared" si="35"/>
        <v>5309</v>
      </c>
      <c r="D25" s="20">
        <v>1701422</v>
      </c>
      <c r="E25" s="75">
        <f t="shared" ref="E25" si="72">IF(OR(D26="", D25=""), "", D26 - D25)</f>
        <v>154</v>
      </c>
      <c r="F25" s="20">
        <v>209537</v>
      </c>
      <c r="G25" s="75">
        <f t="shared" ref="G25" si="73">IF(OR(F26="", F25=""), "", F26 - F25)</f>
        <v>0</v>
      </c>
      <c r="H25" s="79">
        <f t="shared" si="46"/>
        <v>5463</v>
      </c>
      <c r="I25" s="80">
        <f t="shared" si="47"/>
        <v>4393.8197895178164</v>
      </c>
      <c r="J25" s="35">
        <v>5099073.2</v>
      </c>
      <c r="K25" s="75">
        <f t="shared" si="36"/>
        <v>871.20000000018626</v>
      </c>
      <c r="L25" s="9">
        <v>480238.36842012202</v>
      </c>
      <c r="M25" s="75">
        <f t="shared" si="37"/>
        <v>14.684210481995251</v>
      </c>
      <c r="N25" s="9">
        <v>165788.07955555548</v>
      </c>
      <c r="O25" s="75">
        <f t="shared" si="38"/>
        <v>67.077555555559229</v>
      </c>
      <c r="P25" s="35">
        <v>52286.652444444444</v>
      </c>
      <c r="Q25" s="75">
        <f t="shared" si="39"/>
        <v>116.21844444444287</v>
      </c>
      <c r="R25" s="94">
        <f t="shared" si="20"/>
        <v>46166</v>
      </c>
      <c r="S25" s="87">
        <v>6972</v>
      </c>
      <c r="T25" s="89"/>
      <c r="U25" s="75">
        <f t="shared" si="15"/>
        <v>201</v>
      </c>
      <c r="V25" s="11">
        <v>0.56000000000000005</v>
      </c>
      <c r="W25" s="26">
        <v>0.56000000000000005</v>
      </c>
      <c r="X25" s="96">
        <f t="shared" si="16"/>
        <v>2800.0000000000005</v>
      </c>
      <c r="Y25" s="84"/>
      <c r="Z25" s="75">
        <f t="shared" si="17"/>
        <v>200.00000000000045</v>
      </c>
      <c r="AA25" s="28">
        <v>143177</v>
      </c>
      <c r="AB25" s="75">
        <f t="shared" si="40"/>
        <v>76</v>
      </c>
      <c r="AC25" s="28">
        <v>4766.8999999999996</v>
      </c>
      <c r="AD25" s="75">
        <f t="shared" si="41"/>
        <v>4.6000000000003638</v>
      </c>
      <c r="AE25" s="30">
        <v>74067</v>
      </c>
      <c r="AF25" s="75">
        <f t="shared" si="42"/>
        <v>8</v>
      </c>
      <c r="AG25" s="33">
        <v>0</v>
      </c>
      <c r="AH25" s="71"/>
      <c r="AI25" s="75" t="str">
        <f t="shared" si="43"/>
        <v/>
      </c>
      <c r="AJ25" s="8">
        <v>161</v>
      </c>
      <c r="AK25" s="13">
        <v>326</v>
      </c>
    </row>
    <row r="26" spans="1:37" x14ac:dyDescent="0.2">
      <c r="A26" s="94">
        <f t="shared" si="12"/>
        <v>46167</v>
      </c>
      <c r="B26" s="6">
        <v>34183196</v>
      </c>
      <c r="C26" s="75">
        <f t="shared" si="35"/>
        <v>5100</v>
      </c>
      <c r="D26" s="20">
        <v>1701576</v>
      </c>
      <c r="E26" s="75">
        <f t="shared" ref="E26" si="74">IF(OR(D27="", D26=""), "", D27 - D26)</f>
        <v>557</v>
      </c>
      <c r="F26" s="20">
        <v>209537</v>
      </c>
      <c r="G26" s="75">
        <f t="shared" ref="G26" si="75">IF(OR(F27="", F26=""), "", F27 - F26)</f>
        <v>1</v>
      </c>
      <c r="H26" s="79">
        <f t="shared" si="46"/>
        <v>5656</v>
      </c>
      <c r="I26" s="80">
        <f t="shared" si="47"/>
        <v>4572.0197895180027</v>
      </c>
      <c r="J26" s="35">
        <v>5099944.4000000004</v>
      </c>
      <c r="K26" s="75">
        <f t="shared" si="36"/>
        <v>886</v>
      </c>
      <c r="L26" s="9">
        <v>480253.05263060401</v>
      </c>
      <c r="M26" s="75">
        <f t="shared" si="37"/>
        <v>14.684210481995251</v>
      </c>
      <c r="N26" s="9">
        <v>165855.15711111104</v>
      </c>
      <c r="O26" s="75">
        <f t="shared" si="38"/>
        <v>67.077555555559229</v>
      </c>
      <c r="P26" s="35">
        <v>52402.870888888887</v>
      </c>
      <c r="Q26" s="75">
        <f t="shared" si="39"/>
        <v>116.21844444444287</v>
      </c>
      <c r="R26" s="94">
        <f t="shared" si="20"/>
        <v>46167</v>
      </c>
      <c r="S26" s="87">
        <v>6771</v>
      </c>
      <c r="T26" s="89"/>
      <c r="U26" s="75">
        <f t="shared" si="15"/>
        <v>151</v>
      </c>
      <c r="V26" s="11">
        <v>0.52</v>
      </c>
      <c r="W26" s="26">
        <v>0.52</v>
      </c>
      <c r="X26" s="96">
        <f>IF(OR(V26="", W26=""), "", (V26 * 2500) + (W26 * 2500))</f>
        <v>2600</v>
      </c>
      <c r="Y26" s="84">
        <v>1864.79</v>
      </c>
      <c r="Z26" s="75">
        <f t="shared" si="17"/>
        <v>464.78999999999996</v>
      </c>
      <c r="AA26" s="28">
        <v>143253</v>
      </c>
      <c r="AB26" s="75">
        <f t="shared" si="40"/>
        <v>91</v>
      </c>
      <c r="AC26" s="28">
        <v>4771.5</v>
      </c>
      <c r="AD26" s="75">
        <f t="shared" si="41"/>
        <v>9.8000000000001819</v>
      </c>
      <c r="AE26" s="30">
        <v>74075</v>
      </c>
      <c r="AF26" s="75">
        <f t="shared" si="42"/>
        <v>58</v>
      </c>
      <c r="AG26" s="33">
        <v>0</v>
      </c>
      <c r="AH26" s="71"/>
      <c r="AI26" s="75" t="str">
        <f t="shared" si="43"/>
        <v/>
      </c>
      <c r="AJ26" s="8">
        <v>162</v>
      </c>
      <c r="AK26" s="13">
        <v>330</v>
      </c>
    </row>
    <row r="27" spans="1:37" x14ac:dyDescent="0.2">
      <c r="A27" s="94">
        <f t="shared" si="12"/>
        <v>46168</v>
      </c>
      <c r="B27" s="6">
        <v>34188296</v>
      </c>
      <c r="C27" s="75">
        <f t="shared" si="35"/>
        <v>5098</v>
      </c>
      <c r="D27" s="20">
        <v>1702133</v>
      </c>
      <c r="E27" s="75">
        <f t="shared" ref="E27" si="76">IF(OR(D28="", D27=""), "", D28 - D27)</f>
        <v>815</v>
      </c>
      <c r="F27" s="20">
        <v>209538</v>
      </c>
      <c r="G27" s="75">
        <f t="shared" ref="G27" si="77">IF(OR(F28="", F27=""), "", F28 - F27)</f>
        <v>0</v>
      </c>
      <c r="H27" s="79">
        <f t="shared" si="46"/>
        <v>5913</v>
      </c>
      <c r="I27" s="80">
        <f t="shared" si="47"/>
        <v>4811.4197895183461</v>
      </c>
      <c r="J27" s="35">
        <v>5100830.4000000004</v>
      </c>
      <c r="K27" s="75">
        <f t="shared" si="36"/>
        <v>903.59999999962747</v>
      </c>
      <c r="L27" s="9">
        <v>480267.73684108601</v>
      </c>
      <c r="M27" s="75">
        <f t="shared" si="37"/>
        <v>14.684210481995251</v>
      </c>
      <c r="N27" s="9">
        <v>165922.2346666666</v>
      </c>
      <c r="O27" s="75">
        <f t="shared" si="38"/>
        <v>67.077555555588333</v>
      </c>
      <c r="P27" s="35">
        <v>52519.08933333333</v>
      </c>
      <c r="Q27" s="75">
        <f t="shared" si="39"/>
        <v>116.21844444444287</v>
      </c>
      <c r="R27" s="94">
        <f t="shared" si="20"/>
        <v>46168</v>
      </c>
      <c r="S27" s="87">
        <v>6620</v>
      </c>
      <c r="T27" s="89"/>
      <c r="U27" s="75">
        <f t="shared" si="15"/>
        <v>251</v>
      </c>
      <c r="V27" s="11">
        <v>0.8</v>
      </c>
      <c r="W27" s="26">
        <v>0.8</v>
      </c>
      <c r="X27" s="96">
        <f>IF(OR(V27="", W27=""), "", (V27 * 2500) + (W27 * 2500))</f>
        <v>4000</v>
      </c>
      <c r="Y27" s="84"/>
      <c r="Z27" s="75">
        <f t="shared" si="17"/>
        <v>250</v>
      </c>
      <c r="AA27" s="28">
        <v>143344</v>
      </c>
      <c r="AB27" s="75">
        <f t="shared" si="40"/>
        <v>75</v>
      </c>
      <c r="AC27" s="28">
        <v>4781.3</v>
      </c>
      <c r="AD27" s="75">
        <f t="shared" si="41"/>
        <v>6.1999999999998181</v>
      </c>
      <c r="AE27" s="30">
        <v>74133</v>
      </c>
      <c r="AF27" s="75">
        <f t="shared" si="42"/>
        <v>0</v>
      </c>
      <c r="AG27" s="33">
        <v>0</v>
      </c>
      <c r="AH27" s="71"/>
      <c r="AI27" s="75" t="str">
        <f t="shared" si="43"/>
        <v/>
      </c>
      <c r="AJ27" s="8">
        <v>177</v>
      </c>
      <c r="AK27" s="13">
        <v>356</v>
      </c>
    </row>
    <row r="28" spans="1:37" x14ac:dyDescent="0.2">
      <c r="A28" s="94">
        <f t="shared" si="12"/>
        <v>46169</v>
      </c>
      <c r="B28" s="6">
        <v>34193394</v>
      </c>
      <c r="C28" s="75">
        <f t="shared" si="35"/>
        <v>4620</v>
      </c>
      <c r="D28" s="20">
        <v>1702948</v>
      </c>
      <c r="E28" s="75">
        <f t="shared" ref="E28" si="78">IF(OR(D29="", D28=""), "", D29 - D28)</f>
        <v>1266</v>
      </c>
      <c r="F28" s="20">
        <v>209538</v>
      </c>
      <c r="G28" s="75">
        <f t="shared" ref="G28" si="79">IF(OR(F29="", F28=""), "", F29 - F28)</f>
        <v>0</v>
      </c>
      <c r="H28" s="79">
        <f t="shared" si="46"/>
        <v>5886</v>
      </c>
      <c r="I28" s="80">
        <f t="shared" si="47"/>
        <v>4819.6197895176301</v>
      </c>
      <c r="J28" s="35">
        <v>5101734</v>
      </c>
      <c r="K28" s="75">
        <f t="shared" si="36"/>
        <v>868.40000000037253</v>
      </c>
      <c r="L28" s="9">
        <v>480282.421051568</v>
      </c>
      <c r="M28" s="75">
        <f t="shared" si="37"/>
        <v>14.684210481995251</v>
      </c>
      <c r="N28" s="9">
        <v>165989.31222222219</v>
      </c>
      <c r="O28" s="75">
        <f t="shared" si="38"/>
        <v>67.077555555559229</v>
      </c>
      <c r="P28" s="35">
        <v>52635.307777777773</v>
      </c>
      <c r="Q28" s="75">
        <f t="shared" si="39"/>
        <v>116.21844444444287</v>
      </c>
      <c r="R28" s="94">
        <f t="shared" si="20"/>
        <v>46169</v>
      </c>
      <c r="S28" s="87">
        <v>6369</v>
      </c>
      <c r="T28" s="89"/>
      <c r="U28" s="75">
        <f t="shared" si="15"/>
        <v>101</v>
      </c>
      <c r="V28" s="11">
        <v>0.75</v>
      </c>
      <c r="W28" s="26">
        <v>0.75</v>
      </c>
      <c r="X28" s="96">
        <f t="shared" si="16"/>
        <v>3750</v>
      </c>
      <c r="Y28" s="84"/>
      <c r="Z28" s="75">
        <f t="shared" si="17"/>
        <v>0</v>
      </c>
      <c r="AA28" s="28">
        <v>143419</v>
      </c>
      <c r="AB28" s="75">
        <f t="shared" si="40"/>
        <v>75</v>
      </c>
      <c r="AC28" s="28">
        <v>4787.5</v>
      </c>
      <c r="AD28" s="75">
        <f t="shared" si="41"/>
        <v>4</v>
      </c>
      <c r="AE28" s="30">
        <v>74133</v>
      </c>
      <c r="AF28" s="75">
        <f t="shared" si="42"/>
        <v>31</v>
      </c>
      <c r="AG28" s="33">
        <v>0</v>
      </c>
      <c r="AH28" s="71"/>
      <c r="AI28" s="75" t="str">
        <f t="shared" si="43"/>
        <v/>
      </c>
      <c r="AJ28" s="8">
        <v>171</v>
      </c>
      <c r="AK28" s="13">
        <v>344</v>
      </c>
    </row>
    <row r="29" spans="1:37" x14ac:dyDescent="0.2">
      <c r="A29" s="94">
        <f t="shared" si="12"/>
        <v>46170</v>
      </c>
      <c r="B29" s="6">
        <v>34198014</v>
      </c>
      <c r="C29" s="75">
        <f t="shared" si="35"/>
        <v>5223</v>
      </c>
      <c r="D29" s="20">
        <v>1704214</v>
      </c>
      <c r="E29" s="75">
        <f t="shared" ref="E29" si="80">IF(OR(D30="", D29=""), "", D30 - D29)</f>
        <v>908</v>
      </c>
      <c r="F29" s="20">
        <v>209538</v>
      </c>
      <c r="G29" s="75">
        <f t="shared" ref="G29" si="81">IF(OR(F30="", F29=""), "", F30 - F29)</f>
        <v>20</v>
      </c>
      <c r="H29" s="79">
        <f t="shared" si="46"/>
        <v>6111</v>
      </c>
      <c r="I29" s="80">
        <f t="shared" si="47"/>
        <v>4991.0197895179954</v>
      </c>
      <c r="J29" s="35">
        <v>5102602.4000000004</v>
      </c>
      <c r="K29" s="75">
        <f t="shared" si="36"/>
        <v>922</v>
      </c>
      <c r="L29" s="9">
        <v>480297.10526205</v>
      </c>
      <c r="M29" s="75">
        <f t="shared" si="37"/>
        <v>14.684210481995251</v>
      </c>
      <c r="N29" s="9">
        <v>166056.38977777775</v>
      </c>
      <c r="O29" s="75">
        <f t="shared" si="38"/>
        <v>67.077555555559229</v>
      </c>
      <c r="P29" s="35">
        <v>52751.526222222215</v>
      </c>
      <c r="Q29" s="75">
        <f t="shared" si="39"/>
        <v>116.21844444445014</v>
      </c>
      <c r="R29" s="94">
        <f t="shared" si="20"/>
        <v>46170</v>
      </c>
      <c r="S29" s="87">
        <v>6268</v>
      </c>
      <c r="T29" s="89"/>
      <c r="U29" s="75">
        <f t="shared" si="15"/>
        <v>200</v>
      </c>
      <c r="V29" s="11">
        <v>0.75</v>
      </c>
      <c r="W29" s="26">
        <v>0.75</v>
      </c>
      <c r="X29" s="96">
        <f t="shared" si="16"/>
        <v>3750</v>
      </c>
      <c r="Y29" s="84"/>
      <c r="Z29" s="75">
        <f t="shared" si="17"/>
        <v>400</v>
      </c>
      <c r="AA29" s="28">
        <v>143494</v>
      </c>
      <c r="AB29" s="75">
        <f t="shared" si="40"/>
        <v>77</v>
      </c>
      <c r="AC29" s="28">
        <v>4791.5</v>
      </c>
      <c r="AD29" s="75">
        <f t="shared" si="41"/>
        <v>6.1999999999998181</v>
      </c>
      <c r="AE29" s="30">
        <v>74164</v>
      </c>
      <c r="AF29" s="75">
        <f t="shared" si="42"/>
        <v>45</v>
      </c>
      <c r="AG29" s="33">
        <v>0</v>
      </c>
      <c r="AH29" s="71"/>
      <c r="AI29" s="75" t="str">
        <f t="shared" si="43"/>
        <v/>
      </c>
      <c r="AJ29" s="8">
        <v>162</v>
      </c>
      <c r="AK29" s="13">
        <v>324</v>
      </c>
    </row>
    <row r="30" spans="1:37" x14ac:dyDescent="0.2">
      <c r="A30" s="94">
        <f t="shared" si="12"/>
        <v>46171</v>
      </c>
      <c r="B30" s="6">
        <v>34203237</v>
      </c>
      <c r="C30" s="75">
        <f t="shared" si="35"/>
        <v>5308</v>
      </c>
      <c r="D30" s="20">
        <v>1705122</v>
      </c>
      <c r="E30" s="75">
        <f t="shared" ref="E30" si="82">IF(OR(D31="", D30=""), "", D31 - D30)</f>
        <v>696</v>
      </c>
      <c r="F30" s="20">
        <v>209558</v>
      </c>
      <c r="G30" s="75">
        <f t="shared" ref="G30" si="83">IF(OR(F31="", F30=""), "", F31 - F30)</f>
        <v>0</v>
      </c>
      <c r="H30" s="79">
        <f t="shared" si="46"/>
        <v>6004</v>
      </c>
      <c r="I30" s="80">
        <f t="shared" si="47"/>
        <v>4934.8197895187477</v>
      </c>
      <c r="J30" s="35">
        <v>5103524.4000000004</v>
      </c>
      <c r="K30" s="75">
        <f t="shared" si="36"/>
        <v>871.19999999925494</v>
      </c>
      <c r="L30" s="9">
        <v>480311.78947253199</v>
      </c>
      <c r="M30" s="75">
        <f t="shared" si="37"/>
        <v>14.684210481995251</v>
      </c>
      <c r="N30" s="9">
        <v>166123.4673333333</v>
      </c>
      <c r="O30" s="75">
        <f t="shared" si="38"/>
        <v>67.077555555559229</v>
      </c>
      <c r="P30" s="35">
        <v>52867.744666666666</v>
      </c>
      <c r="Q30" s="75">
        <f t="shared" si="39"/>
        <v>116.21844444444287</v>
      </c>
      <c r="R30" s="94">
        <f t="shared" si="20"/>
        <v>46171</v>
      </c>
      <c r="S30" s="87">
        <v>6068</v>
      </c>
      <c r="T30" s="89"/>
      <c r="U30" s="75">
        <f t="shared" si="15"/>
        <v>99</v>
      </c>
      <c r="V30" s="11">
        <v>0.66</v>
      </c>
      <c r="W30" s="26">
        <v>0.68</v>
      </c>
      <c r="X30" s="96">
        <f t="shared" si="16"/>
        <v>3350</v>
      </c>
      <c r="Y30" s="84"/>
      <c r="Z30" s="75">
        <f t="shared" si="17"/>
        <v>200</v>
      </c>
      <c r="AA30" s="28">
        <v>143571</v>
      </c>
      <c r="AB30" s="75">
        <f t="shared" si="40"/>
        <v>87</v>
      </c>
      <c r="AC30" s="28">
        <v>4797.7</v>
      </c>
      <c r="AD30" s="75">
        <f t="shared" si="41"/>
        <v>8.3000000000001819</v>
      </c>
      <c r="AE30" s="30">
        <v>74209</v>
      </c>
      <c r="AF30" s="75">
        <f t="shared" si="42"/>
        <v>36</v>
      </c>
      <c r="AG30" s="33">
        <v>0</v>
      </c>
      <c r="AH30" s="71"/>
      <c r="AI30" s="75" t="str">
        <f t="shared" si="43"/>
        <v/>
      </c>
      <c r="AJ30" s="8">
        <v>165</v>
      </c>
      <c r="AK30" s="13">
        <v>337</v>
      </c>
    </row>
    <row r="31" spans="1:37" x14ac:dyDescent="0.2">
      <c r="A31" s="94">
        <f t="shared" si="12"/>
        <v>46172</v>
      </c>
      <c r="B31" s="6">
        <v>34208545</v>
      </c>
      <c r="C31" s="75">
        <f t="shared" si="35"/>
        <v>5554</v>
      </c>
      <c r="D31" s="20">
        <v>1705818</v>
      </c>
      <c r="E31" s="75">
        <f t="shared" ref="E31" si="84">IF(OR(D32="", D31=""), "", D32 - D31)</f>
        <v>673</v>
      </c>
      <c r="F31" s="20">
        <v>209558</v>
      </c>
      <c r="G31" s="75">
        <f t="shared" ref="G31" si="85">IF(OR(F32="", F31=""), "", F32 - F31)</f>
        <v>0</v>
      </c>
      <c r="H31" s="79">
        <f t="shared" si="46"/>
        <v>6227</v>
      </c>
      <c r="I31" s="80">
        <f t="shared" si="47"/>
        <v>4974.2197895172285</v>
      </c>
      <c r="J31" s="86">
        <v>5104395.5999999996</v>
      </c>
      <c r="K31" s="75">
        <f t="shared" si="36"/>
        <v>1054.8000000007451</v>
      </c>
      <c r="L31" s="9">
        <v>480326.47368301399</v>
      </c>
      <c r="M31" s="75">
        <f t="shared" si="37"/>
        <v>14.684210481995251</v>
      </c>
      <c r="N31" s="9">
        <v>166190.54488888886</v>
      </c>
      <c r="O31" s="75">
        <f t="shared" si="38"/>
        <v>67.077555555588333</v>
      </c>
      <c r="P31" s="35">
        <v>52983.963111111108</v>
      </c>
      <c r="Q31" s="75">
        <f t="shared" si="39"/>
        <v>116.21844444444287</v>
      </c>
      <c r="R31" s="94">
        <f t="shared" si="20"/>
        <v>46172</v>
      </c>
      <c r="S31" s="87">
        <v>5969</v>
      </c>
      <c r="T31" s="89"/>
      <c r="U31" s="75">
        <f t="shared" si="15"/>
        <v>200</v>
      </c>
      <c r="V31" s="11">
        <v>0.62</v>
      </c>
      <c r="W31" s="26">
        <v>0.64</v>
      </c>
      <c r="X31" s="96">
        <f t="shared" si="16"/>
        <v>3150</v>
      </c>
      <c r="Y31" s="84"/>
      <c r="Z31" s="75">
        <f t="shared" si="17"/>
        <v>250</v>
      </c>
      <c r="AA31" s="28">
        <v>143658</v>
      </c>
      <c r="AB31" s="75">
        <f t="shared" si="40"/>
        <v>85</v>
      </c>
      <c r="AC31" s="28">
        <v>4806</v>
      </c>
      <c r="AD31" s="75">
        <f t="shared" si="41"/>
        <v>9.6999999999998181</v>
      </c>
      <c r="AE31" s="30">
        <v>74245</v>
      </c>
      <c r="AF31" s="75">
        <f t="shared" si="42"/>
        <v>0</v>
      </c>
      <c r="AG31" s="33">
        <v>0</v>
      </c>
      <c r="AH31" s="71"/>
      <c r="AI31" s="75" t="str">
        <f t="shared" si="43"/>
        <v/>
      </c>
      <c r="AJ31" s="8">
        <v>168</v>
      </c>
      <c r="AK31" s="13">
        <v>348</v>
      </c>
    </row>
    <row r="32" spans="1:37" x14ac:dyDescent="0.2">
      <c r="A32" s="94">
        <f t="shared" si="12"/>
        <v>46173</v>
      </c>
      <c r="B32" s="6">
        <v>34214099</v>
      </c>
      <c r="C32" s="110">
        <f t="shared" si="35"/>
        <v>5410</v>
      </c>
      <c r="D32" s="20">
        <v>1706491</v>
      </c>
      <c r="E32" s="110">
        <f t="shared" ref="E32" si="86">IF(OR(D33="", D32=""), "", D33 - D32)</f>
        <v>627</v>
      </c>
      <c r="F32" s="20">
        <v>209558</v>
      </c>
      <c r="G32" s="110">
        <f t="shared" ref="G32" si="87">IF(OR(F33="", F32=""), "", F33 - F32)</f>
        <v>0</v>
      </c>
      <c r="H32" s="111">
        <f t="shared" si="46"/>
        <v>6037</v>
      </c>
      <c r="I32" s="112">
        <f t="shared" si="47"/>
        <v>4859.4197895183752</v>
      </c>
      <c r="J32" s="35">
        <v>5105450.4000000004</v>
      </c>
      <c r="K32" s="110">
        <f t="shared" si="36"/>
        <v>979.59999999962747</v>
      </c>
      <c r="L32" s="9">
        <v>480341.15789349598</v>
      </c>
      <c r="M32" s="110">
        <f t="shared" si="37"/>
        <v>14.684210481995251</v>
      </c>
      <c r="N32" s="9">
        <v>166257.62244444445</v>
      </c>
      <c r="O32" s="110">
        <f t="shared" si="38"/>
        <v>67.077555555559229</v>
      </c>
      <c r="P32" s="35">
        <v>53100.181555555551</v>
      </c>
      <c r="Q32" s="110">
        <f t="shared" si="39"/>
        <v>116.21844444444287</v>
      </c>
      <c r="R32" s="94">
        <f t="shared" si="20"/>
        <v>46173</v>
      </c>
      <c r="S32" s="87">
        <v>5769</v>
      </c>
      <c r="T32" s="89"/>
      <c r="U32" s="110">
        <f t="shared" si="15"/>
        <v>198</v>
      </c>
      <c r="V32" s="11">
        <v>0.56999999999999995</v>
      </c>
      <c r="W32" s="26">
        <v>0.59</v>
      </c>
      <c r="X32" s="96">
        <f t="shared" si="16"/>
        <v>2900</v>
      </c>
      <c r="Y32" s="84"/>
      <c r="Z32" s="110">
        <f t="shared" si="17"/>
        <v>175</v>
      </c>
      <c r="AA32" s="28">
        <v>143743</v>
      </c>
      <c r="AB32" s="110">
        <f t="shared" si="40"/>
        <v>90</v>
      </c>
      <c r="AC32" s="28">
        <v>4815.7</v>
      </c>
      <c r="AD32" s="110">
        <f t="shared" si="41"/>
        <v>3.3000000000001819</v>
      </c>
      <c r="AE32" s="30">
        <v>74245</v>
      </c>
      <c r="AF32" s="110">
        <f t="shared" si="42"/>
        <v>0</v>
      </c>
      <c r="AG32" s="33">
        <v>0</v>
      </c>
      <c r="AH32" s="113"/>
      <c r="AI32" s="110" t="str">
        <f t="shared" si="43"/>
        <v/>
      </c>
      <c r="AJ32" s="8">
        <v>159</v>
      </c>
      <c r="AK32" s="13">
        <v>327</v>
      </c>
    </row>
    <row r="33" spans="1:37" x14ac:dyDescent="0.2">
      <c r="A33" s="94">
        <f t="shared" si="12"/>
        <v>46174</v>
      </c>
      <c r="B33" s="6">
        <v>34219509</v>
      </c>
      <c r="C33" s="75"/>
      <c r="D33" s="20">
        <v>1707118</v>
      </c>
      <c r="E33" s="75" t="str">
        <f t="shared" ref="E33" si="88">IF(OR(D34="", D33=""), "", D34 - D33)</f>
        <v/>
      </c>
      <c r="F33" s="20">
        <v>209558</v>
      </c>
      <c r="G33" s="75" t="str">
        <f t="shared" ref="G33" si="89">IF(OR(F34="", F33=""), "", F34 - F33)</f>
        <v/>
      </c>
      <c r="H33" s="79" t="str">
        <f t="shared" si="46"/>
        <v/>
      </c>
      <c r="I33" s="80" t="str">
        <f t="shared" si="47"/>
        <v/>
      </c>
      <c r="J33" s="86">
        <v>5106430</v>
      </c>
      <c r="K33" s="75" t="str">
        <f t="shared" si="36"/>
        <v/>
      </c>
      <c r="L33" s="9">
        <v>480355.84210397798</v>
      </c>
      <c r="M33" s="75" t="str">
        <f t="shared" si="37"/>
        <v/>
      </c>
      <c r="N33" s="9">
        <v>166324.70000000001</v>
      </c>
      <c r="O33" s="75" t="str">
        <f t="shared" si="38"/>
        <v/>
      </c>
      <c r="P33" s="35">
        <v>53216.399999999994</v>
      </c>
      <c r="Q33" s="75" t="str">
        <f t="shared" si="39"/>
        <v/>
      </c>
      <c r="R33" s="94">
        <f>A33</f>
        <v>46174</v>
      </c>
      <c r="S33" s="87">
        <v>5571</v>
      </c>
      <c r="T33" s="89"/>
      <c r="U33" s="75" t="str">
        <f t="shared" si="15"/>
        <v/>
      </c>
      <c r="V33" s="11">
        <v>0.54</v>
      </c>
      <c r="W33" s="26">
        <v>0.55000000000000004</v>
      </c>
      <c r="X33" s="96">
        <f t="shared" si="16"/>
        <v>2725</v>
      </c>
      <c r="Y33" s="84"/>
      <c r="Z33" s="75" t="str">
        <f t="shared" si="17"/>
        <v/>
      </c>
      <c r="AA33" s="28">
        <v>143833</v>
      </c>
      <c r="AB33" s="75" t="str">
        <f t="shared" si="40"/>
        <v/>
      </c>
      <c r="AC33" s="28">
        <v>4819</v>
      </c>
      <c r="AD33" s="75" t="str">
        <f t="shared" si="41"/>
        <v/>
      </c>
      <c r="AE33" s="30">
        <v>74245</v>
      </c>
      <c r="AF33" s="75" t="str">
        <f t="shared" si="42"/>
        <v/>
      </c>
      <c r="AG33" s="33">
        <v>0</v>
      </c>
      <c r="AH33" s="71"/>
      <c r="AI33" s="75" t="str">
        <f t="shared" si="43"/>
        <v/>
      </c>
      <c r="AJ33" s="8"/>
      <c r="AK33" s="13"/>
    </row>
    <row r="34" spans="1:37" s="69" customFormat="1" x14ac:dyDescent="0.15">
      <c r="A34" s="67"/>
      <c r="B34" s="67"/>
      <c r="C34" s="97">
        <f>SUM(C2:C33)</f>
        <v>145772</v>
      </c>
      <c r="D34" s="68"/>
      <c r="E34" s="97">
        <f>SUM(E2:E33)</f>
        <v>17944</v>
      </c>
      <c r="F34" s="91"/>
      <c r="G34" s="99">
        <f>SUM(G2:G33)</f>
        <v>230</v>
      </c>
      <c r="H34" s="100">
        <f>SUM(H2:H33)</f>
        <v>163486</v>
      </c>
      <c r="I34" s="101">
        <f>SUM(I2:I32)</f>
        <v>129920.97368554038</v>
      </c>
      <c r="J34" s="91"/>
      <c r="K34" s="98">
        <f>SUM(K2:K33)</f>
        <v>27427.599999999627</v>
      </c>
      <c r="L34" s="9"/>
      <c r="M34" s="98">
        <f>SUM(M2:M33)</f>
        <v>455.52631445997395</v>
      </c>
      <c r="N34" s="9"/>
      <c r="O34" s="98">
        <f>SUM(O2:O33)</f>
        <v>2081.8000000000175</v>
      </c>
      <c r="P34" s="35"/>
      <c r="Q34" s="102">
        <f>SUM(Q2:Q33)</f>
        <v>3600.0999999999985</v>
      </c>
      <c r="R34" s="68"/>
      <c r="S34" s="68"/>
      <c r="T34" s="68"/>
      <c r="U34" s="92">
        <f>SUM(U2:U33)</f>
        <v>4735</v>
      </c>
      <c r="V34" s="68"/>
      <c r="W34" s="68"/>
      <c r="X34" s="68" t="str">
        <f t="shared" si="16"/>
        <v/>
      </c>
      <c r="Y34" s="103">
        <f>SUM(Y2:Y33)</f>
        <v>6833.62</v>
      </c>
      <c r="Z34" s="104">
        <f>SUM(Z2:Z33)</f>
        <v>8033.62</v>
      </c>
      <c r="AA34" s="68"/>
      <c r="AB34" s="93">
        <f>SUM(AB2:AB33)</f>
        <v>2174</v>
      </c>
      <c r="AC34" s="91"/>
      <c r="AD34" s="93">
        <f>SUM(AD2:AD33)</f>
        <v>203.10000000000036</v>
      </c>
      <c r="AE34" s="68"/>
      <c r="AF34" s="93">
        <f>SUM(AF2:AF33)</f>
        <v>576</v>
      </c>
      <c r="AG34" s="68"/>
      <c r="AH34" s="105">
        <f>SUM(AH2:AH33)</f>
        <v>0</v>
      </c>
      <c r="AI34" s="106">
        <f>SUM(AI2:AI33)</f>
        <v>0</v>
      </c>
      <c r="AJ34" s="107">
        <f>SUM(AJ2:AJ33)</f>
        <v>4598</v>
      </c>
      <c r="AK34" s="108">
        <f>SUM(AK2:AK33)</f>
        <v>7822</v>
      </c>
    </row>
    <row r="35" spans="1:37" x14ac:dyDescent="0.2">
      <c r="D35"/>
      <c r="F35"/>
      <c r="J35"/>
      <c r="L35" s="1"/>
      <c r="N35" s="1"/>
      <c r="P35" s="1"/>
      <c r="S35"/>
      <c r="AC35"/>
    </row>
    <row r="36" spans="1:37" x14ac:dyDescent="0.2">
      <c r="B36" s="109"/>
      <c r="D36" s="109"/>
      <c r="F36" s="109"/>
      <c r="J36" s="109"/>
      <c r="L36" s="1"/>
      <c r="N36" s="1"/>
      <c r="P36" s="1"/>
      <c r="S36" s="109"/>
      <c r="AA36" s="109"/>
      <c r="AC36" s="109"/>
    </row>
    <row r="37" spans="1:37" x14ac:dyDescent="0.2">
      <c r="D37" s="3"/>
      <c r="L37" s="1"/>
      <c r="N37" s="1"/>
      <c r="P37" s="1"/>
      <c r="S37" s="4"/>
      <c r="AA37" s="4"/>
    </row>
    <row r="38" spans="1:37" x14ac:dyDescent="0.2">
      <c r="B38" s="109"/>
      <c r="D38" s="109"/>
      <c r="F38" s="109"/>
      <c r="J38" s="109"/>
      <c r="L38" s="1"/>
      <c r="N38" s="1"/>
      <c r="P38" s="1"/>
      <c r="S38" s="109"/>
      <c r="AA38" s="109"/>
      <c r="AC38" s="109"/>
    </row>
    <row r="39" spans="1:37" x14ac:dyDescent="0.2">
      <c r="D39"/>
      <c r="F39"/>
      <c r="J39"/>
      <c r="L39" s="1"/>
      <c r="N39" s="1"/>
      <c r="P39" s="1"/>
      <c r="S39"/>
      <c r="AC39"/>
    </row>
    <row r="40" spans="1:37" x14ac:dyDescent="0.2">
      <c r="B40" s="109"/>
      <c r="D40" s="109"/>
      <c r="F40" s="109"/>
      <c r="J40" s="109"/>
      <c r="S40" s="109"/>
      <c r="AA40" s="109"/>
      <c r="AC40" s="109"/>
    </row>
    <row r="41" spans="1:37" x14ac:dyDescent="0.2">
      <c r="B41" s="109"/>
      <c r="D41" s="109"/>
      <c r="F41" s="109"/>
      <c r="J41" s="109"/>
      <c r="S41" s="109"/>
      <c r="AA41" s="109"/>
      <c r="AC41" s="109"/>
    </row>
    <row r="42" spans="1:37" x14ac:dyDescent="0.2">
      <c r="D42" s="3"/>
      <c r="S42" s="4"/>
      <c r="AA42" s="4"/>
    </row>
    <row r="43" spans="1:37" x14ac:dyDescent="0.2">
      <c r="D43" s="3"/>
      <c r="S43" s="4"/>
      <c r="AA43" s="4"/>
    </row>
    <row r="44" spans="1:37" x14ac:dyDescent="0.2">
      <c r="B44" s="109"/>
      <c r="D44" s="109"/>
      <c r="F44" s="109"/>
      <c r="J44" s="109"/>
      <c r="S44" s="109"/>
      <c r="AA44" s="109"/>
      <c r="AC44" s="109"/>
    </row>
    <row r="45" spans="1:37" x14ac:dyDescent="0.2">
      <c r="D45"/>
      <c r="F45"/>
      <c r="J45"/>
      <c r="S45"/>
      <c r="AC45"/>
    </row>
    <row r="46" spans="1:37" x14ac:dyDescent="0.2">
      <c r="B46" s="109"/>
      <c r="D46" s="109"/>
      <c r="F46" s="109"/>
      <c r="J46" s="109"/>
      <c r="S46" s="109"/>
      <c r="AA46" s="109"/>
      <c r="AC46" s="109"/>
    </row>
    <row r="47" spans="1:37" x14ac:dyDescent="0.2">
      <c r="B47" s="109"/>
      <c r="D47" s="109"/>
      <c r="F47" s="109"/>
      <c r="J47" s="109"/>
      <c r="S47" s="109"/>
      <c r="AA47" s="109"/>
      <c r="AC47" s="109"/>
    </row>
    <row r="48" spans="1:37" x14ac:dyDescent="0.2">
      <c r="D48" s="3"/>
      <c r="S48" s="4"/>
      <c r="AA48" s="4"/>
    </row>
    <row r="49" spans="2:29" x14ac:dyDescent="0.2">
      <c r="B49" s="109"/>
      <c r="D49" s="109"/>
      <c r="F49" s="109"/>
      <c r="J49" s="109"/>
      <c r="S49" s="109"/>
      <c r="AA49" s="109"/>
      <c r="AC49" s="109"/>
    </row>
    <row r="50" spans="2:29" x14ac:dyDescent="0.2">
      <c r="D50"/>
      <c r="F50"/>
      <c r="J50"/>
      <c r="S50"/>
      <c r="AC50"/>
    </row>
    <row r="51" spans="2:29" x14ac:dyDescent="0.2">
      <c r="B51" s="109"/>
      <c r="D51" s="109"/>
      <c r="F51" s="109"/>
      <c r="J51" s="109"/>
      <c r="S51" s="109"/>
      <c r="AA51" s="109"/>
      <c r="AC51" s="109"/>
    </row>
    <row r="52" spans="2:29" x14ac:dyDescent="0.2">
      <c r="B52" s="109"/>
      <c r="D52" s="109"/>
      <c r="F52" s="109"/>
      <c r="J52" s="109"/>
      <c r="S52" s="109"/>
      <c r="AA52" s="109"/>
      <c r="AC52" s="109"/>
    </row>
  </sheetData>
  <sheetProtection selectLockedCells="1" selectUnlockedCells="1"/>
  <pageMargins left="0.25" right="0.25" top="0.75" bottom="0.75" header="0.3" footer="0.3"/>
  <pageSetup paperSize="9" orientation="landscape" useFirstPageNumber="1" horizontalDpi="300" verticalDpi="300" r:id="rId1"/>
  <headerFooter alignWithMargins="0">
    <oddHeader>&amp;C&amp;"Times New Roman,Κανονικά"&amp;12ALMYRA</oddHeader>
    <oddFooter>&amp;C&amp;"Times New Roman,Regular"&amp;12Page &amp;P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CB0A708AB730D4781C08810D339341F" ma:contentTypeVersion="16" ma:contentTypeDescription="Create a new document." ma:contentTypeScope="" ma:versionID="0ca568f3600b8afe19afaaf11a24b31c">
  <xsd:schema xmlns:xsd="http://www.w3.org/2001/XMLSchema" xmlns:xs="http://www.w3.org/2001/XMLSchema" xmlns:p="http://schemas.microsoft.com/office/2006/metadata/properties" xmlns:ns3="9b835c19-aa84-4d4c-b4cd-8a6195c383ec" xmlns:ns4="269db80e-9c6b-4e01-ae27-848f863719c9" targetNamespace="http://schemas.microsoft.com/office/2006/metadata/properties" ma:root="true" ma:fieldsID="d182fc168992d27bbecabe35e410f7c4" ns3:_="" ns4:_="">
    <xsd:import namespace="9b835c19-aa84-4d4c-b4cd-8a6195c383ec"/>
    <xsd:import namespace="269db80e-9c6b-4e01-ae27-848f863719c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835c19-aa84-4d4c-b4cd-8a6195c383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9db80e-9c6b-4e01-ae27-848f863719c9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b835c19-aa84-4d4c-b4cd-8a6195c383e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38EC8E3-1E0B-4A12-9C4E-F74DB65E7C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b835c19-aa84-4d4c-b4cd-8a6195c383ec"/>
    <ds:schemaRef ds:uri="269db80e-9c6b-4e01-ae27-848f863719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61BE4B8-CBD3-4A10-BD2E-8D7A890A6C38}">
  <ds:schemaRefs>
    <ds:schemaRef ds:uri="http://purl.org/dc/terms/"/>
    <ds:schemaRef ds:uri="http://www.w3.org/XML/1998/namespace"/>
    <ds:schemaRef ds:uri="http://purl.org/dc/elements/1.1/"/>
    <ds:schemaRef ds:uri="http://purl.org/dc/dcmitype/"/>
    <ds:schemaRef ds:uri="http://schemas.microsoft.com/office/2006/metadata/properties"/>
    <ds:schemaRef ds:uri="http://schemas.microsoft.com/office/2006/documentManagement/types"/>
    <ds:schemaRef ds:uri="9b835c19-aa84-4d4c-b4cd-8a6195c383ec"/>
    <ds:schemaRef ds:uri="269db80e-9c6b-4e01-ae27-848f863719c9"/>
    <ds:schemaRef ds:uri="http://schemas.microsoft.com/office/infopath/2007/PartnerControls"/>
    <ds:schemaRef ds:uri="http://schemas.openxmlformats.org/package/2006/metadata/core-properties"/>
  </ds:schemaRefs>
</ds:datastoreItem>
</file>

<file path=customXml/itemProps3.xml><?xml version="1.0" encoding="utf-8"?>
<ds:datastoreItem xmlns:ds="http://schemas.openxmlformats.org/officeDocument/2006/customXml" ds:itemID="{98349612-DA4C-4EC2-B3CD-D87827D7500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ALMYRA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Johnny Karsas - Maintenance Coordinating Officer Almyra</dc:creator>
  <cp:keywords/>
  <dc:description/>
  <cp:lastModifiedBy>Johnny Karsas - Maintenance Coordinating Officer Almyr</cp:lastModifiedBy>
  <cp:revision/>
  <cp:lastPrinted>2026-06-03T07:12:45Z</cp:lastPrinted>
  <dcterms:created xsi:type="dcterms:W3CDTF">2016-09-19T10:41:46Z</dcterms:created>
  <dcterms:modified xsi:type="dcterms:W3CDTF">2026-06-04T06:58:07Z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0x0101008CB0A708AB730D4781C08810D339341F</vt:lpwstr>
  </property>
</Properties>
</file>