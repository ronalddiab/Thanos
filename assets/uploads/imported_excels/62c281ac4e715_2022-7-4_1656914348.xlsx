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anet.Perona\Four Seasons Hotels Limited\ABS_Engineering_O365 - FSENG-Admin - FSENG-Admin\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Y3" i="3" l="1"/>
  <c r="M3" i="1" s="1"/>
  <c r="Y4" i="3"/>
  <c r="M4" i="1" s="1"/>
  <c r="Y5" i="3"/>
  <c r="Y6" i="3"/>
  <c r="M6" i="1" s="1"/>
  <c r="Y7" i="3"/>
  <c r="M7" i="1" s="1"/>
  <c r="Y8" i="3"/>
  <c r="Y9" i="3"/>
  <c r="Y10" i="3"/>
  <c r="M10" i="1" s="1"/>
  <c r="Y11" i="3"/>
  <c r="M11" i="1" s="1"/>
  <c r="Y12" i="3"/>
  <c r="M12" i="1" s="1"/>
  <c r="Y13" i="3"/>
  <c r="M13" i="1" s="1"/>
  <c r="Y14" i="3"/>
  <c r="M14" i="1" s="1"/>
  <c r="Y15" i="3"/>
  <c r="M15" i="1" s="1"/>
  <c r="Y16" i="3"/>
  <c r="M16" i="1" s="1"/>
  <c r="Y17" i="3"/>
  <c r="M17" i="1" s="1"/>
  <c r="Y18" i="3"/>
  <c r="M18" i="1" s="1"/>
  <c r="Y19" i="3"/>
  <c r="Y20" i="3"/>
  <c r="Y21" i="3"/>
  <c r="M21" i="1" s="1"/>
  <c r="Y22" i="3"/>
  <c r="M22" i="1" s="1"/>
  <c r="Y23" i="3"/>
  <c r="M23" i="1" s="1"/>
  <c r="Y24" i="3"/>
  <c r="M24" i="1" s="1"/>
  <c r="Y25" i="3"/>
  <c r="M25" i="1" s="1"/>
  <c r="Y26" i="3"/>
  <c r="M26" i="1" s="1"/>
  <c r="Y27" i="3"/>
  <c r="M27" i="1" s="1"/>
  <c r="Y28" i="3"/>
  <c r="M28" i="1" s="1"/>
  <c r="Y29" i="3"/>
  <c r="Y30" i="3"/>
  <c r="M30" i="1" s="1"/>
  <c r="Y31" i="3"/>
  <c r="Y32" i="3"/>
  <c r="N3" i="1"/>
  <c r="N4" i="1"/>
  <c r="M5" i="1"/>
  <c r="N5" i="1"/>
  <c r="N6" i="1"/>
  <c r="N7" i="1"/>
  <c r="M8" i="1"/>
  <c r="N8" i="1"/>
  <c r="M9" i="1"/>
  <c r="N9" i="1"/>
  <c r="N10" i="1"/>
  <c r="N11" i="1"/>
  <c r="N12" i="1"/>
  <c r="N13" i="1"/>
  <c r="N14" i="1"/>
  <c r="N15" i="1"/>
  <c r="N16" i="1"/>
  <c r="N17" i="1"/>
  <c r="N18" i="1"/>
  <c r="M19" i="1"/>
  <c r="N19" i="1"/>
  <c r="M20" i="1"/>
  <c r="N20" i="1"/>
  <c r="N21" i="1"/>
  <c r="N22" i="1"/>
  <c r="N23" i="1"/>
  <c r="N24" i="1"/>
  <c r="N25" i="1"/>
  <c r="N26" i="1"/>
  <c r="N27" i="1"/>
  <c r="N28" i="1"/>
  <c r="M29" i="1"/>
  <c r="N29" i="1"/>
  <c r="N30" i="1"/>
  <c r="M31" i="1"/>
  <c r="N31" i="1"/>
  <c r="M32" i="1"/>
  <c r="N32" i="1"/>
  <c r="N2" i="1"/>
  <c r="M2" i="1"/>
  <c r="Y2" i="3"/>
  <c r="AH35" i="2" l="1"/>
  <c r="AG35" i="2"/>
  <c r="AF35" i="2"/>
  <c r="W35" i="2"/>
  <c r="V35" i="2"/>
  <c r="Q35" i="2" l="1"/>
  <c r="P35" i="2"/>
  <c r="O35" i="2"/>
  <c r="N35" i="2"/>
  <c r="M35" i="2"/>
  <c r="J35" i="2" l="1"/>
  <c r="I35" i="2"/>
  <c r="H35" i="2"/>
  <c r="G35" i="2"/>
  <c r="F35" i="2"/>
  <c r="E35" i="2"/>
  <c r="D35" i="2"/>
  <c r="C35" i="2"/>
  <c r="B35" i="2"/>
  <c r="AH34" i="2" l="1"/>
  <c r="AG34" i="2"/>
  <c r="AF34" i="2"/>
  <c r="W34" i="2"/>
  <c r="V34" i="2"/>
  <c r="Q34" i="2" l="1"/>
  <c r="P34" i="2"/>
  <c r="O34" i="2"/>
  <c r="N34" i="2"/>
  <c r="M34" i="2"/>
  <c r="J34" i="2" l="1"/>
  <c r="I34" i="2"/>
  <c r="H34" i="2"/>
  <c r="G34" i="2"/>
  <c r="F34" i="2"/>
  <c r="E34" i="2"/>
  <c r="D34" i="2"/>
  <c r="C34" i="2"/>
  <c r="B34" i="2"/>
  <c r="AH33" i="2" l="1"/>
  <c r="AG33" i="2"/>
  <c r="AF33" i="2"/>
  <c r="W33" i="2"/>
  <c r="V33" i="2"/>
  <c r="Q33" i="2" l="1"/>
  <c r="P33" i="2"/>
  <c r="O33" i="2"/>
  <c r="N33" i="2"/>
  <c r="M33" i="2"/>
  <c r="J33" i="2" l="1"/>
  <c r="I33" i="2"/>
  <c r="H33" i="2"/>
  <c r="G33" i="2"/>
  <c r="F33" i="2"/>
  <c r="E33" i="2"/>
  <c r="D33" i="2"/>
  <c r="C33" i="2"/>
  <c r="B33" i="2"/>
  <c r="AH32" i="2" l="1"/>
  <c r="AG32" i="2"/>
  <c r="AF32" i="2"/>
  <c r="W32" i="2"/>
  <c r="V32" i="2"/>
  <c r="Q32" i="2" l="1"/>
  <c r="P32" i="2"/>
  <c r="O32" i="2"/>
  <c r="N32" i="2"/>
  <c r="M32" i="2"/>
  <c r="J32" i="2" l="1"/>
  <c r="I32" i="2"/>
  <c r="H32" i="2"/>
  <c r="G32" i="2"/>
  <c r="F32" i="2"/>
  <c r="E32" i="2"/>
  <c r="D32" i="2"/>
  <c r="C32" i="2"/>
  <c r="B32" i="2"/>
  <c r="AH31" i="2" l="1"/>
  <c r="AF31" i="2"/>
  <c r="AH30" i="2"/>
  <c r="AG31" i="2"/>
  <c r="AG30" i="2"/>
  <c r="AF30" i="2"/>
  <c r="W31" i="2"/>
  <c r="V31" i="2"/>
  <c r="W30" i="2"/>
  <c r="V30" i="2"/>
  <c r="Q31" i="2" l="1"/>
  <c r="P31" i="2"/>
  <c r="Q30" i="2"/>
  <c r="P30" i="2"/>
  <c r="O31" i="2"/>
  <c r="N31" i="2"/>
  <c r="M31" i="2"/>
  <c r="O30" i="2"/>
  <c r="N30" i="2"/>
  <c r="M30" i="2"/>
  <c r="J31" i="2" l="1"/>
  <c r="I31" i="2"/>
  <c r="H31" i="2"/>
  <c r="G31" i="2"/>
  <c r="F31" i="2"/>
  <c r="E31" i="2"/>
  <c r="D31" i="2"/>
  <c r="C31" i="2"/>
  <c r="B31" i="2"/>
  <c r="J30" i="2"/>
  <c r="I30" i="2"/>
  <c r="H30" i="2"/>
  <c r="G30" i="2"/>
  <c r="F30" i="2"/>
  <c r="E30" i="2"/>
  <c r="D30" i="2"/>
  <c r="C30" i="2"/>
  <c r="B30" i="2"/>
  <c r="AH29" i="2" l="1"/>
  <c r="AG29" i="2"/>
  <c r="AF29" i="2"/>
  <c r="W29" i="2"/>
  <c r="V29" i="2"/>
  <c r="Q29" i="2" l="1"/>
  <c r="P29" i="2"/>
  <c r="O29" i="2"/>
  <c r="N29" i="2"/>
  <c r="M29" i="2"/>
  <c r="J29" i="2" l="1"/>
  <c r="I29" i="2"/>
  <c r="H29" i="2"/>
  <c r="G29" i="2"/>
  <c r="F29" i="2"/>
  <c r="E29" i="2"/>
  <c r="D29" i="2"/>
  <c r="C29" i="2"/>
  <c r="B29" i="2"/>
  <c r="AH28" i="2" l="1"/>
  <c r="AG28" i="2"/>
  <c r="AF28" i="2"/>
  <c r="W28" i="2"/>
  <c r="V28" i="2"/>
  <c r="Q28" i="2" l="1"/>
  <c r="P28" i="2"/>
  <c r="O28" i="2"/>
  <c r="N28" i="2"/>
  <c r="M28" i="2"/>
  <c r="J28" i="2" l="1"/>
  <c r="I28" i="2"/>
  <c r="H28" i="2"/>
  <c r="G28" i="2"/>
  <c r="F28" i="2"/>
  <c r="E28" i="2"/>
  <c r="D28" i="2"/>
  <c r="C28" i="2"/>
  <c r="B28" i="2"/>
  <c r="AH27" i="2" l="1"/>
  <c r="AG27" i="2"/>
  <c r="AF27" i="2"/>
  <c r="W27" i="2"/>
  <c r="V27" i="2"/>
  <c r="Q27" i="2" l="1"/>
  <c r="P27" i="2"/>
  <c r="O27" i="2"/>
  <c r="N27" i="2"/>
  <c r="M27" i="2"/>
  <c r="J27" i="2" l="1"/>
  <c r="I27" i="2"/>
  <c r="H27" i="2"/>
  <c r="G27" i="2"/>
  <c r="F27" i="2"/>
  <c r="E27" i="2"/>
  <c r="D27" i="2"/>
  <c r="C27" i="2"/>
  <c r="B27" i="2"/>
  <c r="AH26" i="2" l="1"/>
  <c r="AG26" i="2"/>
  <c r="AF26" i="2"/>
  <c r="W26" i="2"/>
  <c r="V26" i="2"/>
  <c r="Q26" i="2" l="1"/>
  <c r="P26" i="2"/>
  <c r="O26" i="2"/>
  <c r="N26" i="2"/>
  <c r="M26" i="2"/>
  <c r="J26" i="2" l="1"/>
  <c r="I26" i="2"/>
  <c r="H26" i="2"/>
  <c r="G26" i="2"/>
  <c r="F26" i="2"/>
  <c r="E26" i="2"/>
  <c r="D26" i="2"/>
  <c r="C26" i="2"/>
  <c r="B26" i="2"/>
  <c r="AH25" i="2" l="1"/>
  <c r="AG25" i="2"/>
  <c r="AF25" i="2"/>
  <c r="W25" i="2"/>
  <c r="V25" i="2"/>
  <c r="Q25" i="2" l="1"/>
  <c r="P25" i="2"/>
  <c r="O25" i="2"/>
  <c r="N25" i="2"/>
  <c r="M25" i="2"/>
  <c r="J25" i="2" l="1"/>
  <c r="I25" i="2"/>
  <c r="H25" i="2"/>
  <c r="G25" i="2"/>
  <c r="F25" i="2"/>
  <c r="E25" i="2"/>
  <c r="D25" i="2"/>
  <c r="C25" i="2"/>
  <c r="B25" i="2"/>
  <c r="AH24" i="2" l="1"/>
  <c r="AF24" i="2"/>
  <c r="AH23" i="2"/>
  <c r="AG24" i="2"/>
  <c r="AG23" i="2"/>
  <c r="AF23" i="2"/>
  <c r="W24" i="2"/>
  <c r="V24" i="2"/>
  <c r="W23" i="2"/>
  <c r="V23" i="2"/>
  <c r="Q24" i="2" l="1"/>
  <c r="P24" i="2"/>
  <c r="Q23" i="2"/>
  <c r="P23" i="2"/>
  <c r="O24" i="2"/>
  <c r="N24" i="2"/>
  <c r="M24" i="2"/>
  <c r="O23" i="2"/>
  <c r="N23" i="2"/>
  <c r="M23" i="2"/>
  <c r="J24" i="2" l="1"/>
  <c r="I24" i="2"/>
  <c r="H24" i="2"/>
  <c r="G24" i="2"/>
  <c r="F24" i="2"/>
  <c r="E24" i="2"/>
  <c r="D24" i="2"/>
  <c r="C24" i="2"/>
  <c r="B24" i="2"/>
  <c r="J23" i="2"/>
  <c r="I23" i="2"/>
  <c r="H23" i="2"/>
  <c r="G23" i="2"/>
  <c r="F23" i="2"/>
  <c r="E23" i="2"/>
  <c r="D23" i="2"/>
  <c r="C23" i="2"/>
  <c r="B23" i="2"/>
  <c r="AH22" i="2" l="1"/>
  <c r="AG22" i="2"/>
  <c r="AF22" i="2"/>
  <c r="W22" i="2"/>
  <c r="V22" i="2"/>
  <c r="Q22" i="2" l="1"/>
  <c r="P22" i="2"/>
  <c r="O22" i="2"/>
  <c r="N22" i="2"/>
  <c r="M22" i="2"/>
  <c r="J22" i="2" l="1"/>
  <c r="I22" i="2"/>
  <c r="H22" i="2"/>
  <c r="G22" i="2"/>
  <c r="F22" i="2"/>
  <c r="E22" i="2"/>
  <c r="D22" i="2"/>
  <c r="C22" i="2"/>
  <c r="B22" i="2"/>
  <c r="AH21" i="2" l="1"/>
  <c r="AG21" i="2"/>
  <c r="AF21" i="2"/>
  <c r="W21" i="2"/>
  <c r="V21" i="2"/>
  <c r="Q21" i="2" l="1"/>
  <c r="P21" i="2"/>
  <c r="O21" i="2"/>
  <c r="N21" i="2"/>
  <c r="M21" i="2"/>
  <c r="J21" i="2" l="1"/>
  <c r="I21" i="2"/>
  <c r="H21" i="2"/>
  <c r="G21" i="2"/>
  <c r="F21" i="2"/>
  <c r="E21" i="2"/>
  <c r="D21" i="2"/>
  <c r="C21" i="2"/>
  <c r="B21" i="2"/>
  <c r="AH20" i="2" l="1"/>
  <c r="AG20" i="2"/>
  <c r="AF20" i="2"/>
  <c r="W20" i="2"/>
  <c r="V20" i="2"/>
  <c r="Q20" i="2" l="1"/>
  <c r="P20" i="2"/>
  <c r="O20" i="2"/>
  <c r="N20" i="2"/>
  <c r="M20" i="2"/>
  <c r="J20" i="2" l="1"/>
  <c r="I20" i="2"/>
  <c r="H20" i="2"/>
  <c r="G20" i="2"/>
  <c r="F20" i="2"/>
  <c r="E20" i="2"/>
  <c r="D20" i="2"/>
  <c r="C20" i="2"/>
  <c r="B20" i="2"/>
  <c r="AH19" i="2" l="1"/>
  <c r="AG19" i="2"/>
  <c r="AF19" i="2"/>
  <c r="W19" i="2"/>
  <c r="V19" i="2"/>
  <c r="Q19" i="2" l="1"/>
  <c r="P19" i="2"/>
  <c r="O19" i="2"/>
  <c r="N19" i="2"/>
  <c r="M19" i="2"/>
  <c r="J19" i="2" l="1"/>
  <c r="I19" i="2"/>
  <c r="H19" i="2"/>
  <c r="G19" i="2"/>
  <c r="F19" i="2"/>
  <c r="E19" i="2"/>
  <c r="D19" i="2"/>
  <c r="C19" i="2"/>
  <c r="B19" i="2"/>
  <c r="AH18" i="2" l="1"/>
  <c r="AG18" i="2"/>
  <c r="AF18" i="2"/>
  <c r="W18" i="2"/>
  <c r="V18" i="2"/>
  <c r="Q18" i="2" l="1"/>
  <c r="P18" i="2"/>
  <c r="O18" i="2"/>
  <c r="N18" i="2"/>
  <c r="M18" i="2"/>
  <c r="J18" i="2" l="1"/>
  <c r="I18" i="2"/>
  <c r="H18" i="2"/>
  <c r="G18" i="2"/>
  <c r="F18" i="2"/>
  <c r="E18" i="2"/>
  <c r="D18" i="2"/>
  <c r="C18" i="2"/>
  <c r="B18" i="2"/>
  <c r="AH17" i="2" l="1"/>
  <c r="AG17" i="2"/>
  <c r="AF17" i="2"/>
  <c r="AH16" i="2"/>
  <c r="AG16" i="2"/>
  <c r="AF16" i="2"/>
  <c r="W17" i="2"/>
  <c r="V17" i="2"/>
  <c r="W16" i="2"/>
  <c r="V16" i="2"/>
  <c r="Q17" i="2" l="1"/>
  <c r="P17" i="2"/>
  <c r="Q16" i="2"/>
  <c r="P16" i="2"/>
  <c r="O17" i="2"/>
  <c r="N17" i="2"/>
  <c r="M17" i="2"/>
  <c r="O16" i="2"/>
  <c r="N16" i="2"/>
  <c r="M16" i="2"/>
  <c r="J17" i="2" l="1"/>
  <c r="I17" i="2"/>
  <c r="H17" i="2"/>
  <c r="G17" i="2"/>
  <c r="F17" i="2"/>
  <c r="E17" i="2"/>
  <c r="D17" i="2"/>
  <c r="C17" i="2"/>
  <c r="B17" i="2"/>
  <c r="J16" i="2"/>
  <c r="I16" i="2"/>
  <c r="H16" i="2"/>
  <c r="G16" i="2"/>
  <c r="F16" i="2"/>
  <c r="E16" i="2"/>
  <c r="D16" i="2"/>
  <c r="C16" i="2"/>
  <c r="B16" i="2"/>
  <c r="AH15" i="2" l="1"/>
  <c r="AG15" i="2"/>
  <c r="AF15" i="2"/>
  <c r="W15" i="2"/>
  <c r="V15" i="2"/>
  <c r="Q15" i="2" l="1"/>
  <c r="P15" i="2"/>
  <c r="O15" i="2"/>
  <c r="N15" i="2"/>
  <c r="M15" i="2"/>
  <c r="J15" i="2" l="1"/>
  <c r="I15" i="2"/>
  <c r="H15" i="2"/>
  <c r="G15" i="2"/>
  <c r="F15" i="2"/>
  <c r="E15" i="2"/>
  <c r="D15" i="2"/>
  <c r="C15" i="2"/>
  <c r="B15" i="2"/>
  <c r="AH14" i="2" l="1"/>
  <c r="AG14" i="2"/>
  <c r="AF14" i="2"/>
  <c r="W14" i="2"/>
  <c r="V14" i="2"/>
  <c r="Q14" i="2" l="1"/>
  <c r="P14" i="2"/>
  <c r="O14" i="2"/>
  <c r="N14" i="2"/>
  <c r="M14" i="2"/>
  <c r="J14" i="2" l="1"/>
  <c r="I14" i="2"/>
  <c r="H14" i="2"/>
  <c r="G14" i="2"/>
  <c r="F14" i="2"/>
  <c r="E14" i="2"/>
  <c r="D14" i="2"/>
  <c r="C14" i="2"/>
  <c r="B14" i="2"/>
  <c r="AH13" i="2" l="1"/>
  <c r="AG13" i="2"/>
  <c r="AF13" i="2"/>
  <c r="W13" i="2"/>
  <c r="V13" i="2"/>
  <c r="Q13" i="2" l="1"/>
  <c r="P13" i="2"/>
  <c r="O13" i="2"/>
  <c r="N13" i="2"/>
  <c r="M13" i="2"/>
  <c r="J13" i="2" l="1"/>
  <c r="I13" i="2"/>
  <c r="H13" i="2"/>
  <c r="G13" i="2"/>
  <c r="F13" i="2"/>
  <c r="E13" i="2"/>
  <c r="D13" i="2"/>
  <c r="C13" i="2"/>
  <c r="B13" i="2"/>
  <c r="AH12" i="2" l="1"/>
  <c r="AG12" i="2"/>
  <c r="AF12" i="2"/>
  <c r="W12" i="2"/>
  <c r="V12" i="2"/>
  <c r="Q12" i="2" l="1"/>
  <c r="P12" i="2"/>
  <c r="O12" i="2"/>
  <c r="N12" i="2"/>
  <c r="M12" i="2"/>
  <c r="J12" i="2" l="1"/>
  <c r="I12" i="2"/>
  <c r="H12" i="2"/>
  <c r="G12" i="2"/>
  <c r="F12" i="2"/>
  <c r="E12" i="2"/>
  <c r="D12" i="2"/>
  <c r="C12" i="2"/>
  <c r="B12" i="2"/>
  <c r="AH11" i="2" l="1"/>
  <c r="AG11" i="2"/>
  <c r="AF11" i="2"/>
  <c r="W11" i="2"/>
  <c r="V11" i="2"/>
  <c r="Q11" i="2" l="1"/>
  <c r="P11" i="2"/>
  <c r="O11" i="2"/>
  <c r="N11" i="2"/>
  <c r="M11" i="2"/>
  <c r="J11" i="2" l="1"/>
  <c r="I11" i="2"/>
  <c r="H11" i="2"/>
  <c r="G11" i="2"/>
  <c r="F11" i="2"/>
  <c r="E11" i="2"/>
  <c r="D11" i="2"/>
  <c r="C11" i="2"/>
  <c r="B11" i="2"/>
  <c r="AH10" i="2" l="1"/>
  <c r="AF10" i="2"/>
  <c r="AH9" i="2"/>
  <c r="AG10" i="2"/>
  <c r="AG9" i="2"/>
  <c r="AF9" i="2"/>
  <c r="W10" i="2"/>
  <c r="V10" i="2"/>
  <c r="W9" i="2"/>
  <c r="V9" i="2"/>
  <c r="Q10" i="2" l="1"/>
  <c r="P10" i="2"/>
  <c r="Q9" i="2"/>
  <c r="P9" i="2"/>
  <c r="O10" i="2"/>
  <c r="N10" i="2"/>
  <c r="M10" i="2"/>
  <c r="O9" i="2"/>
  <c r="N9" i="2"/>
  <c r="M9" i="2"/>
  <c r="J10" i="2" l="1"/>
  <c r="I10" i="2"/>
  <c r="H10" i="2"/>
  <c r="G10" i="2"/>
  <c r="F10" i="2"/>
  <c r="E10" i="2"/>
  <c r="D10" i="2"/>
  <c r="C10" i="2"/>
  <c r="B10" i="2"/>
  <c r="J9" i="2"/>
  <c r="I9" i="2"/>
  <c r="H9" i="2"/>
  <c r="G9" i="2"/>
  <c r="F9" i="2"/>
  <c r="E9" i="2"/>
  <c r="D9" i="2"/>
  <c r="C9" i="2"/>
  <c r="B9" i="2"/>
  <c r="AH8" i="2" l="1"/>
  <c r="AG8" i="2"/>
  <c r="AF8" i="2"/>
  <c r="W8" i="2"/>
  <c r="V8" i="2"/>
  <c r="Q8" i="2" l="1"/>
  <c r="P8" i="2"/>
  <c r="O8" i="2"/>
  <c r="N8" i="2"/>
  <c r="M8" i="2"/>
  <c r="J8" i="2" l="1"/>
  <c r="I8" i="2"/>
  <c r="H8" i="2"/>
  <c r="G8" i="2"/>
  <c r="F8" i="2"/>
  <c r="E8" i="2"/>
  <c r="D8" i="2"/>
  <c r="C8" i="2"/>
  <c r="B8" i="2"/>
  <c r="AH7" i="2" l="1"/>
  <c r="AG7" i="2"/>
  <c r="AF7" i="2"/>
  <c r="W7" i="2"/>
  <c r="V7" i="2"/>
  <c r="Q7" i="2" l="1"/>
  <c r="P7" i="2"/>
  <c r="O7" i="2"/>
  <c r="N7" i="2"/>
  <c r="M7" i="2"/>
  <c r="J7" i="2" l="1"/>
  <c r="I7" i="2"/>
  <c r="H7" i="2"/>
  <c r="G7" i="2"/>
  <c r="F7" i="2"/>
  <c r="E7" i="2"/>
  <c r="D7" i="2"/>
  <c r="C7" i="2"/>
  <c r="B7" i="2"/>
  <c r="AH6" i="2" l="1"/>
  <c r="AG6" i="2"/>
  <c r="AF6" i="2"/>
  <c r="W6" i="2"/>
  <c r="V6" i="2"/>
  <c r="Q6" i="2" l="1"/>
  <c r="P6" i="2"/>
  <c r="O6" i="2"/>
  <c r="N6" i="2"/>
  <c r="M6" i="2"/>
  <c r="J6" i="2"/>
  <c r="I6" i="2"/>
  <c r="H6" i="2"/>
  <c r="G6" i="2"/>
  <c r="F6" i="2"/>
  <c r="E6" i="2"/>
  <c r="D6" i="2"/>
  <c r="C6" i="2"/>
  <c r="B6" i="2"/>
  <c r="H37" i="2" l="1"/>
  <c r="J37" i="2"/>
  <c r="I37" i="2"/>
  <c r="B31" i="1" l="1"/>
  <c r="B32" i="1"/>
  <c r="U31" i="3"/>
  <c r="V31" i="3"/>
  <c r="W31" i="3"/>
  <c r="U32" i="3"/>
  <c r="V32" i="3"/>
  <c r="W32" i="3"/>
  <c r="E31" i="3"/>
  <c r="F31" i="3"/>
  <c r="G31" i="3"/>
  <c r="H31" i="3"/>
  <c r="I31" i="3"/>
  <c r="J31" i="3"/>
  <c r="K31" i="3"/>
  <c r="L31" i="3"/>
  <c r="M31" i="3"/>
  <c r="Q31" i="3"/>
  <c r="R31" i="3"/>
  <c r="E32" i="3"/>
  <c r="F32" i="3"/>
  <c r="G32" i="3"/>
  <c r="H32" i="3"/>
  <c r="I32" i="3"/>
  <c r="J32" i="3"/>
  <c r="K32" i="3"/>
  <c r="L32" i="3"/>
  <c r="M32" i="3"/>
  <c r="Q32" i="3"/>
  <c r="R32" i="3"/>
  <c r="B31" i="3"/>
  <c r="B32" i="3"/>
  <c r="AI35" i="2"/>
  <c r="AK35" i="2" s="1"/>
  <c r="AI36" i="2"/>
  <c r="AK36" i="2" s="1"/>
  <c r="AC35" i="2"/>
  <c r="AD35" i="2" s="1"/>
  <c r="AE35" i="2" s="1"/>
  <c r="AC36" i="2"/>
  <c r="AD36" i="2" s="1"/>
  <c r="AE36" i="2" s="1"/>
  <c r="Z35" i="2"/>
  <c r="AA35" i="2" s="1"/>
  <c r="Z36" i="2"/>
  <c r="AA36" i="2" s="1"/>
  <c r="T35" i="2"/>
  <c r="U35" i="2" s="1"/>
  <c r="T36" i="2"/>
  <c r="N32" i="3" s="1"/>
  <c r="R35" i="2"/>
  <c r="O31" i="3" s="1"/>
  <c r="S35" i="2"/>
  <c r="R36" i="2"/>
  <c r="O32" i="3" s="1"/>
  <c r="S36" i="2"/>
  <c r="K35" i="2"/>
  <c r="L35" i="2" s="1"/>
  <c r="K36" i="2"/>
  <c r="L36" i="2" s="1"/>
  <c r="X32" i="3" l="1"/>
  <c r="AL36" i="2"/>
  <c r="AM36" i="2" s="1"/>
  <c r="AL35" i="2"/>
  <c r="AM35" i="2" s="1"/>
  <c r="X31" i="3"/>
  <c r="T32" i="3"/>
  <c r="I32" i="1" s="1"/>
  <c r="T31" i="3"/>
  <c r="AO35" i="2"/>
  <c r="P32" i="3"/>
  <c r="G32" i="1" s="1"/>
  <c r="P31" i="3"/>
  <c r="G31" i="1" s="1"/>
  <c r="K32" i="1"/>
  <c r="N31" i="3"/>
  <c r="K31" i="1" s="1"/>
  <c r="U36" i="2"/>
  <c r="AO36" i="2" s="1"/>
  <c r="E31" i="1"/>
  <c r="E32" i="1"/>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S32" i="3" l="1"/>
  <c r="S31" i="3"/>
  <c r="I31" i="1"/>
  <c r="AI6" i="2"/>
  <c r="AC6" i="2"/>
  <c r="AN37" i="2" l="1"/>
  <c r="AH37" i="2"/>
  <c r="AG37" i="2"/>
  <c r="AF37" i="2"/>
  <c r="G37" i="2"/>
  <c r="D37" i="2"/>
  <c r="Z33" i="3"/>
  <c r="Z7" i="2"/>
  <c r="K6" i="2" l="1"/>
  <c r="L6" i="2" l="1"/>
  <c r="N33" i="1" l="1"/>
  <c r="Z9" i="2"/>
  <c r="P5" i="3" s="1"/>
  <c r="G5" i="1" s="1"/>
  <c r="Z10" i="2"/>
  <c r="AA10" i="2" s="1"/>
  <c r="Z11" i="2"/>
  <c r="AA11" i="2" s="1"/>
  <c r="Z12" i="2"/>
  <c r="Z13" i="2"/>
  <c r="AA13" i="2" s="1"/>
  <c r="Z14" i="2"/>
  <c r="AA14" i="2" s="1"/>
  <c r="Z15" i="2"/>
  <c r="AA15" i="2" s="1"/>
  <c r="Z16" i="2"/>
  <c r="AA16" i="2" s="1"/>
  <c r="AD17" i="2"/>
  <c r="AE17" i="2" s="1"/>
  <c r="R15" i="2"/>
  <c r="O11" i="3" s="1"/>
  <c r="R16" i="2"/>
  <c r="O12" i="3" s="1"/>
  <c r="R17" i="2"/>
  <c r="O13" i="3" s="1"/>
  <c r="R18" i="2"/>
  <c r="R19" i="2"/>
  <c r="O15" i="3" s="1"/>
  <c r="R20" i="2"/>
  <c r="O16" i="3" s="1"/>
  <c r="R21" i="2"/>
  <c r="O17" i="3" s="1"/>
  <c r="R22" i="2"/>
  <c r="R23" i="2"/>
  <c r="O19" i="3" s="1"/>
  <c r="R24" i="2"/>
  <c r="O20" i="3" s="1"/>
  <c r="R25" i="2"/>
  <c r="O21" i="3" s="1"/>
  <c r="R26" i="2"/>
  <c r="O22" i="3" s="1"/>
  <c r="R27" i="2"/>
  <c r="O23" i="3" s="1"/>
  <c r="R28" i="2"/>
  <c r="O24" i="3" s="1"/>
  <c r="R29" i="2"/>
  <c r="O25" i="3" s="1"/>
  <c r="R30" i="2"/>
  <c r="O26" i="3" s="1"/>
  <c r="R31" i="2"/>
  <c r="O27" i="3" s="1"/>
  <c r="R32" i="2"/>
  <c r="O28" i="3" s="1"/>
  <c r="R33" i="2"/>
  <c r="O29" i="3" s="1"/>
  <c r="R34" i="2"/>
  <c r="R6" i="2"/>
  <c r="R7" i="2"/>
  <c r="O3" i="3" s="1"/>
  <c r="R8" i="2"/>
  <c r="O4" i="3" s="1"/>
  <c r="R9" i="2"/>
  <c r="O5" i="3" s="1"/>
  <c r="R10" i="2"/>
  <c r="O6" i="3" s="1"/>
  <c r="R11" i="2"/>
  <c r="O7" i="3" s="1"/>
  <c r="R12" i="2"/>
  <c r="O8" i="3" s="1"/>
  <c r="R13" i="2"/>
  <c r="O9" i="3" s="1"/>
  <c r="R14" i="2"/>
  <c r="O10" i="3" s="1"/>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AE6" i="2" s="1"/>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E25" i="2" s="1"/>
  <c r="AD30" i="2"/>
  <c r="AE30" i="2" s="1"/>
  <c r="AD32" i="2"/>
  <c r="AE32" i="2" s="1"/>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S29" i="2"/>
  <c r="S28" i="2"/>
  <c r="S27" i="2"/>
  <c r="S26" i="2"/>
  <c r="S25" i="2"/>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AK18" i="2"/>
  <c r="X14" i="3" s="1"/>
  <c r="D40" i="2"/>
  <c r="G39" i="2"/>
  <c r="N24" i="3"/>
  <c r="N29" i="3" l="1"/>
  <c r="N3" i="3"/>
  <c r="P28" i="3"/>
  <c r="G28" i="1" s="1"/>
  <c r="K28" i="1"/>
  <c r="U32" i="2"/>
  <c r="T23" i="3"/>
  <c r="AL25" i="2"/>
  <c r="AM25" i="2" s="1"/>
  <c r="P17" i="3"/>
  <c r="G17" i="1" s="1"/>
  <c r="U19" i="2"/>
  <c r="AO19" i="2" s="1"/>
  <c r="P15" i="3"/>
  <c r="S15" i="3" s="1"/>
  <c r="U15" i="2"/>
  <c r="AO15" i="2" s="1"/>
  <c r="P9" i="3"/>
  <c r="G9" i="1" s="1"/>
  <c r="P27" i="3"/>
  <c r="S27" i="3" s="1"/>
  <c r="P19" i="3"/>
  <c r="G19" i="1" s="1"/>
  <c r="T28" i="3"/>
  <c r="T27" i="3"/>
  <c r="N19" i="3"/>
  <c r="T12" i="3"/>
  <c r="T22" i="3"/>
  <c r="I22" i="1" s="1"/>
  <c r="T21" i="3"/>
  <c r="I21" i="1" s="1"/>
  <c r="T13" i="3"/>
  <c r="T30" i="3"/>
  <c r="P11" i="3"/>
  <c r="G11" i="1" s="1"/>
  <c r="X18" i="3"/>
  <c r="T17" i="3"/>
  <c r="I17" i="1" s="1"/>
  <c r="X9" i="3"/>
  <c r="N10" i="3"/>
  <c r="K10" i="1" s="1"/>
  <c r="U11" i="2"/>
  <c r="AO11" i="2" s="1"/>
  <c r="P26" i="3"/>
  <c r="G26" i="1" s="1"/>
  <c r="U17" i="2"/>
  <c r="T3" i="3"/>
  <c r="P24" i="3"/>
  <c r="G24" i="1" s="1"/>
  <c r="U16" i="2"/>
  <c r="AO16" i="2" s="1"/>
  <c r="U30" i="2"/>
  <c r="M33" i="3"/>
  <c r="V33" i="3"/>
  <c r="I33" i="3"/>
  <c r="T7" i="3"/>
  <c r="I7" i="1" s="1"/>
  <c r="U9" i="2"/>
  <c r="K33" i="3"/>
  <c r="J33" i="3"/>
  <c r="W33" i="3"/>
  <c r="U33" i="3"/>
  <c r="T5" i="3"/>
  <c r="I5" i="1" s="1"/>
  <c r="Q33" i="3"/>
  <c r="U8" i="2"/>
  <c r="T37" i="2"/>
  <c r="U37" i="2" s="1"/>
  <c r="L33" i="3"/>
  <c r="X27" i="3"/>
  <c r="AL11" i="2"/>
  <c r="AM11" i="2" s="1"/>
  <c r="X10" i="3"/>
  <c r="T20" i="3"/>
  <c r="I20" i="1" s="1"/>
  <c r="P4" i="3"/>
  <c r="G4" i="1" s="1"/>
  <c r="R33" i="3"/>
  <c r="L7" i="2"/>
  <c r="L37" i="2" s="1"/>
  <c r="K37" i="2"/>
  <c r="X2" i="3"/>
  <c r="AK37" i="2"/>
  <c r="AD37" i="2"/>
  <c r="AE37" i="2" s="1"/>
  <c r="AA6" i="2"/>
  <c r="Z37" i="2"/>
  <c r="O2" i="3"/>
  <c r="O33" i="3" s="1"/>
  <c r="R37" i="2"/>
  <c r="R39" i="2" s="1"/>
  <c r="S5" i="3"/>
  <c r="E30" i="1"/>
  <c r="E17" i="1"/>
  <c r="N2" i="3"/>
  <c r="U6" i="2"/>
  <c r="AL6" i="2"/>
  <c r="AM6" i="2" s="1"/>
  <c r="G3" i="1"/>
  <c r="S3" i="3"/>
  <c r="P2" i="3"/>
  <c r="AA7" i="2"/>
  <c r="U25" i="2"/>
  <c r="N18" i="3"/>
  <c r="K18" i="1" s="1"/>
  <c r="S23" i="3"/>
  <c r="K30" i="1"/>
  <c r="K24" i="1"/>
  <c r="E29" i="1"/>
  <c r="K7" i="1"/>
  <c r="S30" i="3"/>
  <c r="X26" i="3"/>
  <c r="X13" i="3"/>
  <c r="AL21" i="2"/>
  <c r="AM21" i="2" s="1"/>
  <c r="T25" i="3"/>
  <c r="I25" i="1" s="1"/>
  <c r="T11" i="3"/>
  <c r="T16" i="3"/>
  <c r="AA17" i="2"/>
  <c r="K15" i="1"/>
  <c r="K11" i="1"/>
  <c r="K8" i="1"/>
  <c r="K4" i="1"/>
  <c r="K25" i="1"/>
  <c r="K29" i="1"/>
  <c r="E24" i="1"/>
  <c r="E13" i="1"/>
  <c r="E6" i="1"/>
  <c r="X30" i="3"/>
  <c r="AL34" i="2"/>
  <c r="AM34" i="2" s="1"/>
  <c r="AL24" i="2"/>
  <c r="AM24" i="2" s="1"/>
  <c r="AL9" i="2"/>
  <c r="AM9" i="2" s="1"/>
  <c r="X4" i="3"/>
  <c r="X19" i="3"/>
  <c r="T8" i="3"/>
  <c r="I8" i="1" s="1"/>
  <c r="T24" i="3"/>
  <c r="G13" i="1"/>
  <c r="S13" i="3"/>
  <c r="AO33" i="2"/>
  <c r="S14" i="3"/>
  <c r="P29" i="3"/>
  <c r="AA9" i="2"/>
  <c r="AO9" i="2" s="1"/>
  <c r="P10" i="3"/>
  <c r="P25" i="3"/>
  <c r="G25" i="1" s="1"/>
  <c r="N9" i="3"/>
  <c r="K9" i="1" s="1"/>
  <c r="N16" i="3"/>
  <c r="K16" i="1" s="1"/>
  <c r="K3" i="1"/>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AO30" i="2"/>
  <c r="T4" i="3"/>
  <c r="T15" i="3"/>
  <c r="AO13" i="2"/>
  <c r="T9" i="3"/>
  <c r="AL15" i="2"/>
  <c r="AM15" i="2" s="1"/>
  <c r="X11" i="3"/>
  <c r="T18" i="3"/>
  <c r="S22" i="3"/>
  <c r="S21" i="3"/>
  <c r="G21" i="1"/>
  <c r="AO23" i="2"/>
  <c r="T10" i="3"/>
  <c r="AO14" i="2"/>
  <c r="AL32" i="2"/>
  <c r="AM32" i="2" s="1"/>
  <c r="X28" i="3"/>
  <c r="AL28" i="2"/>
  <c r="AM28" i="2" s="1"/>
  <c r="X24" i="3"/>
  <c r="X16" i="3"/>
  <c r="AL20" i="2"/>
  <c r="AM20" i="2" s="1"/>
  <c r="T6" i="3"/>
  <c r="AO22" i="2"/>
  <c r="X3" i="3"/>
  <c r="X12" i="3"/>
  <c r="AA26" i="2"/>
  <c r="AO26" i="2" s="1"/>
  <c r="N22" i="3"/>
  <c r="K22" i="1" s="1"/>
  <c r="N17" i="3"/>
  <c r="K17" i="1" s="1"/>
  <c r="T19" i="3"/>
  <c r="P18" i="3"/>
  <c r="P7" i="3"/>
  <c r="AA25" i="2"/>
  <c r="P12" i="3"/>
  <c r="T26" i="3"/>
  <c r="AL26" i="2"/>
  <c r="AM26" i="2" s="1"/>
  <c r="T29" i="3"/>
  <c r="I29" i="1" s="1"/>
  <c r="AL29" i="2"/>
  <c r="AM29" i="2" s="1"/>
  <c r="AA24" i="2"/>
  <c r="AO24" i="2" s="1"/>
  <c r="P20" i="3"/>
  <c r="AA34" i="2"/>
  <c r="AA18" i="2"/>
  <c r="AO18" i="2" s="1"/>
  <c r="AA12" i="2"/>
  <c r="P8" i="3"/>
  <c r="AL33" i="2"/>
  <c r="AM33" i="2" s="1"/>
  <c r="AL12" i="2"/>
  <c r="AM12" i="2" s="1"/>
  <c r="T2" i="3"/>
  <c r="N14" i="3"/>
  <c r="K14" i="1" s="1"/>
  <c r="X23" i="3"/>
  <c r="T14" i="3"/>
  <c r="I14" i="1" s="1"/>
  <c r="U34" i="2"/>
  <c r="U29" i="2"/>
  <c r="AO29" i="2" s="1"/>
  <c r="X6" i="3"/>
  <c r="X15" i="3"/>
  <c r="U10" i="2"/>
  <c r="AO10" i="2" s="1"/>
  <c r="AL18" i="2"/>
  <c r="AM18" i="2" s="1"/>
  <c r="P6" i="3"/>
  <c r="P16" i="3"/>
  <c r="AA27" i="2"/>
  <c r="AO27" i="2" s="1"/>
  <c r="S28" i="3" l="1"/>
  <c r="S17" i="3"/>
  <c r="G15" i="1"/>
  <c r="AO17" i="2"/>
  <c r="I23" i="1"/>
  <c r="I28" i="1"/>
  <c r="AO32" i="2"/>
  <c r="I27" i="1"/>
  <c r="G27" i="1"/>
  <c r="I12" i="1"/>
  <c r="S11" i="3"/>
  <c r="S9" i="3"/>
  <c r="AO7" i="2"/>
  <c r="S26" i="3"/>
  <c r="I13" i="1"/>
  <c r="I10" i="1"/>
  <c r="S19" i="3"/>
  <c r="S24" i="3"/>
  <c r="I18" i="1"/>
  <c r="I24" i="1"/>
  <c r="S4" i="3"/>
  <c r="I9" i="1"/>
  <c r="AO8" i="2"/>
  <c r="I3" i="1"/>
  <c r="I30" i="1"/>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33" i="1" l="1"/>
  <c r="Y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sz val="9"/>
            <color indexed="81"/>
            <rFont val="Tahoma"/>
            <family val="2"/>
          </rPr>
          <t xml:space="preserve">
Cost/ unit updated based on current Invoice 27/05/2022</t>
        </r>
      </text>
    </comment>
    <comment ref="AM2" authorId="0" shapeId="0">
      <text>
        <r>
          <rPr>
            <sz val="9"/>
            <color indexed="81"/>
            <rFont val="Tahoma"/>
            <family val="2"/>
          </rPr>
          <t xml:space="preserve">
Cost/ unit updated based on current Invoice 27/05/2022</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<sst xmlns="http://schemas.openxmlformats.org/spreadsheetml/2006/main" count="220" uniqueCount="103">
  <si>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</si>
  <si>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</si>
  <si>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</si>
  <si>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</si>
  <si>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</si>
  <si>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</si>
  <si>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</si>
  <si>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</si>
  <si>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</si>
  <si>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</si>
  <si>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</si>
  <si>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</si>
  <si>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</si>
  <si>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</si>
  <si>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</si>
  <si>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</si>
  <si>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</si>
  <si>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</si>
  <si>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</si>
  <si>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</si>
  <si>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</si>
  <si>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</si>
  <si>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</si>
  <si>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</si>
  <si>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</si>
  <si>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</si>
  <si>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</si>
  <si>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</si>
  <si>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</si>
  <si>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</si>
  <si>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</si>
  <si>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</si>
  <si>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</si>
  <si>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</si>
  <si>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</si>
  <si>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</si>
  <si>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</si>
  <si>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</si>
  <si>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</si>
  <si>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</si>
  <si>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</si>
  <si>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</si>
  <si>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</si>
  <si>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</si>
  <si>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</si>
  <si>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</si>
  <si>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</si>
  <si>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</si>
  <si>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</si>
  <si>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</si>
  <si>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</si>
  <si>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</si>
  <si>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</si>
  <si>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</si>
  <si>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</si>
  <si>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</si>
  <si>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</si>
  <si>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</si>
  <si>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</si>
  <si>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</si>
  <si>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</si>
  <si>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</si>
  <si>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</si>
  <si>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</si>
  <si>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</si>
  <si>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</si>
  <si>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</si>
  <si>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</si>
  <si>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</si>
  <si>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</si>
  <si>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</si>
  <si>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</si>
  <si>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</si>
  <si>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</si>
  <si>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</si>
  <si>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</si>
  <si>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</si>
  <si>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</si>
  <si>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</si>
  <si>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</si>
  <si>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</si>
  <si>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</si>
  <si>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</si>
  <si>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</si>
  <si>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</si>
  <si>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</si>
  <si>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</si>
  <si>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</si>
  <si>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</si>
  <si>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</si>
  <si>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</si>
  <si>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</si>
  <si>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</si>
  <si>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</si>
  <si>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</si>
  <si>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</si>
  <si>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</si>
  <si>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</si>
  <si>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</si>
  <si>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</si>
  <si>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</si>
  <si>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</si>
  <si>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0.327899/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</si>
</sst>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34">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0"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1" fontId="0" fillId="0" borderId="19" xfId="0" applyNumberFormat="1" applyBorder="1" applyAlignment="1">
      <alignment horizontal="center"/>
    </xf>
    <xf numFmtId="0" fontId="1" fillId="0" borderId="20"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1" xfId="0" applyNumberFormat="1" applyBorder="1" applyAlignment="1">
      <alignment horizontal="center"/>
    </xf>
    <xf numFmtId="2" fontId="0" fillId="0" borderId="1" xfId="0" applyNumberFormat="1" applyFont="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M2" sqref="M2:N32"/>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1" t="s">
        <v>0</v>
      </c>
      <c r="B1" s="112" t="s">
        <v>1</v>
      </c>
      <c r="C1" s="113" t="s">
        <v>2</v>
      </c>
      <c r="D1" s="112" t="s">
        <v>3</v>
      </c>
      <c r="E1" s="114" t="s">
        <v>4</v>
      </c>
      <c r="F1" s="115" t="s">
        <v>5</v>
      </c>
      <c r="G1" s="114" t="s">
        <v>10</v>
      </c>
      <c r="H1" s="115" t="s">
        <v>11</v>
      </c>
      <c r="I1" s="116" t="s">
        <v>82</v>
      </c>
      <c r="J1" s="117" t="s">
        <v>83</v>
      </c>
      <c r="K1" s="114" t="s">
        <v>6</v>
      </c>
      <c r="L1" s="118" t="s">
        <v>7</v>
      </c>
      <c r="M1" s="114" t="s">
        <v>8</v>
      </c>
      <c r="N1" s="119" t="s">
        <v>9</v>
      </c>
    </row>
    <row r="2" spans="1:15" x14ac:dyDescent="0.25">
      <c r="A2" s="106" t="s">
        <v>80</v>
      </c>
      <c r="B2" s="107">
        <v>1</v>
      </c>
      <c r="C2" s="108">
        <v>6</v>
      </c>
      <c r="D2" s="107">
        <v>2022</v>
      </c>
      <c r="E2" s="101">
        <f>Submetering!E2+Submetering!F2+Submetering!G2+Submetering!H2+Submetering!I2+Submetering!J2+Submetering!K2</f>
        <v>38849</v>
      </c>
      <c r="F2" s="109">
        <v>0.2</v>
      </c>
      <c r="G2" s="101">
        <f>Submetering!P2</f>
        <v>712</v>
      </c>
      <c r="H2" s="109">
        <v>6.47</v>
      </c>
      <c r="I2" s="101">
        <f>Submetering!T2-Submetering!T2*15%-Submetering!X2</f>
        <v>54910.654799994183</v>
      </c>
      <c r="J2" s="100">
        <v>0.21</v>
      </c>
      <c r="K2" s="101">
        <f>Submetering!N2-Submetering!O2</f>
        <v>128.57800000000134</v>
      </c>
      <c r="L2" s="109">
        <v>7.84</v>
      </c>
      <c r="M2" s="101">
        <f>Submetering!Y2</f>
        <v>127</v>
      </c>
      <c r="N2" s="102">
        <f>Submetering!Z2</f>
        <v>160</v>
      </c>
    </row>
    <row r="3" spans="1:15" x14ac:dyDescent="0.25">
      <c r="A3" s="110" t="s">
        <v>80</v>
      </c>
      <c r="B3" s="72">
        <f>B2+1</f>
        <v>2</v>
      </c>
      <c r="C3" s="73">
        <v>6</v>
      </c>
      <c r="D3" s="72">
        <v>2022</v>
      </c>
      <c r="E3" s="71">
        <f>Submetering!E3+Submetering!F3+Submetering!G3+Submetering!H3+Submetering!I3+Submetering!J3+Submetering!K3</f>
        <v>37865</v>
      </c>
      <c r="F3" s="74">
        <v>0.2</v>
      </c>
      <c r="G3" s="71">
        <f>Submetering!P3</f>
        <v>688</v>
      </c>
      <c r="H3" s="74">
        <v>6.47</v>
      </c>
      <c r="I3" s="71">
        <f>Submetering!T3-Submetering!T3*15%-Submetering!X3</f>
        <v>51425.35180000437</v>
      </c>
      <c r="J3" s="70">
        <v>0.21</v>
      </c>
      <c r="K3" s="71">
        <f>Submetering!N3-Submetering!O3</f>
        <v>131.57800000000134</v>
      </c>
      <c r="L3" s="74">
        <v>7.84</v>
      </c>
      <c r="M3" s="71">
        <f>Submetering!Y3</f>
        <v>124</v>
      </c>
      <c r="N3" s="104">
        <f>Submetering!Z3</f>
        <v>165</v>
      </c>
    </row>
    <row r="4" spans="1:15" x14ac:dyDescent="0.25">
      <c r="A4" s="110" t="s">
        <v>80</v>
      </c>
      <c r="B4" s="72">
        <f t="shared" ref="B4:B32" si="0">B3+1</f>
        <v>3</v>
      </c>
      <c r="C4" s="73">
        <v>6</v>
      </c>
      <c r="D4" s="72">
        <v>2022</v>
      </c>
      <c r="E4" s="71">
        <f>Submetering!E4+Submetering!F4+Submetering!G4+Submetering!H4+Submetering!I4+Submetering!J4+Submetering!K4</f>
        <v>37351</v>
      </c>
      <c r="F4" s="74">
        <v>0.2</v>
      </c>
      <c r="G4" s="71">
        <f>Submetering!P4</f>
        <v>731</v>
      </c>
      <c r="H4" s="74">
        <v>6.47</v>
      </c>
      <c r="I4" s="71">
        <f>Submetering!T4-Submetering!T4*15%-Submetering!X4</f>
        <v>53285.205800001451</v>
      </c>
      <c r="J4" s="70">
        <v>0.21</v>
      </c>
      <c r="K4" s="71">
        <f>Submetering!N4-Submetering!O4</f>
        <v>150.49199999999655</v>
      </c>
      <c r="L4" s="74">
        <v>7.84</v>
      </c>
      <c r="M4" s="71">
        <f>Submetering!Y4</f>
        <v>101</v>
      </c>
      <c r="N4" s="104">
        <f>Submetering!Z4</f>
        <v>154</v>
      </c>
    </row>
    <row r="5" spans="1:15" x14ac:dyDescent="0.25">
      <c r="A5" s="110" t="s">
        <v>80</v>
      </c>
      <c r="B5" s="72">
        <f t="shared" si="0"/>
        <v>4</v>
      </c>
      <c r="C5" s="73">
        <v>6</v>
      </c>
      <c r="D5" s="72">
        <v>2022</v>
      </c>
      <c r="E5" s="71">
        <f>Submetering!E5+Submetering!F5+Submetering!G5+Submetering!H5+Submetering!I5+Submetering!J5+Submetering!K5</f>
        <v>36641</v>
      </c>
      <c r="F5" s="74">
        <v>0.2</v>
      </c>
      <c r="G5" s="71">
        <f>Submetering!P5</f>
        <v>727</v>
      </c>
      <c r="H5" s="74">
        <v>6.47</v>
      </c>
      <c r="I5" s="71">
        <f>Submetering!T5-Submetering!T5*15%-Submetering!X5</f>
        <v>49107.338199999998</v>
      </c>
      <c r="J5" s="70">
        <v>0.21</v>
      </c>
      <c r="K5" s="81">
        <f>Submetering!N5-Submetering!O5</f>
        <v>141.55200000000423</v>
      </c>
      <c r="L5" s="74">
        <v>7.84</v>
      </c>
      <c r="M5" s="71">
        <f>Submetering!Y5</f>
        <v>108</v>
      </c>
      <c r="N5" s="104">
        <f>Submetering!Z5</f>
        <v>170</v>
      </c>
    </row>
    <row r="6" spans="1:15" x14ac:dyDescent="0.25">
      <c r="A6" s="110" t="s">
        <v>80</v>
      </c>
      <c r="B6" s="72">
        <f t="shared" si="0"/>
        <v>5</v>
      </c>
      <c r="C6" s="73">
        <v>6</v>
      </c>
      <c r="D6" s="72">
        <v>2022</v>
      </c>
      <c r="E6" s="71">
        <f>Submetering!E6+Submetering!F6+Submetering!G6+Submetering!H6+Submetering!I6+Submetering!J6+Submetering!K6</f>
        <v>35935</v>
      </c>
      <c r="F6" s="74">
        <v>0.2</v>
      </c>
      <c r="G6" s="71">
        <f>Submetering!P6</f>
        <v>628</v>
      </c>
      <c r="H6" s="74">
        <v>6.47</v>
      </c>
      <c r="I6" s="71">
        <f>Submetering!T6-Submetering!T6*15%-Submetering!X6</f>
        <v>48713.03819999854</v>
      </c>
      <c r="J6" s="70">
        <v>0.21</v>
      </c>
      <c r="K6" s="71">
        <f>Submetering!N6-Submetering!O6</f>
        <v>117.52100000000246</v>
      </c>
      <c r="L6" s="74">
        <v>7.84</v>
      </c>
      <c r="M6" s="71">
        <f>Submetering!Y6</f>
        <v>92</v>
      </c>
      <c r="N6" s="104">
        <f>Submetering!Z6</f>
        <v>138</v>
      </c>
    </row>
    <row r="7" spans="1:15" x14ac:dyDescent="0.25">
      <c r="A7" s="110" t="s">
        <v>80</v>
      </c>
      <c r="B7" s="72">
        <f t="shared" si="0"/>
        <v>6</v>
      </c>
      <c r="C7" s="73">
        <v>6</v>
      </c>
      <c r="D7" s="72">
        <v>2022</v>
      </c>
      <c r="E7" s="71">
        <f>Submetering!E7+Submetering!F7+Submetering!G7+Submetering!H7+Submetering!I7+Submetering!J7+Submetering!K7</f>
        <v>36446</v>
      </c>
      <c r="F7" s="74">
        <v>0.2</v>
      </c>
      <c r="G7" s="71">
        <f>Submetering!P7</f>
        <v>636</v>
      </c>
      <c r="H7" s="74">
        <v>6.47</v>
      </c>
      <c r="I7" s="71">
        <f>Submetering!T7-Submetering!T7*15%-Submetering!X7</f>
        <v>52522.599399998537</v>
      </c>
      <c r="J7" s="70">
        <v>0.21</v>
      </c>
      <c r="K7" s="71">
        <f>Submetering!N7-Submetering!O7</f>
        <v>121.0759999999982</v>
      </c>
      <c r="L7" s="74">
        <v>7.84</v>
      </c>
      <c r="M7" s="71">
        <f>Submetering!Y7</f>
        <v>124</v>
      </c>
      <c r="N7" s="104">
        <f>Submetering!Z7</f>
        <v>149</v>
      </c>
    </row>
    <row r="8" spans="1:15" x14ac:dyDescent="0.25">
      <c r="A8" s="110" t="s">
        <v>80</v>
      </c>
      <c r="B8" s="72">
        <f t="shared" si="0"/>
        <v>7</v>
      </c>
      <c r="C8" s="73">
        <v>6</v>
      </c>
      <c r="D8" s="72">
        <v>2022</v>
      </c>
      <c r="E8" s="71">
        <f>Submetering!E8+Submetering!F8+Submetering!G8+Submetering!H8+Submetering!I8+Submetering!J8+Submetering!K8</f>
        <v>37471</v>
      </c>
      <c r="F8" s="74">
        <v>0.2</v>
      </c>
      <c r="G8" s="71">
        <f>Submetering!P8</f>
        <v>641</v>
      </c>
      <c r="H8" s="74">
        <v>6.47</v>
      </c>
      <c r="I8" s="71">
        <f>Submetering!T8-Submetering!T8*15%-Submetering!X8</f>
        <v>54421.500400001445</v>
      </c>
      <c r="J8" s="70">
        <v>0.21</v>
      </c>
      <c r="K8" s="71">
        <f>Submetering!N8-Submetering!O8</f>
        <v>132.52300000000196</v>
      </c>
      <c r="L8" s="74">
        <v>7.84</v>
      </c>
      <c r="M8" s="71">
        <f>Submetering!Y8</f>
        <v>137</v>
      </c>
      <c r="N8" s="104">
        <f>Submetering!Z8</f>
        <v>160</v>
      </c>
    </row>
    <row r="9" spans="1:15" x14ac:dyDescent="0.25">
      <c r="A9" s="110" t="s">
        <v>80</v>
      </c>
      <c r="B9" s="72">
        <f t="shared" si="0"/>
        <v>8</v>
      </c>
      <c r="C9" s="73">
        <v>6</v>
      </c>
      <c r="D9" s="72">
        <v>2022</v>
      </c>
      <c r="E9" s="71">
        <f>Submetering!E9+Submetering!F9+Submetering!G9+Submetering!H9+Submetering!I9+Submetering!J9+Submetering!K9</f>
        <v>38060</v>
      </c>
      <c r="F9" s="74">
        <v>0.2</v>
      </c>
      <c r="G9" s="71">
        <f>Submetering!P9</f>
        <v>695</v>
      </c>
      <c r="H9" s="74">
        <v>6.47</v>
      </c>
      <c r="I9" s="71">
        <f>Submetering!T9-Submetering!T9*15%-Submetering!X9</f>
        <v>54907.974599997091</v>
      </c>
      <c r="J9" s="70">
        <v>0.21</v>
      </c>
      <c r="K9" s="71">
        <f>Submetering!N9-Submetering!O9</f>
        <v>153.47399999999743</v>
      </c>
      <c r="L9" s="74">
        <v>7.84</v>
      </c>
      <c r="M9" s="71">
        <f>Submetering!Y9</f>
        <v>131</v>
      </c>
      <c r="N9" s="104">
        <f>Submetering!Z9</f>
        <v>153</v>
      </c>
      <c r="O9" s="1" t="s">
        <v>12</v>
      </c>
    </row>
    <row r="10" spans="1:15" x14ac:dyDescent="0.25">
      <c r="A10" s="110" t="s">
        <v>80</v>
      </c>
      <c r="B10" s="72">
        <f t="shared" si="0"/>
        <v>9</v>
      </c>
      <c r="C10" s="73">
        <v>6</v>
      </c>
      <c r="D10" s="72">
        <v>2022</v>
      </c>
      <c r="E10" s="71">
        <f>Submetering!E10+Submetering!F10+Submetering!G10+Submetering!H10+Submetering!I10+Submetering!J10+Submetering!K10</f>
        <v>37990</v>
      </c>
      <c r="F10" s="74">
        <v>0.2</v>
      </c>
      <c r="G10" s="71">
        <f>Submetering!P10</f>
        <v>681</v>
      </c>
      <c r="H10" s="74">
        <v>6.47</v>
      </c>
      <c r="I10" s="71">
        <f>Submetering!T10-Submetering!T10*15%-Submetering!X10</f>
        <v>53405.376400001463</v>
      </c>
      <c r="J10" s="70">
        <v>0.21</v>
      </c>
      <c r="K10" s="71">
        <f>Submetering!N10-Submetering!O10</f>
        <v>156.88599999999406</v>
      </c>
      <c r="L10" s="74">
        <v>7.84</v>
      </c>
      <c r="M10" s="71">
        <f>Submetering!Y10</f>
        <v>104</v>
      </c>
      <c r="N10" s="104">
        <f>Submetering!Z10</f>
        <v>136</v>
      </c>
    </row>
    <row r="11" spans="1:15" x14ac:dyDescent="0.25">
      <c r="A11" s="110" t="s">
        <v>80</v>
      </c>
      <c r="B11" s="72">
        <f t="shared" si="0"/>
        <v>10</v>
      </c>
      <c r="C11" s="73">
        <v>6</v>
      </c>
      <c r="D11" s="72">
        <v>2022</v>
      </c>
      <c r="E11" s="71">
        <f>Submetering!E11+Submetering!F11+Submetering!G11+Submetering!H11+Submetering!I11+Submetering!J11+Submetering!K11</f>
        <v>36875</v>
      </c>
      <c r="F11" s="74">
        <v>0.2</v>
      </c>
      <c r="G11" s="71">
        <f>Submetering!P11</f>
        <v>732</v>
      </c>
      <c r="H11" s="74">
        <v>6.47</v>
      </c>
      <c r="I11" s="71">
        <f>Submetering!T11-Submetering!T11*15%-Submetering!X11</f>
        <v>64443.025800000003</v>
      </c>
      <c r="J11" s="70">
        <v>0.21</v>
      </c>
      <c r="K11" s="71">
        <f>Submetering!N11-Submetering!O11</f>
        <v>127.40800000000763</v>
      </c>
      <c r="L11" s="74">
        <v>7.84</v>
      </c>
      <c r="M11" s="71">
        <f>Submetering!Y11</f>
        <v>69</v>
      </c>
      <c r="N11" s="104">
        <f>Submetering!Z11</f>
        <v>113</v>
      </c>
    </row>
    <row r="12" spans="1:15" x14ac:dyDescent="0.25">
      <c r="A12" s="110" t="s">
        <v>80</v>
      </c>
      <c r="B12" s="72">
        <f t="shared" si="0"/>
        <v>11</v>
      </c>
      <c r="C12" s="73">
        <v>6</v>
      </c>
      <c r="D12" s="72">
        <v>2022</v>
      </c>
      <c r="E12" s="71">
        <f>Submetering!E12+Submetering!F12+Submetering!G12+Submetering!H12+Submetering!I12+Submetering!J12+Submetering!K12</f>
        <v>38100</v>
      </c>
      <c r="F12" s="74">
        <v>0.2</v>
      </c>
      <c r="G12" s="71">
        <f>Submetering!P12</f>
        <v>732</v>
      </c>
      <c r="H12" s="74">
        <v>6.47</v>
      </c>
      <c r="I12" s="71">
        <f>Submetering!T12-Submetering!T12*15%-Submetering!X12</f>
        <v>61772.984000002907</v>
      </c>
      <c r="J12" s="70">
        <v>0.21</v>
      </c>
      <c r="K12" s="71">
        <f>Submetering!N12-Submetering!O12</f>
        <v>169.73700000000008</v>
      </c>
      <c r="L12" s="74">
        <v>7.84</v>
      </c>
      <c r="M12" s="71">
        <f>Submetering!Y12</f>
        <v>61</v>
      </c>
      <c r="N12" s="104">
        <f>Submetering!Z12</f>
        <v>104</v>
      </c>
    </row>
    <row r="13" spans="1:15" x14ac:dyDescent="0.25">
      <c r="A13" s="110" t="s">
        <v>80</v>
      </c>
      <c r="B13" s="72">
        <f t="shared" si="0"/>
        <v>12</v>
      </c>
      <c r="C13" s="73">
        <v>6</v>
      </c>
      <c r="D13" s="72">
        <v>2022</v>
      </c>
      <c r="E13" s="71">
        <f>Submetering!E13+Submetering!F13+Submetering!G13+Submetering!H13+Submetering!I13+Submetering!J13+Submetering!K13</f>
        <v>37351</v>
      </c>
      <c r="F13" s="74">
        <v>0.2</v>
      </c>
      <c r="G13" s="71">
        <f>Submetering!P13</f>
        <v>646</v>
      </c>
      <c r="H13" s="74">
        <v>6.47</v>
      </c>
      <c r="I13" s="71">
        <f>Submetering!T13-Submetering!T13*15%-Submetering!X13</f>
        <v>63753.953399997088</v>
      </c>
      <c r="J13" s="70">
        <v>0.21</v>
      </c>
      <c r="K13" s="71">
        <f>Submetering!N13-Submetering!O13</f>
        <v>100.72799999999825</v>
      </c>
      <c r="L13" s="74">
        <v>7.84</v>
      </c>
      <c r="M13" s="71">
        <f>Submetering!Y13</f>
        <v>51</v>
      </c>
      <c r="N13" s="104">
        <f>Submetering!Z13</f>
        <v>83</v>
      </c>
    </row>
    <row r="14" spans="1:15" x14ac:dyDescent="0.25">
      <c r="A14" s="110" t="s">
        <v>80</v>
      </c>
      <c r="B14" s="72">
        <f t="shared" si="0"/>
        <v>13</v>
      </c>
      <c r="C14" s="73">
        <v>6</v>
      </c>
      <c r="D14" s="72">
        <v>2022</v>
      </c>
      <c r="E14" s="71">
        <f>Submetering!E14+Submetering!F14+Submetering!G14+Submetering!H14+Submetering!I14+Submetering!J14+Submetering!K14</f>
        <v>37188</v>
      </c>
      <c r="F14" s="74">
        <v>0.2</v>
      </c>
      <c r="G14" s="71">
        <f>Submetering!P14</f>
        <v>651</v>
      </c>
      <c r="H14" s="74">
        <v>6.47</v>
      </c>
      <c r="I14" s="71">
        <f>Submetering!T14-Submetering!T14*15%-Submetering!X14</f>
        <v>71540.047000000006</v>
      </c>
      <c r="J14" s="70">
        <v>0.21</v>
      </c>
      <c r="K14" s="71">
        <f>Submetering!N14-Submetering!O14</f>
        <v>126.69600000000082</v>
      </c>
      <c r="L14" s="74">
        <v>7.84</v>
      </c>
      <c r="M14" s="71">
        <f>Submetering!Y14</f>
        <v>86</v>
      </c>
      <c r="N14" s="104">
        <f>Submetering!Z14</f>
        <v>121</v>
      </c>
    </row>
    <row r="15" spans="1:15" x14ac:dyDescent="0.25">
      <c r="A15" s="110" t="s">
        <v>80</v>
      </c>
      <c r="B15" s="72">
        <f t="shared" si="0"/>
        <v>14</v>
      </c>
      <c r="C15" s="73">
        <v>6</v>
      </c>
      <c r="D15" s="72">
        <v>2022</v>
      </c>
      <c r="E15" s="71">
        <f>Submetering!E15+Submetering!F15+Submetering!G15+Submetering!H15+Submetering!I15+Submetering!J15+Submetering!K15</f>
        <v>37767</v>
      </c>
      <c r="F15" s="74">
        <v>0.2</v>
      </c>
      <c r="G15" s="71">
        <f>Submetering!P15</f>
        <v>681</v>
      </c>
      <c r="H15" s="74">
        <v>6.47</v>
      </c>
      <c r="I15" s="71">
        <f>Submetering!T15-Submetering!T15*15%-Submetering!X15</f>
        <v>70152.237600001463</v>
      </c>
      <c r="J15" s="70">
        <v>0.21</v>
      </c>
      <c r="K15" s="81">
        <f>Submetering!N15-Submetering!O15</f>
        <v>136.65499999999611</v>
      </c>
      <c r="L15" s="74">
        <v>7.84</v>
      </c>
      <c r="M15" s="71">
        <f>Submetering!Y15</f>
        <v>88</v>
      </c>
      <c r="N15" s="104">
        <f>Submetering!Z15</f>
        <v>116</v>
      </c>
    </row>
    <row r="16" spans="1:15" x14ac:dyDescent="0.25">
      <c r="A16" s="110" t="s">
        <v>80</v>
      </c>
      <c r="B16" s="72">
        <f t="shared" si="0"/>
        <v>15</v>
      </c>
      <c r="C16" s="73">
        <v>6</v>
      </c>
      <c r="D16" s="72">
        <v>2022</v>
      </c>
      <c r="E16" s="71">
        <f>Submetering!E16+Submetering!F16+Submetering!G16+Submetering!H16+Submetering!I16+Submetering!J16+Submetering!K16</f>
        <v>36650</v>
      </c>
      <c r="F16" s="74">
        <v>0.2</v>
      </c>
      <c r="G16" s="71">
        <f>Submetering!P16</f>
        <v>682</v>
      </c>
      <c r="H16" s="74">
        <v>6.47</v>
      </c>
      <c r="I16" s="71">
        <f>Submetering!T16-Submetering!T16*15%-Submetering!X16</f>
        <v>65585.810999995636</v>
      </c>
      <c r="J16" s="70">
        <v>0.21</v>
      </c>
      <c r="K16" s="71">
        <f>Submetering!N16-Submetering!O16</f>
        <v>124.13300000000345</v>
      </c>
      <c r="L16" s="74">
        <v>7.84</v>
      </c>
      <c r="M16" s="71">
        <f>Submetering!Y16</f>
        <v>108</v>
      </c>
      <c r="N16" s="104">
        <f>Submetering!Z16</f>
        <v>145</v>
      </c>
    </row>
    <row r="17" spans="1:14" x14ac:dyDescent="0.25">
      <c r="A17" s="110" t="s">
        <v>80</v>
      </c>
      <c r="B17" s="72">
        <f t="shared" si="0"/>
        <v>16</v>
      </c>
      <c r="C17" s="73">
        <v>6</v>
      </c>
      <c r="D17" s="72">
        <v>2022</v>
      </c>
      <c r="E17" s="71">
        <f>Submetering!E17+Submetering!F17+Submetering!G17+Submetering!H17+Submetering!I17+Submetering!J17+Submetering!K17</f>
        <v>36607</v>
      </c>
      <c r="F17" s="74">
        <v>0.2</v>
      </c>
      <c r="G17" s="71">
        <f>Submetering!P17</f>
        <v>670</v>
      </c>
      <c r="H17" s="74">
        <v>6.47</v>
      </c>
      <c r="I17" s="71">
        <f>Submetering!T17-Submetering!T17*15%-Submetering!X17</f>
        <v>60798.073800002923</v>
      </c>
      <c r="J17" s="70">
        <v>0.21</v>
      </c>
      <c r="K17" s="71">
        <f>Submetering!N17-Submetering!O17</f>
        <v>122.98999999999978</v>
      </c>
      <c r="L17" s="74">
        <v>7.84</v>
      </c>
      <c r="M17" s="71">
        <f>Submetering!Y17</f>
        <v>104</v>
      </c>
      <c r="N17" s="104">
        <f>Submetering!Z17</f>
        <v>143</v>
      </c>
    </row>
    <row r="18" spans="1:14" x14ac:dyDescent="0.25">
      <c r="A18" s="110" t="s">
        <v>80</v>
      </c>
      <c r="B18" s="72">
        <f t="shared" si="0"/>
        <v>17</v>
      </c>
      <c r="C18" s="73">
        <v>6</v>
      </c>
      <c r="D18" s="72">
        <v>2022</v>
      </c>
      <c r="E18" s="71">
        <f>Submetering!E18+Submetering!F18+Submetering!G18+Submetering!H18+Submetering!I18+Submetering!J18+Submetering!K18</f>
        <v>37729</v>
      </c>
      <c r="F18" s="74">
        <v>0.2</v>
      </c>
      <c r="G18" s="71">
        <f>Submetering!P18</f>
        <v>687</v>
      </c>
      <c r="H18" s="74">
        <v>6.47</v>
      </c>
      <c r="I18" s="71">
        <f>Submetering!T18-Submetering!T18*15%-Submetering!X18</f>
        <v>72510.715400000001</v>
      </c>
      <c r="J18" s="70">
        <v>0.21</v>
      </c>
      <c r="K18" s="71">
        <f>Submetering!N18-Submetering!O18</f>
        <v>147.96999999999935</v>
      </c>
      <c r="L18" s="74">
        <v>7.84</v>
      </c>
      <c r="M18" s="71">
        <f>Submetering!Y18</f>
        <v>89</v>
      </c>
      <c r="N18" s="104">
        <f>Submetering!Z18</f>
        <v>149</v>
      </c>
    </row>
    <row r="19" spans="1:14" x14ac:dyDescent="0.25">
      <c r="A19" s="110" t="s">
        <v>80</v>
      </c>
      <c r="B19" s="72">
        <f t="shared" si="0"/>
        <v>18</v>
      </c>
      <c r="C19" s="73">
        <v>6</v>
      </c>
      <c r="D19" s="72">
        <v>2022</v>
      </c>
      <c r="E19" s="71">
        <f>Submetering!E19+Submetering!F19+Submetering!G19+Submetering!H19+Submetering!I19+Submetering!J19+Submetering!K19</f>
        <v>37147</v>
      </c>
      <c r="F19" s="74">
        <v>0.2</v>
      </c>
      <c r="G19" s="71">
        <f>Submetering!P19</f>
        <v>665</v>
      </c>
      <c r="H19" s="74">
        <v>6.47</v>
      </c>
      <c r="I19" s="71">
        <f>Submetering!T19-Submetering!T19*15%-Submetering!X19</f>
        <v>73549.567200000005</v>
      </c>
      <c r="J19" s="70">
        <v>0.21</v>
      </c>
      <c r="K19" s="71">
        <f>Submetering!N19-Submetering!O19</f>
        <v>98.539000000004307</v>
      </c>
      <c r="L19" s="74">
        <v>7.84</v>
      </c>
      <c r="M19" s="71">
        <f>Submetering!Y19</f>
        <v>74</v>
      </c>
      <c r="N19" s="104">
        <f>Submetering!Z19</f>
        <v>124</v>
      </c>
    </row>
    <row r="20" spans="1:14" x14ac:dyDescent="0.25">
      <c r="A20" s="110" t="s">
        <v>80</v>
      </c>
      <c r="B20" s="72">
        <f t="shared" si="0"/>
        <v>19</v>
      </c>
      <c r="C20" s="73">
        <v>6</v>
      </c>
      <c r="D20" s="72">
        <v>2022</v>
      </c>
      <c r="E20" s="71">
        <f>Submetering!E20+Submetering!F20+Submetering!G20+Submetering!H20+Submetering!I20+Submetering!J20+Submetering!K20</f>
        <v>36464</v>
      </c>
      <c r="F20" s="74">
        <v>0.2</v>
      </c>
      <c r="G20" s="71">
        <f>Submetering!P20</f>
        <v>608</v>
      </c>
      <c r="H20" s="74">
        <v>6.47</v>
      </c>
      <c r="I20" s="71">
        <f>Submetering!T20-Submetering!T20*15%-Submetering!X20</f>
        <v>76973.321800000005</v>
      </c>
      <c r="J20" s="70">
        <v>0.21</v>
      </c>
      <c r="K20" s="71">
        <f>Submetering!N20-Submetering!O20</f>
        <v>111.83499999999458</v>
      </c>
      <c r="L20" s="74">
        <v>7.84</v>
      </c>
      <c r="M20" s="71">
        <f>Submetering!Y20</f>
        <v>68</v>
      </c>
      <c r="N20" s="104">
        <f>Submetering!Z20</f>
        <v>95</v>
      </c>
    </row>
    <row r="21" spans="1:14" x14ac:dyDescent="0.25">
      <c r="A21" s="110" t="s">
        <v>80</v>
      </c>
      <c r="B21" s="72">
        <f t="shared" si="0"/>
        <v>20</v>
      </c>
      <c r="C21" s="73">
        <v>6</v>
      </c>
      <c r="D21" s="72">
        <v>2022</v>
      </c>
      <c r="E21" s="71">
        <f>Submetering!E21+Submetering!F21+Submetering!G21+Submetering!H21+Submetering!I21+Submetering!J21+Submetering!K21</f>
        <v>35556</v>
      </c>
      <c r="F21" s="74">
        <v>0.2</v>
      </c>
      <c r="G21" s="71">
        <f>Submetering!P21</f>
        <v>619</v>
      </c>
      <c r="H21" s="74">
        <v>6.47</v>
      </c>
      <c r="I21" s="71">
        <f>Submetering!T21-Submetering!T21*15%-Submetering!X21</f>
        <v>71182.041599999997</v>
      </c>
      <c r="J21" s="70">
        <v>0.21</v>
      </c>
      <c r="K21" s="71">
        <f>Submetering!N21-Submetering!O21</f>
        <v>109.28499999999804</v>
      </c>
      <c r="L21" s="74">
        <v>7.84</v>
      </c>
      <c r="M21" s="71">
        <f>Submetering!Y21</f>
        <v>81</v>
      </c>
      <c r="N21" s="104">
        <f>Submetering!Z21</f>
        <v>111</v>
      </c>
    </row>
    <row r="22" spans="1:14" x14ac:dyDescent="0.25">
      <c r="A22" s="110" t="s">
        <v>80</v>
      </c>
      <c r="B22" s="72">
        <f t="shared" si="0"/>
        <v>21</v>
      </c>
      <c r="C22" s="73">
        <v>6</v>
      </c>
      <c r="D22" s="72">
        <v>2022</v>
      </c>
      <c r="E22" s="71">
        <f>Submetering!E22+Submetering!F22+Submetering!G22+Submetering!H22+Submetering!I22+Submetering!J22+Submetering!K22</f>
        <v>38072</v>
      </c>
      <c r="F22" s="74">
        <v>0.2</v>
      </c>
      <c r="G22" s="71">
        <f>Submetering!P22</f>
        <v>634</v>
      </c>
      <c r="H22" s="74">
        <v>6.47</v>
      </c>
      <c r="I22" s="71">
        <f>Submetering!T22-Submetering!T22*15%-Submetering!X22</f>
        <v>60242.153199998545</v>
      </c>
      <c r="J22" s="70">
        <v>0.21</v>
      </c>
      <c r="K22" s="71">
        <f>Submetering!N22-Submetering!O22</f>
        <v>110.4260000000022</v>
      </c>
      <c r="L22" s="74">
        <v>7.84</v>
      </c>
      <c r="M22" s="71">
        <f>Submetering!Y22</f>
        <v>93</v>
      </c>
      <c r="N22" s="104">
        <f>Submetering!Z22</f>
        <v>131</v>
      </c>
    </row>
    <row r="23" spans="1:14" x14ac:dyDescent="0.25">
      <c r="A23" s="110" t="s">
        <v>80</v>
      </c>
      <c r="B23" s="72">
        <f t="shared" si="0"/>
        <v>22</v>
      </c>
      <c r="C23" s="73">
        <v>6</v>
      </c>
      <c r="D23" s="72">
        <v>2022</v>
      </c>
      <c r="E23" s="71">
        <f>Submetering!E23+Submetering!F23+Submetering!G23+Submetering!H23+Submetering!I23+Submetering!J23+Submetering!K23</f>
        <v>35157</v>
      </c>
      <c r="F23" s="74">
        <v>0.2</v>
      </c>
      <c r="G23" s="71">
        <f>Submetering!P23</f>
        <v>666</v>
      </c>
      <c r="H23" s="74">
        <v>6.47</v>
      </c>
      <c r="I23" s="71">
        <f>Submetering!T23-Submetering!T23*15%-Submetering!X23</f>
        <v>58312.38040000145</v>
      </c>
      <c r="J23" s="70">
        <v>0.21</v>
      </c>
      <c r="K23" s="71">
        <f>Submetering!N23-Submetering!O23</f>
        <v>135.90099999999711</v>
      </c>
      <c r="L23" s="74">
        <v>7.84</v>
      </c>
      <c r="M23" s="71">
        <f>Submetering!Y23</f>
        <v>93</v>
      </c>
      <c r="N23" s="104">
        <f>Submetering!Z23</f>
        <v>132</v>
      </c>
    </row>
    <row r="24" spans="1:14" x14ac:dyDescent="0.25">
      <c r="A24" s="110" t="s">
        <v>80</v>
      </c>
      <c r="B24" s="72">
        <f t="shared" si="0"/>
        <v>23</v>
      </c>
      <c r="C24" s="73">
        <v>6</v>
      </c>
      <c r="D24" s="72">
        <v>2022</v>
      </c>
      <c r="E24" s="71">
        <f>Submetering!E24+Submetering!F24+Submetering!G24+Submetering!H24+Submetering!I24+Submetering!J24+Submetering!K24</f>
        <v>37903</v>
      </c>
      <c r="F24" s="74">
        <v>0.2</v>
      </c>
      <c r="G24" s="71">
        <f>Submetering!P24</f>
        <v>637</v>
      </c>
      <c r="H24" s="74">
        <v>6.47</v>
      </c>
      <c r="I24" s="71">
        <f>Submetering!T24-Submetering!T24*15%-Submetering!X24</f>
        <v>69583.65400000292</v>
      </c>
      <c r="J24" s="70">
        <v>0.21</v>
      </c>
      <c r="K24" s="71">
        <f>Submetering!N24-Submetering!O24</f>
        <v>121.54100000000381</v>
      </c>
      <c r="L24" s="74">
        <v>7.84</v>
      </c>
      <c r="M24" s="71">
        <f>Submetering!Y24</f>
        <v>78</v>
      </c>
      <c r="N24" s="104">
        <f>Submetering!Z24</f>
        <v>115</v>
      </c>
    </row>
    <row r="25" spans="1:14" x14ac:dyDescent="0.25">
      <c r="A25" s="110" t="s">
        <v>80</v>
      </c>
      <c r="B25" s="72">
        <f t="shared" si="0"/>
        <v>24</v>
      </c>
      <c r="C25" s="73">
        <v>6</v>
      </c>
      <c r="D25" s="72">
        <v>2022</v>
      </c>
      <c r="E25" s="71">
        <f>Submetering!E25+Submetering!F25+Submetering!G25+Submetering!H25+Submetering!I25+Submetering!J25+Submetering!K25</f>
        <v>36777</v>
      </c>
      <c r="F25" s="74">
        <v>0.2</v>
      </c>
      <c r="G25" s="71">
        <f>Submetering!P25</f>
        <v>668</v>
      </c>
      <c r="H25" s="74">
        <v>6.47</v>
      </c>
      <c r="I25" s="71">
        <f>Submetering!T25-Submetering!T25*15%-Submetering!X25</f>
        <v>68158.60519999855</v>
      </c>
      <c r="J25" s="70">
        <v>0.21</v>
      </c>
      <c r="K25" s="71">
        <f>Submetering!N25-Submetering!O25</f>
        <v>112.27099999999882</v>
      </c>
      <c r="L25" s="74">
        <v>7.84</v>
      </c>
      <c r="M25" s="71">
        <f>Submetering!Y25</f>
        <v>69</v>
      </c>
      <c r="N25" s="104">
        <f>Submetering!Z25</f>
        <v>108</v>
      </c>
    </row>
    <row r="26" spans="1:14" x14ac:dyDescent="0.25">
      <c r="A26" s="110" t="s">
        <v>80</v>
      </c>
      <c r="B26" s="72">
        <f>B25+1</f>
        <v>25</v>
      </c>
      <c r="C26" s="73">
        <v>6</v>
      </c>
      <c r="D26" s="72">
        <v>2022</v>
      </c>
      <c r="E26" s="71">
        <f>Submetering!E26+Submetering!F26+Submetering!G26+Submetering!H26+Submetering!I26+Submetering!J26+Submetering!K26</f>
        <v>37190</v>
      </c>
      <c r="F26" s="74">
        <v>0.2</v>
      </c>
      <c r="G26" s="71">
        <f>Submetering!P26</f>
        <v>683</v>
      </c>
      <c r="H26" s="74">
        <v>6.47</v>
      </c>
      <c r="I26" s="71">
        <f>Submetering!T26-Submetering!T26*15%-Submetering!X26</f>
        <v>71639.779599999994</v>
      </c>
      <c r="J26" s="70">
        <v>0.21</v>
      </c>
      <c r="K26" s="71">
        <f>Submetering!N26-Submetering!O26</f>
        <v>104.57500000000437</v>
      </c>
      <c r="L26" s="74">
        <v>7.84</v>
      </c>
      <c r="M26" s="71">
        <f>Submetering!Y26</f>
        <v>65</v>
      </c>
      <c r="N26" s="104">
        <f>Submetering!Z26</f>
        <v>107</v>
      </c>
    </row>
    <row r="27" spans="1:14" x14ac:dyDescent="0.25">
      <c r="A27" s="110" t="s">
        <v>80</v>
      </c>
      <c r="B27" s="72">
        <f t="shared" si="0"/>
        <v>26</v>
      </c>
      <c r="C27" s="73">
        <v>6</v>
      </c>
      <c r="D27" s="72">
        <v>2022</v>
      </c>
      <c r="E27" s="71">
        <f>Submetering!E27+Submetering!F27+Submetering!G27+Submetering!H27+Submetering!I27+Submetering!J27+Submetering!K27</f>
        <v>36960</v>
      </c>
      <c r="F27" s="74">
        <v>0.2</v>
      </c>
      <c r="G27" s="71">
        <f>Submetering!P27</f>
        <v>594</v>
      </c>
      <c r="H27" s="74">
        <v>6.47</v>
      </c>
      <c r="I27" s="71">
        <f>Submetering!T27-Submetering!T27*15%-Submetering!X27</f>
        <v>74760.5046</v>
      </c>
      <c r="J27" s="70">
        <v>0.21</v>
      </c>
      <c r="K27" s="71">
        <f>Submetering!N27-Submetering!O27</f>
        <v>95.456000000000131</v>
      </c>
      <c r="L27" s="74">
        <v>7.84</v>
      </c>
      <c r="M27" s="71">
        <f>Submetering!Y27</f>
        <v>81</v>
      </c>
      <c r="N27" s="104">
        <f>Submetering!Z27</f>
        <v>113</v>
      </c>
    </row>
    <row r="28" spans="1:14" x14ac:dyDescent="0.25">
      <c r="A28" s="110" t="s">
        <v>80</v>
      </c>
      <c r="B28" s="72">
        <f t="shared" si="0"/>
        <v>27</v>
      </c>
      <c r="C28" s="73">
        <v>6</v>
      </c>
      <c r="D28" s="72">
        <v>2022</v>
      </c>
      <c r="E28" s="71">
        <f>Submetering!E28+Submetering!F28+Submetering!G28+Submetering!H28+Submetering!I28+Submetering!J28+Submetering!K28</f>
        <v>38193</v>
      </c>
      <c r="F28" s="74">
        <v>0.2</v>
      </c>
      <c r="G28" s="71">
        <f>Submetering!P28</f>
        <v>550</v>
      </c>
      <c r="H28" s="74">
        <v>6.47</v>
      </c>
      <c r="I28" s="71">
        <f>Submetering!T28-Submetering!T28*15%-Submetering!X28</f>
        <v>75192.084999997096</v>
      </c>
      <c r="J28" s="70">
        <v>0.21</v>
      </c>
      <c r="K28" s="71">
        <f>Submetering!N28-Submetering!O28</f>
        <v>121.96700000000055</v>
      </c>
      <c r="L28" s="74">
        <v>7.84</v>
      </c>
      <c r="M28" s="71">
        <f>Submetering!Y28</f>
        <v>103</v>
      </c>
      <c r="N28" s="104">
        <f>Submetering!Z28</f>
        <v>136</v>
      </c>
    </row>
    <row r="29" spans="1:14" x14ac:dyDescent="0.25">
      <c r="A29" s="110" t="s">
        <v>80</v>
      </c>
      <c r="B29" s="72">
        <f t="shared" si="0"/>
        <v>28</v>
      </c>
      <c r="C29" s="73">
        <v>6</v>
      </c>
      <c r="D29" s="72">
        <v>2022</v>
      </c>
      <c r="E29" s="71">
        <f>Submetering!E29+Submetering!F29+Submetering!G29+Submetering!H29+Submetering!I29+Submetering!J29+Submetering!K29</f>
        <v>37582</v>
      </c>
      <c r="F29" s="74">
        <v>0.2</v>
      </c>
      <c r="G29" s="71">
        <f>Submetering!P29</f>
        <v>654</v>
      </c>
      <c r="H29" s="74">
        <v>6.47</v>
      </c>
      <c r="I29" s="71">
        <f>Submetering!T29-Submetering!T29*15%-Submetering!X29</f>
        <v>70667.889200002915</v>
      </c>
      <c r="J29" s="70">
        <v>0.21</v>
      </c>
      <c r="K29" s="71">
        <f>Submetering!N29-Submetering!O29</f>
        <v>119.39500000000044</v>
      </c>
      <c r="L29" s="74">
        <v>7.84</v>
      </c>
      <c r="M29" s="71">
        <f>Submetering!Y29</f>
        <v>136</v>
      </c>
      <c r="N29" s="104">
        <f>Submetering!Z29</f>
        <v>165</v>
      </c>
    </row>
    <row r="30" spans="1:14" x14ac:dyDescent="0.25">
      <c r="A30" s="110" t="s">
        <v>80</v>
      </c>
      <c r="B30" s="72">
        <f t="shared" si="0"/>
        <v>29</v>
      </c>
      <c r="C30" s="73">
        <v>6</v>
      </c>
      <c r="D30" s="72">
        <v>2022</v>
      </c>
      <c r="E30" s="71">
        <f>Submetering!E30+Submetering!F30+Submetering!G30+Submetering!H30+Submetering!I30+Submetering!J30+Submetering!K30</f>
        <v>37503</v>
      </c>
      <c r="F30" s="74">
        <v>0.2</v>
      </c>
      <c r="G30" s="71">
        <f>Submetering!P30</f>
        <v>622</v>
      </c>
      <c r="H30" s="74">
        <v>6.47</v>
      </c>
      <c r="I30" s="71">
        <f>Submetering!T30-Submetering!T30*15%-Submetering!X30</f>
        <v>75352.165399998543</v>
      </c>
      <c r="J30" s="70">
        <v>0.21</v>
      </c>
      <c r="K30" s="71">
        <f>Submetering!N30-Submetering!O30</f>
        <v>149.98999999999342</v>
      </c>
      <c r="L30" s="74">
        <v>7.84</v>
      </c>
      <c r="M30" s="71">
        <f>Submetering!Y30</f>
        <v>139</v>
      </c>
      <c r="N30" s="104">
        <f>Submetering!Z30</f>
        <v>171</v>
      </c>
    </row>
    <row r="31" spans="1:14" x14ac:dyDescent="0.25">
      <c r="A31" s="110" t="s">
        <v>80</v>
      </c>
      <c r="B31" s="72">
        <f t="shared" si="0"/>
        <v>30</v>
      </c>
      <c r="C31" s="73">
        <v>6</v>
      </c>
      <c r="D31" s="72">
        <v>2022</v>
      </c>
      <c r="E31" s="71">
        <f>Submetering!E31+Submetering!F31+Submetering!G31+Submetering!H31+Submetering!I31+Submetering!J31+Submetering!K31</f>
        <v>38371</v>
      </c>
      <c r="F31" s="74">
        <v>0.2</v>
      </c>
      <c r="G31" s="71">
        <f>Submetering!P31</f>
        <v>643</v>
      </c>
      <c r="H31" s="74">
        <v>6.47</v>
      </c>
      <c r="I31" s="71">
        <f>Submetering!T31-Submetering!T31*15%-Submetering!X31</f>
        <v>70428.565000000002</v>
      </c>
      <c r="J31" s="70">
        <v>0.21</v>
      </c>
      <c r="K31" s="71">
        <f>Submetering!N31-Submetering!O31</f>
        <v>136.253999999999</v>
      </c>
      <c r="L31" s="74">
        <v>7.84</v>
      </c>
      <c r="M31" s="71">
        <f>Submetering!Y31</f>
        <v>98</v>
      </c>
      <c r="N31" s="104">
        <f>Submetering!Z31</f>
        <v>132</v>
      </c>
    </row>
    <row r="32" spans="1:14" x14ac:dyDescent="0.25">
      <c r="A32" s="110" t="s">
        <v>80</v>
      </c>
      <c r="B32" s="72">
        <f t="shared" si="0"/>
        <v>31</v>
      </c>
      <c r="C32" s="73">
        <v>6</v>
      </c>
      <c r="D32" s="72">
        <v>2022</v>
      </c>
      <c r="E32" s="71">
        <f>Submetering!E32+Submetering!F32+Submetering!G32+Submetering!H32+Submetering!I32+Submetering!J32+Submetering!K32</f>
        <v>0</v>
      </c>
      <c r="F32" s="74">
        <v>0.2</v>
      </c>
      <c r="G32" s="71" t="str">
        <f>Submetering!P32</f>
        <v>0</v>
      </c>
      <c r="H32" s="74">
        <v>6.47</v>
      </c>
      <c r="I32" s="71">
        <f>Submetering!T32-Submetering!T32*15%-Submetering!X32</f>
        <v>0</v>
      </c>
      <c r="J32" s="70">
        <v>0.21</v>
      </c>
      <c r="K32" s="71">
        <f>Submetering!N32-Submetering!O32</f>
        <v>0</v>
      </c>
      <c r="L32" s="74">
        <v>7.84</v>
      </c>
      <c r="M32" s="71">
        <f>Submetering!Y32</f>
        <v>0</v>
      </c>
      <c r="N32" s="104">
        <f>Submetering!Z32</f>
        <v>0</v>
      </c>
    </row>
    <row r="33" spans="13:14" x14ac:dyDescent="0.25">
      <c r="M33" s="4">
        <f>SUM(M2:M32)</f>
        <v>2882</v>
      </c>
      <c r="N33" s="4">
        <f>SUM(N2:N32)</f>
        <v>3999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Z32" sqref="Z32"/>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6</v>
      </c>
      <c r="D2" s="99">
        <v>2022</v>
      </c>
      <c r="E2" s="101">
        <f>'FS-AD Daily '!B6</f>
        <v>7318</v>
      </c>
      <c r="F2" s="101">
        <f>'FS-AD Daily '!C6</f>
        <v>4676</v>
      </c>
      <c r="G2" s="101">
        <f>'FS-AD Daily '!D6</f>
        <v>934</v>
      </c>
      <c r="H2" s="101">
        <f>'FS-AD Daily '!E6</f>
        <v>7690</v>
      </c>
      <c r="I2" s="101">
        <f>'FS-AD Daily '!F6</f>
        <v>5940</v>
      </c>
      <c r="J2" s="101">
        <f>'FS-AD Daily '!G6</f>
        <v>3033</v>
      </c>
      <c r="K2" s="101">
        <f>'FS-AD Daily '!H6</f>
        <v>9258</v>
      </c>
      <c r="L2" s="101">
        <f>'FS-AD Daily '!I6</f>
        <v>2472</v>
      </c>
      <c r="M2" s="101">
        <f>'FS-AD Daily '!J6</f>
        <v>7345</v>
      </c>
      <c r="N2" s="101">
        <f>'FS-AD Daily '!T6</f>
        <v>207.14600000000064</v>
      </c>
      <c r="O2" s="101">
        <f>'FS-AD Daily '!R6</f>
        <v>78.567999999999302</v>
      </c>
      <c r="P2" s="101">
        <f>'FS-AD Daily '!Z6</f>
        <v>712</v>
      </c>
      <c r="Q2" s="101">
        <f>'FS-AD Daily '!V6</f>
        <v>174.29999999998836</v>
      </c>
      <c r="R2" s="101">
        <f>'FS-AD Daily '!W6</f>
        <v>169.45999999999185</v>
      </c>
      <c r="S2" s="101">
        <f>P2-Q2-R2</f>
        <v>368.24000000001979</v>
      </c>
      <c r="T2" s="101">
        <f>'FS-AD Daily '!AD6*3.516</f>
        <v>105894.88800000001</v>
      </c>
      <c r="U2" s="101">
        <f>('FS-AD Daily '!AF6)*1000</f>
        <v>52399.999999994179</v>
      </c>
      <c r="V2" s="101">
        <f>('FS-AD Daily '!AG6)*1000</f>
        <v>0</v>
      </c>
      <c r="W2" s="101">
        <f>'FS-AD Daily '!AH6*1000</f>
        <v>13500</v>
      </c>
      <c r="X2" s="101">
        <f>('FS-AD Daily '!AK6)*1000</f>
        <v>35100.000000005821</v>
      </c>
      <c r="Y2" s="101">
        <f>'FS-AD Daily '!AN6</f>
        <v>127</v>
      </c>
      <c r="Z2" s="102">
        <v>160</v>
      </c>
    </row>
    <row r="3" spans="1:26" x14ac:dyDescent="0.25">
      <c r="A3" s="103" t="s">
        <v>80</v>
      </c>
      <c r="B3" s="69">
        <f>B2+1</f>
        <v>2</v>
      </c>
      <c r="C3" s="70">
        <v>6</v>
      </c>
      <c r="D3" s="69">
        <v>2022</v>
      </c>
      <c r="E3" s="71">
        <f>'FS-AD Daily '!B7</f>
        <v>7065</v>
      </c>
      <c r="F3" s="71">
        <f>'FS-AD Daily '!C7</f>
        <v>4050</v>
      </c>
      <c r="G3" s="71">
        <f>'FS-AD Daily '!D7</f>
        <v>869</v>
      </c>
      <c r="H3" s="71">
        <f>'FS-AD Daily '!E7</f>
        <v>7794</v>
      </c>
      <c r="I3" s="71">
        <f>'FS-AD Daily '!F7</f>
        <v>5862</v>
      </c>
      <c r="J3" s="71">
        <f>'FS-AD Daily '!G7</f>
        <v>2920</v>
      </c>
      <c r="K3" s="71">
        <f>'FS-AD Daily '!H7</f>
        <v>9305</v>
      </c>
      <c r="L3" s="71">
        <f>'FS-AD Daily '!I7</f>
        <v>2488</v>
      </c>
      <c r="M3" s="71">
        <f>'FS-AD Daily '!J7</f>
        <v>7255</v>
      </c>
      <c r="N3" s="71">
        <f>'FS-AD Daily '!T7</f>
        <v>213.33500000000276</v>
      </c>
      <c r="O3" s="71">
        <f>'FS-AD Daily '!R7</f>
        <v>81.757000000001426</v>
      </c>
      <c r="P3" s="71">
        <f>'FS-AD Daily '!Z7</f>
        <v>688</v>
      </c>
      <c r="Q3" s="71">
        <f>'FS-AD Daily '!V7</f>
        <v>172.09999999997672</v>
      </c>
      <c r="R3" s="71">
        <f>'FS-AD Daily '!W7</f>
        <v>165.77999999999884</v>
      </c>
      <c r="S3" s="71">
        <f t="shared" ref="S3:S30" si="0">P3-Q3-R3</f>
        <v>350.12000000002445</v>
      </c>
      <c r="T3" s="71">
        <f>'FS-AD Daily '!AD7*3.516</f>
        <v>96735.707999999999</v>
      </c>
      <c r="U3" s="71">
        <f>('FS-AD Daily '!AF7)*1000</f>
        <v>45300.00000000291</v>
      </c>
      <c r="V3" s="71">
        <f>('FS-AD Daily '!AG7)*1000</f>
        <v>0</v>
      </c>
      <c r="W3" s="71">
        <f>'FS-AD Daily '!AH7*1000</f>
        <v>14200.000000000728</v>
      </c>
      <c r="X3" s="71">
        <f>('FS-AD Daily '!AK7)*1000</f>
        <v>30799.999999995634</v>
      </c>
      <c r="Y3" s="71">
        <f>'FS-AD Daily '!AN7</f>
        <v>124</v>
      </c>
      <c r="Z3" s="104">
        <v>165</v>
      </c>
    </row>
    <row r="4" spans="1:26" x14ac:dyDescent="0.25">
      <c r="A4" s="103" t="s">
        <v>80</v>
      </c>
      <c r="B4" s="69">
        <f t="shared" ref="B4:B32" si="1">B3+1</f>
        <v>3</v>
      </c>
      <c r="C4" s="70">
        <v>6</v>
      </c>
      <c r="D4" s="69">
        <v>2022</v>
      </c>
      <c r="E4" s="71">
        <f>'FS-AD Daily '!B8</f>
        <v>6156</v>
      </c>
      <c r="F4" s="71">
        <f>'FS-AD Daily '!C8</f>
        <v>4710</v>
      </c>
      <c r="G4" s="71">
        <f>'FS-AD Daily '!D8</f>
        <v>900</v>
      </c>
      <c r="H4" s="71">
        <f>'FS-AD Daily '!E8</f>
        <v>7668</v>
      </c>
      <c r="I4" s="71">
        <f>'FS-AD Daily '!F8</f>
        <v>5993</v>
      </c>
      <c r="J4" s="71">
        <f>'FS-AD Daily '!G8</f>
        <v>2729</v>
      </c>
      <c r="K4" s="71">
        <f>'FS-AD Daily '!H8</f>
        <v>9195</v>
      </c>
      <c r="L4" s="71">
        <f>'FS-AD Daily '!I8</f>
        <v>2412</v>
      </c>
      <c r="M4" s="71">
        <f>'FS-AD Daily '!J8</f>
        <v>7582</v>
      </c>
      <c r="N4" s="71">
        <f>'FS-AD Daily '!T8</f>
        <v>231.25599999999758</v>
      </c>
      <c r="O4" s="71">
        <f>'FS-AD Daily '!R8</f>
        <v>80.764000000001033</v>
      </c>
      <c r="P4" s="71">
        <f>'FS-AD Daily '!Z8</f>
        <v>731</v>
      </c>
      <c r="Q4" s="71">
        <f>'FS-AD Daily '!V8</f>
        <v>182.20000000001164</v>
      </c>
      <c r="R4" s="71">
        <f>'FS-AD Daily '!W8</f>
        <v>163.48999999999069</v>
      </c>
      <c r="S4" s="71">
        <f t="shared" si="0"/>
        <v>385.30999999999767</v>
      </c>
      <c r="T4" s="71">
        <f>'FS-AD Daily '!AD8*3.516</f>
        <v>99864.948000000004</v>
      </c>
      <c r="U4" s="71">
        <f>('FS-AD Daily '!AF8)*1000</f>
        <v>47500</v>
      </c>
      <c r="V4" s="71">
        <f>('FS-AD Daily '!AG8)*1000</f>
        <v>0</v>
      </c>
      <c r="W4" s="71">
        <f>'FS-AD Daily '!AH8*1000</f>
        <v>14899.999999997817</v>
      </c>
      <c r="X4" s="71">
        <f>('FS-AD Daily '!AK8)*1000</f>
        <v>31599.999999998545</v>
      </c>
      <c r="Y4" s="71">
        <f>'FS-AD Daily '!AN8</f>
        <v>101</v>
      </c>
      <c r="Z4" s="104">
        <v>154</v>
      </c>
    </row>
    <row r="5" spans="1:26" x14ac:dyDescent="0.25">
      <c r="A5" s="103" t="s">
        <v>80</v>
      </c>
      <c r="B5" s="69">
        <f t="shared" si="1"/>
        <v>4</v>
      </c>
      <c r="C5" s="70">
        <v>6</v>
      </c>
      <c r="D5" s="69">
        <v>2022</v>
      </c>
      <c r="E5" s="71">
        <f>'FS-AD Daily '!B9</f>
        <v>5765</v>
      </c>
      <c r="F5" s="71">
        <f>'FS-AD Daily '!C9</f>
        <v>4136</v>
      </c>
      <c r="G5" s="71">
        <f>'FS-AD Daily '!D9</f>
        <v>915</v>
      </c>
      <c r="H5" s="71">
        <f>'FS-AD Daily '!E9</f>
        <v>7696</v>
      </c>
      <c r="I5" s="71">
        <f>'FS-AD Daily '!F9</f>
        <v>6107</v>
      </c>
      <c r="J5" s="71">
        <f>'FS-AD Daily '!G9</f>
        <v>2771</v>
      </c>
      <c r="K5" s="71">
        <f>'FS-AD Daily '!H9</f>
        <v>9251</v>
      </c>
      <c r="L5" s="71">
        <f>'FS-AD Daily '!I9</f>
        <v>2349</v>
      </c>
      <c r="M5" s="71">
        <f>'FS-AD Daily '!J9</f>
        <v>7102</v>
      </c>
      <c r="N5" s="71">
        <f>'FS-AD Daily '!T9</f>
        <v>227.25300000000425</v>
      </c>
      <c r="O5" s="71">
        <f>'FS-AD Daily '!R9</f>
        <v>85.701000000000022</v>
      </c>
      <c r="P5" s="71">
        <f>'FS-AD Daily '!Z9</f>
        <v>727</v>
      </c>
      <c r="Q5" s="71">
        <f>'FS-AD Daily '!V9</f>
        <v>165.70000000001164</v>
      </c>
      <c r="R5" s="71">
        <f>'FS-AD Daily '!W9</f>
        <v>164.04000000000815</v>
      </c>
      <c r="S5" s="71">
        <f t="shared" si="0"/>
        <v>397.25999999998021</v>
      </c>
      <c r="T5" s="71">
        <f>'FS-AD Daily '!AD9*3.516</f>
        <v>93655.691999999995</v>
      </c>
      <c r="U5" s="71">
        <f>('FS-AD Daily '!AF9)*1000</f>
        <v>43900.000000008731</v>
      </c>
      <c r="V5" s="71">
        <f>('FS-AD Daily '!AG9)*1000</f>
        <v>0</v>
      </c>
      <c r="W5" s="71">
        <f>'FS-AD Daily '!AH9*1000</f>
        <v>14700.000000000728</v>
      </c>
      <c r="X5" s="71">
        <f>('FS-AD Daily '!AK9)*1000</f>
        <v>30500</v>
      </c>
      <c r="Y5" s="71">
        <f>'FS-AD Daily '!AN9</f>
        <v>108</v>
      </c>
      <c r="Z5" s="104">
        <v>170</v>
      </c>
    </row>
    <row r="6" spans="1:26" x14ac:dyDescent="0.25">
      <c r="A6" s="103" t="s">
        <v>80</v>
      </c>
      <c r="B6" s="69">
        <f t="shared" si="1"/>
        <v>5</v>
      </c>
      <c r="C6" s="70">
        <v>6</v>
      </c>
      <c r="D6" s="69">
        <v>2022</v>
      </c>
      <c r="E6" s="71">
        <f>'FS-AD Daily '!B10</f>
        <v>5780</v>
      </c>
      <c r="F6" s="71">
        <f>'FS-AD Daily '!C10</f>
        <v>3860</v>
      </c>
      <c r="G6" s="71">
        <f>'FS-AD Daily '!D10</f>
        <v>934</v>
      </c>
      <c r="H6" s="71">
        <f>'FS-AD Daily '!E10</f>
        <v>7622</v>
      </c>
      <c r="I6" s="71">
        <f>'FS-AD Daily '!F10</f>
        <v>5798</v>
      </c>
      <c r="J6" s="71">
        <f>'FS-AD Daily '!G10</f>
        <v>2807</v>
      </c>
      <c r="K6" s="71">
        <f>'FS-AD Daily '!H10</f>
        <v>9134</v>
      </c>
      <c r="L6" s="71">
        <f>'FS-AD Daily '!I10</f>
        <v>2469</v>
      </c>
      <c r="M6" s="71">
        <f>'FS-AD Daily '!J10</f>
        <v>7125</v>
      </c>
      <c r="N6" s="71">
        <f>'FS-AD Daily '!T10</f>
        <v>194.19200000000274</v>
      </c>
      <c r="O6" s="71">
        <f>'FS-AD Daily '!R10</f>
        <v>76.671000000000276</v>
      </c>
      <c r="P6" s="71">
        <f>'FS-AD Daily '!Z10</f>
        <v>628</v>
      </c>
      <c r="Q6" s="71">
        <f>'FS-AD Daily '!V10</f>
        <v>122.79999999998836</v>
      </c>
      <c r="R6" s="71">
        <f>'FS-AD Daily '!W10</f>
        <v>160.85999999998603</v>
      </c>
      <c r="S6" s="71">
        <f t="shared" si="0"/>
        <v>344.34000000002561</v>
      </c>
      <c r="T6" s="71">
        <f>'FS-AD Daily '!AD10*3.516</f>
        <v>91897.691999999995</v>
      </c>
      <c r="U6" s="71">
        <f>('FS-AD Daily '!AF10)*1000</f>
        <v>43199.99999999709</v>
      </c>
      <c r="V6" s="71">
        <f>('FS-AD Daily '!AG10)*1000</f>
        <v>0</v>
      </c>
      <c r="W6" s="71">
        <f>'FS-AD Daily '!AH10*1000</f>
        <v>14900.000000001455</v>
      </c>
      <c r="X6" s="71">
        <f>('FS-AD Daily '!AK10)*1000</f>
        <v>29400.000000001455</v>
      </c>
      <c r="Y6" s="71">
        <f>'FS-AD Daily '!AN10</f>
        <v>92</v>
      </c>
      <c r="Z6" s="104">
        <v>138</v>
      </c>
    </row>
    <row r="7" spans="1:26" x14ac:dyDescent="0.25">
      <c r="A7" s="103" t="s">
        <v>80</v>
      </c>
      <c r="B7" s="69">
        <f t="shared" si="1"/>
        <v>6</v>
      </c>
      <c r="C7" s="70">
        <v>6</v>
      </c>
      <c r="D7" s="69">
        <v>2022</v>
      </c>
      <c r="E7" s="71">
        <f>'FS-AD Daily '!B11</f>
        <v>5768</v>
      </c>
      <c r="F7" s="71">
        <f>'FS-AD Daily '!C11</f>
        <v>3918</v>
      </c>
      <c r="G7" s="71">
        <f>'FS-AD Daily '!D11</f>
        <v>940</v>
      </c>
      <c r="H7" s="71">
        <f>'FS-AD Daily '!E11</f>
        <v>7718</v>
      </c>
      <c r="I7" s="71">
        <f>'FS-AD Daily '!F11</f>
        <v>5838</v>
      </c>
      <c r="J7" s="71">
        <f>'FS-AD Daily '!G11</f>
        <v>3032</v>
      </c>
      <c r="K7" s="71">
        <f>'FS-AD Daily '!H11</f>
        <v>9232</v>
      </c>
      <c r="L7" s="71">
        <f>'FS-AD Daily '!I11</f>
        <v>2438</v>
      </c>
      <c r="M7" s="71">
        <f>'FS-AD Daily '!J11</f>
        <v>7100</v>
      </c>
      <c r="N7" s="71">
        <f>'FS-AD Daily '!T11</f>
        <v>190.00099999999657</v>
      </c>
      <c r="O7" s="71">
        <f>'FS-AD Daily '!R11</f>
        <v>68.924999999998363</v>
      </c>
      <c r="P7" s="71">
        <f>'FS-AD Daily '!Z11</f>
        <v>636</v>
      </c>
      <c r="Q7" s="71">
        <f>'FS-AD Daily '!V11</f>
        <v>121.60000000003492</v>
      </c>
      <c r="R7" s="71">
        <f>'FS-AD Daily '!W11</f>
        <v>160.55000000001746</v>
      </c>
      <c r="S7" s="71">
        <f t="shared" si="0"/>
        <v>353.84999999994761</v>
      </c>
      <c r="T7" s="71">
        <f>'FS-AD Daily '!AD11*3.516</f>
        <v>96967.763999999996</v>
      </c>
      <c r="U7" s="71">
        <f>('FS-AD Daily '!AF11)*1000</f>
        <v>45500</v>
      </c>
      <c r="V7" s="71">
        <f>('FS-AD Daily '!AG11)*1000</f>
        <v>0</v>
      </c>
      <c r="W7" s="71">
        <f>'FS-AD Daily '!AH11*1000</f>
        <v>15599.999999998545</v>
      </c>
      <c r="X7" s="71">
        <f>('FS-AD Daily '!AK11)*1000</f>
        <v>29900.000000001455</v>
      </c>
      <c r="Y7" s="71">
        <f>'FS-AD Daily '!AN11</f>
        <v>124</v>
      </c>
      <c r="Z7" s="104">
        <v>149</v>
      </c>
    </row>
    <row r="8" spans="1:26" x14ac:dyDescent="0.25">
      <c r="A8" s="103" t="s">
        <v>80</v>
      </c>
      <c r="B8" s="69">
        <f t="shared" si="1"/>
        <v>7</v>
      </c>
      <c r="C8" s="70">
        <v>6</v>
      </c>
      <c r="D8" s="69">
        <v>2022</v>
      </c>
      <c r="E8" s="71">
        <f>'FS-AD Daily '!B12</f>
        <v>6076</v>
      </c>
      <c r="F8" s="71">
        <f>'FS-AD Daily '!C12</f>
        <v>4285</v>
      </c>
      <c r="G8" s="71">
        <f>'FS-AD Daily '!D12</f>
        <v>879</v>
      </c>
      <c r="H8" s="71">
        <f>'FS-AD Daily '!E12</f>
        <v>7775</v>
      </c>
      <c r="I8" s="71">
        <f>'FS-AD Daily '!F12</f>
        <v>6032</v>
      </c>
      <c r="J8" s="71">
        <f>'FS-AD Daily '!G12</f>
        <v>3151</v>
      </c>
      <c r="K8" s="71">
        <f>'FS-AD Daily '!H12</f>
        <v>9273</v>
      </c>
      <c r="L8" s="71">
        <f>'FS-AD Daily '!I12</f>
        <v>2416</v>
      </c>
      <c r="M8" s="71">
        <f>'FS-AD Daily '!J12</f>
        <v>6893</v>
      </c>
      <c r="N8" s="71">
        <f>'FS-AD Daily '!T12</f>
        <v>205.94100000000253</v>
      </c>
      <c r="O8" s="71">
        <f>'FS-AD Daily '!R12</f>
        <v>73.418000000000575</v>
      </c>
      <c r="P8" s="71">
        <f>'FS-AD Daily '!Z12</f>
        <v>641</v>
      </c>
      <c r="Q8" s="71">
        <f>'FS-AD Daily '!V12</f>
        <v>129.59999999997672</v>
      </c>
      <c r="R8" s="71">
        <f>'FS-AD Daily '!W12</f>
        <v>161.9199999999837</v>
      </c>
      <c r="S8" s="71">
        <f t="shared" si="0"/>
        <v>349.48000000003958</v>
      </c>
      <c r="T8" s="71">
        <f>'FS-AD Daily '!AD12*3.516</f>
        <v>98848.823999999993</v>
      </c>
      <c r="U8" s="71">
        <f>('FS-AD Daily '!AF12)*1000</f>
        <v>46500</v>
      </c>
      <c r="V8" s="71">
        <f>('FS-AD Daily '!AG12)*1000</f>
        <v>0</v>
      </c>
      <c r="W8" s="71">
        <f>'FS-AD Daily '!AH12*1000</f>
        <v>15799.999999999272</v>
      </c>
      <c r="X8" s="71">
        <f>('FS-AD Daily '!AK12)*1000</f>
        <v>29599.999999998545</v>
      </c>
      <c r="Y8" s="71">
        <f>'FS-AD Daily '!AN12</f>
        <v>137</v>
      </c>
      <c r="Z8" s="104">
        <v>160</v>
      </c>
    </row>
    <row r="9" spans="1:26" x14ac:dyDescent="0.25">
      <c r="A9" s="103" t="s">
        <v>80</v>
      </c>
      <c r="B9" s="69">
        <f t="shared" si="1"/>
        <v>8</v>
      </c>
      <c r="C9" s="70">
        <v>6</v>
      </c>
      <c r="D9" s="69">
        <v>2022</v>
      </c>
      <c r="E9" s="71">
        <f>'FS-AD Daily '!B13</f>
        <v>6380</v>
      </c>
      <c r="F9" s="71">
        <f>'FS-AD Daily '!C13</f>
        <v>4190</v>
      </c>
      <c r="G9" s="71">
        <f>'FS-AD Daily '!D13</f>
        <v>940</v>
      </c>
      <c r="H9" s="71">
        <f>'FS-AD Daily '!E13</f>
        <v>8030</v>
      </c>
      <c r="I9" s="71">
        <f>'FS-AD Daily '!F13</f>
        <v>6190</v>
      </c>
      <c r="J9" s="71">
        <f>'FS-AD Daily '!G13</f>
        <v>3110</v>
      </c>
      <c r="K9" s="71">
        <f>'FS-AD Daily '!H13</f>
        <v>9220</v>
      </c>
      <c r="L9" s="71">
        <f>'FS-AD Daily '!I13</f>
        <v>2350</v>
      </c>
      <c r="M9" s="71">
        <f>'FS-AD Daily '!J13</f>
        <v>7160</v>
      </c>
      <c r="N9" s="71">
        <f>'FS-AD Daily '!T13</f>
        <v>228.79199999999764</v>
      </c>
      <c r="O9" s="71">
        <f>'FS-AD Daily '!R13</f>
        <v>75.318000000000211</v>
      </c>
      <c r="P9" s="71">
        <f>'FS-AD Daily '!Z13</f>
        <v>695</v>
      </c>
      <c r="Q9" s="71">
        <f>'FS-AD Daily '!V13</f>
        <v>152.09999999997672</v>
      </c>
      <c r="R9" s="71">
        <f>'FS-AD Daily '!W13</f>
        <v>162.61000000001513</v>
      </c>
      <c r="S9" s="71">
        <f t="shared" si="0"/>
        <v>380.29000000000815</v>
      </c>
      <c r="T9" s="71">
        <f>'FS-AD Daily '!AD13*3.516</f>
        <v>100244.67600000001</v>
      </c>
      <c r="U9" s="71">
        <f>('FS-AD Daily '!AF13)*1000</f>
        <v>47399.999999994179</v>
      </c>
      <c r="V9" s="71">
        <f>('FS-AD Daily '!AG13)*1000</f>
        <v>0</v>
      </c>
      <c r="W9" s="71">
        <f>'FS-AD Daily '!AH13*1000</f>
        <v>15700.000000000728</v>
      </c>
      <c r="X9" s="71">
        <f>('FS-AD Daily '!AK13)*1000</f>
        <v>30300.00000000291</v>
      </c>
      <c r="Y9" s="71">
        <f>'FS-AD Daily '!AN13</f>
        <v>131</v>
      </c>
      <c r="Z9" s="104">
        <v>153</v>
      </c>
    </row>
    <row r="10" spans="1:26" x14ac:dyDescent="0.25">
      <c r="A10" s="103" t="s">
        <v>80</v>
      </c>
      <c r="B10" s="69">
        <f t="shared" si="1"/>
        <v>9</v>
      </c>
      <c r="C10" s="70">
        <v>6</v>
      </c>
      <c r="D10" s="69">
        <v>2022</v>
      </c>
      <c r="E10" s="71">
        <f>'FS-AD Daily '!B14</f>
        <v>6610</v>
      </c>
      <c r="F10" s="71">
        <f>'FS-AD Daily '!C14</f>
        <v>4020</v>
      </c>
      <c r="G10" s="71">
        <f>'FS-AD Daily '!D14</f>
        <v>900</v>
      </c>
      <c r="H10" s="71">
        <f>'FS-AD Daily '!E14</f>
        <v>7850</v>
      </c>
      <c r="I10" s="71">
        <f>'FS-AD Daily '!F14</f>
        <v>6280</v>
      </c>
      <c r="J10" s="71">
        <f>'FS-AD Daily '!G14</f>
        <v>3130</v>
      </c>
      <c r="K10" s="71">
        <f>'FS-AD Daily '!H14</f>
        <v>9200</v>
      </c>
      <c r="L10" s="71">
        <f>'FS-AD Daily '!I14</f>
        <v>2380</v>
      </c>
      <c r="M10" s="71">
        <f>'FS-AD Daily '!J14</f>
        <v>7230</v>
      </c>
      <c r="N10" s="71">
        <f>'FS-AD Daily '!T14</f>
        <v>241.34599999999409</v>
      </c>
      <c r="O10" s="71">
        <f>'FS-AD Daily '!R14</f>
        <v>84.460000000000036</v>
      </c>
      <c r="P10" s="71">
        <f>'FS-AD Daily '!Z14</f>
        <v>681</v>
      </c>
      <c r="Q10" s="71">
        <f>'FS-AD Daily '!V14</f>
        <v>158.40000000002328</v>
      </c>
      <c r="R10" s="71">
        <f>'FS-AD Daily '!W14</f>
        <v>164.88000000000466</v>
      </c>
      <c r="S10" s="71">
        <f t="shared" si="0"/>
        <v>357.71999999997206</v>
      </c>
      <c r="T10" s="71">
        <f>'FS-AD Daily '!AD14*3.516</f>
        <v>97653.384000000005</v>
      </c>
      <c r="U10" s="71">
        <f>('FS-AD Daily '!AF14)*1000</f>
        <v>45699.99999999709</v>
      </c>
      <c r="V10" s="71">
        <f>('FS-AD Daily '!AG14)*1000</f>
        <v>0</v>
      </c>
      <c r="W10" s="71">
        <f>'FS-AD Daily '!AH14*1000</f>
        <v>16100.000000002183</v>
      </c>
      <c r="X10" s="71">
        <f>('FS-AD Daily '!AK14)*1000</f>
        <v>29599.999999998545</v>
      </c>
      <c r="Y10" s="71">
        <f>'FS-AD Daily '!AN14</f>
        <v>104</v>
      </c>
      <c r="Z10" s="104">
        <v>136</v>
      </c>
    </row>
    <row r="11" spans="1:26" x14ac:dyDescent="0.25">
      <c r="A11" s="103" t="s">
        <v>80</v>
      </c>
      <c r="B11" s="69">
        <f t="shared" si="1"/>
        <v>10</v>
      </c>
      <c r="C11" s="70">
        <v>6</v>
      </c>
      <c r="D11" s="69">
        <v>2022</v>
      </c>
      <c r="E11" s="71">
        <f>'FS-AD Daily '!B15</f>
        <v>6518</v>
      </c>
      <c r="F11" s="71">
        <f>'FS-AD Daily '!C15</f>
        <v>3793</v>
      </c>
      <c r="G11" s="71">
        <f>'FS-AD Daily '!D15</f>
        <v>926</v>
      </c>
      <c r="H11" s="71">
        <f>'FS-AD Daily '!E15</f>
        <v>7252</v>
      </c>
      <c r="I11" s="71">
        <f>'FS-AD Daily '!F15</f>
        <v>6374</v>
      </c>
      <c r="J11" s="71">
        <f>'FS-AD Daily '!G15</f>
        <v>3089</v>
      </c>
      <c r="K11" s="71">
        <f>'FS-AD Daily '!H15</f>
        <v>8923</v>
      </c>
      <c r="L11" s="71">
        <f>'FS-AD Daily '!I15</f>
        <v>2342</v>
      </c>
      <c r="M11" s="71">
        <f>'FS-AD Daily '!J15</f>
        <v>7246</v>
      </c>
      <c r="N11" s="71">
        <f>'FS-AD Daily '!T15</f>
        <v>201.66100000000733</v>
      </c>
      <c r="O11" s="71">
        <f>'FS-AD Daily '!R15</f>
        <v>74.252999999999702</v>
      </c>
      <c r="P11" s="71">
        <f>'FS-AD Daily '!Z15</f>
        <v>732</v>
      </c>
      <c r="Q11" s="71">
        <f>'FS-AD Daily '!V15</f>
        <v>199</v>
      </c>
      <c r="R11" s="71">
        <f>'FS-AD Daily '!W15</f>
        <v>154.51999999998952</v>
      </c>
      <c r="S11" s="71">
        <f t="shared" si="0"/>
        <v>378.48000000001048</v>
      </c>
      <c r="T11" s="71">
        <f>'FS-AD Daily '!AD15*3.516</f>
        <v>112874.148</v>
      </c>
      <c r="U11" s="71">
        <f>('FS-AD Daily '!AF15)*1000</f>
        <v>55300.00000000291</v>
      </c>
      <c r="V11" s="71">
        <f>('FS-AD Daily '!AG15)*1000</f>
        <v>0</v>
      </c>
      <c r="W11" s="71">
        <f>'FS-AD Daily '!AH15*1000</f>
        <v>17299.999999999272</v>
      </c>
      <c r="X11" s="71">
        <f>('FS-AD Daily '!AK15)*1000</f>
        <v>31500</v>
      </c>
      <c r="Y11" s="71">
        <f>'FS-AD Daily '!AN15</f>
        <v>69</v>
      </c>
      <c r="Z11" s="104">
        <v>113</v>
      </c>
    </row>
    <row r="12" spans="1:26" x14ac:dyDescent="0.25">
      <c r="A12" s="103" t="s">
        <v>80</v>
      </c>
      <c r="B12" s="69">
        <f t="shared" si="1"/>
        <v>11</v>
      </c>
      <c r="C12" s="70">
        <v>6</v>
      </c>
      <c r="D12" s="69">
        <v>2022</v>
      </c>
      <c r="E12" s="71">
        <f>'FS-AD Daily '!B16</f>
        <v>6814</v>
      </c>
      <c r="F12" s="71">
        <f>'FS-AD Daily '!C16</f>
        <v>4136</v>
      </c>
      <c r="G12" s="71">
        <f>'FS-AD Daily '!D16</f>
        <v>972</v>
      </c>
      <c r="H12" s="71">
        <f>'FS-AD Daily '!E16</f>
        <v>7501</v>
      </c>
      <c r="I12" s="71">
        <f>'FS-AD Daily '!F16</f>
        <v>6563</v>
      </c>
      <c r="J12" s="71">
        <f>'FS-AD Daily '!G16</f>
        <v>3060</v>
      </c>
      <c r="K12" s="71">
        <f>'FS-AD Daily '!H16</f>
        <v>9054</v>
      </c>
      <c r="L12" s="71">
        <f>'FS-AD Daily '!I16</f>
        <v>2347</v>
      </c>
      <c r="M12" s="71">
        <f>'FS-AD Daily '!J16</f>
        <v>7237</v>
      </c>
      <c r="N12" s="71">
        <f>'FS-AD Daily '!T16</f>
        <v>254.2510000000002</v>
      </c>
      <c r="O12" s="71">
        <f>'FS-AD Daily '!R16</f>
        <v>84.514000000000124</v>
      </c>
      <c r="P12" s="71">
        <f>'FS-AD Daily '!Z16</f>
        <v>732</v>
      </c>
      <c r="Q12" s="71">
        <f>'FS-AD Daily '!V16</f>
        <v>186</v>
      </c>
      <c r="R12" s="71">
        <f>'FS-AD Daily '!W16</f>
        <v>159.26000000000931</v>
      </c>
      <c r="S12" s="71">
        <f t="shared" si="0"/>
        <v>386.73999999999069</v>
      </c>
      <c r="T12" s="71">
        <f>'FS-AD Daily '!AD16*3.516</f>
        <v>107027.04</v>
      </c>
      <c r="U12" s="71">
        <f>('FS-AD Daily '!AF16)*1000</f>
        <v>53199.99999999709</v>
      </c>
      <c r="V12" s="71">
        <f>('FS-AD Daily '!AG16)*1000</f>
        <v>0</v>
      </c>
      <c r="W12" s="71">
        <f>'FS-AD Daily '!AH16*1000</f>
        <v>16500</v>
      </c>
      <c r="X12" s="71">
        <f>('FS-AD Daily '!AK16)*1000</f>
        <v>29199.99999999709</v>
      </c>
      <c r="Y12" s="71">
        <f>'FS-AD Daily '!AN16</f>
        <v>61</v>
      </c>
      <c r="Z12" s="104">
        <v>104</v>
      </c>
    </row>
    <row r="13" spans="1:26" x14ac:dyDescent="0.25">
      <c r="A13" s="103" t="s">
        <v>80</v>
      </c>
      <c r="B13" s="69">
        <f t="shared" si="1"/>
        <v>12</v>
      </c>
      <c r="C13" s="70">
        <v>6</v>
      </c>
      <c r="D13" s="69">
        <v>2022</v>
      </c>
      <c r="E13" s="71">
        <f>'FS-AD Daily '!B17</f>
        <v>6587</v>
      </c>
      <c r="F13" s="71">
        <f>'FS-AD Daily '!C17</f>
        <v>3999</v>
      </c>
      <c r="G13" s="71">
        <f>'FS-AD Daily '!D17</f>
        <v>918</v>
      </c>
      <c r="H13" s="71">
        <f>'FS-AD Daily '!E17</f>
        <v>7658</v>
      </c>
      <c r="I13" s="71">
        <f>'FS-AD Daily '!F17</f>
        <v>6270</v>
      </c>
      <c r="J13" s="71">
        <f>'FS-AD Daily '!G17</f>
        <v>2970</v>
      </c>
      <c r="K13" s="71">
        <f>'FS-AD Daily '!H17</f>
        <v>8949</v>
      </c>
      <c r="L13" s="71">
        <f>'FS-AD Daily '!I17</f>
        <v>2352</v>
      </c>
      <c r="M13" s="71">
        <f>'FS-AD Daily '!J17</f>
        <v>6913</v>
      </c>
      <c r="N13" s="71">
        <f>'FS-AD Daily '!T17</f>
        <v>179.70799999999872</v>
      </c>
      <c r="O13" s="71">
        <f>'FS-AD Daily '!R17</f>
        <v>78.980000000000473</v>
      </c>
      <c r="P13" s="71">
        <f>'FS-AD Daily '!Z17</f>
        <v>646</v>
      </c>
      <c r="Q13" s="71">
        <f>'FS-AD Daily '!V17</f>
        <v>143</v>
      </c>
      <c r="R13" s="71">
        <f>'FS-AD Daily '!W17</f>
        <v>158.98999999999069</v>
      </c>
      <c r="S13" s="71">
        <f t="shared" si="0"/>
        <v>344.01000000000931</v>
      </c>
      <c r="T13" s="71">
        <f>'FS-AD Daily '!AD17*3.516</f>
        <v>108887.004</v>
      </c>
      <c r="U13" s="71">
        <f>('FS-AD Daily '!AF17)*1000</f>
        <v>54100.000000005821</v>
      </c>
      <c r="V13" s="71">
        <f>('FS-AD Daily '!AG17)*1000</f>
        <v>0</v>
      </c>
      <c r="W13" s="71">
        <f>'FS-AD Daily '!AH17*1000</f>
        <v>14799.999999999272</v>
      </c>
      <c r="X13" s="71">
        <f>('FS-AD Daily '!AK17)*1000</f>
        <v>28800.00000000291</v>
      </c>
      <c r="Y13" s="71">
        <f>'FS-AD Daily '!AN17</f>
        <v>51</v>
      </c>
      <c r="Z13" s="104">
        <v>83</v>
      </c>
    </row>
    <row r="14" spans="1:26" x14ac:dyDescent="0.25">
      <c r="A14" s="103" t="s">
        <v>80</v>
      </c>
      <c r="B14" s="69">
        <f t="shared" si="1"/>
        <v>13</v>
      </c>
      <c r="C14" s="70">
        <v>6</v>
      </c>
      <c r="D14" s="69">
        <v>2022</v>
      </c>
      <c r="E14" s="71">
        <f>'FS-AD Daily '!B18</f>
        <v>6339</v>
      </c>
      <c r="F14" s="71">
        <f>'FS-AD Daily '!C18</f>
        <v>4128</v>
      </c>
      <c r="G14" s="71">
        <f>'FS-AD Daily '!D18</f>
        <v>988</v>
      </c>
      <c r="H14" s="71">
        <f>'FS-AD Daily '!E18</f>
        <v>7441</v>
      </c>
      <c r="I14" s="71">
        <f>'FS-AD Daily '!F18</f>
        <v>6277</v>
      </c>
      <c r="J14" s="71">
        <f>'FS-AD Daily '!G18</f>
        <v>2937</v>
      </c>
      <c r="K14" s="71">
        <f>'FS-AD Daily '!H18</f>
        <v>9078</v>
      </c>
      <c r="L14" s="71">
        <f>'FS-AD Daily '!I18</f>
        <v>2423</v>
      </c>
      <c r="M14" s="71">
        <f>'FS-AD Daily '!J18</f>
        <v>6926</v>
      </c>
      <c r="N14" s="71">
        <f>'FS-AD Daily '!T18</f>
        <v>197.69099999999889</v>
      </c>
      <c r="O14" s="71">
        <f>'FS-AD Daily '!R18</f>
        <v>70.994999999998072</v>
      </c>
      <c r="P14" s="71">
        <f>'FS-AD Daily '!Z18</f>
        <v>651</v>
      </c>
      <c r="Q14" s="71">
        <f>'FS-AD Daily '!V18</f>
        <v>154.59999999997672</v>
      </c>
      <c r="R14" s="71">
        <f>'FS-AD Daily '!W18</f>
        <v>167.10000000000582</v>
      </c>
      <c r="S14" s="71">
        <f t="shared" si="0"/>
        <v>329.30000000001746</v>
      </c>
      <c r="T14" s="71">
        <f>'FS-AD Daily '!AD18*3.516</f>
        <v>121811.82</v>
      </c>
      <c r="U14" s="71">
        <f>('FS-AD Daily '!AF18)*1000</f>
        <v>61000</v>
      </c>
      <c r="V14" s="71">
        <f>('FS-AD Daily '!AG18)*1000</f>
        <v>0</v>
      </c>
      <c r="W14" s="71">
        <f>'FS-AD Daily '!AH18*1000</f>
        <v>17000</v>
      </c>
      <c r="X14" s="71">
        <f>('FS-AD Daily '!AK18)*1000</f>
        <v>32000</v>
      </c>
      <c r="Y14" s="71">
        <f>'FS-AD Daily '!AN18</f>
        <v>86</v>
      </c>
      <c r="Z14" s="104">
        <v>121</v>
      </c>
    </row>
    <row r="15" spans="1:26" x14ac:dyDescent="0.25">
      <c r="A15" s="103" t="s">
        <v>80</v>
      </c>
      <c r="B15" s="69">
        <f t="shared" si="1"/>
        <v>14</v>
      </c>
      <c r="C15" s="70">
        <v>6</v>
      </c>
      <c r="D15" s="69">
        <v>2022</v>
      </c>
      <c r="E15" s="71">
        <f>'FS-AD Daily '!B19</f>
        <v>6333</v>
      </c>
      <c r="F15" s="71">
        <f>'FS-AD Daily '!C19</f>
        <v>4173</v>
      </c>
      <c r="G15" s="71">
        <f>'FS-AD Daily '!D19</f>
        <v>929</v>
      </c>
      <c r="H15" s="71">
        <f>'FS-AD Daily '!E19</f>
        <v>7863</v>
      </c>
      <c r="I15" s="71">
        <f>'FS-AD Daily '!F19</f>
        <v>6484</v>
      </c>
      <c r="J15" s="71">
        <f>'FS-AD Daily '!G19</f>
        <v>3014</v>
      </c>
      <c r="K15" s="71">
        <f>'FS-AD Daily '!H19</f>
        <v>8971</v>
      </c>
      <c r="L15" s="71">
        <f>'FS-AD Daily '!I19</f>
        <v>2424</v>
      </c>
      <c r="M15" s="71">
        <f>'FS-AD Daily '!J19</f>
        <v>7173</v>
      </c>
      <c r="N15" s="71">
        <f>'FS-AD Daily '!T19</f>
        <v>208.93999999999869</v>
      </c>
      <c r="O15" s="71">
        <f>'FS-AD Daily '!R19</f>
        <v>72.285000000002583</v>
      </c>
      <c r="P15" s="71">
        <f>'FS-AD Daily '!Z19</f>
        <v>681</v>
      </c>
      <c r="Q15" s="71">
        <f>'FS-AD Daily '!V19</f>
        <v>154</v>
      </c>
      <c r="R15" s="71">
        <f>'FS-AD Daily '!W19</f>
        <v>146.10000000000582</v>
      </c>
      <c r="S15" s="71">
        <f t="shared" si="0"/>
        <v>380.89999999999418</v>
      </c>
      <c r="T15" s="71">
        <f>'FS-AD Daily '!AD19*3.516</f>
        <v>122061.45600000001</v>
      </c>
      <c r="U15" s="71">
        <f>('FS-AD Daily '!AF19)*1000</f>
        <v>61100.000000005821</v>
      </c>
      <c r="V15" s="71">
        <f>('FS-AD Daily '!AG19)*1000</f>
        <v>0</v>
      </c>
      <c r="W15" s="71">
        <f>'FS-AD Daily '!AH19*1000</f>
        <v>16900.000000001455</v>
      </c>
      <c r="X15" s="71">
        <f>('FS-AD Daily '!AK19)*1000</f>
        <v>33599.999999998545</v>
      </c>
      <c r="Y15" s="71">
        <f>'FS-AD Daily '!AN19</f>
        <v>88</v>
      </c>
      <c r="Z15" s="104">
        <v>116</v>
      </c>
    </row>
    <row r="16" spans="1:26" x14ac:dyDescent="0.25">
      <c r="A16" s="103" t="s">
        <v>80</v>
      </c>
      <c r="B16" s="69">
        <f t="shared" si="1"/>
        <v>15</v>
      </c>
      <c r="C16" s="70">
        <v>6</v>
      </c>
      <c r="D16" s="69">
        <v>2022</v>
      </c>
      <c r="E16" s="71">
        <f>'FS-AD Daily '!B20</f>
        <v>6176</v>
      </c>
      <c r="F16" s="71">
        <f>'FS-AD Daily '!C20</f>
        <v>4114</v>
      </c>
      <c r="G16" s="71">
        <f>'FS-AD Daily '!D20</f>
        <v>930</v>
      </c>
      <c r="H16" s="71">
        <f>'FS-AD Daily '!E20</f>
        <v>7711</v>
      </c>
      <c r="I16" s="71">
        <f>'FS-AD Daily '!F20</f>
        <v>6313</v>
      </c>
      <c r="J16" s="71">
        <f>'FS-AD Daily '!G20</f>
        <v>3110</v>
      </c>
      <c r="K16" s="71">
        <f>'FS-AD Daily '!H20</f>
        <v>8296</v>
      </c>
      <c r="L16" s="71">
        <f>'FS-AD Daily '!I20</f>
        <v>2351</v>
      </c>
      <c r="M16" s="71">
        <f>'FS-AD Daily '!J20</f>
        <v>7038</v>
      </c>
      <c r="N16" s="71">
        <f>'FS-AD Daily '!T20</f>
        <v>202.42600000000311</v>
      </c>
      <c r="O16" s="71">
        <f>'FS-AD Daily '!R20</f>
        <v>78.292999999999665</v>
      </c>
      <c r="P16" s="71">
        <f>'FS-AD Daily '!Z20</f>
        <v>682</v>
      </c>
      <c r="Q16" s="71">
        <f>'FS-AD Daily '!V20</f>
        <v>147.90000000002328</v>
      </c>
      <c r="R16" s="71">
        <f>'FS-AD Daily '!W20</f>
        <v>169.25</v>
      </c>
      <c r="S16" s="71">
        <f t="shared" si="0"/>
        <v>364.84999999997672</v>
      </c>
      <c r="T16" s="71">
        <f>'FS-AD Daily '!AD20*3.516</f>
        <v>113865.66</v>
      </c>
      <c r="U16" s="71">
        <f>('FS-AD Daily '!AF20)*1000</f>
        <v>54899.999999994179</v>
      </c>
      <c r="V16" s="71">
        <f>('FS-AD Daily '!AG20)*1000</f>
        <v>0</v>
      </c>
      <c r="W16" s="71">
        <f>'FS-AD Daily '!AH20*1000</f>
        <v>16099.999999998545</v>
      </c>
      <c r="X16" s="71">
        <f>('FS-AD Daily '!AK20)*1000</f>
        <v>31200.000000004366</v>
      </c>
      <c r="Y16" s="71">
        <f>'FS-AD Daily '!AN20</f>
        <v>108</v>
      </c>
      <c r="Z16" s="104">
        <v>145</v>
      </c>
    </row>
    <row r="17" spans="1:26" x14ac:dyDescent="0.25">
      <c r="A17" s="103" t="s">
        <v>80</v>
      </c>
      <c r="B17" s="69">
        <f t="shared" si="1"/>
        <v>16</v>
      </c>
      <c r="C17" s="70">
        <v>6</v>
      </c>
      <c r="D17" s="69">
        <v>2022</v>
      </c>
      <c r="E17" s="71">
        <f>'FS-AD Daily '!B21</f>
        <v>6249</v>
      </c>
      <c r="F17" s="71">
        <f>'FS-AD Daily '!C21</f>
        <v>4206</v>
      </c>
      <c r="G17" s="71">
        <f>'FS-AD Daily '!D21</f>
        <v>922</v>
      </c>
      <c r="H17" s="71">
        <f>'FS-AD Daily '!E21</f>
        <v>7624</v>
      </c>
      <c r="I17" s="71">
        <f>'FS-AD Daily '!F21</f>
        <v>6111</v>
      </c>
      <c r="J17" s="71">
        <f>'FS-AD Daily '!G21</f>
        <v>3203</v>
      </c>
      <c r="K17" s="71">
        <f>'FS-AD Daily '!H21</f>
        <v>8292</v>
      </c>
      <c r="L17" s="71">
        <f>'FS-AD Daily '!I21</f>
        <v>2304</v>
      </c>
      <c r="M17" s="71">
        <f>'FS-AD Daily '!J21</f>
        <v>7050</v>
      </c>
      <c r="N17" s="71">
        <f>'FS-AD Daily '!T21</f>
        <v>201.80899999999747</v>
      </c>
      <c r="O17" s="71">
        <f>'FS-AD Daily '!R21</f>
        <v>78.818999999997686</v>
      </c>
      <c r="P17" s="71">
        <f>'FS-AD Daily '!Z21</f>
        <v>670</v>
      </c>
      <c r="Q17" s="71">
        <f>'FS-AD Daily '!V21</f>
        <v>172.5</v>
      </c>
      <c r="R17" s="71">
        <f>'FS-AD Daily '!W21</f>
        <v>157.19000000000233</v>
      </c>
      <c r="S17" s="71">
        <f t="shared" si="0"/>
        <v>340.30999999999767</v>
      </c>
      <c r="T17" s="71">
        <f>'FS-AD Daily '!AD21*3.516</f>
        <v>108233.02800000001</v>
      </c>
      <c r="U17" s="71">
        <f>('FS-AD Daily '!AF21)*1000</f>
        <v>54000</v>
      </c>
      <c r="V17" s="71">
        <f>('FS-AD Daily '!AG21)*1000</f>
        <v>0</v>
      </c>
      <c r="W17" s="71">
        <f>'FS-AD Daily '!AH21*1000</f>
        <v>17000</v>
      </c>
      <c r="X17" s="71">
        <f>('FS-AD Daily '!AK21)*1000</f>
        <v>31199.99999999709</v>
      </c>
      <c r="Y17" s="71">
        <f>'FS-AD Daily '!AN21</f>
        <v>104</v>
      </c>
      <c r="Z17" s="104">
        <v>143</v>
      </c>
    </row>
    <row r="18" spans="1:26" x14ac:dyDescent="0.25">
      <c r="A18" s="103" t="s">
        <v>80</v>
      </c>
      <c r="B18" s="69">
        <f t="shared" si="1"/>
        <v>17</v>
      </c>
      <c r="C18" s="70">
        <v>6</v>
      </c>
      <c r="D18" s="69">
        <v>2022</v>
      </c>
      <c r="E18" s="71">
        <f>'FS-AD Daily '!B22</f>
        <v>6635</v>
      </c>
      <c r="F18" s="71">
        <f>'FS-AD Daily '!C22</f>
        <v>4131</v>
      </c>
      <c r="G18" s="71">
        <f>'FS-AD Daily '!D22</f>
        <v>940</v>
      </c>
      <c r="H18" s="71">
        <f>'FS-AD Daily '!E22</f>
        <v>7950</v>
      </c>
      <c r="I18" s="71">
        <f>'FS-AD Daily '!F22</f>
        <v>6331</v>
      </c>
      <c r="J18" s="71">
        <f>'FS-AD Daily '!G22</f>
        <v>3365</v>
      </c>
      <c r="K18" s="71">
        <f>'FS-AD Daily '!H22</f>
        <v>8377</v>
      </c>
      <c r="L18" s="71">
        <f>'FS-AD Daily '!I22</f>
        <v>2249</v>
      </c>
      <c r="M18" s="71">
        <f>'FS-AD Daily '!J22</f>
        <v>7199</v>
      </c>
      <c r="N18" s="71">
        <f>'FS-AD Daily '!T22</f>
        <v>224.21600000000035</v>
      </c>
      <c r="O18" s="71">
        <f>'FS-AD Daily '!R22</f>
        <v>76.246000000001004</v>
      </c>
      <c r="P18" s="71">
        <f>'FS-AD Daily '!Z22</f>
        <v>687</v>
      </c>
      <c r="Q18" s="71">
        <f>'FS-AD Daily '!V22</f>
        <v>162.5</v>
      </c>
      <c r="R18" s="71">
        <f>'FS-AD Daily '!W22</f>
        <v>158.40999999997439</v>
      </c>
      <c r="S18" s="71">
        <f t="shared" si="0"/>
        <v>366.09000000002561</v>
      </c>
      <c r="T18" s="71">
        <f>'FS-AD Daily '!AD22*3.516</f>
        <v>125306.724</v>
      </c>
      <c r="U18" s="71">
        <f>('FS-AD Daily '!AF22)*1000</f>
        <v>65000</v>
      </c>
      <c r="V18" s="71">
        <f>('FS-AD Daily '!AG22)*1000</f>
        <v>0</v>
      </c>
      <c r="W18" s="71">
        <f>'FS-AD Daily '!AH22*1000</f>
        <v>17000</v>
      </c>
      <c r="X18" s="71">
        <f>('FS-AD Daily '!AK22)*1000</f>
        <v>34000</v>
      </c>
      <c r="Y18" s="71">
        <f>'FS-AD Daily '!AN22</f>
        <v>89</v>
      </c>
      <c r="Z18" s="104">
        <v>149</v>
      </c>
    </row>
    <row r="19" spans="1:26" x14ac:dyDescent="0.25">
      <c r="A19" s="103" t="s">
        <v>80</v>
      </c>
      <c r="B19" s="69">
        <f t="shared" si="1"/>
        <v>18</v>
      </c>
      <c r="C19" s="70">
        <v>6</v>
      </c>
      <c r="D19" s="69">
        <v>2022</v>
      </c>
      <c r="E19" s="71">
        <f>'FS-AD Daily '!B23</f>
        <v>6463</v>
      </c>
      <c r="F19" s="71">
        <f>'FS-AD Daily '!C23</f>
        <v>4091</v>
      </c>
      <c r="G19" s="71">
        <f>'FS-AD Daily '!D23</f>
        <v>926</v>
      </c>
      <c r="H19" s="71">
        <f>'FS-AD Daily '!E23</f>
        <v>7895</v>
      </c>
      <c r="I19" s="71">
        <f>'FS-AD Daily '!F23</f>
        <v>6348</v>
      </c>
      <c r="J19" s="71">
        <f>'FS-AD Daily '!G23</f>
        <v>3255</v>
      </c>
      <c r="K19" s="71">
        <f>'FS-AD Daily '!H23</f>
        <v>8169</v>
      </c>
      <c r="L19" s="71">
        <f>'FS-AD Daily '!I23</f>
        <v>2234</v>
      </c>
      <c r="M19" s="71">
        <f>'FS-AD Daily '!J23</f>
        <v>7151</v>
      </c>
      <c r="N19" s="71">
        <f>'FS-AD Daily '!T23</f>
        <v>192.46100000000297</v>
      </c>
      <c r="O19" s="71">
        <f>'FS-AD Daily '!R23</f>
        <v>93.921999999998661</v>
      </c>
      <c r="P19" s="71">
        <f>'FS-AD Daily '!Z23</f>
        <v>665</v>
      </c>
      <c r="Q19" s="71">
        <f>'FS-AD Daily '!V23</f>
        <v>152.90000000002328</v>
      </c>
      <c r="R19" s="71">
        <f>'FS-AD Daily '!W23</f>
        <v>156.35000000000582</v>
      </c>
      <c r="S19" s="71">
        <f t="shared" si="0"/>
        <v>355.7499999999709</v>
      </c>
      <c r="T19" s="71">
        <f>'FS-AD Daily '!AD23*3.516</f>
        <v>125352.432</v>
      </c>
      <c r="U19" s="71">
        <f>('FS-AD Daily '!AF23)*1000</f>
        <v>65000</v>
      </c>
      <c r="V19" s="71">
        <f>('FS-AD Daily '!AG23)*1000</f>
        <v>0</v>
      </c>
      <c r="W19" s="71">
        <f>'FS-AD Daily '!AH23*1000</f>
        <v>16000</v>
      </c>
      <c r="X19" s="71">
        <f>('FS-AD Daily '!AK23)*1000</f>
        <v>33000</v>
      </c>
      <c r="Y19" s="71">
        <f>'FS-AD Daily '!AN23</f>
        <v>74</v>
      </c>
      <c r="Z19" s="104">
        <v>124</v>
      </c>
    </row>
    <row r="20" spans="1:26" x14ac:dyDescent="0.25">
      <c r="A20" s="103" t="s">
        <v>80</v>
      </c>
      <c r="B20" s="69">
        <f t="shared" si="1"/>
        <v>19</v>
      </c>
      <c r="C20" s="70">
        <v>6</v>
      </c>
      <c r="D20" s="69">
        <v>2022</v>
      </c>
      <c r="E20" s="71">
        <f>'FS-AD Daily '!B24</f>
        <v>6336</v>
      </c>
      <c r="F20" s="71">
        <f>'FS-AD Daily '!C24</f>
        <v>4055</v>
      </c>
      <c r="G20" s="71">
        <f>'FS-AD Daily '!D24</f>
        <v>874</v>
      </c>
      <c r="H20" s="71">
        <f>'FS-AD Daily '!E24</f>
        <v>7858</v>
      </c>
      <c r="I20" s="71">
        <f>'FS-AD Daily '!F24</f>
        <v>6069</v>
      </c>
      <c r="J20" s="71">
        <f>'FS-AD Daily '!G24</f>
        <v>3001</v>
      </c>
      <c r="K20" s="71">
        <f>'FS-AD Daily '!H24</f>
        <v>8271</v>
      </c>
      <c r="L20" s="71">
        <f>'FS-AD Daily '!I24</f>
        <v>2385</v>
      </c>
      <c r="M20" s="71">
        <f>'FS-AD Daily '!J24</f>
        <v>7082</v>
      </c>
      <c r="N20" s="71">
        <f>'FS-AD Daily '!T24</f>
        <v>189.65699999999561</v>
      </c>
      <c r="O20" s="71">
        <f>'FS-AD Daily '!R24</f>
        <v>77.822000000001026</v>
      </c>
      <c r="P20" s="71">
        <f>'FS-AD Daily '!Z24</f>
        <v>608</v>
      </c>
      <c r="Q20" s="71">
        <f>'FS-AD Daily '!V24</f>
        <v>148.59999999997672</v>
      </c>
      <c r="R20" s="71">
        <f>'FS-AD Daily '!W24</f>
        <v>138.36999999999534</v>
      </c>
      <c r="S20" s="71">
        <f t="shared" si="0"/>
        <v>321.03000000002794</v>
      </c>
      <c r="T20" s="71">
        <f>'FS-AD Daily '!AD24*3.516</f>
        <v>128203.908</v>
      </c>
      <c r="U20" s="71">
        <f>('FS-AD Daily '!AF24)*1000</f>
        <v>65000</v>
      </c>
      <c r="V20" s="71">
        <f>('FS-AD Daily '!AG24)*1000</f>
        <v>0</v>
      </c>
      <c r="W20" s="71">
        <f>'FS-AD Daily '!AH24*1000</f>
        <v>17000</v>
      </c>
      <c r="X20" s="71">
        <f>('FS-AD Daily '!AK24)*1000</f>
        <v>32000</v>
      </c>
      <c r="Y20" s="71">
        <f>'FS-AD Daily '!AN24</f>
        <v>68</v>
      </c>
      <c r="Z20" s="104">
        <v>95</v>
      </c>
    </row>
    <row r="21" spans="1:26" x14ac:dyDescent="0.25">
      <c r="A21" s="103" t="s">
        <v>80</v>
      </c>
      <c r="B21" s="69">
        <f t="shared" si="1"/>
        <v>20</v>
      </c>
      <c r="C21" s="70">
        <v>6</v>
      </c>
      <c r="D21" s="69">
        <v>2022</v>
      </c>
      <c r="E21" s="71">
        <f>'FS-AD Daily '!B25</f>
        <v>6116</v>
      </c>
      <c r="F21" s="71">
        <f>'FS-AD Daily '!C25</f>
        <v>3683</v>
      </c>
      <c r="G21" s="71">
        <f>'FS-AD Daily '!D25</f>
        <v>911</v>
      </c>
      <c r="H21" s="71">
        <f>'FS-AD Daily '!E25</f>
        <v>7813</v>
      </c>
      <c r="I21" s="71">
        <f>'FS-AD Daily '!F25</f>
        <v>6000</v>
      </c>
      <c r="J21" s="71">
        <f>'FS-AD Daily '!G25</f>
        <v>2944</v>
      </c>
      <c r="K21" s="71">
        <f>'FS-AD Daily '!H25</f>
        <v>8089</v>
      </c>
      <c r="L21" s="71">
        <f>'FS-AD Daily '!I25</f>
        <v>2394</v>
      </c>
      <c r="M21" s="71">
        <f>'FS-AD Daily '!J25</f>
        <v>6895</v>
      </c>
      <c r="N21" s="71">
        <f>'FS-AD Daily '!T25</f>
        <v>182.1359999999986</v>
      </c>
      <c r="O21" s="71">
        <f>'FS-AD Daily '!R25</f>
        <v>72.851000000000568</v>
      </c>
      <c r="P21" s="71">
        <f>'FS-AD Daily '!Z25</f>
        <v>619</v>
      </c>
      <c r="Q21" s="71">
        <f>'FS-AD Daily '!V25</f>
        <v>140</v>
      </c>
      <c r="R21" s="71">
        <f>'FS-AD Daily '!W25</f>
        <v>164.74000000001979</v>
      </c>
      <c r="S21" s="71">
        <f t="shared" si="0"/>
        <v>314.25999999998021</v>
      </c>
      <c r="T21" s="71">
        <f>'FS-AD Daily '!AD25*3.516</f>
        <v>119037.696</v>
      </c>
      <c r="U21" s="71">
        <f>('FS-AD Daily '!AF25)*1000</f>
        <v>59000</v>
      </c>
      <c r="V21" s="71">
        <f>('FS-AD Daily '!AG25)*1000</f>
        <v>0</v>
      </c>
      <c r="W21" s="71">
        <f>'FS-AD Daily '!AH25*1000</f>
        <v>17000</v>
      </c>
      <c r="X21" s="71">
        <f>('FS-AD Daily '!AK25)*1000</f>
        <v>30000</v>
      </c>
      <c r="Y21" s="71">
        <f>'FS-AD Daily '!AN25</f>
        <v>81</v>
      </c>
      <c r="Z21" s="104">
        <v>111</v>
      </c>
    </row>
    <row r="22" spans="1:26" x14ac:dyDescent="0.25">
      <c r="A22" s="103" t="s">
        <v>80</v>
      </c>
      <c r="B22" s="69">
        <f t="shared" si="1"/>
        <v>21</v>
      </c>
      <c r="C22" s="70">
        <v>6</v>
      </c>
      <c r="D22" s="69">
        <v>2022</v>
      </c>
      <c r="E22" s="71">
        <f>'FS-AD Daily '!B26</f>
        <v>6797</v>
      </c>
      <c r="F22" s="71">
        <f>'FS-AD Daily '!C26</f>
        <v>4232</v>
      </c>
      <c r="G22" s="71">
        <f>'FS-AD Daily '!D26</f>
        <v>966</v>
      </c>
      <c r="H22" s="71">
        <f>'FS-AD Daily '!E26</f>
        <v>8308</v>
      </c>
      <c r="I22" s="71">
        <f>'FS-AD Daily '!F26</f>
        <v>6155</v>
      </c>
      <c r="J22" s="71">
        <f>'FS-AD Daily '!G26</f>
        <v>3028</v>
      </c>
      <c r="K22" s="71">
        <f>'FS-AD Daily '!H26</f>
        <v>8586</v>
      </c>
      <c r="L22" s="71">
        <f>'FS-AD Daily '!I26</f>
        <v>2484</v>
      </c>
      <c r="M22" s="71">
        <f>'FS-AD Daily '!J26</f>
        <v>7288</v>
      </c>
      <c r="N22" s="71">
        <f>'FS-AD Daily '!T26</f>
        <v>181.49800000000323</v>
      </c>
      <c r="O22" s="71">
        <f>'FS-AD Daily '!R26</f>
        <v>71.072000000001026</v>
      </c>
      <c r="P22" s="71">
        <f>'FS-AD Daily '!Z26</f>
        <v>634</v>
      </c>
      <c r="Q22" s="71">
        <f>'FS-AD Daily '!V26</f>
        <v>155.5</v>
      </c>
      <c r="R22" s="71">
        <f>'FS-AD Daily '!W26</f>
        <v>141.30999999999767</v>
      </c>
      <c r="S22" s="71">
        <f t="shared" si="0"/>
        <v>337.19000000000233</v>
      </c>
      <c r="T22" s="71">
        <f>'FS-AD Daily '!AD26*3.516</f>
        <v>106049.592</v>
      </c>
      <c r="U22" s="71">
        <f>('FS-AD Daily '!AF26)*1000</f>
        <v>52300.00000000291</v>
      </c>
      <c r="V22" s="71">
        <f>('FS-AD Daily '!AG26)*1000</f>
        <v>0</v>
      </c>
      <c r="W22" s="71">
        <f>'FS-AD Daily '!AH26*1000</f>
        <v>16700.000000000728</v>
      </c>
      <c r="X22" s="71">
        <f>('FS-AD Daily '!AK26)*1000</f>
        <v>29900.000000001455</v>
      </c>
      <c r="Y22" s="71">
        <f>'FS-AD Daily '!AN26</f>
        <v>93</v>
      </c>
      <c r="Z22" s="104">
        <v>131</v>
      </c>
    </row>
    <row r="23" spans="1:26" x14ac:dyDescent="0.25">
      <c r="A23" s="103" t="s">
        <v>80</v>
      </c>
      <c r="B23" s="69">
        <f t="shared" si="1"/>
        <v>22</v>
      </c>
      <c r="C23" s="70">
        <v>6</v>
      </c>
      <c r="D23" s="69">
        <v>2022</v>
      </c>
      <c r="E23" s="71">
        <f>'FS-AD Daily '!B27</f>
        <v>6287</v>
      </c>
      <c r="F23" s="71">
        <f>'FS-AD Daily '!C27</f>
        <v>4108</v>
      </c>
      <c r="G23" s="71">
        <f>'FS-AD Daily '!D27</f>
        <v>911</v>
      </c>
      <c r="H23" s="71">
        <f>'FS-AD Daily '!E27</f>
        <v>7437</v>
      </c>
      <c r="I23" s="71">
        <f>'FS-AD Daily '!F27</f>
        <v>5645</v>
      </c>
      <c r="J23" s="71">
        <f>'FS-AD Daily '!G27</f>
        <v>2739</v>
      </c>
      <c r="K23" s="71">
        <f>'FS-AD Daily '!H27</f>
        <v>8030</v>
      </c>
      <c r="L23" s="71">
        <f>'FS-AD Daily '!I27</f>
        <v>2263</v>
      </c>
      <c r="M23" s="71">
        <f>'FS-AD Daily '!J27</f>
        <v>6815</v>
      </c>
      <c r="N23" s="71">
        <f>'FS-AD Daily '!T27</f>
        <v>210.98299999999654</v>
      </c>
      <c r="O23" s="71">
        <f>'FS-AD Daily '!R27</f>
        <v>75.081999999999425</v>
      </c>
      <c r="P23" s="71">
        <f>'FS-AD Daily '!Z27</f>
        <v>666</v>
      </c>
      <c r="Q23" s="71">
        <f>'FS-AD Daily '!V27</f>
        <v>171.40000000002328</v>
      </c>
      <c r="R23" s="71">
        <f>'FS-AD Daily '!W27</f>
        <v>158.91000000000349</v>
      </c>
      <c r="S23" s="71">
        <f t="shared" si="0"/>
        <v>335.68999999997322</v>
      </c>
      <c r="T23" s="71">
        <f>'FS-AD Daily '!AD27*3.516</f>
        <v>101661.624</v>
      </c>
      <c r="U23" s="71">
        <f>('FS-AD Daily '!AF27)*1000</f>
        <v>49899.999999994179</v>
      </c>
      <c r="V23" s="71">
        <f>('FS-AD Daily '!AG27)*1000</f>
        <v>0</v>
      </c>
      <c r="W23" s="71">
        <f>'FS-AD Daily '!AH27*1000</f>
        <v>16099.999999998545</v>
      </c>
      <c r="X23" s="71">
        <f>('FS-AD Daily '!AK27)*1000</f>
        <v>28099.999999998545</v>
      </c>
      <c r="Y23" s="71">
        <f>'FS-AD Daily '!AN27</f>
        <v>93</v>
      </c>
      <c r="Z23" s="104">
        <v>132</v>
      </c>
    </row>
    <row r="24" spans="1:26" x14ac:dyDescent="0.25">
      <c r="A24" s="103" t="s">
        <v>80</v>
      </c>
      <c r="B24" s="69">
        <f t="shared" si="1"/>
        <v>23</v>
      </c>
      <c r="C24" s="70">
        <v>6</v>
      </c>
      <c r="D24" s="69">
        <v>2022</v>
      </c>
      <c r="E24" s="71">
        <f>'FS-AD Daily '!B28</f>
        <v>6311</v>
      </c>
      <c r="F24" s="71">
        <f>'FS-AD Daily '!C28</f>
        <v>4762</v>
      </c>
      <c r="G24" s="71">
        <f>'FS-AD Daily '!D28</f>
        <v>948</v>
      </c>
      <c r="H24" s="71">
        <f>'FS-AD Daily '!E28</f>
        <v>7934</v>
      </c>
      <c r="I24" s="71">
        <f>'FS-AD Daily '!F28</f>
        <v>5976</v>
      </c>
      <c r="J24" s="71">
        <f>'FS-AD Daily '!G28</f>
        <v>3037</v>
      </c>
      <c r="K24" s="71">
        <f>'FS-AD Daily '!H28</f>
        <v>8935</v>
      </c>
      <c r="L24" s="71">
        <f>'FS-AD Daily '!I28</f>
        <v>2472</v>
      </c>
      <c r="M24" s="71">
        <f>'FS-AD Daily '!J28</f>
        <v>7177</v>
      </c>
      <c r="N24" s="71">
        <f>'FS-AD Daily '!T28</f>
        <v>198.98400000000402</v>
      </c>
      <c r="O24" s="71">
        <f>'FS-AD Daily '!R28</f>
        <v>77.443000000000211</v>
      </c>
      <c r="P24" s="71">
        <f>'FS-AD Daily '!Z28</f>
        <v>637</v>
      </c>
      <c r="Q24" s="71">
        <f>'FS-AD Daily '!V28</f>
        <v>148.79999999998836</v>
      </c>
      <c r="R24" s="71">
        <f>'FS-AD Daily '!W28</f>
        <v>126.78999999997905</v>
      </c>
      <c r="S24" s="71">
        <f t="shared" si="0"/>
        <v>361.4100000000326</v>
      </c>
      <c r="T24" s="71">
        <f>'FS-AD Daily '!AD28*3.516</f>
        <v>119157.24</v>
      </c>
      <c r="U24" s="71">
        <f>('FS-AD Daily '!AF28)*1000</f>
        <v>58100.000000005821</v>
      </c>
      <c r="V24" s="71">
        <f>('FS-AD Daily '!AG28)*1000</f>
        <v>0</v>
      </c>
      <c r="W24" s="71">
        <f>'FS-AD Daily '!AH28*1000</f>
        <v>17100.000000002183</v>
      </c>
      <c r="X24" s="71">
        <f>('FS-AD Daily '!AK28)*1000</f>
        <v>31699.99999999709</v>
      </c>
      <c r="Y24" s="71">
        <f>'FS-AD Daily '!AN28</f>
        <v>78</v>
      </c>
      <c r="Z24" s="104">
        <v>115</v>
      </c>
    </row>
    <row r="25" spans="1:26" x14ac:dyDescent="0.25">
      <c r="A25" s="103" t="s">
        <v>80</v>
      </c>
      <c r="B25" s="69">
        <f t="shared" si="1"/>
        <v>24</v>
      </c>
      <c r="C25" s="70">
        <v>6</v>
      </c>
      <c r="D25" s="69">
        <v>2022</v>
      </c>
      <c r="E25" s="71">
        <f>'FS-AD Daily '!B29</f>
        <v>6073</v>
      </c>
      <c r="F25" s="71">
        <f>'FS-AD Daily '!C29</f>
        <v>4338</v>
      </c>
      <c r="G25" s="71">
        <f>'FS-AD Daily '!D29</f>
        <v>970</v>
      </c>
      <c r="H25" s="71">
        <f>'FS-AD Daily '!E29</f>
        <v>7525</v>
      </c>
      <c r="I25" s="71">
        <f>'FS-AD Daily '!F29</f>
        <v>5964</v>
      </c>
      <c r="J25" s="71">
        <f>'FS-AD Daily '!G29</f>
        <v>2902</v>
      </c>
      <c r="K25" s="71">
        <f>'FS-AD Daily '!H29</f>
        <v>9005</v>
      </c>
      <c r="L25" s="71">
        <f>'FS-AD Daily '!I29</f>
        <v>2318</v>
      </c>
      <c r="M25" s="71">
        <f>'FS-AD Daily '!J29</f>
        <v>7198</v>
      </c>
      <c r="N25" s="71">
        <f>'FS-AD Daily '!T29</f>
        <v>186.71599999999671</v>
      </c>
      <c r="O25" s="71">
        <f>'FS-AD Daily '!R29</f>
        <v>74.44499999999789</v>
      </c>
      <c r="P25" s="71">
        <f>'FS-AD Daily '!Z29</f>
        <v>668</v>
      </c>
      <c r="Q25" s="71">
        <f>'FS-AD Daily '!V29</f>
        <v>156</v>
      </c>
      <c r="R25" s="71">
        <f>'FS-AD Daily '!W29</f>
        <v>160.01000000000931</v>
      </c>
      <c r="S25" s="71">
        <f t="shared" si="0"/>
        <v>351.98999999999069</v>
      </c>
      <c r="T25" s="71">
        <f>'FS-AD Daily '!AD29*3.516</f>
        <v>119480.712</v>
      </c>
      <c r="U25" s="71">
        <f>('FS-AD Daily '!AF29)*1000</f>
        <v>57899.999999994179</v>
      </c>
      <c r="V25" s="71">
        <f>('FS-AD Daily '!AG29)*1000</f>
        <v>0</v>
      </c>
      <c r="W25" s="71">
        <f>'FS-AD Daily '!AH29*1000</f>
        <v>17399.999999997817</v>
      </c>
      <c r="X25" s="71">
        <f>('FS-AD Daily '!AK29)*1000</f>
        <v>33400.000000001455</v>
      </c>
      <c r="Y25" s="71">
        <f>'FS-AD Daily '!AN29</f>
        <v>69</v>
      </c>
      <c r="Z25" s="104">
        <v>108</v>
      </c>
    </row>
    <row r="26" spans="1:26" x14ac:dyDescent="0.25">
      <c r="A26" s="103" t="s">
        <v>80</v>
      </c>
      <c r="B26" s="69">
        <f>B25+1</f>
        <v>25</v>
      </c>
      <c r="C26" s="70">
        <v>6</v>
      </c>
      <c r="D26" s="69">
        <v>2022</v>
      </c>
      <c r="E26" s="71">
        <f>'FS-AD Daily '!B30</f>
        <v>6301</v>
      </c>
      <c r="F26" s="71">
        <f>'FS-AD Daily '!C30</f>
        <v>4171</v>
      </c>
      <c r="G26" s="71">
        <f>'FS-AD Daily '!D30</f>
        <v>873</v>
      </c>
      <c r="H26" s="71">
        <f>'FS-AD Daily '!E30</f>
        <v>7598</v>
      </c>
      <c r="I26" s="71">
        <f>'FS-AD Daily '!F30</f>
        <v>6159</v>
      </c>
      <c r="J26" s="71">
        <f>'FS-AD Daily '!G30</f>
        <v>3045</v>
      </c>
      <c r="K26" s="71">
        <f>'FS-AD Daily '!H30</f>
        <v>9043</v>
      </c>
      <c r="L26" s="71">
        <f>'FS-AD Daily '!I30</f>
        <v>2307</v>
      </c>
      <c r="M26" s="71">
        <f>'FS-AD Daily '!J30</f>
        <v>7187</v>
      </c>
      <c r="N26" s="71">
        <f>'FS-AD Daily '!T30</f>
        <v>198.81400000000576</v>
      </c>
      <c r="O26" s="71">
        <f>'FS-AD Daily '!R30</f>
        <v>94.239000000001397</v>
      </c>
      <c r="P26" s="71">
        <f>'FS-AD Daily '!Z30</f>
        <v>683</v>
      </c>
      <c r="Q26" s="71">
        <f>'FS-AD Daily '!V30</f>
        <v>161.09999999997672</v>
      </c>
      <c r="R26" s="71">
        <f>'FS-AD Daily '!W30</f>
        <v>159.88000000000466</v>
      </c>
      <c r="S26" s="71">
        <f t="shared" si="0"/>
        <v>362.02000000001863</v>
      </c>
      <c r="T26" s="71">
        <f>'FS-AD Daily '!AD30*3.516</f>
        <v>128987.976</v>
      </c>
      <c r="U26" s="71">
        <f>('FS-AD Daily '!AF30)*1000</f>
        <v>63699.99999999709</v>
      </c>
      <c r="V26" s="71">
        <f>('FS-AD Daily '!AG30)*1000</f>
        <v>0</v>
      </c>
      <c r="W26" s="71">
        <f>'FS-AD Daily '!AH30*1000</f>
        <v>17700.000000000728</v>
      </c>
      <c r="X26" s="71">
        <f>('FS-AD Daily '!AK30)*1000</f>
        <v>38000</v>
      </c>
      <c r="Y26" s="71">
        <f>'FS-AD Daily '!AN30</f>
        <v>65</v>
      </c>
      <c r="Z26" s="104">
        <v>107</v>
      </c>
    </row>
    <row r="27" spans="1:26" x14ac:dyDescent="0.25">
      <c r="A27" s="103" t="s">
        <v>80</v>
      </c>
      <c r="B27" s="69">
        <f t="shared" si="1"/>
        <v>26</v>
      </c>
      <c r="C27" s="70">
        <v>6</v>
      </c>
      <c r="D27" s="69">
        <v>2022</v>
      </c>
      <c r="E27" s="71">
        <f>'FS-AD Daily '!B31</f>
        <v>6050</v>
      </c>
      <c r="F27" s="71">
        <f>'FS-AD Daily '!C31</f>
        <v>4300</v>
      </c>
      <c r="G27" s="71">
        <f>'FS-AD Daily '!D31</f>
        <v>975</v>
      </c>
      <c r="H27" s="71">
        <f>'FS-AD Daily '!E31</f>
        <v>7689</v>
      </c>
      <c r="I27" s="71">
        <f>'FS-AD Daily '!F31</f>
        <v>5989</v>
      </c>
      <c r="J27" s="71">
        <f>'FS-AD Daily '!G31</f>
        <v>2918</v>
      </c>
      <c r="K27" s="71">
        <f>'FS-AD Daily '!H31</f>
        <v>9039</v>
      </c>
      <c r="L27" s="71">
        <f>'FS-AD Daily '!I31</f>
        <v>2393</v>
      </c>
      <c r="M27" s="71">
        <f>'FS-AD Daily '!J31</f>
        <v>7124</v>
      </c>
      <c r="N27" s="71">
        <f>'FS-AD Daily '!T31</f>
        <v>179.05600000000049</v>
      </c>
      <c r="O27" s="71">
        <f>'FS-AD Daily '!R31</f>
        <v>83.600000000000364</v>
      </c>
      <c r="P27" s="71">
        <f>'FS-AD Daily '!Z31</f>
        <v>594</v>
      </c>
      <c r="Q27" s="71">
        <f>'FS-AD Daily '!V31</f>
        <v>148</v>
      </c>
      <c r="R27" s="71">
        <f>'FS-AD Daily '!W31</f>
        <v>128.48000000001048</v>
      </c>
      <c r="S27" s="71">
        <f t="shared" si="0"/>
        <v>317.51999999998952</v>
      </c>
      <c r="T27" s="71">
        <f>'FS-AD Daily '!AD31*3.516</f>
        <v>130306.476</v>
      </c>
      <c r="U27" s="71">
        <f>('FS-AD Daily '!AF31)*1000</f>
        <v>63900.000000008731</v>
      </c>
      <c r="V27" s="71">
        <f>('FS-AD Daily '!AG31)*1000</f>
        <v>0</v>
      </c>
      <c r="W27" s="71">
        <f>'FS-AD Daily '!AH31*1000</f>
        <v>17599.999999998545</v>
      </c>
      <c r="X27" s="71">
        <f>('FS-AD Daily '!AK31)*1000</f>
        <v>36000</v>
      </c>
      <c r="Y27" s="71">
        <f>'FS-AD Daily '!AN31</f>
        <v>81</v>
      </c>
      <c r="Z27" s="104">
        <v>113</v>
      </c>
    </row>
    <row r="28" spans="1:26" x14ac:dyDescent="0.25">
      <c r="A28" s="103" t="s">
        <v>80</v>
      </c>
      <c r="B28" s="69">
        <f t="shared" si="1"/>
        <v>27</v>
      </c>
      <c r="C28" s="70">
        <v>6</v>
      </c>
      <c r="D28" s="69">
        <v>2022</v>
      </c>
      <c r="E28" s="71">
        <f>'FS-AD Daily '!B32</f>
        <v>6377</v>
      </c>
      <c r="F28" s="71">
        <f>'FS-AD Daily '!C32</f>
        <v>5280</v>
      </c>
      <c r="G28" s="71">
        <f>'FS-AD Daily '!D32</f>
        <v>922</v>
      </c>
      <c r="H28" s="71">
        <f>'FS-AD Daily '!E32</f>
        <v>7581</v>
      </c>
      <c r="I28" s="71">
        <f>'FS-AD Daily '!F32</f>
        <v>6183</v>
      </c>
      <c r="J28" s="71">
        <f>'FS-AD Daily '!G32</f>
        <v>3037</v>
      </c>
      <c r="K28" s="71">
        <f>'FS-AD Daily '!H32</f>
        <v>8813</v>
      </c>
      <c r="L28" s="71">
        <f>'FS-AD Daily '!I32</f>
        <v>2415</v>
      </c>
      <c r="M28" s="71">
        <f>'FS-AD Daily '!J32</f>
        <v>6987</v>
      </c>
      <c r="N28" s="71">
        <f>'FS-AD Daily '!T32</f>
        <v>191.5010000000002</v>
      </c>
      <c r="O28" s="71">
        <f>'FS-AD Daily '!R32</f>
        <v>69.533999999999651</v>
      </c>
      <c r="P28" s="71">
        <f>'FS-AD Daily '!Z32</f>
        <v>550</v>
      </c>
      <c r="Q28" s="71">
        <f>'FS-AD Daily '!V32</f>
        <v>144.5</v>
      </c>
      <c r="R28" s="71">
        <f>'FS-AD Daily '!W32</f>
        <v>80.849999999976717</v>
      </c>
      <c r="S28" s="71">
        <f t="shared" si="0"/>
        <v>324.65000000002328</v>
      </c>
      <c r="T28" s="71">
        <f>'FS-AD Daily '!AD32*3.516</f>
        <v>133520.1</v>
      </c>
      <c r="U28" s="71">
        <f>('FS-AD Daily '!AF32)*1000</f>
        <v>68099.999999991269</v>
      </c>
      <c r="V28" s="71">
        <f>('FS-AD Daily '!AG32)*1000</f>
        <v>0</v>
      </c>
      <c r="W28" s="71">
        <f>'FS-AD Daily '!AH32*1000</f>
        <v>18300.00000000291</v>
      </c>
      <c r="X28" s="71">
        <f>('FS-AD Daily '!AK32)*1000</f>
        <v>38300.00000000291</v>
      </c>
      <c r="Y28" s="71">
        <f>'FS-AD Daily '!AN32</f>
        <v>103</v>
      </c>
      <c r="Z28" s="104">
        <v>136</v>
      </c>
    </row>
    <row r="29" spans="1:26" x14ac:dyDescent="0.25">
      <c r="A29" s="103" t="s">
        <v>80</v>
      </c>
      <c r="B29" s="69">
        <f t="shared" si="1"/>
        <v>28</v>
      </c>
      <c r="C29" s="70">
        <v>6</v>
      </c>
      <c r="D29" s="69">
        <v>2022</v>
      </c>
      <c r="E29" s="71">
        <f>'FS-AD Daily '!B33</f>
        <v>6235</v>
      </c>
      <c r="F29" s="71">
        <f>'FS-AD Daily '!C33</f>
        <v>4152</v>
      </c>
      <c r="G29" s="71">
        <f>'FS-AD Daily '!D33</f>
        <v>944</v>
      </c>
      <c r="H29" s="71">
        <f>'FS-AD Daily '!E33</f>
        <v>7885</v>
      </c>
      <c r="I29" s="71">
        <f>'FS-AD Daily '!F33</f>
        <v>6193</v>
      </c>
      <c r="J29" s="71">
        <f>'FS-AD Daily '!G33</f>
        <v>3057</v>
      </c>
      <c r="K29" s="71">
        <f>'FS-AD Daily '!H33</f>
        <v>9116</v>
      </c>
      <c r="L29" s="71">
        <f>'FS-AD Daily '!I33</f>
        <v>2366</v>
      </c>
      <c r="M29" s="71">
        <f>'FS-AD Daily '!J33</f>
        <v>7024</v>
      </c>
      <c r="N29" s="71">
        <f>'FS-AD Daily '!T33</f>
        <v>189.20999999999913</v>
      </c>
      <c r="O29" s="71">
        <f>'FS-AD Daily '!R33</f>
        <v>69.81499999999869</v>
      </c>
      <c r="P29" s="71">
        <f>'FS-AD Daily '!Z33</f>
        <v>654</v>
      </c>
      <c r="Q29" s="71">
        <f>'FS-AD Daily '!V33</f>
        <v>157.10000000003492</v>
      </c>
      <c r="R29" s="71">
        <f>'FS-AD Daily '!W33</f>
        <v>145.79000000000815</v>
      </c>
      <c r="S29" s="71">
        <f t="shared" si="0"/>
        <v>351.10999999995693</v>
      </c>
      <c r="T29" s="71">
        <f>'FS-AD Daily '!AD33*3.516</f>
        <v>122785.75200000001</v>
      </c>
      <c r="U29" s="71">
        <f>('FS-AD Daily '!AF33)*1000</f>
        <v>62200.000000011642</v>
      </c>
      <c r="V29" s="71">
        <f>('FS-AD Daily '!AG33)*1000</f>
        <v>0</v>
      </c>
      <c r="W29" s="71">
        <f>'FS-AD Daily '!AH33*1000</f>
        <v>17000</v>
      </c>
      <c r="X29" s="71">
        <f>('FS-AD Daily '!AK33)*1000</f>
        <v>33699.99999999709</v>
      </c>
      <c r="Y29" s="71">
        <f>'FS-AD Daily '!AN33</f>
        <v>136</v>
      </c>
      <c r="Z29" s="104">
        <v>165</v>
      </c>
    </row>
    <row r="30" spans="1:26" x14ac:dyDescent="0.25">
      <c r="A30" s="103" t="s">
        <v>80</v>
      </c>
      <c r="B30" s="69">
        <f t="shared" si="1"/>
        <v>29</v>
      </c>
      <c r="C30" s="70">
        <v>6</v>
      </c>
      <c r="D30" s="69">
        <v>2022</v>
      </c>
      <c r="E30" s="71">
        <f>'FS-AD Daily '!B34</f>
        <v>6355</v>
      </c>
      <c r="F30" s="71">
        <f>'FS-AD Daily '!C34</f>
        <v>4005</v>
      </c>
      <c r="G30" s="71">
        <f>'FS-AD Daily '!D34</f>
        <v>918</v>
      </c>
      <c r="H30" s="71">
        <f>'FS-AD Daily '!E34</f>
        <v>7763</v>
      </c>
      <c r="I30" s="71">
        <f>'FS-AD Daily '!F34</f>
        <v>6015</v>
      </c>
      <c r="J30" s="71">
        <f>'FS-AD Daily '!G34</f>
        <v>3128</v>
      </c>
      <c r="K30" s="71">
        <f>'FS-AD Daily '!H34</f>
        <v>9319</v>
      </c>
      <c r="L30" s="71">
        <f>'FS-AD Daily '!I34</f>
        <v>2344</v>
      </c>
      <c r="M30" s="71">
        <f>'FS-AD Daily '!J34</f>
        <v>6928</v>
      </c>
      <c r="N30" s="71">
        <f>'FS-AD Daily '!T34</f>
        <v>230.4739999999947</v>
      </c>
      <c r="O30" s="71">
        <f>'FS-AD Daily '!R34</f>
        <v>80.484000000001288</v>
      </c>
      <c r="P30" s="71">
        <f>'FS-AD Daily '!Z34</f>
        <v>622</v>
      </c>
      <c r="Q30" s="71">
        <f>'FS-AD Daily '!V34</f>
        <v>151.59999999997672</v>
      </c>
      <c r="R30" s="71">
        <f>'FS-AD Daily '!W34</f>
        <v>123.54999999998836</v>
      </c>
      <c r="S30" s="71">
        <f t="shared" si="0"/>
        <v>346.85000000003492</v>
      </c>
      <c r="T30" s="71">
        <f>'FS-AD Daily '!AD34*3.516</f>
        <v>127943.724</v>
      </c>
      <c r="U30" s="71">
        <f>('FS-AD Daily '!AF34)*1000</f>
        <v>64899.999999994179</v>
      </c>
      <c r="V30" s="71">
        <f>('FS-AD Daily '!AG34)*1000</f>
        <v>0</v>
      </c>
      <c r="W30" s="71">
        <f>'FS-AD Daily '!AH34*1000</f>
        <v>17099.999999998545</v>
      </c>
      <c r="X30" s="71">
        <f>('FS-AD Daily '!AK34)*1000</f>
        <v>33400.000000001455</v>
      </c>
      <c r="Y30" s="71">
        <f>'FS-AD Daily '!AN34</f>
        <v>139</v>
      </c>
      <c r="Z30" s="104">
        <v>171</v>
      </c>
    </row>
    <row r="31" spans="1:26" x14ac:dyDescent="0.25">
      <c r="A31" s="103" t="s">
        <v>80</v>
      </c>
      <c r="B31" s="69">
        <f t="shared" si="1"/>
        <v>30</v>
      </c>
      <c r="C31" s="70">
        <v>6</v>
      </c>
      <c r="D31" s="69">
        <v>2022</v>
      </c>
      <c r="E31" s="71">
        <f>'FS-AD Daily '!B35</f>
        <v>6293</v>
      </c>
      <c r="F31" s="71">
        <f>'FS-AD Daily '!C35</f>
        <v>4822</v>
      </c>
      <c r="G31" s="71">
        <f>'FS-AD Daily '!D35</f>
        <v>953</v>
      </c>
      <c r="H31" s="71">
        <f>'FS-AD Daily '!E35</f>
        <v>7623</v>
      </c>
      <c r="I31" s="71">
        <f>'FS-AD Daily '!F35</f>
        <v>6189</v>
      </c>
      <c r="J31" s="71">
        <f>'FS-AD Daily '!G35</f>
        <v>3270</v>
      </c>
      <c r="K31" s="71">
        <f>'FS-AD Daily '!H35</f>
        <v>9221</v>
      </c>
      <c r="L31" s="71">
        <f>'FS-AD Daily '!I35</f>
        <v>2373</v>
      </c>
      <c r="M31" s="71">
        <f>'FS-AD Daily '!J35</f>
        <v>7077</v>
      </c>
      <c r="N31" s="71">
        <f>'FS-AD Daily '!T35</f>
        <v>214.44700000000012</v>
      </c>
      <c r="O31" s="71">
        <f>'FS-AD Daily '!R35</f>
        <v>78.19300000000112</v>
      </c>
      <c r="P31" s="71">
        <f>'FS-AD Daily '!Z35</f>
        <v>643</v>
      </c>
      <c r="Q31" s="71">
        <f>'FS-AD Daily '!V35</f>
        <v>165</v>
      </c>
      <c r="R31" s="71">
        <f>'FS-AD Daily '!W35</f>
        <v>148.34000000002561</v>
      </c>
      <c r="S31" s="71">
        <f t="shared" ref="S31:S32" si="2">P31-Q31-R31</f>
        <v>329.65999999997439</v>
      </c>
      <c r="T31" s="71">
        <f>'FS-AD Daily '!AD35*3.516</f>
        <v>122268.9</v>
      </c>
      <c r="U31" s="71">
        <f>('FS-AD Daily '!AF35)*1000</f>
        <v>63000</v>
      </c>
      <c r="V31" s="71">
        <f>('FS-AD Daily '!AG35)*1000</f>
        <v>0</v>
      </c>
      <c r="W31" s="71">
        <f>'FS-AD Daily '!AH35*1000</f>
        <v>17000</v>
      </c>
      <c r="X31" s="71">
        <f>('FS-AD Daily '!AK35)*1000</f>
        <v>33500</v>
      </c>
      <c r="Y31" s="71">
        <f>'FS-AD Daily '!AN35</f>
        <v>98</v>
      </c>
      <c r="Z31" s="121">
        <v>132</v>
      </c>
    </row>
    <row r="32" spans="1:26" ht="15.75" thickBot="1" x14ac:dyDescent="0.3">
      <c r="A32" s="103" t="s">
        <v>80</v>
      </c>
      <c r="B32" s="69">
        <f t="shared" si="1"/>
        <v>31</v>
      </c>
      <c r="C32" s="70">
        <v>6</v>
      </c>
      <c r="D32" s="69">
        <v>2022</v>
      </c>
      <c r="E32" s="71">
        <f>'FS-AD Daily '!B36</f>
        <v>0</v>
      </c>
      <c r="F32" s="71">
        <f>'FS-AD Daily '!C36</f>
        <v>0</v>
      </c>
      <c r="G32" s="71">
        <f>'FS-AD Daily '!D36</f>
        <v>0</v>
      </c>
      <c r="H32" s="71">
        <f>'FS-AD Daily '!E36</f>
        <v>0</v>
      </c>
      <c r="I32" s="71">
        <f>'FS-AD Daily '!F36</f>
        <v>0</v>
      </c>
      <c r="J32" s="71">
        <f>'FS-AD Daily '!G36</f>
        <v>0</v>
      </c>
      <c r="K32" s="71">
        <f>'FS-AD Daily '!H36</f>
        <v>0</v>
      </c>
      <c r="L32" s="71">
        <f>'FS-AD Daily '!I36</f>
        <v>0</v>
      </c>
      <c r="M32" s="71">
        <f>'FS-AD Daily '!J36</f>
        <v>0</v>
      </c>
      <c r="N32" s="71">
        <f>'FS-AD Daily '!T36</f>
        <v>0</v>
      </c>
      <c r="O32" s="71">
        <f>'FS-AD Daily '!R36</f>
        <v>0</v>
      </c>
      <c r="P32" s="71" t="str">
        <f>'FS-AD Daily '!Z36</f>
        <v>0</v>
      </c>
      <c r="Q32" s="71">
        <f>'FS-AD Daily '!V36</f>
        <v>0</v>
      </c>
      <c r="R32" s="71">
        <f>'FS-AD Daily '!W36</f>
        <v>0</v>
      </c>
      <c r="S32" s="71">
        <f t="shared" si="2"/>
        <v>0</v>
      </c>
      <c r="T32" s="71">
        <f>'FS-AD Daily '!AD36*3.516</f>
        <v>0</v>
      </c>
      <c r="U32" s="71">
        <f>('FS-AD Daily '!AF36)*1000</f>
        <v>0</v>
      </c>
      <c r="V32" s="71">
        <f>('FS-AD Daily '!AG36)*1000</f>
        <v>0</v>
      </c>
      <c r="W32" s="71">
        <f>'FS-AD Daily '!AH36*1000</f>
        <v>0</v>
      </c>
      <c r="X32" s="71">
        <f>('FS-AD Daily '!AK36)*1000</f>
        <v>0</v>
      </c>
      <c r="Y32" s="71">
        <f>'FS-AD Daily '!AN36</f>
        <v>0</v>
      </c>
      <c r="Z32" s="105"/>
    </row>
    <row r="33" spans="9:26" x14ac:dyDescent="0.25">
      <c r="I33" s="4">
        <f t="shared" ref="I33:W33" si="3">SUM(I2:I32)</f>
        <v>183648</v>
      </c>
      <c r="J33" s="4">
        <f t="shared" si="3"/>
        <v>90792</v>
      </c>
      <c r="K33" s="4">
        <f t="shared" si="3"/>
        <v>266644</v>
      </c>
      <c r="L33" s="4">
        <f t="shared" si="3"/>
        <v>71314</v>
      </c>
      <c r="M33" s="4">
        <f t="shared" si="3"/>
        <v>213507</v>
      </c>
      <c r="N33" s="4">
        <f t="shared" si="3"/>
        <v>6155.9010000000017</v>
      </c>
      <c r="O33" s="4">
        <f t="shared" si="3"/>
        <v>2338.4690000000019</v>
      </c>
      <c r="P33" s="4">
        <f t="shared" si="3"/>
        <v>19863</v>
      </c>
      <c r="Q33" s="4">
        <f t="shared" si="3"/>
        <v>4698.7999999999884</v>
      </c>
      <c r="R33" s="4">
        <f t="shared" si="3"/>
        <v>4577.7799999999988</v>
      </c>
      <c r="S33" s="4">
        <f t="shared" si="3"/>
        <v>10586.420000000013</v>
      </c>
      <c r="T33" s="4">
        <f t="shared" si="3"/>
        <v>3386586.5879999991</v>
      </c>
      <c r="U33" s="4">
        <f t="shared" si="3"/>
        <v>1668999.9999999998</v>
      </c>
      <c r="V33" s="4">
        <f t="shared" si="3"/>
        <v>0</v>
      </c>
      <c r="W33" s="4">
        <f t="shared" si="3"/>
        <v>489999.99999999988</v>
      </c>
      <c r="X33" s="4">
        <f>'FS-AD Daily '!U38</f>
        <v>29928.666880000001</v>
      </c>
      <c r="Y33" s="4">
        <f>SUM(Y2:Y32)</f>
        <v>2882</v>
      </c>
      <c r="Z33" s="4">
        <f>SUM(Z2:Z32)</f>
        <v>3999</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85" zoomScaleNormal="85" workbookViewId="0">
      <pane ySplit="5" topLeftCell="A6" activePane="bottomLeft" state="frozen"/>
      <selection pane="bottomLeft" activeCell="AP4" sqref="AP4"/>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9" t="s">
        <v>14</v>
      </c>
      <c r="C1" s="129"/>
      <c r="D1" s="129"/>
      <c r="E1" s="129"/>
      <c r="F1" s="129"/>
      <c r="G1" s="129"/>
      <c r="H1" s="129"/>
      <c r="I1" s="129"/>
      <c r="J1" s="129"/>
      <c r="K1" s="25" t="s">
        <v>15</v>
      </c>
      <c r="L1" s="26" t="s">
        <v>16</v>
      </c>
      <c r="M1" s="27" t="s">
        <v>17</v>
      </c>
      <c r="N1" s="28" t="s">
        <v>18</v>
      </c>
      <c r="O1" s="28" t="s">
        <v>19</v>
      </c>
      <c r="P1" s="65" t="s">
        <v>20</v>
      </c>
      <c r="Q1" s="30" t="s">
        <v>21</v>
      </c>
      <c r="R1" s="31" t="s">
        <v>22</v>
      </c>
      <c r="S1" s="29" t="s">
        <v>23</v>
      </c>
      <c r="T1" s="32" t="s">
        <v>24</v>
      </c>
      <c r="U1" s="33" t="s">
        <v>25</v>
      </c>
      <c r="V1" s="32" t="s">
        <v>26</v>
      </c>
      <c r="W1" s="32" t="s">
        <v>27</v>
      </c>
      <c r="X1" s="130" t="s">
        <v>28</v>
      </c>
      <c r="Y1" s="130"/>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2022</v>
      </c>
      <c r="B2" s="22">
        <v>1</v>
      </c>
      <c r="C2" s="22">
        <v>2</v>
      </c>
      <c r="D2" s="22">
        <v>3</v>
      </c>
      <c r="E2" s="22">
        <v>4</v>
      </c>
      <c r="F2" s="22">
        <v>5</v>
      </c>
      <c r="G2" s="22">
        <v>6</v>
      </c>
      <c r="H2" s="22">
        <v>7</v>
      </c>
      <c r="I2" s="22">
        <v>8</v>
      </c>
      <c r="J2" s="22">
        <v>9</v>
      </c>
      <c r="K2" s="125" t="s">
        <v>41</v>
      </c>
      <c r="L2" s="124" t="s">
        <v>42</v>
      </c>
      <c r="M2" s="10"/>
      <c r="N2" s="10"/>
      <c r="O2" s="10"/>
      <c r="P2" s="10"/>
      <c r="Q2" s="10"/>
      <c r="R2" s="10"/>
      <c r="S2" s="133"/>
      <c r="T2" s="47"/>
      <c r="U2" s="127"/>
      <c r="V2" s="45"/>
      <c r="W2" s="45"/>
      <c r="X2" s="22">
        <v>1</v>
      </c>
      <c r="Y2" s="22">
        <v>2</v>
      </c>
      <c r="Z2" s="23"/>
      <c r="AA2" s="124" t="s">
        <v>100</v>
      </c>
      <c r="AB2" s="43"/>
      <c r="AC2" s="125" t="s">
        <v>43</v>
      </c>
      <c r="AD2" s="126"/>
      <c r="AE2" s="127" t="s">
        <v>102</v>
      </c>
      <c r="AF2" s="45"/>
      <c r="AG2" s="45"/>
      <c r="AH2" s="45"/>
      <c r="AI2" s="44"/>
      <c r="AJ2" s="44"/>
      <c r="AK2" s="44"/>
      <c r="AL2" s="44"/>
      <c r="AM2" s="127" t="s">
        <v>102</v>
      </c>
      <c r="AN2" s="128"/>
      <c r="AO2" s="123"/>
    </row>
    <row r="3" spans="1:44" ht="15" customHeight="1" x14ac:dyDescent="0.25">
      <c r="A3" s="9"/>
      <c r="B3" s="11" t="s">
        <v>44</v>
      </c>
      <c r="C3" s="11" t="s">
        <v>45</v>
      </c>
      <c r="D3" s="11" t="s">
        <v>46</v>
      </c>
      <c r="E3" s="11" t="s">
        <v>47</v>
      </c>
      <c r="F3" s="11" t="s">
        <v>48</v>
      </c>
      <c r="G3" s="11" t="s">
        <v>49</v>
      </c>
      <c r="H3" s="11" t="s">
        <v>50</v>
      </c>
      <c r="I3" s="11" t="s">
        <v>51</v>
      </c>
      <c r="J3" s="11" t="s">
        <v>52</v>
      </c>
      <c r="K3" s="131"/>
      <c r="L3" s="132"/>
      <c r="M3" s="10"/>
      <c r="N3" s="10"/>
      <c r="O3" s="10"/>
      <c r="P3" s="10"/>
      <c r="Q3" s="10"/>
      <c r="R3" s="10"/>
      <c r="S3" s="133"/>
      <c r="T3" s="47"/>
      <c r="U3" s="127"/>
      <c r="V3" s="45"/>
      <c r="W3" s="45"/>
      <c r="X3" s="11"/>
      <c r="Y3" s="11"/>
      <c r="Z3" s="12"/>
      <c r="AA3" s="124"/>
      <c r="AB3" s="43"/>
      <c r="AC3" s="125"/>
      <c r="AD3" s="126"/>
      <c r="AE3" s="127"/>
      <c r="AF3" s="45"/>
      <c r="AG3" s="45"/>
      <c r="AH3" s="45"/>
      <c r="AI3" s="13"/>
      <c r="AJ3" s="44"/>
      <c r="AK3" s="44"/>
      <c r="AL3" s="44"/>
      <c r="AM3" s="127"/>
      <c r="AN3" s="128"/>
      <c r="AO3" s="123"/>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3"/>
      <c r="T4" s="47"/>
      <c r="U4" s="127"/>
      <c r="V4" s="45"/>
      <c r="W4" s="45"/>
      <c r="X4" s="52"/>
      <c r="Y4" s="87">
        <v>1076403</v>
      </c>
      <c r="Z4" s="12"/>
      <c r="AA4" s="124"/>
      <c r="AB4" s="86">
        <v>13169511</v>
      </c>
      <c r="AC4" s="125"/>
      <c r="AD4" s="126"/>
      <c r="AE4" s="127"/>
      <c r="AF4" s="45"/>
      <c r="AG4" s="45"/>
      <c r="AH4" s="45"/>
      <c r="AI4" s="43">
        <v>54345.7</v>
      </c>
      <c r="AJ4" s="43"/>
      <c r="AK4" s="43"/>
      <c r="AL4" s="43"/>
      <c r="AM4" s="127"/>
      <c r="AN4" s="128"/>
      <c r="AO4" s="123"/>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44713</v>
      </c>
      <c r="B6" s="86">
        <f>14216550-14209232</f>
        <v>7318</v>
      </c>
      <c r="C6" s="86">
        <f>9110171-9105495</f>
        <v>4676</v>
      </c>
      <c r="D6" s="86">
        <f>1809163-1808229</f>
        <v>934</v>
      </c>
      <c r="E6" s="86">
        <f>13691507-13683817</f>
        <v>7690</v>
      </c>
      <c r="F6" s="86">
        <f>13445760-13439820</f>
        <v>5940</v>
      </c>
      <c r="G6" s="86">
        <f>9275780-9272747</f>
        <v>3033</v>
      </c>
      <c r="H6" s="86">
        <f>10436210-10426952</f>
        <v>9258</v>
      </c>
      <c r="I6" s="86">
        <f>5975018-5972546</f>
        <v>2472</v>
      </c>
      <c r="J6" s="86">
        <f>13851773-13844428</f>
        <v>7345</v>
      </c>
      <c r="K6" s="63">
        <f>SUM(B6:H6)</f>
        <v>38849</v>
      </c>
      <c r="L6" s="40">
        <f>K6*0.2</f>
        <v>7769.8</v>
      </c>
      <c r="M6" s="83">
        <f>34212.401-34021.952</f>
        <v>190.44900000000052</v>
      </c>
      <c r="N6" s="83">
        <f>5040.338-5036.519</f>
        <v>3.8189999999995052</v>
      </c>
      <c r="O6" s="83">
        <f>10497.908-10497.721</f>
        <v>0.18699999999989814</v>
      </c>
      <c r="P6" s="82">
        <f>14390.835-14316.273</f>
        <v>74.561999999999898</v>
      </c>
      <c r="Q6" s="83">
        <f>29439.355-29422.658</f>
        <v>16.697000000000116</v>
      </c>
      <c r="R6" s="84">
        <f t="shared" ref="R6:R34" si="0">N6+O6+P6</f>
        <v>78.567999999999302</v>
      </c>
      <c r="S6" s="84">
        <f t="shared" ref="S6:S34" si="1">(N6+O6+P6)*7.84</f>
        <v>615.97311999999454</v>
      </c>
      <c r="T6" s="64">
        <f t="shared" ref="T6:T34" si="2">M6+Q6</f>
        <v>207.14600000000064</v>
      </c>
      <c r="U6" s="84">
        <f>T6*7.84</f>
        <v>1624.0246400000051</v>
      </c>
      <c r="V6" s="84">
        <f>422672.5-422498.2</f>
        <v>174.29999999998836</v>
      </c>
      <c r="W6" s="84">
        <f>165738.1-165568.64</f>
        <v>169.45999999999185</v>
      </c>
      <c r="X6" s="85" t="s">
        <v>63</v>
      </c>
      <c r="Y6" s="85">
        <v>1077115</v>
      </c>
      <c r="Z6" s="61">
        <f>IF((Y6-Y5&lt;0), "0",Y6-Y4)</f>
        <v>712</v>
      </c>
      <c r="AA6" s="90">
        <f>Z6*6.47</f>
        <v>4606.6399999999994</v>
      </c>
      <c r="AB6" s="75">
        <v>13199629</v>
      </c>
      <c r="AC6" s="75">
        <f>AB4</f>
        <v>13169511</v>
      </c>
      <c r="AD6" s="41">
        <f t="shared" ref="AD6:AD34" si="3">IF((AB6-AC6&lt;0), "0",AB6-AC6)</f>
        <v>30118</v>
      </c>
      <c r="AE6" s="84">
        <f>AD6*0.327899</f>
        <v>9875.6620820000007</v>
      </c>
      <c r="AF6" s="84">
        <f>100166.4-100114</f>
        <v>52.399999999994179</v>
      </c>
      <c r="AG6" s="84">
        <f>50692.5-50692.5</f>
        <v>0</v>
      </c>
      <c r="AH6" s="84">
        <f>31694.5-31681</f>
        <v>13.5</v>
      </c>
      <c r="AI6" s="75">
        <f>AI4</f>
        <v>54345.7</v>
      </c>
      <c r="AJ6" s="75">
        <v>54380.800000000003</v>
      </c>
      <c r="AK6" s="59">
        <f>IF((AJ6-AI6)&lt;0, "0",AJ6-AI6)</f>
        <v>35.100000000005821</v>
      </c>
      <c r="AL6" s="120">
        <f t="shared" ref="AL6:AL34" si="4">AK6*(284.34513609)</f>
        <v>9980.514276760654</v>
      </c>
      <c r="AM6" s="84">
        <f>AL6*0.327899</f>
        <v>3272.6006508355417</v>
      </c>
      <c r="AN6" s="41">
        <v>127</v>
      </c>
      <c r="AO6" s="77">
        <f t="shared" ref="AO6:AO36" si="5">L6+U6+AA6+AE6</f>
        <v>23876.126722000008</v>
      </c>
    </row>
    <row r="7" spans="1:44" x14ac:dyDescent="0.25">
      <c r="A7" s="79">
        <v>44714</v>
      </c>
      <c r="B7" s="86">
        <f>14223615-14216550</f>
        <v>7065</v>
      </c>
      <c r="C7" s="86">
        <f>9114221-9110171</f>
        <v>4050</v>
      </c>
      <c r="D7" s="86">
        <f>1810032-1809163</f>
        <v>869</v>
      </c>
      <c r="E7" s="86">
        <f>13699301-13691507</f>
        <v>7794</v>
      </c>
      <c r="F7" s="86">
        <f>13451622-13445760</f>
        <v>5862</v>
      </c>
      <c r="G7" s="86">
        <f>9278700-9275780</f>
        <v>2920</v>
      </c>
      <c r="H7" s="86">
        <f>10445515-10436210</f>
        <v>9305</v>
      </c>
      <c r="I7" s="86">
        <f>5977506-5975018</f>
        <v>2488</v>
      </c>
      <c r="J7" s="86">
        <f>13859028-13851773</f>
        <v>7255</v>
      </c>
      <c r="K7" s="86">
        <f>SUM(B7:H7)</f>
        <v>37865</v>
      </c>
      <c r="L7" s="14">
        <f>K7*0.2</f>
        <v>7573</v>
      </c>
      <c r="M7" s="83">
        <f>34413.225-34212.401</f>
        <v>200.82400000000052</v>
      </c>
      <c r="N7" s="83">
        <f>5043.186-5040.338</f>
        <v>2.8479999999999563</v>
      </c>
      <c r="O7" s="83">
        <f>10498.17-10497.908</f>
        <v>0.26200000000062573</v>
      </c>
      <c r="P7" s="82">
        <f>14469.482-14390.835</f>
        <v>78.647000000000844</v>
      </c>
      <c r="Q7" s="83">
        <f>29451.866-29439.355</f>
        <v>12.511000000002241</v>
      </c>
      <c r="R7" s="83">
        <f t="shared" si="0"/>
        <v>81.757000000001426</v>
      </c>
      <c r="S7" s="83">
        <f>(N7+O7+P7)*7.84</f>
        <v>640.97488000001113</v>
      </c>
      <c r="T7" s="83">
        <f>M7+Q7</f>
        <v>213.33500000000276</v>
      </c>
      <c r="U7" s="83">
        <f>T7*7.84</f>
        <v>1672.5464000000215</v>
      </c>
      <c r="V7" s="83">
        <f>422844.6-422672.5</f>
        <v>172.09999999997672</v>
      </c>
      <c r="W7" s="83">
        <f>165903.88-165738.1</f>
        <v>165.77999999999884</v>
      </c>
      <c r="X7" s="86" t="s">
        <v>63</v>
      </c>
      <c r="Y7" s="86">
        <v>1077803</v>
      </c>
      <c r="Z7" s="5">
        <f>IF((Y7-Y6&lt;0), "0",Y7-Y6)</f>
        <v>688</v>
      </c>
      <c r="AA7" s="14">
        <f t="shared" ref="AA7:AA34" si="6">Z7*6.47</f>
        <v>4451.3599999999997</v>
      </c>
      <c r="AB7" s="87">
        <v>13227142</v>
      </c>
      <c r="AC7" s="87">
        <f>AB6</f>
        <v>13199629</v>
      </c>
      <c r="AD7" s="5">
        <f t="shared" si="3"/>
        <v>27513</v>
      </c>
      <c r="AE7" s="83">
        <f>AD7*0.327899</f>
        <v>9021.4851870000002</v>
      </c>
      <c r="AF7" s="83">
        <f>100211.7-100166.4</f>
        <v>45.30000000000291</v>
      </c>
      <c r="AG7" s="83">
        <f>50692.5-50692.5</f>
        <v>0</v>
      </c>
      <c r="AH7" s="83">
        <f>31708.7-31694.5</f>
        <v>14.200000000000728</v>
      </c>
      <c r="AI7" s="87">
        <f>AJ6</f>
        <v>54380.800000000003</v>
      </c>
      <c r="AJ7" s="86">
        <v>54411.6</v>
      </c>
      <c r="AK7" s="48">
        <f t="shared" ref="AK7:AK34" si="7">IF((AJ7-AI7)&lt;0, "0",AJ7-AI7)</f>
        <v>30.799999999995634</v>
      </c>
      <c r="AL7" s="89">
        <f t="shared" si="4"/>
        <v>8757.830191570758</v>
      </c>
      <c r="AM7" s="83">
        <f>AL7*0.327899</f>
        <v>2871.6837619858597</v>
      </c>
      <c r="AN7" s="5">
        <v>124</v>
      </c>
      <c r="AO7" s="78">
        <f t="shared" si="5"/>
        <v>22718.39158700002</v>
      </c>
    </row>
    <row r="8" spans="1:44" x14ac:dyDescent="0.25">
      <c r="A8" s="79">
        <v>44715</v>
      </c>
      <c r="B8" s="86">
        <f>14229771-14223615</f>
        <v>6156</v>
      </c>
      <c r="C8" s="86">
        <f>9118931-9114221</f>
        <v>4710</v>
      </c>
      <c r="D8" s="86">
        <f>1810932-1810032</f>
        <v>900</v>
      </c>
      <c r="E8" s="86">
        <f>13706969-13699301</f>
        <v>7668</v>
      </c>
      <c r="F8" s="86">
        <f>13457615-13451622</f>
        <v>5993</v>
      </c>
      <c r="G8" s="86">
        <f>9281429-9278700</f>
        <v>2729</v>
      </c>
      <c r="H8" s="86">
        <f>10454710-10445515</f>
        <v>9195</v>
      </c>
      <c r="I8" s="86">
        <f>5979918-5977506</f>
        <v>2412</v>
      </c>
      <c r="J8" s="86">
        <f>13866610-13859028</f>
        <v>7582</v>
      </c>
      <c r="K8" s="86">
        <f>SUM(B8:H8)</f>
        <v>37351</v>
      </c>
      <c r="L8" s="14">
        <f t="shared" ref="L8:L34" si="8">K8*0.2</f>
        <v>7470.2000000000007</v>
      </c>
      <c r="M8" s="83">
        <f>34611.816-34413.225</f>
        <v>198.59100000000035</v>
      </c>
      <c r="N8" s="83">
        <f>5046.136-5043.186</f>
        <v>2.9500000000007276</v>
      </c>
      <c r="O8" s="83">
        <f>10498.284-10498.17</f>
        <v>0.11399999999957799</v>
      </c>
      <c r="P8" s="82">
        <f>14547.182-14469.482</f>
        <v>77.700000000000728</v>
      </c>
      <c r="Q8" s="83">
        <f>29484.531-29451.866</f>
        <v>32.664999999997235</v>
      </c>
      <c r="R8" s="83">
        <f t="shared" si="0"/>
        <v>80.764000000001033</v>
      </c>
      <c r="S8" s="83">
        <f>(N8+O8+P8)*7.84</f>
        <v>633.18976000000805</v>
      </c>
      <c r="T8" s="83">
        <f>M8+Q8</f>
        <v>231.25599999999758</v>
      </c>
      <c r="U8" s="83">
        <f>T8*7.84</f>
        <v>1813.0470399999811</v>
      </c>
      <c r="V8" s="83">
        <f>423026.8-422844.6</f>
        <v>182.20000000001164</v>
      </c>
      <c r="W8" s="83">
        <f>166067.37-165903.88</f>
        <v>163.48999999999069</v>
      </c>
      <c r="X8" s="86" t="s">
        <v>63</v>
      </c>
      <c r="Y8" s="86">
        <v>1078534</v>
      </c>
      <c r="Z8" s="5">
        <f t="shared" ref="Z8:Z34" si="9">IF((Y8-Y7&lt;0), "0",Y8-Y7)</f>
        <v>731</v>
      </c>
      <c r="AA8" s="14">
        <f t="shared" si="6"/>
        <v>4729.57</v>
      </c>
      <c r="AB8" s="87">
        <v>13255545</v>
      </c>
      <c r="AC8" s="87">
        <f t="shared" ref="AC8:AC34" si="10">AB7</f>
        <v>13227142</v>
      </c>
      <c r="AD8" s="5">
        <f t="shared" si="3"/>
        <v>28403</v>
      </c>
      <c r="AE8" s="83">
        <f t="shared" ref="AE8:AE35" si="11">AD8*0.327899</f>
        <v>9313.3152969999992</v>
      </c>
      <c r="AF8" s="83">
        <f>100259.2-100211.7</f>
        <v>47.5</v>
      </c>
      <c r="AG8" s="83">
        <f>50692.5-50692.5</f>
        <v>0</v>
      </c>
      <c r="AH8" s="83">
        <f>31723.6-31708.7</f>
        <v>14.899999999997817</v>
      </c>
      <c r="AI8" s="87">
        <f t="shared" ref="AI8:AI36" si="12">AJ7</f>
        <v>54411.6</v>
      </c>
      <c r="AJ8" s="86">
        <v>54443.199999999997</v>
      </c>
      <c r="AK8" s="48">
        <f t="shared" si="7"/>
        <v>31.599999999998545</v>
      </c>
      <c r="AL8" s="89">
        <f t="shared" si="4"/>
        <v>8985.3063004435862</v>
      </c>
      <c r="AM8" s="83">
        <f t="shared" ref="AM8:AM36" si="13">AL8*0.327899</f>
        <v>2946.2729506091514</v>
      </c>
      <c r="AN8" s="5">
        <v>101</v>
      </c>
      <c r="AO8" s="78">
        <f t="shared" si="5"/>
        <v>23326.132336999981</v>
      </c>
    </row>
    <row r="9" spans="1:44" x14ac:dyDescent="0.25">
      <c r="A9" s="79">
        <v>44716</v>
      </c>
      <c r="B9" s="86">
        <f>14235536-14229771</f>
        <v>5765</v>
      </c>
      <c r="C9" s="86">
        <f>9123067-9118931</f>
        <v>4136</v>
      </c>
      <c r="D9" s="86">
        <f>1811847-1810932</f>
        <v>915</v>
      </c>
      <c r="E9" s="86">
        <f>13714665-13706969</f>
        <v>7696</v>
      </c>
      <c r="F9" s="86">
        <f>13463722-13457615</f>
        <v>6107</v>
      </c>
      <c r="G9" s="86">
        <f>9284200-9281429</f>
        <v>2771</v>
      </c>
      <c r="H9" s="86">
        <f>10463961-10454710</f>
        <v>9251</v>
      </c>
      <c r="I9" s="86">
        <f>5982267-5979918</f>
        <v>2349</v>
      </c>
      <c r="J9" s="86">
        <f>13873712-13866610</f>
        <v>7102</v>
      </c>
      <c r="K9" s="86">
        <f t="shared" ref="K9:K34" si="14">SUM(B9:H9)</f>
        <v>36641</v>
      </c>
      <c r="L9" s="14">
        <f t="shared" si="8"/>
        <v>7328.2000000000007</v>
      </c>
      <c r="M9" s="83">
        <f>34828.951-34611.816</f>
        <v>217.13500000000204</v>
      </c>
      <c r="N9" s="83">
        <f>5049.149-5046.136</f>
        <v>3.01299999999992</v>
      </c>
      <c r="O9" s="83">
        <f>10498.517-10498.284</f>
        <v>0.23300000000017462</v>
      </c>
      <c r="P9" s="82">
        <f>14629.637-14547.182</f>
        <v>82.454999999999927</v>
      </c>
      <c r="Q9" s="83">
        <f>29494.649-29484.531</f>
        <v>10.118000000002212</v>
      </c>
      <c r="R9" s="83">
        <f t="shared" si="0"/>
        <v>85.701000000000022</v>
      </c>
      <c r="S9" s="83">
        <f t="shared" si="1"/>
        <v>671.89584000000013</v>
      </c>
      <c r="T9" s="83">
        <f t="shared" si="2"/>
        <v>227.25300000000425</v>
      </c>
      <c r="U9" s="83">
        <f t="shared" ref="U9:U37" si="15">T9*7.84</f>
        <v>1781.6635200000333</v>
      </c>
      <c r="V9" s="83">
        <f>423192.5-423026.8</f>
        <v>165.70000000001164</v>
      </c>
      <c r="W9" s="83">
        <f>166231.41-166067.37</f>
        <v>164.04000000000815</v>
      </c>
      <c r="X9" s="86" t="s">
        <v>63</v>
      </c>
      <c r="Y9" s="86">
        <v>1079261</v>
      </c>
      <c r="Z9" s="5">
        <f t="shared" si="9"/>
        <v>727</v>
      </c>
      <c r="AA9" s="14">
        <f t="shared" si="6"/>
        <v>4703.6899999999996</v>
      </c>
      <c r="AB9" s="87">
        <v>13282182</v>
      </c>
      <c r="AC9" s="87">
        <f t="shared" si="10"/>
        <v>13255545</v>
      </c>
      <c r="AD9" s="5">
        <f t="shared" si="3"/>
        <v>26637</v>
      </c>
      <c r="AE9" s="83">
        <f t="shared" si="11"/>
        <v>8734.2456629999997</v>
      </c>
      <c r="AF9" s="83">
        <f>100303.1-100259.2</f>
        <v>43.900000000008731</v>
      </c>
      <c r="AG9" s="83">
        <f t="shared" ref="AG9:AG13" si="16">50692.5-50692.5</f>
        <v>0</v>
      </c>
      <c r="AH9" s="83">
        <f>31738.3-31723.6</f>
        <v>14.700000000000728</v>
      </c>
      <c r="AI9" s="87">
        <f t="shared" si="12"/>
        <v>54443.199999999997</v>
      </c>
      <c r="AJ9" s="86">
        <v>54473.7</v>
      </c>
      <c r="AK9" s="48">
        <f t="shared" si="7"/>
        <v>30.5</v>
      </c>
      <c r="AL9" s="89">
        <f t="shared" si="4"/>
        <v>8672.5266507449996</v>
      </c>
      <c r="AM9" s="83">
        <f t="shared" si="13"/>
        <v>2843.7128162526346</v>
      </c>
      <c r="AN9" s="5">
        <v>108</v>
      </c>
      <c r="AO9" s="78">
        <f t="shared" si="5"/>
        <v>22547.799183000032</v>
      </c>
    </row>
    <row r="10" spans="1:44" x14ac:dyDescent="0.25">
      <c r="A10" s="79">
        <v>44717</v>
      </c>
      <c r="B10" s="86">
        <f>14241316-14235536</f>
        <v>5780</v>
      </c>
      <c r="C10" s="86">
        <f>9126927-9123067</f>
        <v>3860</v>
      </c>
      <c r="D10" s="86">
        <f>1812781-1811847</f>
        <v>934</v>
      </c>
      <c r="E10" s="86">
        <f>13722287-13714665</f>
        <v>7622</v>
      </c>
      <c r="F10" s="86">
        <f>13469520-13463722</f>
        <v>5798</v>
      </c>
      <c r="G10" s="86">
        <f>9287007-9284200</f>
        <v>2807</v>
      </c>
      <c r="H10" s="86">
        <f>10473095-10463961</f>
        <v>9134</v>
      </c>
      <c r="I10" s="86">
        <f>5984736-5982267</f>
        <v>2469</v>
      </c>
      <c r="J10" s="86">
        <f>13880837-13873712</f>
        <v>7125</v>
      </c>
      <c r="K10" s="86">
        <f t="shared" si="14"/>
        <v>35935</v>
      </c>
      <c r="L10" s="14">
        <f t="shared" si="8"/>
        <v>7187</v>
      </c>
      <c r="M10" s="83">
        <f>34993.999-34828.951</f>
        <v>165.0480000000025</v>
      </c>
      <c r="N10" s="83">
        <f>5051.228-5049.149</f>
        <v>2.0789999999997235</v>
      </c>
      <c r="O10" s="83">
        <f>10498.546-10498.517</f>
        <v>2.9000000000451109E-2</v>
      </c>
      <c r="P10" s="82">
        <f>14704.2-14629.637</f>
        <v>74.563000000000102</v>
      </c>
      <c r="Q10" s="83">
        <f>29523.793-29494.649</f>
        <v>29.144000000000233</v>
      </c>
      <c r="R10" s="83">
        <f t="shared" si="0"/>
        <v>76.671000000000276</v>
      </c>
      <c r="S10" s="83">
        <f t="shared" si="1"/>
        <v>601.10064000000216</v>
      </c>
      <c r="T10" s="83">
        <f t="shared" si="2"/>
        <v>194.19200000000274</v>
      </c>
      <c r="U10" s="83">
        <f t="shared" si="15"/>
        <v>1522.4652800000215</v>
      </c>
      <c r="V10" s="83">
        <f>423315.3-423192.5</f>
        <v>122.79999999998836</v>
      </c>
      <c r="W10" s="83">
        <f>166392.27-166231.41</f>
        <v>160.85999999998603</v>
      </c>
      <c r="X10" s="86" t="s">
        <v>63</v>
      </c>
      <c r="Y10" s="86">
        <v>1079889</v>
      </c>
      <c r="Z10" s="5">
        <f t="shared" si="9"/>
        <v>628</v>
      </c>
      <c r="AA10" s="14">
        <f t="shared" si="6"/>
        <v>4063.16</v>
      </c>
      <c r="AB10" s="87">
        <v>13308319</v>
      </c>
      <c r="AC10" s="87">
        <f t="shared" si="10"/>
        <v>13282182</v>
      </c>
      <c r="AD10" s="5">
        <f t="shared" si="3"/>
        <v>26137</v>
      </c>
      <c r="AE10" s="83">
        <f t="shared" si="11"/>
        <v>8570.2961629999991</v>
      </c>
      <c r="AF10" s="83">
        <f>100346.3-100303.1</f>
        <v>43.19999999999709</v>
      </c>
      <c r="AG10" s="83">
        <f t="shared" si="16"/>
        <v>0</v>
      </c>
      <c r="AH10" s="83">
        <f>31753.2-31738.3</f>
        <v>14.900000000001455</v>
      </c>
      <c r="AI10" s="87">
        <f t="shared" si="12"/>
        <v>54473.7</v>
      </c>
      <c r="AJ10" s="87">
        <v>54503.1</v>
      </c>
      <c r="AK10" s="48">
        <f t="shared" si="7"/>
        <v>29.400000000001455</v>
      </c>
      <c r="AL10" s="89">
        <f t="shared" si="4"/>
        <v>8359.7470010464131</v>
      </c>
      <c r="AM10" s="83">
        <f t="shared" si="13"/>
        <v>2741.1526818961179</v>
      </c>
      <c r="AN10" s="5">
        <v>92</v>
      </c>
      <c r="AO10" s="78">
        <f t="shared" si="5"/>
        <v>21342.921443000021</v>
      </c>
    </row>
    <row r="11" spans="1:44" x14ac:dyDescent="0.25">
      <c r="A11" s="79">
        <v>44718</v>
      </c>
      <c r="B11" s="86">
        <f>14247084-14241316</f>
        <v>5768</v>
      </c>
      <c r="C11" s="86">
        <f>9130845-9126927</f>
        <v>3918</v>
      </c>
      <c r="D11" s="86">
        <f>1813721-1812781</f>
        <v>940</v>
      </c>
      <c r="E11" s="86">
        <f>13730005-13722287</f>
        <v>7718</v>
      </c>
      <c r="F11" s="86">
        <f>13475358-13469520</f>
        <v>5838</v>
      </c>
      <c r="G11" s="86">
        <f>9290039-9287007</f>
        <v>3032</v>
      </c>
      <c r="H11" s="86">
        <f>10482327-10473095</f>
        <v>9232</v>
      </c>
      <c r="I11" s="86">
        <f>5987174-5984736</f>
        <v>2438</v>
      </c>
      <c r="J11" s="86">
        <f>13887937-13880837</f>
        <v>7100</v>
      </c>
      <c r="K11" s="86">
        <f t="shared" si="14"/>
        <v>36446</v>
      </c>
      <c r="L11" s="14">
        <f t="shared" si="8"/>
        <v>7289.2000000000007</v>
      </c>
      <c r="M11" s="83">
        <f>35170.375-34993.999</f>
        <v>176.37599999999657</v>
      </c>
      <c r="N11" s="83">
        <f>5054.391-5051.228</f>
        <v>3.1629999999995562</v>
      </c>
      <c r="O11" s="83">
        <f>10498.746-10498.546</f>
        <v>0.19999999999890861</v>
      </c>
      <c r="P11" s="82">
        <f>14769.762-14704.2</f>
        <v>65.561999999999898</v>
      </c>
      <c r="Q11" s="83">
        <f>29537.418-29523.793</f>
        <v>13.625</v>
      </c>
      <c r="R11" s="83">
        <f t="shared" si="0"/>
        <v>68.924999999998363</v>
      </c>
      <c r="S11" s="83">
        <f t="shared" si="1"/>
        <v>540.37199999998711</v>
      </c>
      <c r="T11" s="83">
        <f t="shared" si="2"/>
        <v>190.00099999999657</v>
      </c>
      <c r="U11" s="83">
        <f t="shared" si="15"/>
        <v>1489.6078399999731</v>
      </c>
      <c r="V11" s="83">
        <f>423436.9-423315.3</f>
        <v>121.60000000003492</v>
      </c>
      <c r="W11" s="83">
        <f>166552.82-166392.27</f>
        <v>160.55000000001746</v>
      </c>
      <c r="X11" s="86" t="s">
        <v>63</v>
      </c>
      <c r="Y11" s="86">
        <v>1080525</v>
      </c>
      <c r="Z11" s="5">
        <f t="shared" si="9"/>
        <v>636</v>
      </c>
      <c r="AA11" s="14">
        <f t="shared" si="6"/>
        <v>4114.92</v>
      </c>
      <c r="AB11" s="87">
        <v>13335898</v>
      </c>
      <c r="AC11" s="86">
        <f t="shared" si="10"/>
        <v>13308319</v>
      </c>
      <c r="AD11" s="5">
        <f t="shared" si="3"/>
        <v>27579</v>
      </c>
      <c r="AE11" s="83">
        <f t="shared" si="11"/>
        <v>9043.1265210000001</v>
      </c>
      <c r="AF11" s="83">
        <f>100391.8-100346.3</f>
        <v>45.5</v>
      </c>
      <c r="AG11" s="83">
        <f t="shared" si="16"/>
        <v>0</v>
      </c>
      <c r="AH11" s="83">
        <f>31768.8-31753.2</f>
        <v>15.599999999998545</v>
      </c>
      <c r="AI11" s="87">
        <f t="shared" si="12"/>
        <v>54503.1</v>
      </c>
      <c r="AJ11" s="87">
        <v>54533</v>
      </c>
      <c r="AK11" s="48">
        <f t="shared" si="7"/>
        <v>29.900000000001455</v>
      </c>
      <c r="AL11" s="89">
        <f t="shared" si="4"/>
        <v>8501.919569091413</v>
      </c>
      <c r="AM11" s="83">
        <f t="shared" si="13"/>
        <v>2787.770924785505</v>
      </c>
      <c r="AN11" s="5">
        <v>124</v>
      </c>
      <c r="AO11" s="78">
        <f t="shared" si="5"/>
        <v>21936.854360999976</v>
      </c>
    </row>
    <row r="12" spans="1:44" x14ac:dyDescent="0.25">
      <c r="A12" s="79">
        <v>44719</v>
      </c>
      <c r="B12" s="86">
        <f>14253160-14247084</f>
        <v>6076</v>
      </c>
      <c r="C12" s="86">
        <f>9135130-9130845</f>
        <v>4285</v>
      </c>
      <c r="D12" s="86">
        <f>1814600-1813721</f>
        <v>879</v>
      </c>
      <c r="E12" s="86">
        <f>13737780-13730005</f>
        <v>7775</v>
      </c>
      <c r="F12" s="86">
        <f>13481390-13475358</f>
        <v>6032</v>
      </c>
      <c r="G12" s="86">
        <f>9293190-9290039</f>
        <v>3151</v>
      </c>
      <c r="H12" s="86">
        <f>10491600-10482327</f>
        <v>9273</v>
      </c>
      <c r="I12" s="86">
        <f>5989590-5987174</f>
        <v>2416</v>
      </c>
      <c r="J12" s="86">
        <f>13894830-13887937</f>
        <v>6893</v>
      </c>
      <c r="K12" s="86">
        <f t="shared" si="14"/>
        <v>37471</v>
      </c>
      <c r="L12" s="14">
        <f t="shared" si="8"/>
        <v>7494.2000000000007</v>
      </c>
      <c r="M12" s="83">
        <f>35357.605-35170.375</f>
        <v>187.2300000000032</v>
      </c>
      <c r="N12" s="83">
        <f>5057.371-5054.391</f>
        <v>2.9800000000004729</v>
      </c>
      <c r="O12" s="83">
        <f>10498.962-10498.746</f>
        <v>0.21600000000034925</v>
      </c>
      <c r="P12" s="82">
        <f>14839.984-14769.762</f>
        <v>70.221999999999753</v>
      </c>
      <c r="Q12" s="83">
        <f>29556.129-29537.418</f>
        <v>18.710999999999331</v>
      </c>
      <c r="R12" s="83">
        <f t="shared" si="0"/>
        <v>73.418000000000575</v>
      </c>
      <c r="S12" s="83">
        <f t="shared" si="1"/>
        <v>575.59712000000445</v>
      </c>
      <c r="T12" s="83">
        <f t="shared" si="2"/>
        <v>205.94100000000253</v>
      </c>
      <c r="U12" s="83">
        <f t="shared" si="15"/>
        <v>1614.5774400000198</v>
      </c>
      <c r="V12" s="83">
        <f>423566.5-423436.9</f>
        <v>129.59999999997672</v>
      </c>
      <c r="W12" s="83">
        <f>166714.74-166552.82</f>
        <v>161.9199999999837</v>
      </c>
      <c r="X12" s="86" t="s">
        <v>63</v>
      </c>
      <c r="Y12" s="86">
        <v>1081166</v>
      </c>
      <c r="Z12" s="5">
        <f t="shared" si="9"/>
        <v>641</v>
      </c>
      <c r="AA12" s="14">
        <f t="shared" si="6"/>
        <v>4147.2699999999995</v>
      </c>
      <c r="AB12" s="87">
        <v>13364012</v>
      </c>
      <c r="AC12" s="86">
        <f t="shared" si="10"/>
        <v>13335898</v>
      </c>
      <c r="AD12" s="5">
        <f t="shared" si="3"/>
        <v>28114</v>
      </c>
      <c r="AE12" s="83">
        <f t="shared" si="11"/>
        <v>9218.5524860000005</v>
      </c>
      <c r="AF12" s="83">
        <f>100438.3-100391.8</f>
        <v>46.5</v>
      </c>
      <c r="AG12" s="83">
        <f t="shared" si="16"/>
        <v>0</v>
      </c>
      <c r="AH12" s="83">
        <f>31784.6-31768.8</f>
        <v>15.799999999999272</v>
      </c>
      <c r="AI12" s="87">
        <f t="shared" si="12"/>
        <v>54533</v>
      </c>
      <c r="AJ12" s="87">
        <v>54562.6</v>
      </c>
      <c r="AK12" s="48">
        <f t="shared" si="7"/>
        <v>29.599999999998545</v>
      </c>
      <c r="AL12" s="89">
        <f t="shared" si="4"/>
        <v>8416.6160282635865</v>
      </c>
      <c r="AM12" s="83">
        <f t="shared" si="13"/>
        <v>2759.7999790516019</v>
      </c>
      <c r="AN12" s="5">
        <v>137</v>
      </c>
      <c r="AO12" s="78">
        <f t="shared" si="5"/>
        <v>22474.599926000021</v>
      </c>
    </row>
    <row r="13" spans="1:44" x14ac:dyDescent="0.25">
      <c r="A13" s="79">
        <v>44720</v>
      </c>
      <c r="B13" s="86">
        <f>14259540-14253160</f>
        <v>6380</v>
      </c>
      <c r="C13" s="86">
        <f>9139320-9135130</f>
        <v>4190</v>
      </c>
      <c r="D13" s="86">
        <f>1815540-1814600</f>
        <v>940</v>
      </c>
      <c r="E13" s="86">
        <f>13745810-13737780</f>
        <v>8030</v>
      </c>
      <c r="F13" s="86">
        <f>13487580-13481390</f>
        <v>6190</v>
      </c>
      <c r="G13" s="86">
        <f>9296300-9293190</f>
        <v>3110</v>
      </c>
      <c r="H13" s="86">
        <f>10500820-10491600</f>
        <v>9220</v>
      </c>
      <c r="I13" s="86">
        <f>5991940-5989590</f>
        <v>2350</v>
      </c>
      <c r="J13" s="86">
        <f>13901990-13894830</f>
        <v>7160</v>
      </c>
      <c r="K13" s="86">
        <f t="shared" si="14"/>
        <v>38060</v>
      </c>
      <c r="L13" s="14">
        <f t="shared" si="8"/>
        <v>7612</v>
      </c>
      <c r="M13" s="83">
        <f>35565.555-35357.605</f>
        <v>207.94999999999709</v>
      </c>
      <c r="N13" s="83">
        <f>5059.992-5057.371</f>
        <v>2.6210000000000946</v>
      </c>
      <c r="O13" s="83">
        <f>10499.088-10498.962</f>
        <v>0.12600000000020373</v>
      </c>
      <c r="P13" s="82">
        <f>14912.555-14839.984</f>
        <v>72.570999999999913</v>
      </c>
      <c r="Q13" s="83">
        <f>29576.971-29556.129</f>
        <v>20.842000000000553</v>
      </c>
      <c r="R13" s="83">
        <f t="shared" si="0"/>
        <v>75.318000000000211</v>
      </c>
      <c r="S13" s="83">
        <f t="shared" si="1"/>
        <v>590.49312000000168</v>
      </c>
      <c r="T13" s="83">
        <f t="shared" si="2"/>
        <v>228.79199999999764</v>
      </c>
      <c r="U13" s="83">
        <f t="shared" si="15"/>
        <v>1793.7292799999814</v>
      </c>
      <c r="V13" s="83">
        <f>423718.6-423566.5</f>
        <v>152.09999999997672</v>
      </c>
      <c r="W13" s="83">
        <f>166877.35-166714.74</f>
        <v>162.61000000001513</v>
      </c>
      <c r="X13" s="86" t="s">
        <v>63</v>
      </c>
      <c r="Y13" s="86">
        <v>1081861</v>
      </c>
      <c r="Z13" s="5">
        <f t="shared" si="9"/>
        <v>695</v>
      </c>
      <c r="AA13" s="14">
        <f t="shared" si="6"/>
        <v>4496.6499999999996</v>
      </c>
      <c r="AB13" s="87">
        <v>13392523</v>
      </c>
      <c r="AC13" s="86">
        <f t="shared" si="10"/>
        <v>13364012</v>
      </c>
      <c r="AD13" s="5">
        <f t="shared" si="3"/>
        <v>28511</v>
      </c>
      <c r="AE13" s="83">
        <f t="shared" si="11"/>
        <v>9348.7283889999999</v>
      </c>
      <c r="AF13" s="83">
        <f>100485.7-100438.3</f>
        <v>47.399999999994179</v>
      </c>
      <c r="AG13" s="83">
        <f t="shared" si="16"/>
        <v>0</v>
      </c>
      <c r="AH13" s="83">
        <f>31800.3-31784.6</f>
        <v>15.700000000000728</v>
      </c>
      <c r="AI13" s="87">
        <f t="shared" si="12"/>
        <v>54562.6</v>
      </c>
      <c r="AJ13" s="87">
        <v>54592.9</v>
      </c>
      <c r="AK13" s="48">
        <f t="shared" si="7"/>
        <v>30.30000000000291</v>
      </c>
      <c r="AL13" s="89">
        <f t="shared" si="4"/>
        <v>8615.6576235278262</v>
      </c>
      <c r="AM13" s="83">
        <f t="shared" si="13"/>
        <v>2825.0655190971506</v>
      </c>
      <c r="AN13" s="5">
        <v>131</v>
      </c>
      <c r="AO13" s="78">
        <f t="shared" si="5"/>
        <v>23251.107668999983</v>
      </c>
    </row>
    <row r="14" spans="1:44" x14ac:dyDescent="0.25">
      <c r="A14" s="79">
        <v>44721</v>
      </c>
      <c r="B14" s="86">
        <f>14266150-14259540</f>
        <v>6610</v>
      </c>
      <c r="C14" s="86">
        <f>9143340-9139320</f>
        <v>4020</v>
      </c>
      <c r="D14" s="86">
        <f>1816440-1815540</f>
        <v>900</v>
      </c>
      <c r="E14" s="86">
        <f>13753660-13745810</f>
        <v>7850</v>
      </c>
      <c r="F14" s="86">
        <f>13493860-13487580</f>
        <v>6280</v>
      </c>
      <c r="G14" s="86">
        <f>9299430-9296300</f>
        <v>3130</v>
      </c>
      <c r="H14" s="86">
        <f>10510020-10500820</f>
        <v>9200</v>
      </c>
      <c r="I14" s="86">
        <f>5994320-5991940</f>
        <v>2380</v>
      </c>
      <c r="J14" s="86">
        <f>13909220-13901990</f>
        <v>7230</v>
      </c>
      <c r="K14" s="86">
        <f t="shared" si="14"/>
        <v>37990</v>
      </c>
      <c r="L14" s="14">
        <f t="shared" si="8"/>
        <v>7598</v>
      </c>
      <c r="M14" s="83">
        <f>35786.575-35565.555</f>
        <v>221.0199999999968</v>
      </c>
      <c r="N14" s="83">
        <f>5063.888-5059.992</f>
        <v>3.8959999999997308</v>
      </c>
      <c r="O14" s="83">
        <f>10499.367-10499.088</f>
        <v>0.27900000000045111</v>
      </c>
      <c r="P14" s="82">
        <f>14992.84-14912.555</f>
        <v>80.284999999999854</v>
      </c>
      <c r="Q14" s="83">
        <f>29597.297-29576.971</f>
        <v>20.325999999997293</v>
      </c>
      <c r="R14" s="83">
        <f>N14+O14+P14</f>
        <v>84.460000000000036</v>
      </c>
      <c r="S14" s="83">
        <f t="shared" si="1"/>
        <v>662.16640000000029</v>
      </c>
      <c r="T14" s="83">
        <f t="shared" si="2"/>
        <v>241.34599999999409</v>
      </c>
      <c r="U14" s="83">
        <f t="shared" si="15"/>
        <v>1892.1526399999536</v>
      </c>
      <c r="V14" s="83">
        <f>423877-423718.6</f>
        <v>158.40000000002328</v>
      </c>
      <c r="W14" s="83">
        <f>167042.23-166877.35</f>
        <v>164.88000000000466</v>
      </c>
      <c r="X14" s="86" t="s">
        <v>63</v>
      </c>
      <c r="Y14" s="87">
        <v>1082542</v>
      </c>
      <c r="Z14" s="5">
        <f>IF((Y14-Y13&lt;0), "0",Y14-Y13)</f>
        <v>681</v>
      </c>
      <c r="AA14" s="14">
        <f t="shared" si="6"/>
        <v>4406.07</v>
      </c>
      <c r="AB14" s="87">
        <v>13420297</v>
      </c>
      <c r="AC14" s="86">
        <f t="shared" si="10"/>
        <v>13392523</v>
      </c>
      <c r="AD14" s="5">
        <f t="shared" si="3"/>
        <v>27774</v>
      </c>
      <c r="AE14" s="83">
        <f t="shared" si="11"/>
        <v>9107.0668260000002</v>
      </c>
      <c r="AF14" s="83">
        <f>100531.4-100485.7</f>
        <v>45.69999999999709</v>
      </c>
      <c r="AG14" s="83">
        <f t="shared" ref="AG14:AG20" si="17">50692.5-50692.5</f>
        <v>0</v>
      </c>
      <c r="AH14" s="83">
        <f>31816.4-31800.3</f>
        <v>16.100000000002183</v>
      </c>
      <c r="AI14" s="87">
        <f t="shared" si="12"/>
        <v>54592.9</v>
      </c>
      <c r="AJ14" s="87">
        <v>54622.5</v>
      </c>
      <c r="AK14" s="48">
        <f t="shared" si="7"/>
        <v>29.599999999998545</v>
      </c>
      <c r="AL14" s="89">
        <f t="shared" si="4"/>
        <v>8416.6160282635865</v>
      </c>
      <c r="AM14" s="83">
        <f t="shared" si="13"/>
        <v>2759.7999790516019</v>
      </c>
      <c r="AN14" s="5">
        <v>104</v>
      </c>
      <c r="AO14" s="78">
        <f t="shared" si="5"/>
        <v>23003.289465999951</v>
      </c>
    </row>
    <row r="15" spans="1:44" x14ac:dyDescent="0.25">
      <c r="A15" s="79">
        <v>44722</v>
      </c>
      <c r="B15" s="86">
        <f>14272668-14266150</f>
        <v>6518</v>
      </c>
      <c r="C15" s="86">
        <f>9147133-9143340</f>
        <v>3793</v>
      </c>
      <c r="D15" s="86">
        <f>1817366-1816440</f>
        <v>926</v>
      </c>
      <c r="E15" s="86">
        <f>13760912-13753660</f>
        <v>7252</v>
      </c>
      <c r="F15" s="86">
        <f>13500234-13493860</f>
        <v>6374</v>
      </c>
      <c r="G15" s="86">
        <f>9302519-9299430</f>
        <v>3089</v>
      </c>
      <c r="H15" s="86">
        <f>10518943-10510020</f>
        <v>8923</v>
      </c>
      <c r="I15" s="86">
        <f>5996662-5994320</f>
        <v>2342</v>
      </c>
      <c r="J15" s="86">
        <f>13916466-13909220</f>
        <v>7246</v>
      </c>
      <c r="K15" s="86">
        <f t="shared" si="14"/>
        <v>36875</v>
      </c>
      <c r="L15" s="14">
        <f t="shared" si="8"/>
        <v>7375</v>
      </c>
      <c r="M15" s="83">
        <f>35948.4-35786.575</f>
        <v>161.82500000000437</v>
      </c>
      <c r="N15" s="83">
        <f>5066.876-5063.888</f>
        <v>2.9880000000002838</v>
      </c>
      <c r="O15" s="83">
        <f>10499.572-10499.367</f>
        <v>0.20499999999992724</v>
      </c>
      <c r="P15" s="82">
        <f>15063.9-14992.84</f>
        <v>71.059999999999491</v>
      </c>
      <c r="Q15" s="83">
        <f>29637.133-29597.297</f>
        <v>39.836000000002969</v>
      </c>
      <c r="R15" s="83">
        <f t="shared" si="0"/>
        <v>74.252999999999702</v>
      </c>
      <c r="S15" s="83">
        <f t="shared" si="1"/>
        <v>582.14351999999769</v>
      </c>
      <c r="T15" s="83">
        <f t="shared" si="2"/>
        <v>201.66100000000733</v>
      </c>
      <c r="U15" s="83">
        <f t="shared" si="15"/>
        <v>1581.0222400000575</v>
      </c>
      <c r="V15" s="83">
        <f>424076-423877</f>
        <v>199</v>
      </c>
      <c r="W15" s="83">
        <f>167196.75-167042.23</f>
        <v>154.51999999998952</v>
      </c>
      <c r="X15" s="86" t="s">
        <v>63</v>
      </c>
      <c r="Y15" s="87">
        <v>1083274</v>
      </c>
      <c r="Z15" s="5">
        <f t="shared" si="9"/>
        <v>732</v>
      </c>
      <c r="AA15" s="14">
        <f t="shared" si="6"/>
        <v>4736.04</v>
      </c>
      <c r="AB15" s="87">
        <v>13452400</v>
      </c>
      <c r="AC15" s="86">
        <f t="shared" si="10"/>
        <v>13420297</v>
      </c>
      <c r="AD15" s="5">
        <f t="shared" si="3"/>
        <v>32103</v>
      </c>
      <c r="AE15" s="83">
        <f t="shared" si="11"/>
        <v>10526.541596999999</v>
      </c>
      <c r="AF15" s="83">
        <f>100586.7-100531.4</f>
        <v>55.30000000000291</v>
      </c>
      <c r="AG15" s="83">
        <f t="shared" si="17"/>
        <v>0</v>
      </c>
      <c r="AH15" s="83">
        <f>31833.7-31816.4</f>
        <v>17.299999999999272</v>
      </c>
      <c r="AI15" s="87">
        <f t="shared" si="12"/>
        <v>54622.5</v>
      </c>
      <c r="AJ15" s="87">
        <v>54654</v>
      </c>
      <c r="AK15" s="48">
        <f t="shared" si="7"/>
        <v>31.5</v>
      </c>
      <c r="AL15" s="89">
        <f t="shared" si="4"/>
        <v>8956.8717868349995</v>
      </c>
      <c r="AM15" s="83">
        <f t="shared" si="13"/>
        <v>2936.9493020314094</v>
      </c>
      <c r="AN15" s="5">
        <v>69</v>
      </c>
      <c r="AO15" s="88">
        <f t="shared" si="5"/>
        <v>24218.603837000057</v>
      </c>
    </row>
    <row r="16" spans="1:44" x14ac:dyDescent="0.25">
      <c r="A16" s="79">
        <v>44723</v>
      </c>
      <c r="B16" s="86">
        <f>14279482-14272668</f>
        <v>6814</v>
      </c>
      <c r="C16" s="86">
        <f>9151269-9147133</f>
        <v>4136</v>
      </c>
      <c r="D16" s="86">
        <f>1818338-1817366</f>
        <v>972</v>
      </c>
      <c r="E16" s="86">
        <f>13768413-13760912</f>
        <v>7501</v>
      </c>
      <c r="F16" s="86">
        <f>13506797-13500234</f>
        <v>6563</v>
      </c>
      <c r="G16" s="86">
        <f>9305579-9302519</f>
        <v>3060</v>
      </c>
      <c r="H16" s="86">
        <f>10527997-10518943</f>
        <v>9054</v>
      </c>
      <c r="I16" s="86">
        <f>5999009-5996662</f>
        <v>2347</v>
      </c>
      <c r="J16" s="86">
        <f>13923703-13916466</f>
        <v>7237</v>
      </c>
      <c r="K16" s="86">
        <f t="shared" si="14"/>
        <v>38100</v>
      </c>
      <c r="L16" s="14">
        <f t="shared" si="8"/>
        <v>7620</v>
      </c>
      <c r="M16" s="83">
        <f>36176.817-35948.4</f>
        <v>228.41700000000128</v>
      </c>
      <c r="N16" s="83">
        <f>5069.898-5066.876</f>
        <v>3.0219999999999345</v>
      </c>
      <c r="O16" s="83">
        <f>10499.711-10499.572</f>
        <v>0.1389999999992142</v>
      </c>
      <c r="P16" s="82">
        <f>15145.253-15063.9</f>
        <v>81.353000000000975</v>
      </c>
      <c r="Q16" s="83">
        <f>29662.967-29637.133</f>
        <v>25.833999999998923</v>
      </c>
      <c r="R16" s="83">
        <f t="shared" si="0"/>
        <v>84.514000000000124</v>
      </c>
      <c r="S16" s="83">
        <f t="shared" si="1"/>
        <v>662.58976000000098</v>
      </c>
      <c r="T16" s="83">
        <f t="shared" si="2"/>
        <v>254.2510000000002</v>
      </c>
      <c r="U16" s="83">
        <f t="shared" si="15"/>
        <v>1993.3278400000015</v>
      </c>
      <c r="V16" s="83">
        <f>424262-424076</f>
        <v>186</v>
      </c>
      <c r="W16" s="83">
        <f>167356.01-167196.75</f>
        <v>159.26000000000931</v>
      </c>
      <c r="X16" s="86" t="s">
        <v>63</v>
      </c>
      <c r="Y16" s="87">
        <v>1084006</v>
      </c>
      <c r="Z16" s="5">
        <f t="shared" si="9"/>
        <v>732</v>
      </c>
      <c r="AA16" s="14">
        <f t="shared" si="6"/>
        <v>4736.04</v>
      </c>
      <c r="AB16" s="87">
        <v>13482840</v>
      </c>
      <c r="AC16" s="86">
        <f t="shared" si="10"/>
        <v>13452400</v>
      </c>
      <c r="AD16" s="5">
        <f t="shared" si="3"/>
        <v>30440</v>
      </c>
      <c r="AE16" s="83">
        <f t="shared" si="11"/>
        <v>9981.2455599999994</v>
      </c>
      <c r="AF16" s="83">
        <f>100639.9-100586.7</f>
        <v>53.19999999999709</v>
      </c>
      <c r="AG16" s="83">
        <f t="shared" si="17"/>
        <v>0</v>
      </c>
      <c r="AH16" s="83">
        <f>31850.2-31833.7</f>
        <v>16.5</v>
      </c>
      <c r="AI16" s="87">
        <f t="shared" si="12"/>
        <v>54654</v>
      </c>
      <c r="AJ16" s="87">
        <v>54683.199999999997</v>
      </c>
      <c r="AK16" s="48">
        <f t="shared" si="7"/>
        <v>29.19999999999709</v>
      </c>
      <c r="AL16" s="89">
        <f t="shared" si="4"/>
        <v>8302.8779738271714</v>
      </c>
      <c r="AM16" s="83">
        <f t="shared" si="13"/>
        <v>2722.5053847399558</v>
      </c>
      <c r="AN16" s="5">
        <v>61</v>
      </c>
      <c r="AO16" s="78">
        <f t="shared" si="5"/>
        <v>24330.613400000002</v>
      </c>
    </row>
    <row r="17" spans="1:41" x14ac:dyDescent="0.25">
      <c r="A17" s="79">
        <v>44724</v>
      </c>
      <c r="B17" s="86">
        <f>14286069-14279482</f>
        <v>6587</v>
      </c>
      <c r="C17" s="86">
        <f>9155268-9151269</f>
        <v>3999</v>
      </c>
      <c r="D17" s="86">
        <f>1819256-1818338</f>
        <v>918</v>
      </c>
      <c r="E17" s="86">
        <f>13776071-13768413</f>
        <v>7658</v>
      </c>
      <c r="F17" s="86">
        <f>13513067-13506797</f>
        <v>6270</v>
      </c>
      <c r="G17" s="86">
        <f>9308549-9305579</f>
        <v>2970</v>
      </c>
      <c r="H17" s="86">
        <f>10536946-10527997</f>
        <v>8949</v>
      </c>
      <c r="I17" s="86">
        <f>6001361-5999009</f>
        <v>2352</v>
      </c>
      <c r="J17" s="86">
        <f>13930616-13923703</f>
        <v>6913</v>
      </c>
      <c r="K17" s="86">
        <f t="shared" si="14"/>
        <v>37351</v>
      </c>
      <c r="L17" s="14">
        <f t="shared" si="8"/>
        <v>7470.2000000000007</v>
      </c>
      <c r="M17" s="83">
        <f>36327.8-36176.817</f>
        <v>150.98300000000017</v>
      </c>
      <c r="N17" s="83">
        <f>5071.911-5069.898</f>
        <v>2.01299999999992</v>
      </c>
      <c r="O17" s="83">
        <f>10499.754-10499.711</f>
        <v>4.3000000001484295E-2</v>
      </c>
      <c r="P17" s="82">
        <f>15222.177-15145.253</f>
        <v>76.923999999999069</v>
      </c>
      <c r="Q17" s="83">
        <f>29691.692-29662.967</f>
        <v>28.724999999998545</v>
      </c>
      <c r="R17" s="83">
        <f t="shared" si="0"/>
        <v>78.980000000000473</v>
      </c>
      <c r="S17" s="83">
        <f t="shared" si="1"/>
        <v>619.20320000000368</v>
      </c>
      <c r="T17" s="83">
        <f t="shared" si="2"/>
        <v>179.70799999999872</v>
      </c>
      <c r="U17" s="83">
        <f t="shared" si="15"/>
        <v>1408.9107199999899</v>
      </c>
      <c r="V17" s="83">
        <f>424405-424262</f>
        <v>143</v>
      </c>
      <c r="W17" s="83">
        <f>167515-167356.01</f>
        <v>158.98999999999069</v>
      </c>
      <c r="X17" s="86" t="s">
        <v>63</v>
      </c>
      <c r="Y17" s="87">
        <v>1084652</v>
      </c>
      <c r="Z17" s="5">
        <f t="shared" si="9"/>
        <v>646</v>
      </c>
      <c r="AA17" s="14">
        <f t="shared" si="6"/>
        <v>4179.62</v>
      </c>
      <c r="AB17" s="87">
        <v>13513809</v>
      </c>
      <c r="AC17" s="86">
        <f t="shared" si="10"/>
        <v>13482840</v>
      </c>
      <c r="AD17" s="5">
        <f t="shared" si="3"/>
        <v>30969</v>
      </c>
      <c r="AE17" s="83">
        <f t="shared" si="11"/>
        <v>10154.704131</v>
      </c>
      <c r="AF17" s="83">
        <f>100694-100639.9</f>
        <v>54.100000000005821</v>
      </c>
      <c r="AG17" s="83">
        <f t="shared" si="17"/>
        <v>0</v>
      </c>
      <c r="AH17" s="83">
        <f>31865-31850.2</f>
        <v>14.799999999999272</v>
      </c>
      <c r="AI17" s="87">
        <f t="shared" si="12"/>
        <v>54683.199999999997</v>
      </c>
      <c r="AJ17" s="87">
        <v>54712</v>
      </c>
      <c r="AK17" s="48">
        <f t="shared" si="7"/>
        <v>28.80000000000291</v>
      </c>
      <c r="AL17" s="89">
        <f t="shared" si="4"/>
        <v>8189.1399193928273</v>
      </c>
      <c r="AM17" s="83">
        <f t="shared" si="13"/>
        <v>2685.2107904289887</v>
      </c>
      <c r="AN17" s="5">
        <v>51</v>
      </c>
      <c r="AO17" s="78">
        <f t="shared" si="5"/>
        <v>23213.434850999991</v>
      </c>
    </row>
    <row r="18" spans="1:41" x14ac:dyDescent="0.25">
      <c r="A18" s="79">
        <v>44725</v>
      </c>
      <c r="B18" s="86">
        <f>14292408-14286069</f>
        <v>6339</v>
      </c>
      <c r="C18" s="86">
        <f>9159396-9155268</f>
        <v>4128</v>
      </c>
      <c r="D18" s="86">
        <f>1820244-1819256</f>
        <v>988</v>
      </c>
      <c r="E18" s="86">
        <f>13783512-13776071</f>
        <v>7441</v>
      </c>
      <c r="F18" s="86">
        <f>13519344-13513067</f>
        <v>6277</v>
      </c>
      <c r="G18" s="86">
        <f>9311486-9308549</f>
        <v>2937</v>
      </c>
      <c r="H18" s="86">
        <f>10546024-10536946</f>
        <v>9078</v>
      </c>
      <c r="I18" s="86">
        <f>6003784-6001361</f>
        <v>2423</v>
      </c>
      <c r="J18" s="86">
        <f>13937542-13930616</f>
        <v>6926</v>
      </c>
      <c r="K18" s="86">
        <f t="shared" si="14"/>
        <v>37188</v>
      </c>
      <c r="L18" s="14">
        <f t="shared" si="8"/>
        <v>7437.6</v>
      </c>
      <c r="M18" s="83">
        <f>36508.777-36327.8</f>
        <v>180.97699999999895</v>
      </c>
      <c r="N18" s="83">
        <f>5074.675-5071.911</f>
        <v>2.7640000000001237</v>
      </c>
      <c r="O18" s="83">
        <f>10499.844-10499.754</f>
        <v>8.999999999832653E-2</v>
      </c>
      <c r="P18" s="82">
        <f>15290.318-15222.177</f>
        <v>68.140999999999622</v>
      </c>
      <c r="Q18" s="83">
        <f>29708.406-29691.692</f>
        <v>16.713999999999942</v>
      </c>
      <c r="R18" s="83">
        <f t="shared" si="0"/>
        <v>70.994999999998072</v>
      </c>
      <c r="S18" s="83">
        <f t="shared" si="1"/>
        <v>556.60079999998493</v>
      </c>
      <c r="T18" s="83">
        <f t="shared" si="2"/>
        <v>197.69099999999889</v>
      </c>
      <c r="U18" s="83">
        <f t="shared" si="15"/>
        <v>1549.8974399999913</v>
      </c>
      <c r="V18" s="83">
        <f>424559.6-424405</f>
        <v>154.59999999997672</v>
      </c>
      <c r="W18" s="83">
        <f>167682.1-167515</f>
        <v>167.10000000000582</v>
      </c>
      <c r="X18" s="86" t="s">
        <v>63</v>
      </c>
      <c r="Y18" s="87">
        <v>1085303</v>
      </c>
      <c r="Z18" s="5">
        <f t="shared" si="9"/>
        <v>651</v>
      </c>
      <c r="AA18" s="14">
        <f t="shared" si="6"/>
        <v>4211.97</v>
      </c>
      <c r="AB18" s="87">
        <v>13548454</v>
      </c>
      <c r="AC18" s="86">
        <f t="shared" si="10"/>
        <v>13513809</v>
      </c>
      <c r="AD18" s="5">
        <f t="shared" si="3"/>
        <v>34645</v>
      </c>
      <c r="AE18" s="83">
        <f t="shared" si="11"/>
        <v>11360.060855</v>
      </c>
      <c r="AF18" s="82">
        <f>100755-100694</f>
        <v>61</v>
      </c>
      <c r="AG18" s="83">
        <f t="shared" si="17"/>
        <v>0</v>
      </c>
      <c r="AH18" s="82">
        <f>31882-31865</f>
        <v>17</v>
      </c>
      <c r="AI18" s="87">
        <f t="shared" si="12"/>
        <v>54712</v>
      </c>
      <c r="AJ18" s="87">
        <v>54744</v>
      </c>
      <c r="AK18" s="48">
        <f t="shared" si="7"/>
        <v>32</v>
      </c>
      <c r="AL18" s="89">
        <f t="shared" si="4"/>
        <v>9099.0443548799994</v>
      </c>
      <c r="AM18" s="83">
        <f t="shared" si="13"/>
        <v>2983.567544920797</v>
      </c>
      <c r="AN18" s="5">
        <v>86</v>
      </c>
      <c r="AO18" s="78">
        <f t="shared" si="5"/>
        <v>24559.528294999993</v>
      </c>
    </row>
    <row r="19" spans="1:41" x14ac:dyDescent="0.25">
      <c r="A19" s="79">
        <v>44726</v>
      </c>
      <c r="B19" s="86">
        <f>14298741-14292408</f>
        <v>6333</v>
      </c>
      <c r="C19" s="86">
        <f>9163569-9159396</f>
        <v>4173</v>
      </c>
      <c r="D19" s="86">
        <f>1821173-1820244</f>
        <v>929</v>
      </c>
      <c r="E19" s="86">
        <f>13791375-13783512</f>
        <v>7863</v>
      </c>
      <c r="F19" s="86">
        <f>13525828-13519344</f>
        <v>6484</v>
      </c>
      <c r="G19" s="86">
        <f>9314500-9311486</f>
        <v>3014</v>
      </c>
      <c r="H19" s="86">
        <f>10554995-10546024</f>
        <v>8971</v>
      </c>
      <c r="I19" s="86">
        <f>6006208-6003784</f>
        <v>2424</v>
      </c>
      <c r="J19" s="86">
        <f>13944715-13937542</f>
        <v>7173</v>
      </c>
      <c r="K19" s="86">
        <f t="shared" si="14"/>
        <v>37767</v>
      </c>
      <c r="L19" s="14">
        <f t="shared" si="8"/>
        <v>7553.4000000000005</v>
      </c>
      <c r="M19" s="83">
        <f>36692.837-36508.777</f>
        <v>184.05999999999767</v>
      </c>
      <c r="N19" s="83">
        <f>5077.599-5074.675</f>
        <v>2.9239999999999782</v>
      </c>
      <c r="O19" s="83">
        <f>10499.959-10499.844</f>
        <v>0.11500000000160071</v>
      </c>
      <c r="P19" s="82">
        <f>15359.564-15290.318</f>
        <v>69.246000000001004</v>
      </c>
      <c r="Q19" s="83">
        <f>29733.286-29708.406</f>
        <v>24.880000000001019</v>
      </c>
      <c r="R19" s="83">
        <f t="shared" si="0"/>
        <v>72.285000000002583</v>
      </c>
      <c r="S19" s="83">
        <f t="shared" si="1"/>
        <v>566.71440000002019</v>
      </c>
      <c r="T19" s="83">
        <f t="shared" si="2"/>
        <v>208.93999999999869</v>
      </c>
      <c r="U19" s="83">
        <f t="shared" si="15"/>
        <v>1638.0895999999898</v>
      </c>
      <c r="V19" s="83">
        <f>424713.6-424559.6</f>
        <v>154</v>
      </c>
      <c r="W19" s="83">
        <f>167828.2-167682.1</f>
        <v>146.10000000000582</v>
      </c>
      <c r="X19" s="86" t="s">
        <v>63</v>
      </c>
      <c r="Y19" s="87">
        <v>1085984</v>
      </c>
      <c r="Z19" s="5">
        <f t="shared" si="9"/>
        <v>681</v>
      </c>
      <c r="AA19" s="14">
        <f t="shared" si="6"/>
        <v>4406.07</v>
      </c>
      <c r="AB19" s="87">
        <v>13583170</v>
      </c>
      <c r="AC19" s="86">
        <f t="shared" si="10"/>
        <v>13548454</v>
      </c>
      <c r="AD19" s="5">
        <f t="shared" si="3"/>
        <v>34716</v>
      </c>
      <c r="AE19" s="83">
        <f t="shared" si="11"/>
        <v>11383.341683999999</v>
      </c>
      <c r="AF19" s="83">
        <f>100816.1-100755</f>
        <v>61.100000000005821</v>
      </c>
      <c r="AG19" s="83">
        <f t="shared" si="17"/>
        <v>0</v>
      </c>
      <c r="AH19" s="83">
        <f>31898.9-31882</f>
        <v>16.900000000001455</v>
      </c>
      <c r="AI19" s="87">
        <f t="shared" si="12"/>
        <v>54744</v>
      </c>
      <c r="AJ19" s="87">
        <v>54777.599999999999</v>
      </c>
      <c r="AK19" s="48">
        <f t="shared" si="7"/>
        <v>33.599999999998545</v>
      </c>
      <c r="AL19" s="89">
        <f t="shared" si="4"/>
        <v>9553.996572623586</v>
      </c>
      <c r="AM19" s="83">
        <f t="shared" si="13"/>
        <v>3132.7459221667013</v>
      </c>
      <c r="AN19" s="5">
        <v>88</v>
      </c>
      <c r="AO19" s="78">
        <f t="shared" si="5"/>
        <v>24980.901283999989</v>
      </c>
    </row>
    <row r="20" spans="1:41" x14ac:dyDescent="0.25">
      <c r="A20" s="79">
        <v>44727</v>
      </c>
      <c r="B20" s="86">
        <f>14304917-14298741</f>
        <v>6176</v>
      </c>
      <c r="C20" s="86">
        <f>9167683-9163569</f>
        <v>4114</v>
      </c>
      <c r="D20" s="86">
        <f>1822103-1821173</f>
        <v>930</v>
      </c>
      <c r="E20" s="86">
        <f>13799086-13791375</f>
        <v>7711</v>
      </c>
      <c r="F20" s="86">
        <f>13532141-13525828</f>
        <v>6313</v>
      </c>
      <c r="G20" s="86">
        <f>9317610-9314500</f>
        <v>3110</v>
      </c>
      <c r="H20" s="86">
        <f>10563291-10554995</f>
        <v>8296</v>
      </c>
      <c r="I20" s="86">
        <f>6008559-6006208</f>
        <v>2351</v>
      </c>
      <c r="J20" s="86">
        <f>13951753-13944715</f>
        <v>7038</v>
      </c>
      <c r="K20" s="86">
        <f t="shared" si="14"/>
        <v>36650</v>
      </c>
      <c r="L20" s="14">
        <f t="shared" si="8"/>
        <v>7330</v>
      </c>
      <c r="M20" s="83">
        <f>36879.353-36692.837</f>
        <v>186.51600000000326</v>
      </c>
      <c r="N20" s="83">
        <f>5080.823-5077.599</f>
        <v>3.2240000000001601</v>
      </c>
      <c r="O20" s="83">
        <f>10500.204-10499.959</f>
        <v>0.24499999999898137</v>
      </c>
      <c r="P20" s="82">
        <f>15434.388-15359.564</f>
        <v>74.824000000000524</v>
      </c>
      <c r="Q20" s="83">
        <f>29749.196-29733.286</f>
        <v>15.909999999999854</v>
      </c>
      <c r="R20" s="83">
        <f t="shared" si="0"/>
        <v>78.292999999999665</v>
      </c>
      <c r="S20" s="83">
        <f t="shared" si="1"/>
        <v>613.81711999999732</v>
      </c>
      <c r="T20" s="83">
        <f t="shared" si="2"/>
        <v>202.42600000000311</v>
      </c>
      <c r="U20" s="83">
        <f t="shared" si="15"/>
        <v>1587.0198400000245</v>
      </c>
      <c r="V20" s="83">
        <f>424861.5-424713.6</f>
        <v>147.90000000002328</v>
      </c>
      <c r="W20" s="83">
        <f>167997.45-167828.2</f>
        <v>169.25</v>
      </c>
      <c r="X20" s="86" t="s">
        <v>63</v>
      </c>
      <c r="Y20" s="87">
        <v>1086666</v>
      </c>
      <c r="Z20" s="5">
        <f t="shared" si="9"/>
        <v>682</v>
      </c>
      <c r="AA20" s="14">
        <f t="shared" si="6"/>
        <v>4412.54</v>
      </c>
      <c r="AB20" s="87">
        <v>13615555</v>
      </c>
      <c r="AC20" s="86">
        <f t="shared" si="10"/>
        <v>13583170</v>
      </c>
      <c r="AD20" s="5">
        <f t="shared" si="3"/>
        <v>32385</v>
      </c>
      <c r="AE20" s="83">
        <f t="shared" si="11"/>
        <v>10619.009115000001</v>
      </c>
      <c r="AF20" s="83">
        <f>100871-100816.1</f>
        <v>54.899999999994179</v>
      </c>
      <c r="AG20" s="83">
        <f t="shared" si="17"/>
        <v>0</v>
      </c>
      <c r="AH20" s="83">
        <f>31915-31898.9</f>
        <v>16.099999999998545</v>
      </c>
      <c r="AI20" s="87">
        <f t="shared" si="12"/>
        <v>54777.599999999999</v>
      </c>
      <c r="AJ20" s="87">
        <v>54808.800000000003</v>
      </c>
      <c r="AK20" s="48">
        <f t="shared" si="7"/>
        <v>31.200000000004366</v>
      </c>
      <c r="AL20" s="89">
        <f t="shared" si="4"/>
        <v>8871.5682460092412</v>
      </c>
      <c r="AM20" s="83">
        <f t="shared" si="13"/>
        <v>2908.9783562981843</v>
      </c>
      <c r="AN20" s="5">
        <v>108</v>
      </c>
      <c r="AO20" s="78">
        <f t="shared" si="5"/>
        <v>23948.568955000024</v>
      </c>
    </row>
    <row r="21" spans="1:41" x14ac:dyDescent="0.25">
      <c r="A21" s="79">
        <v>44728</v>
      </c>
      <c r="B21" s="86">
        <f>14311166-14304917</f>
        <v>6249</v>
      </c>
      <c r="C21" s="86">
        <f>9171889-9167683</f>
        <v>4206</v>
      </c>
      <c r="D21" s="86">
        <f>1823025-1822103</f>
        <v>922</v>
      </c>
      <c r="E21" s="86">
        <f>13806710-13799086</f>
        <v>7624</v>
      </c>
      <c r="F21" s="86">
        <f>13538252-13532141</f>
        <v>6111</v>
      </c>
      <c r="G21" s="86">
        <f>9320813-9317610</f>
        <v>3203</v>
      </c>
      <c r="H21" s="86">
        <f>10571583-10563291</f>
        <v>8292</v>
      </c>
      <c r="I21" s="86">
        <f>6010863-6008559</f>
        <v>2304</v>
      </c>
      <c r="J21" s="86">
        <f>13958803-13951753</f>
        <v>7050</v>
      </c>
      <c r="K21" s="86">
        <f t="shared" si="14"/>
        <v>36607</v>
      </c>
      <c r="L21" s="14">
        <f t="shared" si="8"/>
        <v>7321.4000000000005</v>
      </c>
      <c r="M21" s="83">
        <f>37057.1-36879.353</f>
        <v>177.74699999999575</v>
      </c>
      <c r="N21" s="83">
        <f>5083.544-5080.823</f>
        <v>2.7209999999995489</v>
      </c>
      <c r="O21" s="83">
        <f>10500.353-10500.204</f>
        <v>0.14899999999943248</v>
      </c>
      <c r="P21" s="82">
        <f>15510.337-15434.388</f>
        <v>75.948999999998705</v>
      </c>
      <c r="Q21" s="83">
        <f>29773.258-29749.196</f>
        <v>24.062000000001717</v>
      </c>
      <c r="R21" s="83">
        <f t="shared" si="0"/>
        <v>78.818999999997686</v>
      </c>
      <c r="S21" s="83">
        <f t="shared" si="1"/>
        <v>617.94095999998183</v>
      </c>
      <c r="T21" s="83">
        <f t="shared" si="2"/>
        <v>201.80899999999747</v>
      </c>
      <c r="U21" s="83">
        <f t="shared" si="15"/>
        <v>1582.1825599999802</v>
      </c>
      <c r="V21" s="83">
        <f>425034-424861.5</f>
        <v>172.5</v>
      </c>
      <c r="W21" s="83">
        <f>168154.64-167997.45</f>
        <v>157.19000000000233</v>
      </c>
      <c r="X21" s="86" t="s">
        <v>63</v>
      </c>
      <c r="Y21" s="87">
        <v>1087336</v>
      </c>
      <c r="Z21" s="5">
        <f t="shared" si="9"/>
        <v>670</v>
      </c>
      <c r="AA21" s="14">
        <f t="shared" si="6"/>
        <v>4334.8999999999996</v>
      </c>
      <c r="AB21" s="87">
        <v>13646338</v>
      </c>
      <c r="AC21" s="86">
        <f t="shared" si="10"/>
        <v>13615555</v>
      </c>
      <c r="AD21" s="5">
        <f t="shared" si="3"/>
        <v>30783</v>
      </c>
      <c r="AE21" s="83">
        <f t="shared" si="11"/>
        <v>10093.714916999999</v>
      </c>
      <c r="AF21" s="83">
        <f>100925-100871</f>
        <v>54</v>
      </c>
      <c r="AG21" s="83">
        <f t="shared" ref="AG21:AG35" si="18">50692.5-50692.5</f>
        <v>0</v>
      </c>
      <c r="AH21" s="83">
        <f>31932-31915</f>
        <v>17</v>
      </c>
      <c r="AI21" s="87">
        <f t="shared" si="12"/>
        <v>54808.800000000003</v>
      </c>
      <c r="AJ21" s="87">
        <v>54840</v>
      </c>
      <c r="AK21" s="48">
        <f t="shared" si="7"/>
        <v>31.19999999999709</v>
      </c>
      <c r="AL21" s="89">
        <f t="shared" si="4"/>
        <v>8871.5682460071712</v>
      </c>
      <c r="AM21" s="83">
        <f t="shared" si="13"/>
        <v>2908.9783562975053</v>
      </c>
      <c r="AN21" s="5">
        <v>104</v>
      </c>
      <c r="AO21" s="78">
        <f t="shared" si="5"/>
        <v>23332.19747699998</v>
      </c>
    </row>
    <row r="22" spans="1:41" x14ac:dyDescent="0.25">
      <c r="A22" s="79">
        <v>44729</v>
      </c>
      <c r="B22" s="86">
        <f>14317801-14311166</f>
        <v>6635</v>
      </c>
      <c r="C22" s="86">
        <f>9176020-9171889</f>
        <v>4131</v>
      </c>
      <c r="D22" s="86">
        <f>1823965-1823025</f>
        <v>940</v>
      </c>
      <c r="E22" s="86">
        <f>13814660-13806710</f>
        <v>7950</v>
      </c>
      <c r="F22" s="86">
        <f>13544583-13538252</f>
        <v>6331</v>
      </c>
      <c r="G22" s="86">
        <f>9324178-9320813</f>
        <v>3365</v>
      </c>
      <c r="H22" s="86">
        <f>10579960-10571583</f>
        <v>8377</v>
      </c>
      <c r="I22" s="86">
        <f>6013112-6010863</f>
        <v>2249</v>
      </c>
      <c r="J22" s="86">
        <f>13966002-13958803</f>
        <v>7199</v>
      </c>
      <c r="K22" s="86">
        <f t="shared" si="14"/>
        <v>37729</v>
      </c>
      <c r="L22" s="14">
        <f t="shared" si="8"/>
        <v>7545.8</v>
      </c>
      <c r="M22" s="83">
        <f>37261.888-37057.1</f>
        <v>204.78800000000047</v>
      </c>
      <c r="N22" s="83">
        <f>5085.573-5083.544</f>
        <v>2.0290000000004511</v>
      </c>
      <c r="O22" s="83">
        <f>10500.463-10500.353</f>
        <v>0.11000000000058208</v>
      </c>
      <c r="P22" s="82">
        <f>15584.444-15510.337</f>
        <v>74.106999999999971</v>
      </c>
      <c r="Q22" s="83">
        <f>29792.686-29773.258</f>
        <v>19.427999999999884</v>
      </c>
      <c r="R22" s="83">
        <f t="shared" si="0"/>
        <v>76.246000000001004</v>
      </c>
      <c r="S22" s="83">
        <f t="shared" si="1"/>
        <v>597.76864000000785</v>
      </c>
      <c r="T22" s="83">
        <f t="shared" si="2"/>
        <v>224.21600000000035</v>
      </c>
      <c r="U22" s="83">
        <f t="shared" si="15"/>
        <v>1757.8534400000026</v>
      </c>
      <c r="V22" s="83">
        <f>425196.5-425034</f>
        <v>162.5</v>
      </c>
      <c r="W22" s="83">
        <f>168313.05-168154.64</f>
        <v>158.40999999997439</v>
      </c>
      <c r="X22" s="86" t="s">
        <v>63</v>
      </c>
      <c r="Y22" s="87">
        <v>1088023</v>
      </c>
      <c r="Z22" s="5">
        <f t="shared" si="9"/>
        <v>687</v>
      </c>
      <c r="AA22" s="14">
        <f t="shared" si="6"/>
        <v>4444.8899999999994</v>
      </c>
      <c r="AB22" s="87">
        <v>13681977</v>
      </c>
      <c r="AC22" s="86">
        <f t="shared" si="10"/>
        <v>13646338</v>
      </c>
      <c r="AD22" s="5">
        <f t="shared" si="3"/>
        <v>35639</v>
      </c>
      <c r="AE22" s="83">
        <f t="shared" si="11"/>
        <v>11685.992461</v>
      </c>
      <c r="AF22" s="83">
        <f>100990-100925</f>
        <v>65</v>
      </c>
      <c r="AG22" s="83">
        <f t="shared" si="18"/>
        <v>0</v>
      </c>
      <c r="AH22" s="83">
        <f>31949-31932</f>
        <v>17</v>
      </c>
      <c r="AI22" s="87">
        <f t="shared" si="12"/>
        <v>54840</v>
      </c>
      <c r="AJ22" s="87">
        <v>54874</v>
      </c>
      <c r="AK22" s="48">
        <f t="shared" si="7"/>
        <v>34</v>
      </c>
      <c r="AL22" s="89">
        <f t="shared" si="4"/>
        <v>9667.7346270599992</v>
      </c>
      <c r="AM22" s="83">
        <f t="shared" si="13"/>
        <v>3170.0405164783465</v>
      </c>
      <c r="AN22" s="5">
        <v>89</v>
      </c>
      <c r="AO22" s="78">
        <f t="shared" si="5"/>
        <v>25434.535901000003</v>
      </c>
    </row>
    <row r="23" spans="1:41" x14ac:dyDescent="0.25">
      <c r="A23" s="79">
        <v>44730</v>
      </c>
      <c r="B23" s="86">
        <f>14324264-14317801</f>
        <v>6463</v>
      </c>
      <c r="C23" s="86">
        <f>9180111-9176020</f>
        <v>4091</v>
      </c>
      <c r="D23" s="86">
        <f>1824891-1823965</f>
        <v>926</v>
      </c>
      <c r="E23" s="86">
        <f>13822555-13814660</f>
        <v>7895</v>
      </c>
      <c r="F23" s="86">
        <f>13550931-13544583</f>
        <v>6348</v>
      </c>
      <c r="G23" s="86">
        <f>9327433-9324178</f>
        <v>3255</v>
      </c>
      <c r="H23" s="86">
        <f>10588129-10579960</f>
        <v>8169</v>
      </c>
      <c r="I23" s="86">
        <f>6015346-6013112</f>
        <v>2234</v>
      </c>
      <c r="J23" s="86">
        <f>13973153-13966002</f>
        <v>7151</v>
      </c>
      <c r="K23" s="86">
        <f t="shared" si="14"/>
        <v>37147</v>
      </c>
      <c r="L23" s="14">
        <f t="shared" si="8"/>
        <v>7429.4000000000005</v>
      </c>
      <c r="M23" s="83">
        <f>37444.675-37261.888</f>
        <v>182.7870000000039</v>
      </c>
      <c r="N23" s="83">
        <f>5089.507-5085.573</f>
        <v>3.933999999999287</v>
      </c>
      <c r="O23" s="83">
        <f>10500.692-10500.463</f>
        <v>0.22899999999935972</v>
      </c>
      <c r="P23" s="82">
        <f>15674.203-15584.444</f>
        <v>89.759000000000015</v>
      </c>
      <c r="Q23" s="83">
        <f>29802.36-29792.686</f>
        <v>9.6739999999990687</v>
      </c>
      <c r="R23" s="83">
        <f t="shared" si="0"/>
        <v>93.921999999998661</v>
      </c>
      <c r="S23" s="83">
        <f t="shared" si="1"/>
        <v>736.34847999998954</v>
      </c>
      <c r="T23" s="83">
        <f t="shared" si="2"/>
        <v>192.46100000000297</v>
      </c>
      <c r="U23" s="83">
        <f t="shared" si="15"/>
        <v>1508.8942400000233</v>
      </c>
      <c r="V23" s="83">
        <f>425349.4-425196.5</f>
        <v>152.90000000002328</v>
      </c>
      <c r="W23" s="83">
        <f>168469.4-168313.05</f>
        <v>156.35000000000582</v>
      </c>
      <c r="X23" s="86" t="s">
        <v>63</v>
      </c>
      <c r="Y23" s="87">
        <v>1088688</v>
      </c>
      <c r="Z23" s="5">
        <f t="shared" si="9"/>
        <v>665</v>
      </c>
      <c r="AA23" s="14">
        <f t="shared" si="6"/>
        <v>4302.55</v>
      </c>
      <c r="AB23" s="87">
        <v>13717629</v>
      </c>
      <c r="AC23" s="86">
        <f t="shared" si="10"/>
        <v>13681977</v>
      </c>
      <c r="AD23" s="5">
        <f t="shared" si="3"/>
        <v>35652</v>
      </c>
      <c r="AE23" s="83">
        <f t="shared" si="11"/>
        <v>11690.255148</v>
      </c>
      <c r="AF23" s="83">
        <f>101055-100990</f>
        <v>65</v>
      </c>
      <c r="AG23" s="83">
        <f t="shared" si="18"/>
        <v>0</v>
      </c>
      <c r="AH23" s="83">
        <f>31965-31949</f>
        <v>16</v>
      </c>
      <c r="AI23" s="87">
        <f t="shared" si="12"/>
        <v>54874</v>
      </c>
      <c r="AJ23" s="87">
        <v>54907</v>
      </c>
      <c r="AK23" s="48">
        <f t="shared" si="7"/>
        <v>33</v>
      </c>
      <c r="AL23" s="89">
        <f t="shared" si="4"/>
        <v>9383.3894909699993</v>
      </c>
      <c r="AM23" s="83">
        <f t="shared" si="13"/>
        <v>3076.8040306995717</v>
      </c>
      <c r="AN23" s="5">
        <v>74</v>
      </c>
      <c r="AO23" s="78">
        <f t="shared" si="5"/>
        <v>24931.099388000024</v>
      </c>
    </row>
    <row r="24" spans="1:41" x14ac:dyDescent="0.25">
      <c r="A24" s="79">
        <v>44731</v>
      </c>
      <c r="B24" s="86">
        <f>14330600-14324264</f>
        <v>6336</v>
      </c>
      <c r="C24" s="86">
        <f>9184166-9180111</f>
        <v>4055</v>
      </c>
      <c r="D24" s="86">
        <f>1825765-1824891</f>
        <v>874</v>
      </c>
      <c r="E24" s="86">
        <f>13830413-13822555</f>
        <v>7858</v>
      </c>
      <c r="F24" s="86">
        <f>13557000-13550931</f>
        <v>6069</v>
      </c>
      <c r="G24" s="86">
        <f>9330434-9327433</f>
        <v>3001</v>
      </c>
      <c r="H24" s="86">
        <f>10596400-10588129</f>
        <v>8271</v>
      </c>
      <c r="I24" s="86">
        <f>6017731-6015346</f>
        <v>2385</v>
      </c>
      <c r="J24" s="86">
        <f>13980235-13973153</f>
        <v>7082</v>
      </c>
      <c r="K24" s="86">
        <f t="shared" si="14"/>
        <v>36464</v>
      </c>
      <c r="L24" s="14">
        <f t="shared" si="8"/>
        <v>7292.8</v>
      </c>
      <c r="M24" s="83">
        <f>37606.155-37444.675</f>
        <v>161.47999999999593</v>
      </c>
      <c r="N24" s="83">
        <f>5091.565-5089.507</f>
        <v>2.0579999999999927</v>
      </c>
      <c r="O24" s="83">
        <f>10500.759-10500.692</f>
        <v>6.7000000000916771E-2</v>
      </c>
      <c r="P24" s="82">
        <f>15749.9-15674.203</f>
        <v>75.697000000000116</v>
      </c>
      <c r="Q24" s="83">
        <f>29830.537-29802.36</f>
        <v>28.17699999999968</v>
      </c>
      <c r="R24" s="83">
        <f t="shared" si="0"/>
        <v>77.822000000001026</v>
      </c>
      <c r="S24" s="83">
        <f t="shared" si="1"/>
        <v>610.12448000000802</v>
      </c>
      <c r="T24" s="83">
        <f t="shared" si="2"/>
        <v>189.65699999999561</v>
      </c>
      <c r="U24" s="83">
        <f t="shared" si="15"/>
        <v>1486.9108799999656</v>
      </c>
      <c r="V24" s="83">
        <f>425498-425349.4</f>
        <v>148.59999999997672</v>
      </c>
      <c r="W24" s="83">
        <f>168607.77-168469.4</f>
        <v>138.36999999999534</v>
      </c>
      <c r="X24" s="86" t="s">
        <v>63</v>
      </c>
      <c r="Y24" s="87">
        <v>1089296</v>
      </c>
      <c r="Z24" s="5">
        <f t="shared" si="9"/>
        <v>608</v>
      </c>
      <c r="AA24" s="14">
        <f t="shared" si="6"/>
        <v>3933.7599999999998</v>
      </c>
      <c r="AB24" s="87">
        <v>13754092</v>
      </c>
      <c r="AC24" s="86">
        <f t="shared" si="10"/>
        <v>13717629</v>
      </c>
      <c r="AD24" s="5">
        <f t="shared" si="3"/>
        <v>36463</v>
      </c>
      <c r="AE24" s="83">
        <f t="shared" si="11"/>
        <v>11956.181237000001</v>
      </c>
      <c r="AF24" s="83">
        <f>101120-101055</f>
        <v>65</v>
      </c>
      <c r="AG24" s="83">
        <f t="shared" si="18"/>
        <v>0</v>
      </c>
      <c r="AH24" s="83">
        <f>31982-31965</f>
        <v>17</v>
      </c>
      <c r="AI24" s="87">
        <f t="shared" si="12"/>
        <v>54907</v>
      </c>
      <c r="AJ24" s="87">
        <v>54939</v>
      </c>
      <c r="AK24" s="48">
        <f t="shared" si="7"/>
        <v>32</v>
      </c>
      <c r="AL24" s="89">
        <f t="shared" si="4"/>
        <v>9099.0443548799994</v>
      </c>
      <c r="AM24" s="83">
        <f t="shared" si="13"/>
        <v>2983.567544920797</v>
      </c>
      <c r="AN24" s="5">
        <v>68</v>
      </c>
      <c r="AO24" s="78">
        <f t="shared" si="5"/>
        <v>24669.652116999969</v>
      </c>
    </row>
    <row r="25" spans="1:41" x14ac:dyDescent="0.25">
      <c r="A25" s="79">
        <v>44732</v>
      </c>
      <c r="B25" s="86">
        <f>14336716-14330600</f>
        <v>6116</v>
      </c>
      <c r="C25" s="86">
        <f>9187849-9184166</f>
        <v>3683</v>
      </c>
      <c r="D25" s="86">
        <f>1826676-1825765</f>
        <v>911</v>
      </c>
      <c r="E25" s="86">
        <f>13838226-13830413</f>
        <v>7813</v>
      </c>
      <c r="F25" s="86">
        <f>13563000-13557000</f>
        <v>6000</v>
      </c>
      <c r="G25" s="86">
        <f>9333378-9330434</f>
        <v>2944</v>
      </c>
      <c r="H25" s="86">
        <f>10604489-10596400</f>
        <v>8089</v>
      </c>
      <c r="I25" s="86">
        <f>6020125-6017731</f>
        <v>2394</v>
      </c>
      <c r="J25" s="86">
        <f>13987130-13980235</f>
        <v>6895</v>
      </c>
      <c r="K25" s="86">
        <f t="shared" si="14"/>
        <v>35556</v>
      </c>
      <c r="L25" s="14">
        <f t="shared" si="8"/>
        <v>7111.2000000000007</v>
      </c>
      <c r="M25" s="83">
        <f>37773.6-37606.155</f>
        <v>167.44499999999971</v>
      </c>
      <c r="N25" s="83">
        <f>5094.602-5091.565</f>
        <v>3.0370000000002619</v>
      </c>
      <c r="O25" s="83">
        <f>10500.873-10500.759</f>
        <v>0.11399999999957799</v>
      </c>
      <c r="P25" s="82">
        <f>15819.6-15749.9</f>
        <v>69.700000000000728</v>
      </c>
      <c r="Q25" s="83">
        <f>29845.228-29830.537</f>
        <v>14.690999999998894</v>
      </c>
      <c r="R25" s="83">
        <f t="shared" si="0"/>
        <v>72.851000000000568</v>
      </c>
      <c r="S25" s="83">
        <f t="shared" si="1"/>
        <v>571.15184000000443</v>
      </c>
      <c r="T25" s="83">
        <f t="shared" si="2"/>
        <v>182.1359999999986</v>
      </c>
      <c r="U25" s="83">
        <f t="shared" si="15"/>
        <v>1427.9462399999891</v>
      </c>
      <c r="V25" s="83">
        <f>425638-425498</f>
        <v>140</v>
      </c>
      <c r="W25" s="83">
        <f>168772.51-168607.77</f>
        <v>164.74000000001979</v>
      </c>
      <c r="X25" s="86" t="s">
        <v>63</v>
      </c>
      <c r="Y25" s="87">
        <v>1089915</v>
      </c>
      <c r="Z25" s="5">
        <f t="shared" si="9"/>
        <v>619</v>
      </c>
      <c r="AA25" s="14">
        <f t="shared" si="6"/>
        <v>4004.93</v>
      </c>
      <c r="AB25" s="87">
        <v>13787948</v>
      </c>
      <c r="AC25" s="86">
        <f t="shared" si="10"/>
        <v>13754092</v>
      </c>
      <c r="AD25" s="5">
        <f t="shared" si="3"/>
        <v>33856</v>
      </c>
      <c r="AE25" s="83">
        <f t="shared" si="11"/>
        <v>11101.348544</v>
      </c>
      <c r="AF25" s="83">
        <f>101179-101120</f>
        <v>59</v>
      </c>
      <c r="AG25" s="83">
        <f t="shared" si="18"/>
        <v>0</v>
      </c>
      <c r="AH25" s="83">
        <f>31999-31982</f>
        <v>17</v>
      </c>
      <c r="AI25" s="87">
        <f t="shared" si="12"/>
        <v>54939</v>
      </c>
      <c r="AJ25" s="87">
        <v>54969</v>
      </c>
      <c r="AK25" s="48">
        <f t="shared" si="7"/>
        <v>30</v>
      </c>
      <c r="AL25" s="89">
        <f t="shared" si="4"/>
        <v>8530.3540826999997</v>
      </c>
      <c r="AM25" s="83">
        <f t="shared" si="13"/>
        <v>2797.094573363247</v>
      </c>
      <c r="AN25" s="5">
        <v>81</v>
      </c>
      <c r="AO25" s="78">
        <f t="shared" si="5"/>
        <v>23645.424783999988</v>
      </c>
    </row>
    <row r="26" spans="1:41" x14ac:dyDescent="0.25">
      <c r="A26" s="79">
        <v>44733</v>
      </c>
      <c r="B26" s="86">
        <f>14343513-14336716</f>
        <v>6797</v>
      </c>
      <c r="C26" s="86">
        <f>9192081-9187849</f>
        <v>4232</v>
      </c>
      <c r="D26" s="86">
        <f>1827642-1826676</f>
        <v>966</v>
      </c>
      <c r="E26" s="86">
        <f>13846534-13838226</f>
        <v>8308</v>
      </c>
      <c r="F26" s="86">
        <f>13569155-13563000</f>
        <v>6155</v>
      </c>
      <c r="G26" s="86">
        <f>9336406-9333378</f>
        <v>3028</v>
      </c>
      <c r="H26" s="86">
        <f>10613075-10604489</f>
        <v>8586</v>
      </c>
      <c r="I26" s="86">
        <f>6022609-6020125</f>
        <v>2484</v>
      </c>
      <c r="J26" s="86">
        <f>13994418-13987130</f>
        <v>7288</v>
      </c>
      <c r="K26" s="86">
        <f t="shared" si="14"/>
        <v>38072</v>
      </c>
      <c r="L26" s="14">
        <f t="shared" si="8"/>
        <v>7614.4000000000005</v>
      </c>
      <c r="M26" s="83">
        <f>37934.991-37773.6</f>
        <v>161.39100000000326</v>
      </c>
      <c r="N26" s="83">
        <f>5097.427-5094.602</f>
        <v>2.8249999999998181</v>
      </c>
      <c r="O26" s="83">
        <f>10500.959-10500.873</f>
        <v>8.6000000001149601E-2</v>
      </c>
      <c r="P26" s="82">
        <f>15887.761-15819.6</f>
        <v>68.161000000000058</v>
      </c>
      <c r="Q26" s="83">
        <f>29865.335-29845.228</f>
        <v>20.106999999999971</v>
      </c>
      <c r="R26" s="83">
        <f t="shared" si="0"/>
        <v>71.072000000001026</v>
      </c>
      <c r="S26" s="83">
        <f t="shared" si="1"/>
        <v>557.20448000000806</v>
      </c>
      <c r="T26" s="83">
        <f t="shared" si="2"/>
        <v>181.49800000000323</v>
      </c>
      <c r="U26" s="83">
        <f t="shared" si="15"/>
        <v>1422.9443200000253</v>
      </c>
      <c r="V26" s="83">
        <f>425793.5-425638</f>
        <v>155.5</v>
      </c>
      <c r="W26" s="83">
        <f>168913.82-168772.51</f>
        <v>141.30999999999767</v>
      </c>
      <c r="X26" s="86" t="s">
        <v>63</v>
      </c>
      <c r="Y26" s="87">
        <v>1090549</v>
      </c>
      <c r="Z26" s="5">
        <f t="shared" si="9"/>
        <v>634</v>
      </c>
      <c r="AA26" s="14">
        <f t="shared" si="6"/>
        <v>4101.9799999999996</v>
      </c>
      <c r="AB26" s="87">
        <v>13818110</v>
      </c>
      <c r="AC26" s="86">
        <f t="shared" si="10"/>
        <v>13787948</v>
      </c>
      <c r="AD26" s="5">
        <f t="shared" si="3"/>
        <v>30162</v>
      </c>
      <c r="AE26" s="83">
        <f t="shared" si="11"/>
        <v>9890.0896379999995</v>
      </c>
      <c r="AF26" s="83">
        <f>101231.3-101179</f>
        <v>52.30000000000291</v>
      </c>
      <c r="AG26" s="83">
        <f t="shared" si="18"/>
        <v>0</v>
      </c>
      <c r="AH26" s="83">
        <f>32015.7-31999</f>
        <v>16.700000000000728</v>
      </c>
      <c r="AI26" s="87">
        <f t="shared" si="12"/>
        <v>54969</v>
      </c>
      <c r="AJ26" s="87">
        <v>54998.9</v>
      </c>
      <c r="AK26" s="48">
        <f t="shared" si="7"/>
        <v>29.900000000001455</v>
      </c>
      <c r="AL26" s="89">
        <f t="shared" si="4"/>
        <v>8501.919569091413</v>
      </c>
      <c r="AM26" s="83">
        <f t="shared" si="13"/>
        <v>2787.770924785505</v>
      </c>
      <c r="AN26" s="5">
        <v>93</v>
      </c>
      <c r="AO26" s="78">
        <f t="shared" si="5"/>
        <v>23029.413958000026</v>
      </c>
    </row>
    <row r="27" spans="1:41" x14ac:dyDescent="0.25">
      <c r="A27" s="79">
        <v>44734</v>
      </c>
      <c r="B27" s="86">
        <f>14349800-14343513</f>
        <v>6287</v>
      </c>
      <c r="C27" s="86">
        <f>9196189-9192081</f>
        <v>4108</v>
      </c>
      <c r="D27" s="86">
        <f>1828553-1827642</f>
        <v>911</v>
      </c>
      <c r="E27" s="86">
        <f>13853971-13846534</f>
        <v>7437</v>
      </c>
      <c r="F27" s="86">
        <f>13574800-13569155</f>
        <v>5645</v>
      </c>
      <c r="G27" s="86">
        <f>9339145-9336406</f>
        <v>2739</v>
      </c>
      <c r="H27" s="86">
        <f>10621105-10613075</f>
        <v>8030</v>
      </c>
      <c r="I27" s="86">
        <f>6024872-6022609</f>
        <v>2263</v>
      </c>
      <c r="J27" s="86">
        <f>14001233-13994418</f>
        <v>6815</v>
      </c>
      <c r="K27" s="86">
        <f t="shared" si="14"/>
        <v>35157</v>
      </c>
      <c r="L27" s="14">
        <f t="shared" si="8"/>
        <v>7031.4000000000005</v>
      </c>
      <c r="M27" s="83">
        <f>38129.753-37934.991</f>
        <v>194.76199999999517</v>
      </c>
      <c r="N27" s="83">
        <f>5100.961-5097.427</f>
        <v>3.5340000000005602</v>
      </c>
      <c r="O27" s="83">
        <f>10501.102-10500.959</f>
        <v>0.1430000000000291</v>
      </c>
      <c r="P27" s="82">
        <f>15959.166-15887.761</f>
        <v>71.404999999998836</v>
      </c>
      <c r="Q27" s="83">
        <f>29881.556-29865.335</f>
        <v>16.221000000001368</v>
      </c>
      <c r="R27" s="83">
        <f t="shared" si="0"/>
        <v>75.081999999999425</v>
      </c>
      <c r="S27" s="83">
        <f t="shared" si="1"/>
        <v>588.64287999999544</v>
      </c>
      <c r="T27" s="83">
        <f t="shared" si="2"/>
        <v>210.98299999999654</v>
      </c>
      <c r="U27" s="83">
        <f t="shared" si="15"/>
        <v>1654.1067199999727</v>
      </c>
      <c r="V27" s="83">
        <f>425964.9-425793.5</f>
        <v>171.40000000002328</v>
      </c>
      <c r="W27" s="83">
        <f>169072.73-168913.82</f>
        <v>158.91000000000349</v>
      </c>
      <c r="X27" s="86" t="s">
        <v>63</v>
      </c>
      <c r="Y27" s="87">
        <v>1091215</v>
      </c>
      <c r="Z27" s="5">
        <f t="shared" si="9"/>
        <v>666</v>
      </c>
      <c r="AA27" s="14">
        <f t="shared" si="6"/>
        <v>4309.0199999999995</v>
      </c>
      <c r="AB27" s="87">
        <v>13847024</v>
      </c>
      <c r="AC27" s="86">
        <f t="shared" si="10"/>
        <v>13818110</v>
      </c>
      <c r="AD27" s="5">
        <f t="shared" si="3"/>
        <v>28914</v>
      </c>
      <c r="AE27" s="83">
        <f t="shared" si="11"/>
        <v>9480.8716860000004</v>
      </c>
      <c r="AF27" s="83">
        <f>101281.2-101231.3</f>
        <v>49.899999999994179</v>
      </c>
      <c r="AG27" s="83">
        <f t="shared" si="18"/>
        <v>0</v>
      </c>
      <c r="AH27" s="83">
        <f>32031.8-32015.7</f>
        <v>16.099999999998545</v>
      </c>
      <c r="AI27" s="87">
        <f t="shared" si="12"/>
        <v>54998.9</v>
      </c>
      <c r="AJ27" s="87">
        <v>55027</v>
      </c>
      <c r="AK27" s="48">
        <f t="shared" si="7"/>
        <v>28.099999999998545</v>
      </c>
      <c r="AL27" s="89">
        <f t="shared" si="4"/>
        <v>7990.0983241285858</v>
      </c>
      <c r="AM27" s="83">
        <f t="shared" si="13"/>
        <v>2619.9452503834391</v>
      </c>
      <c r="AN27" s="5">
        <v>93</v>
      </c>
      <c r="AO27" s="78">
        <f t="shared" si="5"/>
        <v>22475.398405999971</v>
      </c>
    </row>
    <row r="28" spans="1:41" x14ac:dyDescent="0.25">
      <c r="A28" s="79">
        <v>44735</v>
      </c>
      <c r="B28" s="86">
        <f>14356111-14349800</f>
        <v>6311</v>
      </c>
      <c r="C28" s="86">
        <f>9200951-9196189</f>
        <v>4762</v>
      </c>
      <c r="D28" s="86">
        <f>1829501-1828553</f>
        <v>948</v>
      </c>
      <c r="E28" s="86">
        <f>13861905-13853971</f>
        <v>7934</v>
      </c>
      <c r="F28" s="86">
        <f>13580776-13574800</f>
        <v>5976</v>
      </c>
      <c r="G28" s="86">
        <f>9342182-9339145</f>
        <v>3037</v>
      </c>
      <c r="H28" s="86">
        <f>10630040-10621105</f>
        <v>8935</v>
      </c>
      <c r="I28" s="86">
        <f>6027344-6024872</f>
        <v>2472</v>
      </c>
      <c r="J28" s="86">
        <f>14008410-14001233</f>
        <v>7177</v>
      </c>
      <c r="K28" s="86">
        <f t="shared" si="14"/>
        <v>37903</v>
      </c>
      <c r="L28" s="14">
        <f t="shared" si="8"/>
        <v>7580.6</v>
      </c>
      <c r="M28" s="83">
        <f>38313.944-38129.753</f>
        <v>184.19100000000617</v>
      </c>
      <c r="N28" s="83">
        <f>5103.802-5100.961</f>
        <v>2.8409999999994398</v>
      </c>
      <c r="O28" s="83">
        <f>10501.25-10501.102</f>
        <v>0.14799999999922875</v>
      </c>
      <c r="P28" s="82">
        <f>16033.62-15959.166</f>
        <v>74.454000000001543</v>
      </c>
      <c r="Q28" s="83">
        <f>29896.349-29881.556</f>
        <v>14.792999999997846</v>
      </c>
      <c r="R28" s="83">
        <f t="shared" si="0"/>
        <v>77.443000000000211</v>
      </c>
      <c r="S28" s="83">
        <f t="shared" si="1"/>
        <v>607.15312000000165</v>
      </c>
      <c r="T28" s="83">
        <f t="shared" si="2"/>
        <v>198.98400000000402</v>
      </c>
      <c r="U28" s="83">
        <f t="shared" si="15"/>
        <v>1560.0345600000314</v>
      </c>
      <c r="V28" s="83">
        <f>426113.7-425964.9</f>
        <v>148.79999999998836</v>
      </c>
      <c r="W28" s="83">
        <f>169199.52-169072.73</f>
        <v>126.78999999997905</v>
      </c>
      <c r="X28" s="86" t="s">
        <v>63</v>
      </c>
      <c r="Y28" s="87">
        <v>1091852</v>
      </c>
      <c r="Z28" s="5">
        <f t="shared" si="9"/>
        <v>637</v>
      </c>
      <c r="AA28" s="14">
        <f t="shared" si="6"/>
        <v>4121.3899999999994</v>
      </c>
      <c r="AB28" s="87">
        <v>13880914</v>
      </c>
      <c r="AC28" s="86">
        <f t="shared" si="10"/>
        <v>13847024</v>
      </c>
      <c r="AD28" s="5">
        <f t="shared" si="3"/>
        <v>33890</v>
      </c>
      <c r="AE28" s="83">
        <f t="shared" si="11"/>
        <v>11112.49711</v>
      </c>
      <c r="AF28" s="83">
        <f>101339.3-101281.2</f>
        <v>58.100000000005821</v>
      </c>
      <c r="AG28" s="83">
        <f t="shared" si="18"/>
        <v>0</v>
      </c>
      <c r="AH28" s="83">
        <f>32048.9-32031.8</f>
        <v>17.100000000002183</v>
      </c>
      <c r="AI28" s="87">
        <f t="shared" si="12"/>
        <v>55027</v>
      </c>
      <c r="AJ28" s="87">
        <v>55058.7</v>
      </c>
      <c r="AK28" s="48">
        <f t="shared" si="7"/>
        <v>31.69999999999709</v>
      </c>
      <c r="AL28" s="89">
        <f t="shared" si="4"/>
        <v>9013.7408140521711</v>
      </c>
      <c r="AM28" s="83">
        <f t="shared" si="13"/>
        <v>2955.5965991868929</v>
      </c>
      <c r="AN28" s="5">
        <v>78</v>
      </c>
      <c r="AO28" s="78">
        <f t="shared" si="5"/>
        <v>24374.521670000031</v>
      </c>
    </row>
    <row r="29" spans="1:41" x14ac:dyDescent="0.25">
      <c r="A29" s="79">
        <v>44736</v>
      </c>
      <c r="B29" s="86">
        <f>14362184-14356111</f>
        <v>6073</v>
      </c>
      <c r="C29" s="86">
        <f>9205289-9200951</f>
        <v>4338</v>
      </c>
      <c r="D29" s="86">
        <f>1830471-1829501</f>
        <v>970</v>
      </c>
      <c r="E29" s="86">
        <f>13869430-13861905</f>
        <v>7525</v>
      </c>
      <c r="F29" s="86">
        <f>13586740-13580776</f>
        <v>5964</v>
      </c>
      <c r="G29" s="86">
        <f>9345084-9342182</f>
        <v>2902</v>
      </c>
      <c r="H29" s="86">
        <f>10639045-10630040</f>
        <v>9005</v>
      </c>
      <c r="I29" s="86">
        <f>6029662-6027344</f>
        <v>2318</v>
      </c>
      <c r="J29" s="86">
        <f>14015608-14008410</f>
        <v>7198</v>
      </c>
      <c r="K29" s="86">
        <f t="shared" si="14"/>
        <v>36777</v>
      </c>
      <c r="L29" s="14">
        <f t="shared" si="8"/>
        <v>7355.4000000000005</v>
      </c>
      <c r="M29" s="83">
        <f>38467.143-38313.944</f>
        <v>153.19899999999325</v>
      </c>
      <c r="N29" s="83">
        <f>5106.749-5103.802</f>
        <v>2.9470000000001164</v>
      </c>
      <c r="O29" s="83">
        <f>10501.301-10501.25</f>
        <v>5.0999999999476131E-2</v>
      </c>
      <c r="P29" s="82">
        <f>16105.067-16033.62</f>
        <v>71.446999999998297</v>
      </c>
      <c r="Q29" s="83">
        <f>29929.866-29896.349</f>
        <v>33.517000000003463</v>
      </c>
      <c r="R29" s="83">
        <f t="shared" si="0"/>
        <v>74.44499999999789</v>
      </c>
      <c r="S29" s="83">
        <f t="shared" si="1"/>
        <v>583.64879999998345</v>
      </c>
      <c r="T29" s="83">
        <f t="shared" si="2"/>
        <v>186.71599999999671</v>
      </c>
      <c r="U29" s="83">
        <f t="shared" si="15"/>
        <v>1463.8534399999742</v>
      </c>
      <c r="V29" s="83">
        <f>426269.7-426113.7</f>
        <v>156</v>
      </c>
      <c r="W29" s="83">
        <f>169359.53-169199.52</f>
        <v>160.01000000000931</v>
      </c>
      <c r="X29" s="86" t="s">
        <v>63</v>
      </c>
      <c r="Y29" s="87">
        <v>1092520</v>
      </c>
      <c r="Z29" s="5">
        <f t="shared" si="9"/>
        <v>668</v>
      </c>
      <c r="AA29" s="14">
        <f t="shared" si="6"/>
        <v>4321.96</v>
      </c>
      <c r="AB29" s="87">
        <v>13914896</v>
      </c>
      <c r="AC29" s="86">
        <f t="shared" si="10"/>
        <v>13880914</v>
      </c>
      <c r="AD29" s="5">
        <f t="shared" si="3"/>
        <v>33982</v>
      </c>
      <c r="AE29" s="83">
        <f t="shared" si="11"/>
        <v>11142.663817999999</v>
      </c>
      <c r="AF29" s="83">
        <f>101397.2-101339.3</f>
        <v>57.899999999994179</v>
      </c>
      <c r="AG29" s="83">
        <f t="shared" si="18"/>
        <v>0</v>
      </c>
      <c r="AH29" s="83">
        <f>32066.3-32048.9</f>
        <v>17.399999999997817</v>
      </c>
      <c r="AI29" s="87">
        <f t="shared" si="12"/>
        <v>55058.7</v>
      </c>
      <c r="AJ29" s="87">
        <v>55092.1</v>
      </c>
      <c r="AK29" s="48">
        <f t="shared" si="7"/>
        <v>33.400000000001455</v>
      </c>
      <c r="AL29" s="89">
        <f t="shared" si="4"/>
        <v>9497.1275454064125</v>
      </c>
      <c r="AM29" s="83">
        <f t="shared" si="13"/>
        <v>3114.0986250112173</v>
      </c>
      <c r="AN29" s="5">
        <v>69</v>
      </c>
      <c r="AO29" s="78">
        <f t="shared" si="5"/>
        <v>24283.877257999971</v>
      </c>
    </row>
    <row r="30" spans="1:41" x14ac:dyDescent="0.25">
      <c r="A30" s="79">
        <v>44737</v>
      </c>
      <c r="B30" s="86">
        <f>14368485-14362184</f>
        <v>6301</v>
      </c>
      <c r="C30" s="86">
        <f>9209460-9205289</f>
        <v>4171</v>
      </c>
      <c r="D30" s="86">
        <f>1831344-1830471</f>
        <v>873</v>
      </c>
      <c r="E30" s="86">
        <f>13877028-13869430</f>
        <v>7598</v>
      </c>
      <c r="F30" s="86">
        <f>13592899-13586740</f>
        <v>6159</v>
      </c>
      <c r="G30" s="86">
        <f>9348129-9345084</f>
        <v>3045</v>
      </c>
      <c r="H30" s="86">
        <f>10648088-10639045</f>
        <v>9043</v>
      </c>
      <c r="I30" s="86">
        <f>6031969-6029662</f>
        <v>2307</v>
      </c>
      <c r="J30" s="86">
        <f>14022795-14015608</f>
        <v>7187</v>
      </c>
      <c r="K30" s="86">
        <f t="shared" si="14"/>
        <v>37190</v>
      </c>
      <c r="L30" s="14">
        <f t="shared" si="8"/>
        <v>7438</v>
      </c>
      <c r="M30" s="83">
        <f>38655.69-38467.143</f>
        <v>188.54700000000594</v>
      </c>
      <c r="N30" s="83">
        <f>5109.868-5106.749</f>
        <v>3.1190000000005966</v>
      </c>
      <c r="O30" s="83">
        <f>10501.633-10501.301</f>
        <v>0.33200000000033469</v>
      </c>
      <c r="P30" s="82">
        <f>16195.855-16105.067</f>
        <v>90.788000000000466</v>
      </c>
      <c r="Q30" s="83">
        <f>29940.133-29929.866</f>
        <v>10.266999999999825</v>
      </c>
      <c r="R30" s="83">
        <f t="shared" si="0"/>
        <v>94.239000000001397</v>
      </c>
      <c r="S30" s="83">
        <f t="shared" si="1"/>
        <v>738.8337600000109</v>
      </c>
      <c r="T30" s="83">
        <f t="shared" si="2"/>
        <v>198.81400000000576</v>
      </c>
      <c r="U30" s="83">
        <f t="shared" si="15"/>
        <v>1558.7017600000452</v>
      </c>
      <c r="V30" s="83">
        <f>426430.8-426269.7</f>
        <v>161.09999999997672</v>
      </c>
      <c r="W30" s="83">
        <f>169519.41-169359.53</f>
        <v>159.88000000000466</v>
      </c>
      <c r="X30" s="86" t="s">
        <v>63</v>
      </c>
      <c r="Y30" s="87">
        <v>1093203</v>
      </c>
      <c r="Z30" s="5">
        <f t="shared" si="9"/>
        <v>683</v>
      </c>
      <c r="AA30" s="14">
        <f t="shared" si="6"/>
        <v>4419.01</v>
      </c>
      <c r="AB30" s="87">
        <v>13951582</v>
      </c>
      <c r="AC30" s="86">
        <f t="shared" si="10"/>
        <v>13914896</v>
      </c>
      <c r="AD30" s="5">
        <f t="shared" si="3"/>
        <v>36686</v>
      </c>
      <c r="AE30" s="83">
        <f t="shared" si="11"/>
        <v>12029.302713999999</v>
      </c>
      <c r="AF30" s="83">
        <f>101460.9-101397.2</f>
        <v>63.69999999999709</v>
      </c>
      <c r="AG30" s="83">
        <f t="shared" si="18"/>
        <v>0</v>
      </c>
      <c r="AH30" s="83">
        <f>32084-32066.3</f>
        <v>17.700000000000728</v>
      </c>
      <c r="AI30" s="87">
        <f t="shared" si="12"/>
        <v>55092.1</v>
      </c>
      <c r="AJ30" s="87">
        <v>55130.1</v>
      </c>
      <c r="AK30" s="48">
        <f t="shared" si="7"/>
        <v>38</v>
      </c>
      <c r="AL30" s="89">
        <f t="shared" si="4"/>
        <v>10805.115171419999</v>
      </c>
      <c r="AM30" s="83">
        <f t="shared" si="13"/>
        <v>3542.9864595934459</v>
      </c>
      <c r="AN30" s="5">
        <v>65</v>
      </c>
      <c r="AO30" s="78">
        <f t="shared" si="5"/>
        <v>25445.014474000047</v>
      </c>
    </row>
    <row r="31" spans="1:41" x14ac:dyDescent="0.25">
      <c r="A31" s="79">
        <v>44738</v>
      </c>
      <c r="B31" s="86">
        <f>14374535-14368485</f>
        <v>6050</v>
      </c>
      <c r="C31" s="86">
        <f>9213760-9209460</f>
        <v>4300</v>
      </c>
      <c r="D31" s="86">
        <f>1832319-1831344</f>
        <v>975</v>
      </c>
      <c r="E31" s="86">
        <f>13884717-13877028</f>
        <v>7689</v>
      </c>
      <c r="F31" s="86">
        <f>13598888-13592899</f>
        <v>5989</v>
      </c>
      <c r="G31" s="86">
        <f>9351047-9348129</f>
        <v>2918</v>
      </c>
      <c r="H31" s="86">
        <f>10657127-10648088</f>
        <v>9039</v>
      </c>
      <c r="I31" s="86">
        <f>6034362-6031969</f>
        <v>2393</v>
      </c>
      <c r="J31" s="86">
        <f>14029919-14022795</f>
        <v>7124</v>
      </c>
      <c r="K31" s="86">
        <f t="shared" si="14"/>
        <v>36960</v>
      </c>
      <c r="L31" s="14">
        <f t="shared" si="8"/>
        <v>7392</v>
      </c>
      <c r="M31" s="83">
        <f>38815.317-38655.69</f>
        <v>159.62700000000041</v>
      </c>
      <c r="N31" s="83">
        <f>5111.553-5109.868</f>
        <v>1.6849999999994907</v>
      </c>
      <c r="O31" s="83">
        <f>10501.653-10501.633</f>
        <v>2.0000000000436557E-2</v>
      </c>
      <c r="P31" s="82">
        <f>16277.75-16195.855</f>
        <v>81.895000000000437</v>
      </c>
      <c r="Q31" s="83">
        <f>29959.562-29940.133</f>
        <v>19.429000000000087</v>
      </c>
      <c r="R31" s="83">
        <f t="shared" si="0"/>
        <v>83.600000000000364</v>
      </c>
      <c r="S31" s="83">
        <f t="shared" si="1"/>
        <v>655.42400000000282</v>
      </c>
      <c r="T31" s="83">
        <f t="shared" si="2"/>
        <v>179.05600000000049</v>
      </c>
      <c r="U31" s="83">
        <f t="shared" si="15"/>
        <v>1403.7990400000037</v>
      </c>
      <c r="V31" s="83">
        <f>426578.8-426430.8</f>
        <v>148</v>
      </c>
      <c r="W31" s="83">
        <f>169647.89-169519.41</f>
        <v>128.48000000001048</v>
      </c>
      <c r="X31" s="86" t="s">
        <v>63</v>
      </c>
      <c r="Y31" s="87">
        <v>1093797</v>
      </c>
      <c r="Z31" s="5">
        <f t="shared" si="9"/>
        <v>594</v>
      </c>
      <c r="AA31" s="14">
        <f t="shared" si="6"/>
        <v>3843.18</v>
      </c>
      <c r="AB31" s="87">
        <v>13988643</v>
      </c>
      <c r="AC31" s="86">
        <f t="shared" si="10"/>
        <v>13951582</v>
      </c>
      <c r="AD31" s="5">
        <f t="shared" si="3"/>
        <v>37061</v>
      </c>
      <c r="AE31" s="83">
        <f t="shared" si="11"/>
        <v>12152.264838999999</v>
      </c>
      <c r="AF31" s="83">
        <f>101524.8-101460.9</f>
        <v>63.900000000008731</v>
      </c>
      <c r="AG31" s="83">
        <f t="shared" si="18"/>
        <v>0</v>
      </c>
      <c r="AH31" s="83">
        <f>32101.6-32084</f>
        <v>17.599999999998545</v>
      </c>
      <c r="AI31" s="87">
        <f t="shared" si="12"/>
        <v>55130.1</v>
      </c>
      <c r="AJ31" s="87">
        <v>55166.1</v>
      </c>
      <c r="AK31" s="48">
        <f t="shared" si="7"/>
        <v>36</v>
      </c>
      <c r="AL31" s="89">
        <f t="shared" si="4"/>
        <v>10236.424899239999</v>
      </c>
      <c r="AM31" s="83">
        <f t="shared" si="13"/>
        <v>3356.5134880358964</v>
      </c>
      <c r="AN31" s="5">
        <v>81</v>
      </c>
      <c r="AO31" s="78">
        <f t="shared" si="5"/>
        <v>24791.243879000001</v>
      </c>
    </row>
    <row r="32" spans="1:41" x14ac:dyDescent="0.25">
      <c r="A32" s="79">
        <v>44739</v>
      </c>
      <c r="B32" s="86">
        <f>14380912-14374535</f>
        <v>6377</v>
      </c>
      <c r="C32" s="86">
        <f>9219040-9213760</f>
        <v>5280</v>
      </c>
      <c r="D32" s="86">
        <f>1833241-1832319</f>
        <v>922</v>
      </c>
      <c r="E32" s="86">
        <f>13892298-13884717</f>
        <v>7581</v>
      </c>
      <c r="F32" s="86">
        <f>13605071-13598888</f>
        <v>6183</v>
      </c>
      <c r="G32" s="86">
        <f>9354084-9351047</f>
        <v>3037</v>
      </c>
      <c r="H32" s="86">
        <f>10665940-10657127</f>
        <v>8813</v>
      </c>
      <c r="I32" s="86">
        <f>6036777-6034362</f>
        <v>2415</v>
      </c>
      <c r="J32" s="86">
        <f>14036906-14029919</f>
        <v>6987</v>
      </c>
      <c r="K32" s="86">
        <f t="shared" si="14"/>
        <v>38193</v>
      </c>
      <c r="L32" s="14">
        <f t="shared" si="8"/>
        <v>7638.6</v>
      </c>
      <c r="M32" s="83">
        <f>38986.821-38815.317</f>
        <v>171.50400000000081</v>
      </c>
      <c r="N32" s="83">
        <f>5114.489-5111.553</f>
        <v>2.9359999999996944</v>
      </c>
      <c r="O32" s="83">
        <f>10501.709-10501.653</f>
        <v>5.6000000000494765E-2</v>
      </c>
      <c r="P32" s="82">
        <f>16344.292-16277.75</f>
        <v>66.541999999999462</v>
      </c>
      <c r="Q32" s="83">
        <f>29979.559-29959.562</f>
        <v>19.996999999999389</v>
      </c>
      <c r="R32" s="83">
        <f t="shared" si="0"/>
        <v>69.533999999999651</v>
      </c>
      <c r="S32" s="83">
        <f t="shared" si="1"/>
        <v>545.14655999999729</v>
      </c>
      <c r="T32" s="83">
        <f t="shared" si="2"/>
        <v>191.5010000000002</v>
      </c>
      <c r="U32" s="83">
        <f t="shared" si="15"/>
        <v>1501.3678400000015</v>
      </c>
      <c r="V32" s="83">
        <f>426723.3-426578.8</f>
        <v>144.5</v>
      </c>
      <c r="W32" s="83">
        <f>169728.74-169647.89</f>
        <v>80.849999999976717</v>
      </c>
      <c r="X32" s="86" t="s">
        <v>63</v>
      </c>
      <c r="Y32" s="87">
        <v>1094347</v>
      </c>
      <c r="Z32" s="5">
        <f t="shared" si="9"/>
        <v>550</v>
      </c>
      <c r="AA32" s="14">
        <f t="shared" si="6"/>
        <v>3558.5</v>
      </c>
      <c r="AB32" s="87">
        <v>14026618</v>
      </c>
      <c r="AC32" s="86">
        <f t="shared" si="10"/>
        <v>13988643</v>
      </c>
      <c r="AD32" s="5">
        <f t="shared" si="3"/>
        <v>37975</v>
      </c>
      <c r="AE32" s="83">
        <f t="shared" si="11"/>
        <v>12451.964524999999</v>
      </c>
      <c r="AF32" s="83">
        <f>101592.9-101524.8</f>
        <v>68.099999999991269</v>
      </c>
      <c r="AG32" s="83">
        <f t="shared" si="18"/>
        <v>0</v>
      </c>
      <c r="AH32" s="83">
        <f>32119.9-32101.6</f>
        <v>18.30000000000291</v>
      </c>
      <c r="AI32" s="87">
        <f t="shared" si="12"/>
        <v>55166.1</v>
      </c>
      <c r="AJ32" s="87">
        <v>55204.4</v>
      </c>
      <c r="AK32" s="48">
        <f t="shared" si="7"/>
        <v>38.30000000000291</v>
      </c>
      <c r="AL32" s="89">
        <f t="shared" si="4"/>
        <v>10890.418712247827</v>
      </c>
      <c r="AM32" s="83">
        <f t="shared" si="13"/>
        <v>3570.95740532735</v>
      </c>
      <c r="AN32" s="5">
        <v>103</v>
      </c>
      <c r="AO32" s="78">
        <f t="shared" si="5"/>
        <v>25150.432365000001</v>
      </c>
    </row>
    <row r="33" spans="1:41" x14ac:dyDescent="0.25">
      <c r="A33" s="79">
        <v>44740</v>
      </c>
      <c r="B33" s="86">
        <f>14387147-14380912</f>
        <v>6235</v>
      </c>
      <c r="C33" s="86">
        <f>9223192-9219040</f>
        <v>4152</v>
      </c>
      <c r="D33" s="86">
        <f>1834185-1833241</f>
        <v>944</v>
      </c>
      <c r="E33" s="86">
        <f>13900183-13892298</f>
        <v>7885</v>
      </c>
      <c r="F33" s="86">
        <f>13611264-13605071</f>
        <v>6193</v>
      </c>
      <c r="G33" s="86">
        <f>9357141-9354084</f>
        <v>3057</v>
      </c>
      <c r="H33" s="86">
        <f>10675056-10665940</f>
        <v>9116</v>
      </c>
      <c r="I33" s="86">
        <f>6039143-6036777</f>
        <v>2366</v>
      </c>
      <c r="J33" s="86">
        <f>14043930-14036906</f>
        <v>7024</v>
      </c>
      <c r="K33" s="86">
        <f t="shared" si="14"/>
        <v>37582</v>
      </c>
      <c r="L33" s="14">
        <f t="shared" si="8"/>
        <v>7516.4000000000005</v>
      </c>
      <c r="M33" s="83">
        <f>39158.98-38986.821</f>
        <v>172.15899999999965</v>
      </c>
      <c r="N33" s="83">
        <f>5116.698-5114.489</f>
        <v>2.2090000000007421</v>
      </c>
      <c r="O33" s="83">
        <f>10501.811-10501.709</f>
        <v>0.10199999999895226</v>
      </c>
      <c r="P33" s="82">
        <f>16411.796-16344.292</f>
        <v>67.503999999998996</v>
      </c>
      <c r="Q33" s="83">
        <f>29996.61-29979.559</f>
        <v>17.050999999999476</v>
      </c>
      <c r="R33" s="83">
        <f t="shared" si="0"/>
        <v>69.81499999999869</v>
      </c>
      <c r="S33" s="83">
        <f t="shared" si="1"/>
        <v>547.34959999998978</v>
      </c>
      <c r="T33" s="83">
        <f t="shared" si="2"/>
        <v>189.20999999999913</v>
      </c>
      <c r="U33" s="83">
        <f t="shared" si="15"/>
        <v>1483.406399999993</v>
      </c>
      <c r="V33" s="122">
        <f>426880.4-426723.3</f>
        <v>157.10000000003492</v>
      </c>
      <c r="W33" s="122">
        <f>169874.53-169728.74</f>
        <v>145.79000000000815</v>
      </c>
      <c r="X33" s="86" t="s">
        <v>63</v>
      </c>
      <c r="Y33" s="87">
        <v>1095001</v>
      </c>
      <c r="Z33" s="5">
        <f t="shared" si="9"/>
        <v>654</v>
      </c>
      <c r="AA33" s="14">
        <f t="shared" si="6"/>
        <v>4231.38</v>
      </c>
      <c r="AB33" s="87">
        <v>14061540</v>
      </c>
      <c r="AC33" s="86">
        <f t="shared" si="10"/>
        <v>14026618</v>
      </c>
      <c r="AD33" s="5">
        <f t="shared" si="3"/>
        <v>34922</v>
      </c>
      <c r="AE33" s="83">
        <f t="shared" si="11"/>
        <v>11450.888878</v>
      </c>
      <c r="AF33" s="83">
        <f>101655.1-101592.9</f>
        <v>62.200000000011642</v>
      </c>
      <c r="AG33" s="83">
        <f t="shared" si="18"/>
        <v>0</v>
      </c>
      <c r="AH33" s="83">
        <f>32136.9-32119.9</f>
        <v>17</v>
      </c>
      <c r="AI33" s="87">
        <f t="shared" si="12"/>
        <v>55204.4</v>
      </c>
      <c r="AJ33" s="87">
        <v>55238.1</v>
      </c>
      <c r="AK33" s="48">
        <f t="shared" si="7"/>
        <v>33.69999999999709</v>
      </c>
      <c r="AL33" s="89">
        <f t="shared" si="4"/>
        <v>9582.4310862321727</v>
      </c>
      <c r="AM33" s="83">
        <f t="shared" si="13"/>
        <v>3142.0695707444434</v>
      </c>
      <c r="AN33" s="5">
        <v>136</v>
      </c>
      <c r="AO33" s="78">
        <f t="shared" si="5"/>
        <v>24682.075277999997</v>
      </c>
    </row>
    <row r="34" spans="1:41" x14ac:dyDescent="0.25">
      <c r="A34" s="79">
        <v>44741</v>
      </c>
      <c r="B34" s="86">
        <f>14393502-14387147</f>
        <v>6355</v>
      </c>
      <c r="C34" s="86">
        <f>9227197-9223192</f>
        <v>4005</v>
      </c>
      <c r="D34" s="86">
        <f>1835103-1834185</f>
        <v>918</v>
      </c>
      <c r="E34" s="86">
        <f>13907946-13900183</f>
        <v>7763</v>
      </c>
      <c r="F34" s="86">
        <f>13617279-13611264</f>
        <v>6015</v>
      </c>
      <c r="G34" s="86">
        <f>9360269-9357141</f>
        <v>3128</v>
      </c>
      <c r="H34" s="86">
        <f>10684375-10675056</f>
        <v>9319</v>
      </c>
      <c r="I34" s="86">
        <f>6041487-6039143</f>
        <v>2344</v>
      </c>
      <c r="J34" s="86">
        <f>14050858-14043930</f>
        <v>6928</v>
      </c>
      <c r="K34" s="86">
        <f t="shared" si="14"/>
        <v>37503</v>
      </c>
      <c r="L34" s="14">
        <f t="shared" si="8"/>
        <v>7500.6</v>
      </c>
      <c r="M34" s="83">
        <f>39370.704-39158.98</f>
        <v>211.7239999999947</v>
      </c>
      <c r="N34" s="83">
        <f>5119.488-5116.698</f>
        <v>2.7899999999999636</v>
      </c>
      <c r="O34" s="83">
        <f>10501.878-10501.811</f>
        <v>6.7000000000916771E-2</v>
      </c>
      <c r="P34" s="82">
        <f>16489.423-16411.796</f>
        <v>77.627000000000407</v>
      </c>
      <c r="Q34" s="83">
        <f>30015.36-29996.61</f>
        <v>18.75</v>
      </c>
      <c r="R34" s="83">
        <f t="shared" si="0"/>
        <v>80.484000000001288</v>
      </c>
      <c r="S34" s="83">
        <f t="shared" si="1"/>
        <v>630.9945600000101</v>
      </c>
      <c r="T34" s="83">
        <f t="shared" si="2"/>
        <v>230.4739999999947</v>
      </c>
      <c r="U34" s="83">
        <f t="shared" si="15"/>
        <v>1806.9161599999584</v>
      </c>
      <c r="V34" s="122">
        <f>427032-426880.4</f>
        <v>151.59999999997672</v>
      </c>
      <c r="W34" s="122">
        <f>169998.08-169874.53</f>
        <v>123.54999999998836</v>
      </c>
      <c r="X34" s="86" t="s">
        <v>63</v>
      </c>
      <c r="Y34" s="87">
        <v>1095623</v>
      </c>
      <c r="Z34" s="5">
        <f t="shared" si="9"/>
        <v>622</v>
      </c>
      <c r="AA34" s="14">
        <f t="shared" si="6"/>
        <v>4024.3399999999997</v>
      </c>
      <c r="AB34" s="87">
        <v>14097929</v>
      </c>
      <c r="AC34" s="86">
        <f t="shared" si="10"/>
        <v>14061540</v>
      </c>
      <c r="AD34" s="5">
        <f t="shared" si="3"/>
        <v>36389</v>
      </c>
      <c r="AE34" s="83">
        <f t="shared" si="11"/>
        <v>11931.916711</v>
      </c>
      <c r="AF34" s="83">
        <f>101720-101655.1</f>
        <v>64.899999999994179</v>
      </c>
      <c r="AG34" s="83">
        <f t="shared" si="18"/>
        <v>0</v>
      </c>
      <c r="AH34" s="83">
        <f>32154-32136.9</f>
        <v>17.099999999998545</v>
      </c>
      <c r="AI34" s="87">
        <f t="shared" si="12"/>
        <v>55238.1</v>
      </c>
      <c r="AJ34" s="87">
        <v>55271.5</v>
      </c>
      <c r="AK34" s="48">
        <f t="shared" si="7"/>
        <v>33.400000000001455</v>
      </c>
      <c r="AL34" s="89">
        <f t="shared" si="4"/>
        <v>9497.1275454064125</v>
      </c>
      <c r="AM34" s="83">
        <f t="shared" si="13"/>
        <v>3114.0986250112173</v>
      </c>
      <c r="AN34" s="5">
        <v>139</v>
      </c>
      <c r="AO34" s="78">
        <f t="shared" si="5"/>
        <v>25263.772870999957</v>
      </c>
    </row>
    <row r="35" spans="1:41" x14ac:dyDescent="0.25">
      <c r="A35" s="79">
        <v>44742</v>
      </c>
      <c r="B35" s="86">
        <f>14399795-14393502</f>
        <v>6293</v>
      </c>
      <c r="C35" s="86">
        <f>9232019-9227197</f>
        <v>4822</v>
      </c>
      <c r="D35" s="86">
        <f>1836056-1835103</f>
        <v>953</v>
      </c>
      <c r="E35" s="86">
        <f>13915569-13907946</f>
        <v>7623</v>
      </c>
      <c r="F35" s="86">
        <f>13623468-13617279</f>
        <v>6189</v>
      </c>
      <c r="G35" s="86">
        <f>9363539-9360269</f>
        <v>3270</v>
      </c>
      <c r="H35" s="86">
        <f>10693596-10684375</f>
        <v>9221</v>
      </c>
      <c r="I35" s="86">
        <f>6043860-6041487</f>
        <v>2373</v>
      </c>
      <c r="J35" s="86">
        <f>14057935-14050858</f>
        <v>7077</v>
      </c>
      <c r="K35" s="86">
        <f t="shared" ref="K35:K36" si="19">SUM(B35:H35)</f>
        <v>38371</v>
      </c>
      <c r="L35" s="14">
        <f t="shared" ref="L35:L36" si="20">K35*0.2</f>
        <v>7674.2000000000007</v>
      </c>
      <c r="M35" s="83">
        <f>39570.6-39370.704</f>
        <v>199.89600000000064</v>
      </c>
      <c r="N35" s="83">
        <f>5122.147-5119.488</f>
        <v>2.6589999999996508</v>
      </c>
      <c r="O35" s="83">
        <f>10501.993-10501.878</f>
        <v>0.11499999999978172</v>
      </c>
      <c r="P35" s="82">
        <f>16564.842-16489.423</f>
        <v>75.419000000001688</v>
      </c>
      <c r="Q35" s="83">
        <f>30029.911-30015.36</f>
        <v>14.550999999999476</v>
      </c>
      <c r="R35" s="83">
        <f t="shared" ref="R35:R36" si="21">N35+O35+P35</f>
        <v>78.19300000000112</v>
      </c>
      <c r="S35" s="83">
        <f t="shared" ref="S35:S36" si="22">(N35+O35+P35)*7.84</f>
        <v>613.03312000000881</v>
      </c>
      <c r="T35" s="83">
        <f t="shared" ref="T35:T36" si="23">M35+Q35</f>
        <v>214.44700000000012</v>
      </c>
      <c r="U35" s="83">
        <f t="shared" ref="U35:U36" si="24">T35*7.84</f>
        <v>1681.264480000001</v>
      </c>
      <c r="V35" s="83">
        <f>427197-427032</f>
        <v>165</v>
      </c>
      <c r="W35" s="83">
        <f>170146.42-169998.08</f>
        <v>148.34000000002561</v>
      </c>
      <c r="X35" s="86" t="s">
        <v>63</v>
      </c>
      <c r="Y35" s="87">
        <v>1096266</v>
      </c>
      <c r="Z35" s="5">
        <f t="shared" ref="Z35:Z36" si="25">IF((Y35-Y34&lt;0), "0",Y35-Y34)</f>
        <v>643</v>
      </c>
      <c r="AA35" s="14">
        <f t="shared" ref="AA35:AA36" si="26">Z35*6.47</f>
        <v>4160.21</v>
      </c>
      <c r="AB35" s="87">
        <v>14132704</v>
      </c>
      <c r="AC35" s="86">
        <f t="shared" ref="AC35:AC36" si="27">AB34</f>
        <v>14097929</v>
      </c>
      <c r="AD35" s="5">
        <f t="shared" ref="AD35:AD36" si="28">IF((AB35-AC35&lt;0), "0",AB35-AC35)</f>
        <v>34775</v>
      </c>
      <c r="AE35" s="83">
        <f t="shared" si="11"/>
        <v>11402.687725</v>
      </c>
      <c r="AF35" s="83">
        <f>101783-101720</f>
        <v>63</v>
      </c>
      <c r="AG35" s="83">
        <f t="shared" si="18"/>
        <v>0</v>
      </c>
      <c r="AH35" s="83">
        <f>32171-32154</f>
        <v>17</v>
      </c>
      <c r="AI35" s="87">
        <f t="shared" si="12"/>
        <v>55271.5</v>
      </c>
      <c r="AJ35" s="87">
        <v>55305</v>
      </c>
      <c r="AK35" s="48">
        <f t="shared" ref="AK35:AK36" si="29">IF((AJ35-AI35)&lt;0, "0",AJ35-AI35)</f>
        <v>33.5</v>
      </c>
      <c r="AL35" s="89">
        <f t="shared" ref="AL35:AL36" si="30">AK35*(284.34513609)</f>
        <v>9525.5620590149992</v>
      </c>
      <c r="AM35" s="83">
        <f t="shared" si="13"/>
        <v>3123.4222735889593</v>
      </c>
      <c r="AN35" s="5">
        <v>98</v>
      </c>
      <c r="AO35" s="78">
        <f t="shared" si="5"/>
        <v>24918.362205000001</v>
      </c>
    </row>
    <row r="36" spans="1:41" x14ac:dyDescent="0.25">
      <c r="A36" s="79"/>
      <c r="B36" s="86"/>
      <c r="C36" s="86"/>
      <c r="D36" s="86"/>
      <c r="E36" s="86"/>
      <c r="F36" s="86"/>
      <c r="G36" s="86"/>
      <c r="H36" s="86"/>
      <c r="I36" s="86"/>
      <c r="J36" s="86"/>
      <c r="K36" s="86">
        <f t="shared" si="19"/>
        <v>0</v>
      </c>
      <c r="L36" s="14">
        <f t="shared" si="20"/>
        <v>0</v>
      </c>
      <c r="M36" s="83"/>
      <c r="N36" s="83"/>
      <c r="O36" s="83"/>
      <c r="P36" s="82"/>
      <c r="Q36" s="83"/>
      <c r="R36" s="83">
        <f t="shared" si="21"/>
        <v>0</v>
      </c>
      <c r="S36" s="83">
        <f t="shared" si="22"/>
        <v>0</v>
      </c>
      <c r="T36" s="83">
        <f t="shared" si="23"/>
        <v>0</v>
      </c>
      <c r="U36" s="83">
        <f t="shared" si="24"/>
        <v>0</v>
      </c>
      <c r="V36" s="122"/>
      <c r="W36" s="122"/>
      <c r="X36" s="86" t="s">
        <v>63</v>
      </c>
      <c r="Y36" s="87"/>
      <c r="Z36" s="5" t="str">
        <f t="shared" si="25"/>
        <v>0</v>
      </c>
      <c r="AA36" s="14">
        <f t="shared" si="26"/>
        <v>0</v>
      </c>
      <c r="AB36" s="87"/>
      <c r="AC36" s="86">
        <f t="shared" si="27"/>
        <v>14132704</v>
      </c>
      <c r="AD36" s="5" t="str">
        <f t="shared" si="28"/>
        <v>0</v>
      </c>
      <c r="AE36" s="83">
        <f>AD36*0.327899</f>
        <v>0</v>
      </c>
      <c r="AF36" s="83"/>
      <c r="AG36" s="83"/>
      <c r="AH36" s="83"/>
      <c r="AI36" s="87">
        <f t="shared" si="12"/>
        <v>55305</v>
      </c>
      <c r="AJ36" s="87"/>
      <c r="AK36" s="48" t="str">
        <f t="shared" si="29"/>
        <v>0</v>
      </c>
      <c r="AL36" s="89">
        <f t="shared" si="30"/>
        <v>0</v>
      </c>
      <c r="AM36" s="83">
        <f t="shared" si="13"/>
        <v>0</v>
      </c>
      <c r="AN36" s="5"/>
      <c r="AO36" s="78">
        <f t="shared" si="5"/>
        <v>0</v>
      </c>
    </row>
    <row r="37" spans="1:41" x14ac:dyDescent="0.25">
      <c r="A37" s="76"/>
      <c r="D37" s="6">
        <f>SUM(D6:D36)</f>
        <v>27827</v>
      </c>
      <c r="E37" s="6" t="s">
        <v>93</v>
      </c>
      <c r="G37" s="6">
        <f t="shared" ref="G37:L37" si="31">SUM(G6:G36)</f>
        <v>90792</v>
      </c>
      <c r="H37" s="6">
        <f t="shared" si="31"/>
        <v>266644</v>
      </c>
      <c r="I37" s="6">
        <f t="shared" si="31"/>
        <v>71314</v>
      </c>
      <c r="J37" s="6">
        <f t="shared" si="31"/>
        <v>213507</v>
      </c>
      <c r="K37" s="6">
        <f t="shared" si="31"/>
        <v>1117750</v>
      </c>
      <c r="L37" s="15">
        <f t="shared" si="31"/>
        <v>223550</v>
      </c>
      <c r="R37" s="16">
        <f>SUM(R6:R36)</f>
        <v>2338.4690000000019</v>
      </c>
      <c r="T37" s="16">
        <f>SUM(T6:T36)</f>
        <v>6155.9010000000017</v>
      </c>
      <c r="U37" s="16">
        <f t="shared" si="15"/>
        <v>48262.263840000014</v>
      </c>
      <c r="Z37" s="17">
        <f>SUM(Z6:Z36)</f>
        <v>19863</v>
      </c>
      <c r="AA37" s="17">
        <f>SUM(AA6:AA36)</f>
        <v>128513.60999999999</v>
      </c>
      <c r="AD37" s="17">
        <f>SUM(AD6:AD36)</f>
        <v>963193</v>
      </c>
      <c r="AE37" s="16">
        <f>AD37*0.334569</f>
        <v>322254.51881700003</v>
      </c>
      <c r="AF37" s="16">
        <f>SUM(AF6:AF36)</f>
        <v>1669</v>
      </c>
      <c r="AG37" s="16">
        <f>SUM(AG6:AG36)</f>
        <v>0</v>
      </c>
      <c r="AH37" s="16">
        <f>SUM(AH6:AH36)</f>
        <v>490</v>
      </c>
      <c r="AK37" s="42">
        <f>SUM(AK6:AK36)</f>
        <v>959.30000000000291</v>
      </c>
      <c r="AL37" s="42">
        <f>SUM(AL6:AL36)</f>
        <v>272772.28905113775</v>
      </c>
      <c r="AM37" s="42">
        <f>SUM(AM6:AM36)</f>
        <v>89441.760807579034</v>
      </c>
      <c r="AN37" s="42">
        <f>SUM(AN6:AN36)</f>
        <v>2882</v>
      </c>
      <c r="AO37" s="42">
        <f>SUM(AO6:AO36)</f>
        <v>716155.8953470001</v>
      </c>
    </row>
    <row r="38" spans="1:41" x14ac:dyDescent="0.25">
      <c r="D38" s="6" t="e">
        <f>#REF!*24</f>
        <v>#REF!</v>
      </c>
      <c r="E38" s="6" t="s">
        <v>1</v>
      </c>
      <c r="R38" s="16">
        <v>7.84</v>
      </c>
      <c r="T38" s="16" t="s">
        <v>99</v>
      </c>
      <c r="U38" s="16">
        <f>U37-R39</f>
        <v>29928.666880000001</v>
      </c>
    </row>
    <row r="39" spans="1:41" x14ac:dyDescent="0.25">
      <c r="D39" s="6" t="e">
        <f>D38*31</f>
        <v>#REF!</v>
      </c>
      <c r="E39" s="6" t="s">
        <v>2</v>
      </c>
      <c r="F39" s="6" t="s">
        <v>94</v>
      </c>
      <c r="G39" s="6" t="e">
        <f>D39*0.2</f>
        <v>#REF!</v>
      </c>
      <c r="R39" s="16">
        <f>R37*R38</f>
        <v>18333.596960000013</v>
      </c>
      <c r="U39" s="16">
        <f>U38/R38</f>
        <v>3817.4320000000002</v>
      </c>
    </row>
    <row r="40" spans="1:41" x14ac:dyDescent="0.25">
      <c r="D40" s="15" t="e">
        <f>D39*0.2</f>
        <v>#REF!</v>
      </c>
    </row>
    <row r="41" spans="1:41" x14ac:dyDescent="0.25">
      <c r="E41" s="68" t="s">
        <v>98</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AABCC40F5CFC45BBCE981A278A7C4E" ma:contentTypeVersion="4" ma:contentTypeDescription="Create a new document." ma:contentTypeScope="" ma:versionID="b91eb22a3c415965adaa06a4ede6a68f">
  <xsd:schema xmlns:xsd="http://www.w3.org/2001/XMLSchema" xmlns:xs="http://www.w3.org/2001/XMLSchema" xmlns:p="http://schemas.microsoft.com/office/2006/metadata/properties" xmlns:ns2="999013b5-db2e-47f1-85a9-df7f954d7a13" xmlns:ns3="a21bcabd-71d1-4587-a317-3c23b4e73213" targetNamespace="http://schemas.microsoft.com/office/2006/metadata/properties" ma:root="true" ma:fieldsID="b499ca2ea6e613fe67e5797409ceb1a7" ns2:_="" ns3:_="">
    <xsd:import namespace="999013b5-db2e-47f1-85a9-df7f954d7a13"/>
    <xsd:import namespace="a21bcabd-71d1-4587-a317-3c23b4e732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013b5-db2e-47f1-85a9-df7f954d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1bcabd-71d1-4587-a317-3c23b4e732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6C8D42-6205-48ED-A426-119B6942F6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013b5-db2e-47f1-85a9-df7f954d7a13"/>
    <ds:schemaRef ds:uri="a21bcabd-71d1-4587-a317-3c23b4e732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B0F865-9138-4E1D-8771-8D60B0AC9DE3}">
  <ds:schemaRefs>
    <ds:schemaRef ds:uri="http://schemas.microsoft.com/office/2006/documentManagement/types"/>
    <ds:schemaRef ds:uri="999013b5-db2e-47f1-85a9-df7f954d7a13"/>
    <ds:schemaRef ds:uri="http://purl.org/dc/dcmitype/"/>
    <ds:schemaRef ds:uri="http://schemas.microsoft.com/office/2006/metadata/properties"/>
    <ds:schemaRef ds:uri="http://www.w3.org/XML/1998/namespace"/>
    <ds:schemaRef ds:uri="http://purl.org/dc/terms/"/>
    <ds:schemaRef ds:uri="http://schemas.openxmlformats.org/package/2006/metadata/core-properties"/>
    <ds:schemaRef ds:uri="a21bcabd-71d1-4587-a317-3c23b4e73213"/>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068C7322-DDD4-4103-9BFC-E4E0AA6EEC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Janet Perona</cp:lastModifiedBy>
  <dcterms:created xsi:type="dcterms:W3CDTF">2017-05-03T09:23:30Z</dcterms:created>
  <dcterms:modified xsi:type="dcterms:W3CDTF">2022-07-04T05:56:43Z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0x010100B8AABCC40F5CFC45BBCE981A278A7C4E</vt:lpwstr>
  </property>
  <property fmtid="{D5CDD505-2E9C-101B-9397-08002B2CF9AE}" pid="3" name="Order">
    <vt:r8>13200</vt:r8>
  </property>
</Properties>
</file>