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G15" i="31" l="1"/>
  <c r="L15" i="31"/>
  <c r="I15" i="31"/>
  <c r="L14" i="31" l="1"/>
  <c r="I14" i="31"/>
  <c r="G14" i="31"/>
  <c r="L12" i="31" l="1"/>
  <c r="L13" i="31"/>
  <c r="G12" i="31"/>
  <c r="G13" i="31"/>
  <c r="I12" i="31"/>
  <c r="I13" i="31"/>
  <c r="L11" i="31" l="1"/>
  <c r="I11" i="31"/>
  <c r="G11" i="31"/>
  <c r="L10" i="31" l="1"/>
  <c r="I10" i="31"/>
  <c r="G10" i="31"/>
  <c r="L9" i="31" l="1"/>
  <c r="I9" i="31"/>
  <c r="G9" i="31"/>
  <c r="G8" i="31"/>
  <c r="L8" i="31" l="1"/>
  <c r="I8" i="31"/>
  <c r="L6" i="31" l="1"/>
  <c r="L7" i="31"/>
  <c r="L5" i="31"/>
  <c r="I6" i="31"/>
  <c r="I7" i="31"/>
  <c r="I5" i="31"/>
  <c r="G6" i="31"/>
  <c r="G7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<sst xmlns="http://schemas.openxmlformats.org/spreadsheetml/2006/main" count="64" uniqueCount="31">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</sst>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60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34361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202000</v>
      </c>
      <c r="J9" s="10">
        <v>3.61E-2</v>
      </c>
      <c r="K9" s="1">
        <f>'Oct 2020'!I12</f>
        <v>967</v>
      </c>
      <c r="L9" s="10">
        <v>0.75</v>
      </c>
      <c r="M9" s="10">
        <f>'Oct 2020'!L12</f>
        <v>678</v>
      </c>
      <c r="N9" s="10">
        <v>0.56299999999999994</v>
      </c>
      <c r="O9" s="15">
        <f>'Oct 2020'!D12</f>
        <v>45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34361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54000</v>
      </c>
      <c r="J10" s="10">
        <v>3.61E-2</v>
      </c>
      <c r="K10" s="1">
        <f>'Oct 2020'!I13</f>
        <v>250</v>
      </c>
      <c r="L10" s="10">
        <v>0.75</v>
      </c>
      <c r="M10" s="10">
        <f>'Oct 2020'!L13</f>
        <v>269</v>
      </c>
      <c r="N10" s="10">
        <v>0.56299999999999994</v>
      </c>
      <c r="O10" s="15">
        <f>'Oct 2020'!D13</f>
        <v>44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33974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57000</v>
      </c>
      <c r="J11" s="10">
        <v>3.61E-2</v>
      </c>
      <c r="K11" s="1">
        <f>'Oct 2020'!I14</f>
        <v>214</v>
      </c>
      <c r="L11" s="10">
        <v>0.75</v>
      </c>
      <c r="M11" s="10">
        <f>'Oct 2020'!L14</f>
        <v>0</v>
      </c>
      <c r="N11" s="10">
        <v>0.56299999999999994</v>
      </c>
      <c r="O11" s="15">
        <f>'Oct 2020'!D14</f>
        <v>46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34071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60000</v>
      </c>
      <c r="J12" s="10">
        <v>3.61E-2</v>
      </c>
      <c r="K12" s="1">
        <f>'Oct 2020'!I15</f>
        <v>68</v>
      </c>
      <c r="L12" s="10">
        <v>0.75</v>
      </c>
      <c r="M12" s="10">
        <f>'Oct 2020'!L15</f>
        <v>712</v>
      </c>
      <c r="N12" s="10">
        <v>0.56299999999999994</v>
      </c>
      <c r="O12" s="15">
        <f>'Oct 2020'!D15</f>
        <v>59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0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0</v>
      </c>
      <c r="J13" s="10">
        <v>3.61E-2</v>
      </c>
      <c r="K13" s="1">
        <f>'Oct 2020'!I16</f>
        <v>0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0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0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0</v>
      </c>
      <c r="J14" s="10">
        <v>3.61E-2</v>
      </c>
      <c r="K14" s="1">
        <f>'Oct 2020'!I17</f>
        <v>0</v>
      </c>
      <c r="L14" s="10">
        <v>0.75</v>
      </c>
      <c r="M14" s="10">
        <f>'Oct 2020'!L17</f>
        <v>0</v>
      </c>
      <c r="N14" s="10">
        <v>0.56299999999999994</v>
      </c>
      <c r="O14" s="15">
        <f>'Oct 2020'!D17</f>
        <v>0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0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0</v>
      </c>
      <c r="J15" s="10">
        <v>3.61E-2</v>
      </c>
      <c r="K15" s="1">
        <f>'Oct 2020'!I18</f>
        <v>0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0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0</v>
      </c>
      <c r="F16" s="10">
        <v>2.9000000000000001E-2</v>
      </c>
      <c r="G16" s="1">
        <f>'Oct 2020'!J19</f>
        <v>0</v>
      </c>
      <c r="H16" s="10">
        <v>0.112</v>
      </c>
      <c r="I16" s="1">
        <f>'Oct 2020'!G19*1000</f>
        <v>0</v>
      </c>
      <c r="J16" s="10">
        <v>3.61E-2</v>
      </c>
      <c r="K16" s="1">
        <f>'Oct 2020'!I19</f>
        <v>0</v>
      </c>
      <c r="L16" s="10">
        <v>0.75</v>
      </c>
      <c r="M16" s="10">
        <f>'Oct 2020'!L19</f>
        <v>0</v>
      </c>
      <c r="N16" s="10">
        <v>0.56299999999999994</v>
      </c>
      <c r="O16" s="15">
        <f>'Oct 2020'!D19</f>
        <v>0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0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0</v>
      </c>
      <c r="J17" s="10">
        <v>3.61E-2</v>
      </c>
      <c r="K17" s="1">
        <f>'Oct 2020'!I20</f>
        <v>0</v>
      </c>
      <c r="L17" s="10">
        <v>0.75</v>
      </c>
      <c r="M17" s="10">
        <f>'Oct 2020'!L20</f>
        <v>0</v>
      </c>
      <c r="N17" s="10">
        <v>0.56299999999999994</v>
      </c>
      <c r="O17" s="15">
        <f>'Oct 2020'!D20</f>
        <v>0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0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0</v>
      </c>
      <c r="J18" s="10">
        <v>3.61E-2</v>
      </c>
      <c r="K18" s="1">
        <f>'Oct 2020'!I21</f>
        <v>0</v>
      </c>
      <c r="L18" s="10">
        <v>0.75</v>
      </c>
      <c r="M18" s="10">
        <f>'Oct 2020'!L21</f>
        <v>0</v>
      </c>
      <c r="N18" s="10">
        <v>0.56299999999999994</v>
      </c>
      <c r="O18" s="15">
        <f>'Oct 2020'!D21</f>
        <v>0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0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0</v>
      </c>
      <c r="J19" s="10">
        <v>3.61E-2</v>
      </c>
      <c r="K19" s="1">
        <f>'Oct 2020'!I22</f>
        <v>0</v>
      </c>
      <c r="L19" s="10">
        <v>0.75</v>
      </c>
      <c r="M19" s="10">
        <f>'Oct 2020'!L22</f>
        <v>0</v>
      </c>
      <c r="N19" s="10">
        <v>0.56299999999999994</v>
      </c>
      <c r="O19" s="15">
        <f>'Oct 2020'!D22</f>
        <v>0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0</v>
      </c>
      <c r="F20" s="10">
        <v>2.9000000000000001E-2</v>
      </c>
      <c r="G20" s="1">
        <f>'Oct 2020'!J23</f>
        <v>0</v>
      </c>
      <c r="H20" s="10">
        <v>0.112</v>
      </c>
      <c r="I20" s="1">
        <f>'Oct 2020'!G23*1000</f>
        <v>0</v>
      </c>
      <c r="J20" s="10">
        <v>3.61E-2</v>
      </c>
      <c r="K20" s="1">
        <f>'Oct 2020'!I23</f>
        <v>0</v>
      </c>
      <c r="L20" s="10">
        <v>0.75</v>
      </c>
      <c r="M20" s="10">
        <f>'Oct 2020'!L23</f>
        <v>0</v>
      </c>
      <c r="N20" s="10">
        <v>0.56299999999999994</v>
      </c>
      <c r="O20" s="15">
        <f>'Oct 2020'!D23</f>
        <v>0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0</v>
      </c>
      <c r="F21" s="10">
        <v>2.9000000000000001E-2</v>
      </c>
      <c r="G21" s="1">
        <f>'Oct 2020'!J24</f>
        <v>0</v>
      </c>
      <c r="H21" s="10">
        <v>0.112</v>
      </c>
      <c r="I21" s="1">
        <f>'Oct 2020'!G24*1000</f>
        <v>0</v>
      </c>
      <c r="J21" s="10">
        <v>3.61E-2</v>
      </c>
      <c r="K21" s="1">
        <f>'Oct 2020'!I24</f>
        <v>0</v>
      </c>
      <c r="L21" s="10">
        <v>0.75</v>
      </c>
      <c r="M21" s="10">
        <f>'Oct 2020'!L24</f>
        <v>0</v>
      </c>
      <c r="N21" s="10">
        <v>0.56299999999999994</v>
      </c>
      <c r="O21" s="15">
        <f>'Oct 2020'!D24</f>
        <v>0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0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0</v>
      </c>
      <c r="J22" s="10">
        <v>3.61E-2</v>
      </c>
      <c r="K22" s="1">
        <f>'Oct 2020'!I25</f>
        <v>0</v>
      </c>
      <c r="L22" s="10">
        <v>0.75</v>
      </c>
      <c r="M22" s="10">
        <f>'Oct 2020'!L25</f>
        <v>0</v>
      </c>
      <c r="N22" s="10">
        <v>0.56299999999999994</v>
      </c>
      <c r="O22" s="15">
        <f>'Oct 2020'!D25</f>
        <v>0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workbookViewId="0">
      <selection activeCell="J38" sqref="J3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7" si="0">F7-F6</f>
        <v>88</v>
      </c>
      <c r="H6" s="7">
        <v>413270</v>
      </c>
      <c r="I6" s="3">
        <f t="shared" ref="I6:I15" si="1">H7-H6</f>
        <v>307</v>
      </c>
      <c r="J6" s="3">
        <v>0</v>
      </c>
      <c r="K6" s="4">
        <v>255966</v>
      </c>
      <c r="L6" s="9">
        <f t="shared" ref="L6:L15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>F9-F8</f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>F10-F9</f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>F11-F10</f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60</v>
      </c>
      <c r="E11" s="12">
        <v>31251</v>
      </c>
      <c r="F11" s="4">
        <v>180074</v>
      </c>
      <c r="G11" s="8">
        <f>F12-F11</f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45</v>
      </c>
      <c r="E12" s="12">
        <v>34361</v>
      </c>
      <c r="F12" s="4">
        <v>180150</v>
      </c>
      <c r="G12" s="8">
        <f t="shared" ref="G12:G15" si="3">F13-F12</f>
        <v>202</v>
      </c>
      <c r="H12" s="7">
        <v>414568</v>
      </c>
      <c r="I12" s="3">
        <f t="shared" si="1"/>
        <v>967</v>
      </c>
      <c r="J12" s="3">
        <v>0</v>
      </c>
      <c r="K12" s="4">
        <v>257750</v>
      </c>
      <c r="L12" s="9">
        <f t="shared" si="2"/>
        <v>678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44</v>
      </c>
      <c r="E13" s="12">
        <v>34361</v>
      </c>
      <c r="F13" s="4">
        <v>180352</v>
      </c>
      <c r="G13" s="8">
        <f t="shared" si="3"/>
        <v>54</v>
      </c>
      <c r="H13" s="7">
        <v>415535</v>
      </c>
      <c r="I13" s="3">
        <f t="shared" si="1"/>
        <v>250</v>
      </c>
      <c r="J13" s="3">
        <v>0</v>
      </c>
      <c r="K13" s="4">
        <v>258428</v>
      </c>
      <c r="L13" s="9">
        <f t="shared" si="2"/>
        <v>269</v>
      </c>
      <c r="N13" s="1"/>
    </row>
    <row r="14" spans="1:14" x14ac:dyDescent="0.2">
      <c r="B14" s="2">
        <v>10</v>
      </c>
      <c r="C14" s="11">
        <v>44114</v>
      </c>
      <c r="D14" s="7">
        <v>46</v>
      </c>
      <c r="E14" s="12">
        <v>33974</v>
      </c>
      <c r="F14" s="4">
        <v>180406</v>
      </c>
      <c r="G14" s="8">
        <f t="shared" si="3"/>
        <v>57</v>
      </c>
      <c r="H14" s="7">
        <v>415785</v>
      </c>
      <c r="I14" s="3">
        <f t="shared" si="1"/>
        <v>214</v>
      </c>
      <c r="J14" s="3">
        <v>0</v>
      </c>
      <c r="K14" s="4">
        <v>258697</v>
      </c>
      <c r="L14" s="9">
        <f t="shared" si="2"/>
        <v>0</v>
      </c>
      <c r="N14" s="1"/>
    </row>
    <row r="15" spans="1:14" x14ac:dyDescent="0.2">
      <c r="B15" s="2">
        <v>11</v>
      </c>
      <c r="C15" s="11">
        <v>44115</v>
      </c>
      <c r="D15" s="7">
        <v>59</v>
      </c>
      <c r="E15" s="12">
        <v>34071</v>
      </c>
      <c r="F15" s="4">
        <v>180463</v>
      </c>
      <c r="G15" s="8">
        <f t="shared" si="3"/>
        <v>60</v>
      </c>
      <c r="H15" s="7">
        <v>415999</v>
      </c>
      <c r="I15" s="3">
        <f t="shared" si="1"/>
        <v>68</v>
      </c>
      <c r="J15" s="3">
        <v>0</v>
      </c>
      <c r="K15" s="4">
        <v>258697</v>
      </c>
      <c r="L15" s="9">
        <f t="shared" si="2"/>
        <v>712</v>
      </c>
      <c r="N15" s="1"/>
    </row>
    <row r="16" spans="1:14" ht="13.5" customHeight="1" x14ac:dyDescent="0.2">
      <c r="B16" s="2">
        <v>12</v>
      </c>
      <c r="C16" s="11">
        <v>44116</v>
      </c>
      <c r="D16" s="7"/>
      <c r="E16" s="12"/>
      <c r="F16" s="4">
        <v>180523</v>
      </c>
      <c r="G16" s="8"/>
      <c r="H16" s="7">
        <v>416067</v>
      </c>
      <c r="I16" s="3"/>
      <c r="J16" s="3"/>
      <c r="K16" s="4">
        <v>259409</v>
      </c>
      <c r="L16" s="9"/>
      <c r="N16" s="1"/>
    </row>
    <row r="17" spans="1:14" x14ac:dyDescent="0.2">
      <c r="B17" s="2">
        <v>13</v>
      </c>
      <c r="C17" s="11">
        <v>44117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44118</v>
      </c>
      <c r="D18" s="7"/>
      <c r="E18" s="13"/>
      <c r="F18" s="4"/>
      <c r="G18" s="8"/>
      <c r="H18" s="1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44119</v>
      </c>
      <c r="D19" s="7"/>
      <c r="E19" s="13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44120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44121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44122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44123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44124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44125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44126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2020-10-14T05:34:02Z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