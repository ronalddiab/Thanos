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<sst xmlns="http://schemas.openxmlformats.org/spreadsheetml/2006/main" count="106" uniqueCount="33">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</sst>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H2" sqref="H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f>Submetering!D2</f>
        <v>2022</v>
      </c>
      <c r="E2" s="20">
        <f>Submetering!E2</f>
        <v>9268.84</v>
      </c>
      <c r="F2" s="16">
        <v>0.12</v>
      </c>
      <c r="G2" s="20">
        <f>Submetering!F2+Submetering!G2</f>
        <v>145.57999999999998</v>
      </c>
      <c r="H2" s="16">
        <f>0.09793*10.7</f>
        <v>1.0478509999999999</v>
      </c>
      <c r="I2" s="20">
        <f>Submetering!J2+Submetering!I2+Submetering!H2</f>
        <v>106.93</v>
      </c>
      <c r="J2" s="16">
        <v>3.7390400000000001</v>
      </c>
      <c r="K2" s="20">
        <f>Submetering!K2</f>
        <v>97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9</v>
      </c>
      <c r="D3" s="9">
        <f>Submetering!D3</f>
        <v>2022</v>
      </c>
      <c r="E3" s="20">
        <f>Submetering!E3</f>
        <v>9607.2800000000007</v>
      </c>
      <c r="F3" s="16">
        <v>0.12</v>
      </c>
      <c r="G3" s="20">
        <f>Submetering!F3+Submetering!G3</f>
        <v>135.16</v>
      </c>
      <c r="H3" s="16">
        <f>H2</f>
        <v>1.0478509999999999</v>
      </c>
      <c r="I3" s="20">
        <f>Submetering!J3+Submetering!I3+Submetering!H3</f>
        <v>101.36</v>
      </c>
      <c r="J3" s="16">
        <f>J2</f>
        <v>3.7390400000000001</v>
      </c>
      <c r="K3" s="20">
        <f>Submetering!K3</f>
        <v>85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9</v>
      </c>
      <c r="D4" s="9">
        <f>Submetering!D4</f>
        <v>2022</v>
      </c>
      <c r="E4" s="20">
        <f>Submetering!E4</f>
        <v>9406.8799999999992</v>
      </c>
      <c r="F4" s="16">
        <v>0.12</v>
      </c>
      <c r="G4" s="20">
        <f>Submetering!F4+Submetering!G4</f>
        <v>138.16</v>
      </c>
      <c r="H4" s="16">
        <f t="shared" ref="H4:H31" si="2">H3</f>
        <v>1.0478509999999999</v>
      </c>
      <c r="I4" s="20">
        <f>Submetering!J4+Submetering!I4+Submetering!H4</f>
        <v>91.8</v>
      </c>
      <c r="J4" s="16">
        <f t="shared" ref="J4:J31" si="3">J3</f>
        <v>3.7390400000000001</v>
      </c>
      <c r="K4" s="20">
        <f>Submetering!K4</f>
        <v>90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9</v>
      </c>
      <c r="D5" s="9">
        <f>Submetering!D5</f>
        <v>2022</v>
      </c>
      <c r="E5" s="20">
        <f>Submetering!E5</f>
        <v>8698.01</v>
      </c>
      <c r="F5" s="16">
        <v>0.12</v>
      </c>
      <c r="G5" s="20">
        <f>Submetering!F5+Submetering!G5</f>
        <v>125.95</v>
      </c>
      <c r="H5" s="16">
        <f t="shared" si="2"/>
        <v>1.0478509999999999</v>
      </c>
      <c r="I5" s="20">
        <f>Submetering!J5+Submetering!I5+Submetering!H5</f>
        <v>75.849999999999994</v>
      </c>
      <c r="J5" s="16">
        <f t="shared" si="3"/>
        <v>3.7390400000000001</v>
      </c>
      <c r="K5" s="20">
        <f>Submetering!K5</f>
        <v>84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9</v>
      </c>
      <c r="D6" s="9">
        <f>Submetering!D6</f>
        <v>2022</v>
      </c>
      <c r="E6" s="20">
        <f>Submetering!E6</f>
        <v>9582.34</v>
      </c>
      <c r="F6" s="16">
        <v>0.12</v>
      </c>
      <c r="G6" s="20">
        <f>Submetering!F6+Submetering!G6</f>
        <v>136.20000000000002</v>
      </c>
      <c r="H6" s="16">
        <f t="shared" si="2"/>
        <v>1.0478509999999999</v>
      </c>
      <c r="I6" s="20">
        <f>Submetering!J6+Submetering!I6+Submetering!H6</f>
        <v>90.09</v>
      </c>
      <c r="J6" s="16">
        <f t="shared" si="3"/>
        <v>3.7390400000000001</v>
      </c>
      <c r="K6" s="20">
        <f>Submetering!K6</f>
        <v>94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9</v>
      </c>
      <c r="D7" s="9">
        <f>Submetering!D7</f>
        <v>2022</v>
      </c>
      <c r="E7" s="20">
        <f>Submetering!E7</f>
        <v>9951.23</v>
      </c>
      <c r="F7" s="16">
        <v>0.12</v>
      </c>
      <c r="G7" s="20">
        <f>Submetering!F7+Submetering!G7</f>
        <v>157.38</v>
      </c>
      <c r="H7" s="16">
        <f t="shared" si="2"/>
        <v>1.0478509999999999</v>
      </c>
      <c r="I7" s="20">
        <f>Submetering!J7+Submetering!I7+Submetering!H7</f>
        <v>95.65</v>
      </c>
      <c r="J7" s="16">
        <f t="shared" si="3"/>
        <v>3.7390400000000001</v>
      </c>
      <c r="K7" s="20">
        <f>Submetering!K7</f>
        <v>106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9</v>
      </c>
      <c r="D8" s="9">
        <f>Submetering!D8</f>
        <v>2022</v>
      </c>
      <c r="E8" s="20">
        <f>Submetering!E8</f>
        <v>10241.93</v>
      </c>
      <c r="F8" s="16">
        <v>0.12</v>
      </c>
      <c r="G8" s="20">
        <f>Submetering!F8+Submetering!G8</f>
        <v>132.76999999999998</v>
      </c>
      <c r="H8" s="16">
        <f t="shared" si="2"/>
        <v>1.0478509999999999</v>
      </c>
      <c r="I8" s="20">
        <f>Submetering!J8+Submetering!I8+Submetering!H8</f>
        <v>91.35</v>
      </c>
      <c r="J8" s="16">
        <f t="shared" si="3"/>
        <v>3.7390400000000001</v>
      </c>
      <c r="K8" s="20">
        <f>Submetering!K8</f>
        <v>78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9</v>
      </c>
      <c r="D9" s="9">
        <f>Submetering!D9</f>
        <v>2022</v>
      </c>
      <c r="E9" s="20">
        <f>Submetering!E9</f>
        <v>9041.1</v>
      </c>
      <c r="F9" s="16">
        <v>0.12</v>
      </c>
      <c r="G9" s="20">
        <f>Submetering!F9+Submetering!G9</f>
        <v>131.53</v>
      </c>
      <c r="H9" s="16">
        <f t="shared" si="2"/>
        <v>1.0478509999999999</v>
      </c>
      <c r="I9" s="20">
        <f>Submetering!J9+Submetering!I9+Submetering!H9</f>
        <v>82.1</v>
      </c>
      <c r="J9" s="16">
        <f t="shared" si="3"/>
        <v>3.7390400000000001</v>
      </c>
      <c r="K9" s="20">
        <f>Submetering!K9</f>
        <v>68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9</v>
      </c>
      <c r="D10" s="9">
        <f>Submetering!D10</f>
        <v>2022</v>
      </c>
      <c r="E10" s="20">
        <f>Submetering!E10</f>
        <v>8897.7000000000007</v>
      </c>
      <c r="F10" s="16">
        <v>0.12</v>
      </c>
      <c r="G10" s="20">
        <f>Submetering!F10+Submetering!G10</f>
        <v>124.75</v>
      </c>
      <c r="H10" s="16">
        <f t="shared" si="2"/>
        <v>1.0478509999999999</v>
      </c>
      <c r="I10" s="20">
        <f>Submetering!J10+Submetering!I10+Submetering!H10</f>
        <v>87.31</v>
      </c>
      <c r="J10" s="16">
        <f t="shared" si="3"/>
        <v>3.7390400000000001</v>
      </c>
      <c r="K10" s="20">
        <f>Submetering!K10</f>
        <v>88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9</v>
      </c>
      <c r="D11" s="9">
        <f>Submetering!D11</f>
        <v>2022</v>
      </c>
      <c r="E11" s="20">
        <f>Submetering!E11</f>
        <v>8926.91</v>
      </c>
      <c r="F11" s="16">
        <v>0.12</v>
      </c>
      <c r="G11" s="20">
        <f>Submetering!F11+Submetering!G11</f>
        <v>130.63</v>
      </c>
      <c r="H11" s="16">
        <f t="shared" si="2"/>
        <v>1.0478509999999999</v>
      </c>
      <c r="I11" s="20">
        <f>Submetering!J11+Submetering!I11+Submetering!H11</f>
        <v>85.89</v>
      </c>
      <c r="J11" s="16">
        <f t="shared" si="3"/>
        <v>3.7390400000000001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9</v>
      </c>
      <c r="D12" s="9">
        <f>Submetering!D12</f>
        <v>2022</v>
      </c>
      <c r="E12" s="20">
        <f>Submetering!E12</f>
        <v>8707.65</v>
      </c>
      <c r="F12" s="16">
        <v>0.12</v>
      </c>
      <c r="G12" s="20">
        <f>Submetering!F12+Submetering!G12</f>
        <v>150.85999999999999</v>
      </c>
      <c r="H12" s="16">
        <f t="shared" si="2"/>
        <v>1.0478509999999999</v>
      </c>
      <c r="I12" s="20">
        <f>Submetering!J12+Submetering!I12+Submetering!H12</f>
        <v>89.43</v>
      </c>
      <c r="J12" s="16">
        <f t="shared" si="3"/>
        <v>3.7390400000000001</v>
      </c>
      <c r="K12" s="20">
        <f>Submetering!K12</f>
        <v>105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9</v>
      </c>
      <c r="D13" s="9">
        <f>Submetering!D13</f>
        <v>2022</v>
      </c>
      <c r="E13" s="20">
        <f>Submetering!E13</f>
        <v>8927.89</v>
      </c>
      <c r="F13" s="16">
        <v>0.12</v>
      </c>
      <c r="G13" s="20">
        <f>Submetering!F13+Submetering!G13</f>
        <v>138.6</v>
      </c>
      <c r="H13" s="16">
        <f t="shared" si="2"/>
        <v>1.0478509999999999</v>
      </c>
      <c r="I13" s="20">
        <f>Submetering!J13+Submetering!I13+Submetering!H13</f>
        <v>95.55</v>
      </c>
      <c r="J13" s="16">
        <f t="shared" si="3"/>
        <v>3.7390400000000001</v>
      </c>
      <c r="K13" s="20">
        <f>Submetering!K13</f>
        <v>111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9</v>
      </c>
      <c r="D14" s="9">
        <f>Submetering!D14</f>
        <v>2022</v>
      </c>
      <c r="E14" s="20">
        <f>Submetering!E14</f>
        <v>9578.6299999999992</v>
      </c>
      <c r="F14" s="16">
        <v>0.12</v>
      </c>
      <c r="G14" s="20">
        <f>Submetering!F14+Submetering!G14</f>
        <v>83.42</v>
      </c>
      <c r="H14" s="16">
        <f t="shared" si="2"/>
        <v>1.0478509999999999</v>
      </c>
      <c r="I14" s="20">
        <f>Submetering!J14+Submetering!I14+Submetering!H14</f>
        <v>101.29</v>
      </c>
      <c r="J14" s="16">
        <f t="shared" si="3"/>
        <v>3.7390400000000001</v>
      </c>
      <c r="K14" s="20">
        <f>Submetering!K14</f>
        <v>98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9</v>
      </c>
      <c r="D15" s="9">
        <f>Submetering!D15</f>
        <v>2022</v>
      </c>
      <c r="E15" s="20">
        <f>Submetering!E15</f>
        <v>9735.7099999999991</v>
      </c>
      <c r="F15" s="16">
        <v>0.12</v>
      </c>
      <c r="G15" s="20">
        <f>Submetering!F15+Submetering!G15</f>
        <v>86.460000000000008</v>
      </c>
      <c r="H15" s="16">
        <f t="shared" si="2"/>
        <v>1.0478509999999999</v>
      </c>
      <c r="I15" s="20">
        <f>Submetering!J15+Submetering!I15+Submetering!H15</f>
        <v>88.149999999999991</v>
      </c>
      <c r="J15" s="16">
        <f t="shared" si="3"/>
        <v>3.7390400000000001</v>
      </c>
      <c r="K15" s="20">
        <f>Submetering!K15</f>
        <v>103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9</v>
      </c>
      <c r="D16" s="9">
        <f>Submetering!D16</f>
        <v>2022</v>
      </c>
      <c r="E16" s="20">
        <f>Submetering!E16</f>
        <v>9161.14</v>
      </c>
      <c r="F16" s="16">
        <v>0.12</v>
      </c>
      <c r="G16" s="20">
        <f>Submetering!F16+Submetering!G16</f>
        <v>133.02000000000001</v>
      </c>
      <c r="H16" s="16">
        <f t="shared" si="2"/>
        <v>1.0478509999999999</v>
      </c>
      <c r="I16" s="20">
        <f>Submetering!J16+Submetering!I16+Submetering!H16</f>
        <v>89</v>
      </c>
      <c r="J16" s="16">
        <f t="shared" si="3"/>
        <v>3.7390400000000001</v>
      </c>
      <c r="K16" s="20">
        <f>Submetering!K16</f>
        <v>104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9</v>
      </c>
      <c r="D17" s="9">
        <f>Submetering!D17</f>
        <v>2022</v>
      </c>
      <c r="E17" s="20">
        <f>Submetering!E17</f>
        <v>8839.99</v>
      </c>
      <c r="F17" s="16">
        <v>0.12</v>
      </c>
      <c r="G17" s="20">
        <f>Submetering!F17+Submetering!G17</f>
        <v>173.70999999999998</v>
      </c>
      <c r="H17" s="16">
        <f t="shared" si="2"/>
        <v>1.0478509999999999</v>
      </c>
      <c r="I17" s="20">
        <f>Submetering!J17+Submetering!I17+Submetering!H17</f>
        <v>92.83</v>
      </c>
      <c r="J17" s="16">
        <f t="shared" si="3"/>
        <v>3.7390400000000001</v>
      </c>
      <c r="K17" s="20">
        <f>Submetering!K17</f>
        <v>85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9</v>
      </c>
      <c r="D18" s="9">
        <f>Submetering!D18</f>
        <v>2022</v>
      </c>
      <c r="E18" s="20">
        <f>Submetering!E18</f>
        <v>8188.01</v>
      </c>
      <c r="F18" s="16">
        <v>0.12</v>
      </c>
      <c r="G18" s="20">
        <f>Submetering!F18+Submetering!G18</f>
        <v>195.87</v>
      </c>
      <c r="H18" s="16">
        <f t="shared" si="2"/>
        <v>1.0478509999999999</v>
      </c>
      <c r="I18" s="20">
        <f>Submetering!J18+Submetering!I18+Submetering!H18</f>
        <v>89.34</v>
      </c>
      <c r="J18" s="16">
        <f t="shared" si="3"/>
        <v>3.7390400000000001</v>
      </c>
      <c r="K18" s="20">
        <f>Submetering!K18</f>
        <v>83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9</v>
      </c>
      <c r="D19" s="9">
        <f>Submetering!D19</f>
        <v>2022</v>
      </c>
      <c r="E19" s="20">
        <f>Submetering!E19</f>
        <v>7865.14</v>
      </c>
      <c r="F19" s="16">
        <v>0.12</v>
      </c>
      <c r="G19" s="20">
        <f>Submetering!F19+Submetering!G19</f>
        <v>202.34</v>
      </c>
      <c r="H19" s="16">
        <f t="shared" si="2"/>
        <v>1.0478509999999999</v>
      </c>
      <c r="I19" s="20">
        <f>Submetering!J19+Submetering!I19+Submetering!H19</f>
        <v>82.86</v>
      </c>
      <c r="J19" s="16">
        <f t="shared" si="3"/>
        <v>3.7390400000000001</v>
      </c>
      <c r="K19" s="20">
        <f>Submetering!K19</f>
        <v>72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9</v>
      </c>
      <c r="D20" s="9">
        <f>Submetering!D20</f>
        <v>2022</v>
      </c>
      <c r="E20" s="20">
        <f>Submetering!E20</f>
        <v>8215.2800000000007</v>
      </c>
      <c r="F20" s="16">
        <v>0.12</v>
      </c>
      <c r="G20" s="20">
        <f>Submetering!F20+Submetering!G20</f>
        <v>163.56</v>
      </c>
      <c r="H20" s="16">
        <f t="shared" si="2"/>
        <v>1.0478509999999999</v>
      </c>
      <c r="I20" s="20">
        <f>Submetering!J20+Submetering!I20+Submetering!H20</f>
        <v>91.74</v>
      </c>
      <c r="J20" s="16">
        <f t="shared" si="3"/>
        <v>3.7390400000000001</v>
      </c>
      <c r="K20" s="20">
        <f>Submetering!K20</f>
        <v>86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9</v>
      </c>
      <c r="D21" s="9">
        <f>Submetering!D21</f>
        <v>2022</v>
      </c>
      <c r="E21" s="20">
        <f>Submetering!E21</f>
        <v>8363.81</v>
      </c>
      <c r="F21" s="16">
        <v>0.12</v>
      </c>
      <c r="G21" s="20">
        <f>Submetering!F21+Submetering!G21</f>
        <v>116.38000000000001</v>
      </c>
      <c r="H21" s="16">
        <f t="shared" si="2"/>
        <v>1.0478509999999999</v>
      </c>
      <c r="I21" s="20">
        <f>Submetering!J21+Submetering!I21+Submetering!H21</f>
        <v>93.94</v>
      </c>
      <c r="J21" s="16">
        <f t="shared" si="3"/>
        <v>3.7390400000000001</v>
      </c>
      <c r="K21" s="20">
        <f>Submetering!K21</f>
        <v>94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9</v>
      </c>
      <c r="D22" s="9">
        <f>Submetering!D22</f>
        <v>2022</v>
      </c>
      <c r="E22" s="20">
        <f>Submetering!E22</f>
        <v>8509.16</v>
      </c>
      <c r="F22" s="16">
        <v>0.12</v>
      </c>
      <c r="G22" s="20">
        <f>Submetering!F22+Submetering!G22</f>
        <v>225.10999999999999</v>
      </c>
      <c r="H22" s="16">
        <f t="shared" si="2"/>
        <v>1.0478509999999999</v>
      </c>
      <c r="I22" s="20">
        <f>Submetering!J22+Submetering!I22+Submetering!H22</f>
        <v>91.91</v>
      </c>
      <c r="J22" s="16">
        <f t="shared" si="3"/>
        <v>3.7390400000000001</v>
      </c>
      <c r="K22" s="20">
        <f>Submetering!K22</f>
        <v>89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9</v>
      </c>
      <c r="D23" s="9">
        <f>Submetering!D23</f>
        <v>2022</v>
      </c>
      <c r="E23" s="20">
        <f>Submetering!E23</f>
        <v>9045.83</v>
      </c>
      <c r="F23" s="16">
        <v>0.12</v>
      </c>
      <c r="G23" s="20">
        <f>Submetering!F23+Submetering!G23</f>
        <v>203.05</v>
      </c>
      <c r="H23" s="16">
        <f t="shared" si="2"/>
        <v>1.0478509999999999</v>
      </c>
      <c r="I23" s="20">
        <f>Submetering!J23+Submetering!I23+Submetering!H23</f>
        <v>99.17</v>
      </c>
      <c r="J23" s="16">
        <f t="shared" si="3"/>
        <v>3.7390400000000001</v>
      </c>
      <c r="K23" s="20">
        <f>Submetering!K23</f>
        <v>89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9</v>
      </c>
      <c r="D24" s="9">
        <f>Submetering!D24</f>
        <v>2022</v>
      </c>
      <c r="E24" s="20">
        <f>Submetering!E24</f>
        <v>8942.1</v>
      </c>
      <c r="F24" s="16">
        <v>0.12</v>
      </c>
      <c r="G24" s="20">
        <f>Submetering!F24+Submetering!G24</f>
        <v>190.4</v>
      </c>
      <c r="H24" s="16">
        <f t="shared" si="2"/>
        <v>1.0478509999999999</v>
      </c>
      <c r="I24" s="20">
        <f>Submetering!J24+Submetering!I24+Submetering!H24</f>
        <v>106.39</v>
      </c>
      <c r="J24" s="16">
        <f t="shared" si="3"/>
        <v>3.7390400000000001</v>
      </c>
      <c r="K24" s="20">
        <f>Submetering!K24</f>
        <v>72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9</v>
      </c>
      <c r="D25" s="9">
        <f>Submetering!D25</f>
        <v>2022</v>
      </c>
      <c r="E25" s="20">
        <f>Submetering!E25</f>
        <v>8418.86</v>
      </c>
      <c r="F25" s="16">
        <v>0.12</v>
      </c>
      <c r="G25" s="20">
        <f>Submetering!F25+Submetering!G25</f>
        <v>179.99</v>
      </c>
      <c r="H25" s="16">
        <f t="shared" si="2"/>
        <v>1.0478509999999999</v>
      </c>
      <c r="I25" s="20">
        <f>Submetering!J25+Submetering!I25+Submetering!H25</f>
        <v>97.19</v>
      </c>
      <c r="J25" s="16">
        <f t="shared" si="3"/>
        <v>3.7390400000000001</v>
      </c>
      <c r="K25" s="20">
        <f>Submetering!K25</f>
        <v>72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9</v>
      </c>
      <c r="D26" s="9">
        <f>Submetering!D26</f>
        <v>2022</v>
      </c>
      <c r="E26" s="20">
        <f>Submetering!E26</f>
        <v>7824.86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79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9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85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9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9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9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9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D8" activePane="bottomRight" state="frozen"/>
      <selection pane="topRight" activeCell="C1" sqref="C1"/>
      <selection pane="bottomLeft" activeCell="A2" sqref="A2"/>
      <selection pane="bottomRight" activeCell="J26" sqref="J2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9</v>
      </c>
      <c r="D2" s="40">
        <v>2022</v>
      </c>
      <c r="E2" s="37">
        <v>9268.84</v>
      </c>
      <c r="F2" s="37">
        <v>129.63999999999999</v>
      </c>
      <c r="G2" s="37">
        <v>15.94</v>
      </c>
      <c r="H2" s="37">
        <v>2.93</v>
      </c>
      <c r="I2" s="37">
        <v>36</v>
      </c>
      <c r="J2" s="37">
        <v>68</v>
      </c>
      <c r="K2" s="6">
        <v>97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9</v>
      </c>
      <c r="D3" s="40">
        <f>D2</f>
        <v>2022</v>
      </c>
      <c r="E3" s="37">
        <v>9607.2800000000007</v>
      </c>
      <c r="F3" s="37">
        <v>120.97</v>
      </c>
      <c r="G3" s="37">
        <v>14.19</v>
      </c>
      <c r="H3" s="37">
        <v>2.86</v>
      </c>
      <c r="I3" s="37">
        <v>39</v>
      </c>
      <c r="J3" s="37">
        <v>59.5</v>
      </c>
      <c r="K3" s="6">
        <v>85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9</v>
      </c>
      <c r="D4" s="40">
        <f t="shared" ref="D4:D31" si="2">D3</f>
        <v>2022</v>
      </c>
      <c r="E4" s="37">
        <v>9406.8799999999992</v>
      </c>
      <c r="F4" s="37">
        <v>120.48</v>
      </c>
      <c r="G4" s="37">
        <v>17.68</v>
      </c>
      <c r="H4" s="37">
        <v>2.8</v>
      </c>
      <c r="I4" s="37">
        <v>33.5</v>
      </c>
      <c r="J4" s="37">
        <v>55.5</v>
      </c>
      <c r="K4" s="6">
        <v>90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9</v>
      </c>
      <c r="D5" s="40">
        <f t="shared" si="2"/>
        <v>2022</v>
      </c>
      <c r="E5" s="37">
        <v>8698.01</v>
      </c>
      <c r="F5" s="37">
        <v>112.01</v>
      </c>
      <c r="G5" s="37">
        <v>13.94</v>
      </c>
      <c r="H5" s="37">
        <v>2.85</v>
      </c>
      <c r="I5" s="37">
        <v>31</v>
      </c>
      <c r="J5" s="37">
        <v>42</v>
      </c>
      <c r="K5" s="6">
        <v>84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9</v>
      </c>
      <c r="D6" s="40">
        <f t="shared" si="2"/>
        <v>2022</v>
      </c>
      <c r="E6" s="37">
        <v>9582.34</v>
      </c>
      <c r="F6" s="37">
        <v>121.76</v>
      </c>
      <c r="G6" s="37">
        <v>14.44</v>
      </c>
      <c r="H6" s="37">
        <v>7.09</v>
      </c>
      <c r="I6" s="37">
        <v>37</v>
      </c>
      <c r="J6" s="37">
        <v>46</v>
      </c>
      <c r="K6" s="6">
        <v>94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9</v>
      </c>
      <c r="D7" s="40">
        <f t="shared" si="2"/>
        <v>2022</v>
      </c>
      <c r="E7" s="37">
        <v>9951.23</v>
      </c>
      <c r="F7" s="37">
        <v>142.94</v>
      </c>
      <c r="G7" s="37">
        <v>14.44</v>
      </c>
      <c r="H7" s="37">
        <v>6.65</v>
      </c>
      <c r="I7" s="37">
        <v>33</v>
      </c>
      <c r="J7" s="37">
        <v>56</v>
      </c>
      <c r="K7" s="6">
        <v>106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9</v>
      </c>
      <c r="D8" s="40">
        <f t="shared" si="2"/>
        <v>2022</v>
      </c>
      <c r="E8" s="37">
        <v>10241.93</v>
      </c>
      <c r="F8" s="37">
        <v>119.82</v>
      </c>
      <c r="G8" s="37">
        <v>12.95</v>
      </c>
      <c r="H8" s="37">
        <v>2.85</v>
      </c>
      <c r="I8" s="37">
        <v>34</v>
      </c>
      <c r="J8" s="37">
        <v>54.5</v>
      </c>
      <c r="K8" s="6">
        <v>78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9</v>
      </c>
      <c r="D9" s="40">
        <f t="shared" si="2"/>
        <v>2022</v>
      </c>
      <c r="E9" s="37">
        <v>9041.1</v>
      </c>
      <c r="F9" s="37">
        <v>120.08</v>
      </c>
      <c r="G9" s="37">
        <v>11.45</v>
      </c>
      <c r="H9" s="37">
        <v>4.5999999999999996</v>
      </c>
      <c r="I9" s="37">
        <v>29</v>
      </c>
      <c r="J9" s="37">
        <v>48.5</v>
      </c>
      <c r="K9" s="6">
        <v>68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9</v>
      </c>
      <c r="D10" s="40">
        <f t="shared" si="2"/>
        <v>2022</v>
      </c>
      <c r="E10" s="37">
        <v>8897.7000000000007</v>
      </c>
      <c r="F10" s="37">
        <v>116.28</v>
      </c>
      <c r="G10" s="37">
        <v>8.4700000000000006</v>
      </c>
      <c r="H10" s="37">
        <v>2.81</v>
      </c>
      <c r="I10" s="37">
        <v>35</v>
      </c>
      <c r="J10" s="37">
        <v>49.5</v>
      </c>
      <c r="K10" s="6">
        <v>88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9</v>
      </c>
      <c r="D11" s="40">
        <f t="shared" si="2"/>
        <v>2022</v>
      </c>
      <c r="E11" s="37">
        <v>8926.91</v>
      </c>
      <c r="F11" s="37">
        <v>116.69</v>
      </c>
      <c r="G11" s="37">
        <v>13.94</v>
      </c>
      <c r="H11" s="37">
        <v>2.89</v>
      </c>
      <c r="I11" s="37">
        <v>29</v>
      </c>
      <c r="J11" s="37">
        <v>54</v>
      </c>
      <c r="K11" s="6">
        <v>97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9</v>
      </c>
      <c r="D12" s="40">
        <f t="shared" si="2"/>
        <v>2022</v>
      </c>
      <c r="E12" s="37">
        <v>8707.65</v>
      </c>
      <c r="F12" s="37">
        <v>137.41</v>
      </c>
      <c r="G12" s="37">
        <v>13.45</v>
      </c>
      <c r="H12" s="37">
        <v>2.93</v>
      </c>
      <c r="I12" s="37">
        <v>34</v>
      </c>
      <c r="J12" s="37">
        <v>52.5</v>
      </c>
      <c r="K12" s="6">
        <v>105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9</v>
      </c>
      <c r="D13" s="40">
        <f t="shared" si="2"/>
        <v>2022</v>
      </c>
      <c r="E13" s="37">
        <v>8927.89</v>
      </c>
      <c r="F13" s="37">
        <v>124.66</v>
      </c>
      <c r="G13" s="37">
        <v>13.94</v>
      </c>
      <c r="H13" s="37">
        <v>6.55</v>
      </c>
      <c r="I13" s="37">
        <v>35</v>
      </c>
      <c r="J13" s="37">
        <v>54</v>
      </c>
      <c r="K13" s="6">
        <v>111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9</v>
      </c>
      <c r="D14" s="40">
        <f t="shared" si="2"/>
        <v>2022</v>
      </c>
      <c r="E14" s="37">
        <v>9578.6299999999992</v>
      </c>
      <c r="F14" s="37">
        <v>70.97</v>
      </c>
      <c r="G14" s="37">
        <v>12.45</v>
      </c>
      <c r="H14" s="37">
        <v>5.79</v>
      </c>
      <c r="I14" s="37">
        <v>31</v>
      </c>
      <c r="J14" s="37">
        <v>64.5</v>
      </c>
      <c r="K14" s="6">
        <v>98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9</v>
      </c>
      <c r="D15" s="40">
        <f t="shared" si="2"/>
        <v>2022</v>
      </c>
      <c r="E15" s="37">
        <v>9735.7099999999991</v>
      </c>
      <c r="F15" s="37">
        <v>73.510000000000005</v>
      </c>
      <c r="G15" s="37">
        <v>12.95</v>
      </c>
      <c r="H15" s="37">
        <v>2.82</v>
      </c>
      <c r="I15" s="37">
        <v>33.83</v>
      </c>
      <c r="J15" s="37">
        <v>51.5</v>
      </c>
      <c r="K15" s="6">
        <v>103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9</v>
      </c>
      <c r="D16" s="40">
        <f t="shared" si="2"/>
        <v>2022</v>
      </c>
      <c r="E16" s="37">
        <v>9161.14</v>
      </c>
      <c r="F16" s="37">
        <v>122.06</v>
      </c>
      <c r="G16" s="37">
        <v>10.96</v>
      </c>
      <c r="H16" s="37">
        <v>2.83</v>
      </c>
      <c r="I16" s="37">
        <v>33.17</v>
      </c>
      <c r="J16" s="37">
        <v>53</v>
      </c>
      <c r="K16" s="6">
        <v>104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9</v>
      </c>
      <c r="D17" s="40">
        <f t="shared" si="2"/>
        <v>2022</v>
      </c>
      <c r="E17" s="37">
        <v>8839.99</v>
      </c>
      <c r="F17" s="37">
        <v>161.76</v>
      </c>
      <c r="G17" s="37">
        <v>11.95</v>
      </c>
      <c r="H17" s="37">
        <v>2.83</v>
      </c>
      <c r="I17" s="37">
        <v>35</v>
      </c>
      <c r="J17" s="37">
        <v>55</v>
      </c>
      <c r="K17" s="6">
        <v>85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9</v>
      </c>
      <c r="D18" s="40">
        <f t="shared" si="2"/>
        <v>2022</v>
      </c>
      <c r="E18" s="37">
        <v>8188.01</v>
      </c>
      <c r="F18" s="37">
        <v>177.94</v>
      </c>
      <c r="G18" s="37">
        <v>17.93</v>
      </c>
      <c r="H18" s="37">
        <v>2.34</v>
      </c>
      <c r="I18" s="37">
        <v>35</v>
      </c>
      <c r="J18" s="37">
        <v>52</v>
      </c>
      <c r="K18" s="6">
        <v>83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9</v>
      </c>
      <c r="D19" s="40">
        <f t="shared" si="2"/>
        <v>2022</v>
      </c>
      <c r="E19" s="37">
        <v>7865.14</v>
      </c>
      <c r="F19" s="37">
        <v>185.91</v>
      </c>
      <c r="G19" s="37">
        <v>16.43</v>
      </c>
      <c r="H19" s="37">
        <v>2.86</v>
      </c>
      <c r="I19" s="37">
        <v>33.5</v>
      </c>
      <c r="J19" s="37">
        <v>46.5</v>
      </c>
      <c r="K19" s="6">
        <v>72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9</v>
      </c>
      <c r="D20" s="40">
        <f t="shared" si="2"/>
        <v>2022</v>
      </c>
      <c r="E20" s="37">
        <v>8215.2800000000007</v>
      </c>
      <c r="F20" s="37">
        <v>148.12</v>
      </c>
      <c r="G20" s="37">
        <v>15.44</v>
      </c>
      <c r="H20" s="37">
        <v>7.24</v>
      </c>
      <c r="I20" s="37">
        <v>33.5</v>
      </c>
      <c r="J20" s="37">
        <v>51</v>
      </c>
      <c r="K20" s="6">
        <v>86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9</v>
      </c>
      <c r="D21" s="40">
        <f t="shared" si="2"/>
        <v>2022</v>
      </c>
      <c r="E21" s="37">
        <v>8363.81</v>
      </c>
      <c r="F21" s="37">
        <v>104.43</v>
      </c>
      <c r="G21" s="37">
        <v>11.95</v>
      </c>
      <c r="H21" s="37">
        <v>5.44</v>
      </c>
      <c r="I21" s="37">
        <v>32</v>
      </c>
      <c r="J21" s="37">
        <v>56.5</v>
      </c>
      <c r="K21" s="6">
        <v>94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9</v>
      </c>
      <c r="D22" s="40">
        <f t="shared" si="2"/>
        <v>2022</v>
      </c>
      <c r="E22" s="37">
        <v>8509.16</v>
      </c>
      <c r="F22" s="37">
        <v>213.66</v>
      </c>
      <c r="G22" s="37">
        <v>11.45</v>
      </c>
      <c r="H22" s="37">
        <v>1.91</v>
      </c>
      <c r="I22" s="37">
        <v>35</v>
      </c>
      <c r="J22" s="37">
        <v>55</v>
      </c>
      <c r="K22" s="6">
        <v>89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9</v>
      </c>
      <c r="D23" s="40">
        <f t="shared" si="2"/>
        <v>2022</v>
      </c>
      <c r="E23" s="37">
        <v>9045.83</v>
      </c>
      <c r="F23" s="37">
        <v>192.59</v>
      </c>
      <c r="G23" s="37">
        <v>10.46</v>
      </c>
      <c r="H23" s="37">
        <v>2.67</v>
      </c>
      <c r="I23" s="37">
        <v>36</v>
      </c>
      <c r="J23" s="37">
        <v>60.5</v>
      </c>
      <c r="K23" s="6">
        <v>89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9</v>
      </c>
      <c r="D24" s="40">
        <f t="shared" si="2"/>
        <v>2022</v>
      </c>
      <c r="E24" s="37">
        <v>8942.1</v>
      </c>
      <c r="F24" s="37">
        <v>174.46</v>
      </c>
      <c r="G24" s="37">
        <v>15.94</v>
      </c>
      <c r="H24" s="37">
        <v>1.89</v>
      </c>
      <c r="I24" s="37">
        <v>34</v>
      </c>
      <c r="J24" s="37">
        <v>70.5</v>
      </c>
      <c r="K24" s="6">
        <v>72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9</v>
      </c>
      <c r="D25" s="40">
        <f t="shared" si="2"/>
        <v>2022</v>
      </c>
      <c r="E25" s="37">
        <v>8418.86</v>
      </c>
      <c r="F25" s="37">
        <v>162.56</v>
      </c>
      <c r="G25" s="37">
        <v>17.43</v>
      </c>
      <c r="H25" s="37">
        <v>1.69</v>
      </c>
      <c r="I25" s="37">
        <v>37</v>
      </c>
      <c r="J25" s="37">
        <v>58.5</v>
      </c>
      <c r="K25" s="6">
        <v>72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9</v>
      </c>
      <c r="D26" s="40">
        <f t="shared" si="2"/>
        <v>2022</v>
      </c>
      <c r="E26" s="37">
        <v>7824.86</v>
      </c>
      <c r="F26" s="37"/>
      <c r="G26" s="37"/>
      <c r="H26" s="37"/>
      <c r="I26" s="37"/>
      <c r="K26" s="6">
        <v>79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9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>
        <v>85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9</v>
      </c>
      <c r="D28" s="6">
        <f t="shared" si="2"/>
        <v>2022</v>
      </c>
      <c r="E28" s="37"/>
      <c r="F28" s="37"/>
      <c r="G28" s="37"/>
      <c r="H28" s="37"/>
      <c r="I28" s="37"/>
      <c r="J28" s="37"/>
      <c r="K28" s="6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9</v>
      </c>
      <c r="D29" s="6">
        <f t="shared" si="2"/>
        <v>2022</v>
      </c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9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9</v>
      </c>
      <c r="D31" s="6">
        <f t="shared" si="2"/>
        <v>2022</v>
      </c>
      <c r="K31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2022-09-26T11:32:15Z</dcterms:modified>
</cp:coreProperties>
</file>