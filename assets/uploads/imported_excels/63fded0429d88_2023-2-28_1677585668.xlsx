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2-February 2023\"/>
    </mc:Choice>
  </mc:AlternateContent>
  <xr:revisionPtr revIDLastSave="0" documentId="13_ncr:1_{0ACCCC54-2DF9-4138-85F8-8D614C50B7C1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G31" i="31" l="1"/>
  <c r="I31" i="31"/>
  <c r="N31" i="31"/>
  <c r="L31" i="31"/>
  <c r="N30" i="31" l="1"/>
  <c r="L30" i="31"/>
  <c r="G30" i="31"/>
  <c r="I30" i="31"/>
  <c r="G27" i="31" l="1"/>
  <c r="G28" i="31"/>
  <c r="G29" i="31"/>
  <c r="N27" i="31"/>
  <c r="N28" i="31"/>
  <c r="N29" i="31"/>
  <c r="L27" i="31"/>
  <c r="L28" i="31"/>
  <c r="L29" i="31"/>
  <c r="I27" i="31"/>
  <c r="I28" i="31"/>
  <c r="I29" i="31"/>
  <c r="G26" i="31" l="1"/>
  <c r="I26" i="31"/>
  <c r="L26" i="31"/>
  <c r="N26" i="31"/>
  <c r="G25" i="31" l="1"/>
  <c r="I25" i="31"/>
  <c r="N25" i="31"/>
  <c r="L25" i="31"/>
  <c r="G24" i="31" l="1"/>
  <c r="I24" i="31"/>
  <c r="L24" i="31"/>
  <c r="N24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N6" i="31" l="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5" i="31"/>
  <c r="G23" i="31"/>
  <c r="I23" i="31"/>
  <c r="L23" i="31"/>
  <c r="L22" i="31" l="1"/>
  <c r="G20" i="31"/>
  <c r="G21" i="31"/>
  <c r="G22" i="31"/>
  <c r="L20" i="31"/>
  <c r="L21" i="31"/>
  <c r="I20" i="31"/>
  <c r="I21" i="31"/>
  <c r="I22" i="31"/>
  <c r="G19" i="31" l="1"/>
  <c r="I19" i="31"/>
  <c r="L19" i="31"/>
  <c r="L18" i="31" l="1"/>
  <c r="I18" i="31"/>
  <c r="G18" i="31"/>
  <c r="G17" i="31" l="1"/>
  <c r="L17" i="31"/>
  <c r="I17" i="31"/>
  <c r="L16" i="31" l="1"/>
  <c r="I16" i="31"/>
  <c r="G16" i="31"/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<sst xmlns="http://schemas.openxmlformats.org/spreadsheetml/2006/main" count="71" uniqueCount="35">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</sst>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zoomScale="111" zoomScaleNormal="85" workbookViewId="0">
      <selection activeCell="N13" sqref="N1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2</v>
      </c>
      <c r="D2">
        <v>2023</v>
      </c>
      <c r="E2" s="13">
        <f>'February 2023'!E5</f>
        <v>36600</v>
      </c>
      <c r="F2" s="9">
        <v>2.9000000000000001E-2</v>
      </c>
      <c r="G2" s="1">
        <f>'February 2023'!J5</f>
        <v>2970</v>
      </c>
      <c r="H2" s="9">
        <v>0.112</v>
      </c>
      <c r="I2" s="1">
        <f>'February 2023'!G5*1000</f>
        <v>30000</v>
      </c>
      <c r="J2" s="9">
        <v>3.61E-2</v>
      </c>
      <c r="K2" s="1">
        <f>'February 2023'!I5</f>
        <v>427</v>
      </c>
      <c r="L2" s="9">
        <v>0.75</v>
      </c>
      <c r="M2" s="9">
        <f>'February 2023'!L5</f>
        <v>0</v>
      </c>
      <c r="N2" s="9">
        <v>0.56299999999999994</v>
      </c>
      <c r="O2" s="13">
        <f>SUM('February 2023'!D5)</f>
        <v>130</v>
      </c>
      <c r="Q2" s="1">
        <f>'February 2023'!N5</f>
        <v>245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2</v>
      </c>
      <c r="D3">
        <v>2023</v>
      </c>
      <c r="E3" s="13">
        <f>'February 2023'!E6</f>
        <v>36717</v>
      </c>
      <c r="F3" s="9">
        <v>2.9000000000000001E-2</v>
      </c>
      <c r="G3" s="1">
        <f>'February 2023'!J6</f>
        <v>2970</v>
      </c>
      <c r="H3" s="9">
        <v>0.112</v>
      </c>
      <c r="I3" s="1">
        <f>'February 2023'!G6*1000</f>
        <v>34000</v>
      </c>
      <c r="J3" s="9">
        <v>3.61E-2</v>
      </c>
      <c r="K3" s="1">
        <f>'February 2023'!I6</f>
        <v>436</v>
      </c>
      <c r="L3" s="9">
        <v>0.75</v>
      </c>
      <c r="M3" s="9">
        <f>'February 2023'!L6</f>
        <v>0</v>
      </c>
      <c r="N3" s="9">
        <v>0.56299999999999994</v>
      </c>
      <c r="O3" s="13">
        <f>SUM('February 2023'!D6)</f>
        <v>156</v>
      </c>
      <c r="Q3" s="1">
        <f>'February 2023'!N6</f>
        <v>258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3">
        <f>'February 2023'!E7</f>
        <v>34525</v>
      </c>
      <c r="F4" s="9">
        <v>2.9000000000000001E-2</v>
      </c>
      <c r="G4" s="1">
        <f>'February 2023'!J7</f>
        <v>2970</v>
      </c>
      <c r="H4" s="9">
        <v>0.112</v>
      </c>
      <c r="I4" s="1">
        <f>'February 2023'!G7*1000</f>
        <v>29000</v>
      </c>
      <c r="J4" s="9">
        <v>3.61E-2</v>
      </c>
      <c r="K4" s="1">
        <f>'February 2023'!I7</f>
        <v>169</v>
      </c>
      <c r="L4" s="9">
        <v>0.75</v>
      </c>
      <c r="M4" s="9">
        <f>'February 2023'!L7</f>
        <v>39</v>
      </c>
      <c r="N4" s="9">
        <v>0.56299999999999994</v>
      </c>
      <c r="O4" s="13">
        <f>SUM('February 2023'!D7)</f>
        <v>142</v>
      </c>
      <c r="Q4" s="1">
        <f>'February 2023'!N7</f>
        <v>310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2</v>
      </c>
      <c r="D5">
        <v>2023</v>
      </c>
      <c r="E5" s="13">
        <f>'February 2023'!E8</f>
        <v>34552</v>
      </c>
      <c r="F5" s="9">
        <v>2.9000000000000001E-2</v>
      </c>
      <c r="G5" s="1">
        <f>'February 2023'!J8</f>
        <v>2970</v>
      </c>
      <c r="H5" s="9">
        <v>0.112</v>
      </c>
      <c r="I5" s="1">
        <f>'February 2023'!G8*1000</f>
        <v>27000</v>
      </c>
      <c r="J5" s="9">
        <v>3.61E-2</v>
      </c>
      <c r="K5" s="1">
        <f>'February 2023'!I8</f>
        <v>506</v>
      </c>
      <c r="L5" s="9">
        <v>0.75</v>
      </c>
      <c r="M5" s="9">
        <f>'February 2023'!L8</f>
        <v>42</v>
      </c>
      <c r="N5" s="9">
        <v>0.56299999999999994</v>
      </c>
      <c r="O5" s="13">
        <f>SUM('February 2023'!D8)</f>
        <v>84</v>
      </c>
      <c r="Q5" s="1">
        <f>'February 2023'!N8</f>
        <v>304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2</v>
      </c>
      <c r="D6">
        <v>2023</v>
      </c>
      <c r="E6" s="13">
        <f>'February 2023'!E9</f>
        <v>34579</v>
      </c>
      <c r="F6" s="9">
        <v>2.9000000000000001E-2</v>
      </c>
      <c r="G6" s="1">
        <f>'February 2023'!J9</f>
        <v>2970</v>
      </c>
      <c r="H6" s="9">
        <v>0.112</v>
      </c>
      <c r="I6" s="1">
        <f>'February 2023'!G9*1000</f>
        <v>29000</v>
      </c>
      <c r="J6" s="9">
        <v>3.61E-2</v>
      </c>
      <c r="K6" s="1">
        <f>'February 2023'!I9</f>
        <v>452</v>
      </c>
      <c r="L6" s="9">
        <v>0.75</v>
      </c>
      <c r="M6" s="9">
        <f>'February 2023'!L9</f>
        <v>0</v>
      </c>
      <c r="N6" s="9">
        <v>0.56299999999999994</v>
      </c>
      <c r="O6" s="13">
        <f>SUM('February 2023'!D9)</f>
        <v>75</v>
      </c>
      <c r="Q6" s="1">
        <f>'February 2023'!N9</f>
        <v>247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2</v>
      </c>
      <c r="D7">
        <v>2023</v>
      </c>
      <c r="E7" s="13">
        <f>'February 2023'!E10</f>
        <v>34605</v>
      </c>
      <c r="F7" s="9">
        <v>2.9000000000000001E-2</v>
      </c>
      <c r="G7" s="1">
        <v>0</v>
      </c>
      <c r="H7" s="9">
        <v>0.112</v>
      </c>
      <c r="I7" s="1">
        <f>'February 2023'!G10*1000</f>
        <v>30000</v>
      </c>
      <c r="J7" s="9">
        <v>3.61E-2</v>
      </c>
      <c r="K7" s="1">
        <f>'February 2023'!I10</f>
        <v>459</v>
      </c>
      <c r="L7" s="9">
        <v>0.75</v>
      </c>
      <c r="M7" s="9">
        <f>'February 2023'!L10</f>
        <v>33</v>
      </c>
      <c r="N7" s="9">
        <v>0.56299999999999994</v>
      </c>
      <c r="O7" s="13">
        <f>SUM('February 2023'!D10)</f>
        <v>98</v>
      </c>
      <c r="Q7" s="1">
        <f>'February 2023'!N10</f>
        <v>236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2</v>
      </c>
      <c r="D8">
        <v>2023</v>
      </c>
      <c r="E8" s="13">
        <f>'February 2023'!E11</f>
        <v>34632</v>
      </c>
      <c r="F8" s="9">
        <v>2.9000000000000001E-2</v>
      </c>
      <c r="G8" s="1">
        <f>'February 2023'!J11</f>
        <v>2970</v>
      </c>
      <c r="H8" s="9">
        <v>0.112</v>
      </c>
      <c r="I8" s="1">
        <f>'February 2023'!G11*1000</f>
        <v>35000</v>
      </c>
      <c r="J8" s="9">
        <v>3.61E-2</v>
      </c>
      <c r="K8" s="1">
        <f>'February 2023'!I11</f>
        <v>424</v>
      </c>
      <c r="L8" s="9">
        <v>0.75</v>
      </c>
      <c r="M8" s="9">
        <f>'February 2023'!L11</f>
        <v>34</v>
      </c>
      <c r="N8" s="9">
        <v>0.56299999999999994</v>
      </c>
      <c r="O8" s="13">
        <f>SUM('February 2023'!D11)</f>
        <v>112</v>
      </c>
      <c r="Q8" s="1">
        <f>'February 2023'!N11</f>
        <v>249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2</v>
      </c>
      <c r="D9">
        <v>2023</v>
      </c>
      <c r="E9" s="13">
        <f>'February 2023'!E12</f>
        <v>34658</v>
      </c>
      <c r="F9" s="9">
        <v>2.9000000000000001E-2</v>
      </c>
      <c r="G9" s="1">
        <f>'February 2023'!J12</f>
        <v>2970</v>
      </c>
      <c r="H9" s="9">
        <v>0.112</v>
      </c>
      <c r="I9" s="1">
        <f>'February 2023'!G12*1000</f>
        <v>29000</v>
      </c>
      <c r="J9" s="9">
        <v>3.61E-2</v>
      </c>
      <c r="K9" s="1">
        <f>'February 2023'!I12</f>
        <v>428</v>
      </c>
      <c r="L9" s="9">
        <v>0.75</v>
      </c>
      <c r="M9" s="9">
        <f>'February 2023'!L12</f>
        <v>0</v>
      </c>
      <c r="N9" s="9">
        <v>0.56299999999999994</v>
      </c>
      <c r="O9" s="13">
        <f>SUM('February 2023'!D12)</f>
        <v>129</v>
      </c>
      <c r="Q9" s="1">
        <f>'February 2023'!N12</f>
        <v>246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2</v>
      </c>
      <c r="D10">
        <v>2023</v>
      </c>
      <c r="E10" s="13">
        <f>'February 2023'!E13</f>
        <v>33305</v>
      </c>
      <c r="F10" s="9">
        <v>2.9000000000000001E-2</v>
      </c>
      <c r="G10" s="1">
        <f>'February 2023'!J13</f>
        <v>2970</v>
      </c>
      <c r="H10" s="9">
        <v>0.112</v>
      </c>
      <c r="I10" s="1">
        <f>'February 2023'!G13*1000</f>
        <v>28000</v>
      </c>
      <c r="J10" s="9">
        <v>3.61E-2</v>
      </c>
      <c r="K10" s="1">
        <f>'February 2023'!I13</f>
        <v>761</v>
      </c>
      <c r="L10" s="9">
        <v>0.75</v>
      </c>
      <c r="M10" s="9">
        <f>'February 2023'!L13</f>
        <v>35</v>
      </c>
      <c r="N10" s="9">
        <v>0.56299999999999994</v>
      </c>
      <c r="O10" s="13">
        <f>SUM('February 2023'!D13)</f>
        <v>136</v>
      </c>
      <c r="Q10" s="1">
        <f>'February 2023'!N13</f>
        <v>270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2</v>
      </c>
      <c r="D11">
        <v>2023</v>
      </c>
      <c r="E11" s="13">
        <f>'February 2023'!E14</f>
        <v>33045</v>
      </c>
      <c r="F11" s="9">
        <v>2.9000000000000001E-2</v>
      </c>
      <c r="G11" s="1">
        <f>'February 2023'!J14</f>
        <v>0</v>
      </c>
      <c r="H11" s="9">
        <v>0.112</v>
      </c>
      <c r="I11" s="1">
        <f>'February 2023'!G14*1000</f>
        <v>26000</v>
      </c>
      <c r="J11" s="9">
        <v>3.61E-2</v>
      </c>
      <c r="K11" s="1">
        <f>'February 2023'!I14</f>
        <v>607</v>
      </c>
      <c r="L11" s="9">
        <v>0.75</v>
      </c>
      <c r="M11" s="9">
        <f>'February 2023'!L14</f>
        <v>0</v>
      </c>
      <c r="N11" s="9">
        <v>0.56299999999999994</v>
      </c>
      <c r="O11" s="13">
        <f>SUM('February 2023'!D14)</f>
        <v>150</v>
      </c>
      <c r="Q11" s="1">
        <f>'February 2023'!N14</f>
        <v>327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2</v>
      </c>
      <c r="D12">
        <v>2023</v>
      </c>
      <c r="E12" s="13">
        <f>'February 2023'!E15</f>
        <v>33306</v>
      </c>
      <c r="F12" s="9">
        <v>2.9000000000000001E-2</v>
      </c>
      <c r="G12" s="1">
        <f>'February 2023'!J15</f>
        <v>2970</v>
      </c>
      <c r="H12" s="9">
        <v>0.112</v>
      </c>
      <c r="I12" s="1">
        <f>'February 2023'!G15*1000</f>
        <v>28000</v>
      </c>
      <c r="J12" s="9">
        <v>3.61E-2</v>
      </c>
      <c r="K12" s="1">
        <f>'February 2023'!I15</f>
        <v>445</v>
      </c>
      <c r="L12" s="9">
        <v>0.75</v>
      </c>
      <c r="M12" s="9">
        <f>'February 2023'!L15</f>
        <v>0</v>
      </c>
      <c r="N12" s="9">
        <v>0.56299999999999994</v>
      </c>
      <c r="O12" s="13">
        <f>SUM('February 2023'!D15)</f>
        <v>107</v>
      </c>
      <c r="Q12" s="1">
        <f>'February 2023'!N15</f>
        <v>291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2</v>
      </c>
      <c r="D13">
        <v>2023</v>
      </c>
      <c r="E13" s="13">
        <f>'February 2023'!E16</f>
        <v>37015</v>
      </c>
      <c r="F13" s="9">
        <v>2.9000000000000001E-2</v>
      </c>
      <c r="G13" s="1">
        <f>'February 2023'!J16</f>
        <v>2970</v>
      </c>
      <c r="H13" s="9">
        <v>0.112</v>
      </c>
      <c r="I13" s="1">
        <f>'February 2023'!G16*1000</f>
        <v>29000</v>
      </c>
      <c r="J13" s="9">
        <v>3.61E-2</v>
      </c>
      <c r="K13" s="1">
        <f>'February 2023'!I16</f>
        <v>558</v>
      </c>
      <c r="L13" s="9">
        <v>0.75</v>
      </c>
      <c r="M13" s="9">
        <f>'February 2023'!L16</f>
        <v>0</v>
      </c>
      <c r="N13" s="9">
        <v>0.56299999999999994</v>
      </c>
      <c r="O13" s="13">
        <f>SUM('February 2023'!D16)</f>
        <v>112</v>
      </c>
      <c r="Q13" s="1">
        <f>'February 2023'!N16</f>
        <v>267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2</v>
      </c>
      <c r="D14">
        <v>2023</v>
      </c>
      <c r="E14" s="13">
        <f>'February 2023'!E17</f>
        <v>37047</v>
      </c>
      <c r="F14" s="9">
        <v>2.9000000000000001E-2</v>
      </c>
      <c r="G14" s="1">
        <f>'February 2023'!J17</f>
        <v>2970</v>
      </c>
      <c r="H14" s="9">
        <v>0.112</v>
      </c>
      <c r="I14" s="1">
        <f>'February 2023'!G17*1000</f>
        <v>34000</v>
      </c>
      <c r="J14" s="9">
        <v>3.61E-2</v>
      </c>
      <c r="K14" s="1">
        <f>'February 2023'!I17</f>
        <v>603</v>
      </c>
      <c r="L14" s="9">
        <v>0.75</v>
      </c>
      <c r="M14" s="9">
        <f>'February 2023'!L17</f>
        <v>0</v>
      </c>
      <c r="N14" s="9">
        <v>0.56299999999999994</v>
      </c>
      <c r="O14" s="13">
        <f>SUM('February 2023'!D17)</f>
        <v>123</v>
      </c>
      <c r="Q14" s="1">
        <f>'February 2023'!N17</f>
        <v>289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2</v>
      </c>
      <c r="D15">
        <v>2023</v>
      </c>
      <c r="E15" s="13">
        <f>'February 2023'!E18</f>
        <v>37080</v>
      </c>
      <c r="F15" s="9">
        <v>2.9000000000000001E-2</v>
      </c>
      <c r="G15" s="1">
        <f>'February 2023'!J18</f>
        <v>0</v>
      </c>
      <c r="H15" s="9">
        <v>0.112</v>
      </c>
      <c r="I15" s="1">
        <f>'February 2023'!G18*1000</f>
        <v>36000</v>
      </c>
      <c r="J15" s="9">
        <v>3.61E-2</v>
      </c>
      <c r="K15" s="1">
        <f>'February 2023'!I18</f>
        <v>366</v>
      </c>
      <c r="L15" s="9">
        <v>0.75</v>
      </c>
      <c r="M15" s="9">
        <f>'February 2023'!L18</f>
        <v>0</v>
      </c>
      <c r="N15" s="9">
        <v>0.56299999999999994</v>
      </c>
      <c r="O15" s="13">
        <f>SUM('February 2023'!D18)</f>
        <v>158</v>
      </c>
      <c r="Q15" s="1">
        <f>'February 2023'!N18</f>
        <v>275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2</v>
      </c>
      <c r="D16">
        <v>2023</v>
      </c>
      <c r="E16" s="13">
        <f>'February 2023'!E19</f>
        <v>37114</v>
      </c>
      <c r="F16" s="9">
        <v>2.9000000000000001E-2</v>
      </c>
      <c r="G16" s="1">
        <f>'February 2023'!J19</f>
        <v>2970</v>
      </c>
      <c r="H16" s="9">
        <v>9.0909000000000004E-2</v>
      </c>
      <c r="I16" s="1">
        <f>'February 2023'!G20*1000</f>
        <v>30000</v>
      </c>
      <c r="J16" s="9">
        <v>3.61E-2</v>
      </c>
      <c r="K16" s="1">
        <f>'February 2023'!I19</f>
        <v>556</v>
      </c>
      <c r="L16" s="9">
        <v>0.75</v>
      </c>
      <c r="M16" s="9">
        <f>'February 2023'!L19</f>
        <v>0</v>
      </c>
      <c r="N16" s="9">
        <v>0.56299999999999994</v>
      </c>
      <c r="O16" s="13">
        <f>SUM('February 2023'!D19)</f>
        <v>169</v>
      </c>
      <c r="Q16" s="1">
        <f>'February 2023'!N19</f>
        <v>321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2</v>
      </c>
      <c r="D17">
        <v>2023</v>
      </c>
      <c r="E17" s="13">
        <f>'February 2023'!E20</f>
        <v>37149</v>
      </c>
      <c r="F17" s="9">
        <v>2.9000000000000001E-2</v>
      </c>
      <c r="G17" s="1">
        <f>'February 2023'!J21</f>
        <v>0</v>
      </c>
      <c r="H17" s="9">
        <v>9.0909000000000004E-2</v>
      </c>
      <c r="I17" s="1">
        <f>'February 2023'!G21*1000</f>
        <v>28000</v>
      </c>
      <c r="J17" s="9">
        <v>3.61E-2</v>
      </c>
      <c r="K17" s="1">
        <f>'February 2023'!I20</f>
        <v>447</v>
      </c>
      <c r="L17" s="9">
        <v>0.75</v>
      </c>
      <c r="M17" s="9">
        <f>'February 2023'!L20</f>
        <v>0</v>
      </c>
      <c r="N17" s="9">
        <v>0.56299999999999994</v>
      </c>
      <c r="O17" s="13">
        <f>SUM('February 2023'!D20)</f>
        <v>200</v>
      </c>
      <c r="Q17" s="1">
        <f>'February 2023'!N20</f>
        <v>302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2</v>
      </c>
      <c r="D18">
        <v>2023</v>
      </c>
      <c r="E18" s="13">
        <f>'February 2023'!E21</f>
        <v>37184</v>
      </c>
      <c r="F18" s="9">
        <v>2.9000000000000001E-2</v>
      </c>
      <c r="G18" s="1">
        <f>'February 2023'!J22</f>
        <v>5940</v>
      </c>
      <c r="H18" s="9">
        <v>0.112</v>
      </c>
      <c r="I18" s="1">
        <f>'February 2023'!G22*1000</f>
        <v>27000</v>
      </c>
      <c r="J18" s="9">
        <v>3.61E-2</v>
      </c>
      <c r="K18" s="1">
        <f>'February 2023'!I21</f>
        <v>682</v>
      </c>
      <c r="L18" s="9">
        <v>0.75</v>
      </c>
      <c r="M18" s="9">
        <f>'February 2023'!L21</f>
        <v>0</v>
      </c>
      <c r="N18" s="9">
        <v>0.56299999999999994</v>
      </c>
      <c r="O18" s="13">
        <f>SUM('February 2023'!D21)</f>
        <v>232</v>
      </c>
      <c r="Q18" s="1">
        <f>'February 2023'!N21</f>
        <v>325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2</v>
      </c>
      <c r="D19">
        <v>2023</v>
      </c>
      <c r="E19" s="13">
        <f>'February 2023'!E22</f>
        <v>37219</v>
      </c>
      <c r="F19" s="9">
        <v>2.9000000000000001E-2</v>
      </c>
      <c r="G19" s="1">
        <f>'February 2023'!J22</f>
        <v>5940</v>
      </c>
      <c r="H19" s="9">
        <v>0.112</v>
      </c>
      <c r="I19" s="1">
        <f>'February 2023'!G23*1000</f>
        <v>25000</v>
      </c>
      <c r="J19" s="9">
        <v>3.61E-2</v>
      </c>
      <c r="K19" s="1">
        <f>'February 2023'!I22</f>
        <v>488</v>
      </c>
      <c r="L19" s="9">
        <v>0.75</v>
      </c>
      <c r="M19" s="9">
        <f>'February 2023'!L22</f>
        <v>0</v>
      </c>
      <c r="N19" s="9">
        <v>0.56299999999999994</v>
      </c>
      <c r="O19" s="13">
        <f>SUM('February 2023'!D22)</f>
        <v>132</v>
      </c>
      <c r="Q19" s="1">
        <f>'February 2023'!N22</f>
        <v>341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2</v>
      </c>
      <c r="D20">
        <v>2023</v>
      </c>
      <c r="E20" s="13">
        <f>'February 2023'!E23</f>
        <v>37253</v>
      </c>
      <c r="F20" s="9">
        <v>2.9000000000000001E-2</v>
      </c>
      <c r="G20" s="1">
        <f>'February 2023'!J23</f>
        <v>5940</v>
      </c>
      <c r="H20" s="9">
        <v>0.112</v>
      </c>
      <c r="I20" s="1">
        <f>'February 2023'!G24*1000</f>
        <v>27000</v>
      </c>
      <c r="J20" s="9">
        <v>3.61E-2</v>
      </c>
      <c r="K20" s="1">
        <f>'February 2023'!I23</f>
        <v>951</v>
      </c>
      <c r="L20" s="9">
        <v>0.75</v>
      </c>
      <c r="M20" s="9">
        <f>'February 2023'!L23</f>
        <v>0</v>
      </c>
      <c r="N20" s="9">
        <v>0.56299999999999994</v>
      </c>
      <c r="O20" s="13">
        <f>SUM('February 2023'!D23)</f>
        <v>130</v>
      </c>
      <c r="Q20" s="1">
        <f>'February 2023'!N23</f>
        <v>331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3">
        <f>'February 2023'!E24</f>
        <v>37287</v>
      </c>
      <c r="F21" s="9">
        <v>2.9000000000000001E-2</v>
      </c>
      <c r="G21" s="1">
        <f>'February 2023'!J23</f>
        <v>5940</v>
      </c>
      <c r="H21" s="9">
        <v>0.112</v>
      </c>
      <c r="I21" s="1">
        <f>'February 2023'!G25*1000</f>
        <v>28000</v>
      </c>
      <c r="J21" s="9">
        <v>3.61E-2</v>
      </c>
      <c r="K21" s="1">
        <f>'February 2023'!I23</f>
        <v>951</v>
      </c>
      <c r="L21" s="9">
        <v>0.75</v>
      </c>
      <c r="M21" s="9">
        <f>'February 2023'!L24</f>
        <v>0</v>
      </c>
      <c r="N21" s="9">
        <v>0.56299999999999994</v>
      </c>
      <c r="O21" s="13">
        <f>SUM('February 2023'!D24)</f>
        <v>158</v>
      </c>
      <c r="Q21" s="1">
        <f>'February 2023'!N24</f>
        <v>282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2</v>
      </c>
      <c r="D22">
        <v>2023</v>
      </c>
      <c r="E22" s="13">
        <f>'February 2023'!E25</f>
        <v>37322</v>
      </c>
      <c r="F22" s="9">
        <v>2.9000000000000001E-2</v>
      </c>
      <c r="G22" s="1">
        <f>'February 2023'!J24</f>
        <v>0</v>
      </c>
      <c r="H22" s="9">
        <v>0.112</v>
      </c>
      <c r="I22" s="1">
        <f>'February 2023'!G26*1000</f>
        <v>32000</v>
      </c>
      <c r="J22" s="9">
        <v>3.61E-2</v>
      </c>
      <c r="K22" s="1">
        <f>'February 2023'!I24</f>
        <v>625</v>
      </c>
      <c r="L22" s="9">
        <v>0.75</v>
      </c>
      <c r="M22" s="9">
        <f>'February 2023'!L25</f>
        <v>0</v>
      </c>
      <c r="N22" s="9">
        <v>0.56299999999999994</v>
      </c>
      <c r="O22" s="13">
        <f>SUM('February 2023'!D25)</f>
        <v>226</v>
      </c>
      <c r="Q22" s="1">
        <f>'February 2023'!N25</f>
        <v>312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2</v>
      </c>
      <c r="D23">
        <v>2023</v>
      </c>
      <c r="E23" s="13">
        <f>'February 2023'!E26</f>
        <v>37357</v>
      </c>
      <c r="F23" s="9">
        <v>2.9000000000000001E-2</v>
      </c>
      <c r="G23" s="1">
        <f>'February 2023'!J25</f>
        <v>5940</v>
      </c>
      <c r="H23" s="9">
        <v>0.112</v>
      </c>
      <c r="I23" s="1">
        <f>'February 2023'!G27*1000</f>
        <v>29000</v>
      </c>
      <c r="J23" s="9">
        <v>3.61E-2</v>
      </c>
      <c r="K23" s="1">
        <f>'February 2023'!I26</f>
        <v>666</v>
      </c>
      <c r="L23" s="9">
        <v>0.75</v>
      </c>
      <c r="M23" s="9">
        <f>'February 2023'!L26</f>
        <v>0</v>
      </c>
      <c r="N23" s="9">
        <v>0.56299999999999994</v>
      </c>
      <c r="O23" s="13">
        <f>SUM('February 2023'!D26)</f>
        <v>263</v>
      </c>
      <c r="Q23" s="1">
        <f>'February 2023'!N26</f>
        <v>414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3">
        <f>'February 2023'!E27</f>
        <v>37392</v>
      </c>
      <c r="F24" s="9">
        <v>2.9000000000000001E-2</v>
      </c>
      <c r="G24" s="1">
        <f>'February 2023'!J27</f>
        <v>2970</v>
      </c>
      <c r="H24" s="9">
        <v>0.112</v>
      </c>
      <c r="I24" s="1">
        <f>'February 2023'!G27*1000</f>
        <v>29000</v>
      </c>
      <c r="J24" s="9">
        <v>3.61E-2</v>
      </c>
      <c r="K24" s="1">
        <f>'February 2023'!I27</f>
        <v>541</v>
      </c>
      <c r="L24" s="9">
        <v>0.75</v>
      </c>
      <c r="M24" s="9">
        <f>'February 2023'!L27</f>
        <v>0</v>
      </c>
      <c r="N24" s="9">
        <v>0.56299999999999994</v>
      </c>
      <c r="O24" s="13">
        <f>SUM('February 2023'!D27)</f>
        <v>249</v>
      </c>
      <c r="Q24" s="1">
        <f>'February 2023'!N27</f>
        <v>334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3">
        <f>'February 2023'!E28</f>
        <v>37428</v>
      </c>
      <c r="F25" s="9">
        <v>2.9000000000000001E-2</v>
      </c>
      <c r="G25" s="1">
        <f>'February 2023'!J28</f>
        <v>0</v>
      </c>
      <c r="H25" s="9">
        <v>0.112</v>
      </c>
      <c r="I25" s="1">
        <f>'February 2023'!G28*1000</f>
        <v>41000</v>
      </c>
      <c r="J25" s="9">
        <v>3.61E-2</v>
      </c>
      <c r="K25" s="1">
        <f>'February 2023'!I28</f>
        <v>658</v>
      </c>
      <c r="L25" s="9">
        <v>0.75</v>
      </c>
      <c r="M25" s="9">
        <f>'February 2023'!L28</f>
        <v>510</v>
      </c>
      <c r="N25" s="9">
        <v>0.56299999999999994</v>
      </c>
      <c r="O25" s="13">
        <f>SUM('February 2023'!D28)</f>
        <v>240</v>
      </c>
      <c r="Q25" s="1">
        <f>'February 2023'!N28</f>
        <v>377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2</v>
      </c>
      <c r="D26">
        <v>2023</v>
      </c>
      <c r="E26" s="13">
        <f>'February 2023'!E29</f>
        <v>37463</v>
      </c>
      <c r="F26" s="9">
        <v>2.9000000000000001E-2</v>
      </c>
      <c r="G26" s="1">
        <f>'February 2023'!J29</f>
        <v>2970</v>
      </c>
      <c r="H26" s="9">
        <v>0.112</v>
      </c>
      <c r="I26" s="1">
        <f>'February 2023'!G29*1000</f>
        <v>40000</v>
      </c>
      <c r="J26" s="9">
        <v>3.61E-2</v>
      </c>
      <c r="K26" s="1">
        <f>'February 2023'!I29</f>
        <v>519</v>
      </c>
      <c r="L26" s="9">
        <v>0.75</v>
      </c>
      <c r="M26" s="9">
        <f>'February 2023'!L29</f>
        <v>50</v>
      </c>
      <c r="N26" s="9">
        <v>0.56299999999999994</v>
      </c>
      <c r="O26" s="13">
        <f>SUM('February 2023'!D29)</f>
        <v>147</v>
      </c>
      <c r="Q26" s="1">
        <f>'February 2023'!N29</f>
        <v>315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2</v>
      </c>
      <c r="D27">
        <v>2023</v>
      </c>
      <c r="E27" s="13">
        <f>'February 2023'!E30</f>
        <v>37498</v>
      </c>
      <c r="F27" s="9">
        <v>2.9000000000000001E-2</v>
      </c>
      <c r="G27" s="1">
        <f>'February 2023'!J30</f>
        <v>5940</v>
      </c>
      <c r="H27" s="9">
        <v>0.112</v>
      </c>
      <c r="I27" s="1">
        <f>'February 2023'!G30*1000</f>
        <v>41000</v>
      </c>
      <c r="J27" s="9">
        <v>3.61E-2</v>
      </c>
      <c r="K27" s="1">
        <f>'February 2023'!I30</f>
        <v>436</v>
      </c>
      <c r="L27" s="9">
        <v>0.75</v>
      </c>
      <c r="M27" s="9">
        <f>'February 2023'!L30</f>
        <v>0</v>
      </c>
      <c r="N27" s="9">
        <v>0.56299999999999994</v>
      </c>
      <c r="O27" s="13">
        <f>SUM('February 2023'!D30)</f>
        <v>115</v>
      </c>
      <c r="Q27" s="1">
        <f>'February 2023'!N30</f>
        <v>289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2</v>
      </c>
      <c r="D28">
        <v>2023</v>
      </c>
      <c r="E28" s="13">
        <f>'February 2023'!E31</f>
        <v>37532</v>
      </c>
      <c r="F28" s="9">
        <v>2.9000000000000001E-2</v>
      </c>
      <c r="G28" s="1">
        <f>'February 2023'!J31</f>
        <v>0</v>
      </c>
      <c r="H28" s="9">
        <v>0.112</v>
      </c>
      <c r="I28" s="1">
        <f>'February 2023'!G31*1000</f>
        <v>41000</v>
      </c>
      <c r="J28" s="9">
        <v>3.61E-2</v>
      </c>
      <c r="K28" s="1">
        <f>'February 2023'!I31</f>
        <v>493</v>
      </c>
      <c r="L28" s="9">
        <v>0.75</v>
      </c>
      <c r="M28" s="9">
        <f>'February 2023'!L31</f>
        <v>0</v>
      </c>
      <c r="N28" s="9">
        <v>0.56299999999999994</v>
      </c>
      <c r="O28" s="13">
        <f>SUM('February 2023'!D31)</f>
        <v>129</v>
      </c>
      <c r="Q28" s="1">
        <f>'February 2023'!N31</f>
        <v>312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2</v>
      </c>
      <c r="D29">
        <v>2023</v>
      </c>
      <c r="E29" s="13">
        <f>'February 2023'!E32</f>
        <v>0</v>
      </c>
      <c r="F29" s="9">
        <v>2.9000000000000001E-2</v>
      </c>
      <c r="G29" s="1">
        <f>'February 2023'!J32</f>
        <v>2970</v>
      </c>
      <c r="H29" s="9">
        <v>0.112</v>
      </c>
      <c r="I29" s="1">
        <f>'February 2023'!G32*1000</f>
        <v>0</v>
      </c>
      <c r="J29" s="9">
        <v>3.61E-2</v>
      </c>
      <c r="K29" s="1">
        <f>'February 2023'!I32</f>
        <v>0</v>
      </c>
      <c r="L29" s="9">
        <v>0.75</v>
      </c>
      <c r="M29" s="9">
        <f>'February 2023'!L32</f>
        <v>0</v>
      </c>
      <c r="N29" s="9">
        <v>0.56299999999999994</v>
      </c>
      <c r="O29" s="13">
        <f>SUM('February 2023'!D32)</f>
        <v>0</v>
      </c>
      <c r="Q29" s="1">
        <f>'February 2023'!N32</f>
        <v>0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2</v>
      </c>
      <c r="D30">
        <v>2023</v>
      </c>
      <c r="E30" s="13">
        <f>'February 2023'!E33</f>
        <v>0</v>
      </c>
      <c r="F30" s="9">
        <v>2.9000000000000001E-2</v>
      </c>
      <c r="G30" s="1">
        <f>'February 2023'!J33</f>
        <v>0</v>
      </c>
      <c r="H30" s="9">
        <v>0.112</v>
      </c>
      <c r="I30" s="1">
        <f>'February 2023'!G33*1000</f>
        <v>0</v>
      </c>
      <c r="J30" s="9">
        <v>3.61E-2</v>
      </c>
      <c r="K30" s="1">
        <f>'February 2023'!I33</f>
        <v>0</v>
      </c>
      <c r="L30" s="9">
        <v>0.75</v>
      </c>
      <c r="M30" s="9">
        <f>'February 2023'!L33</f>
        <v>0</v>
      </c>
      <c r="N30" s="9">
        <v>0.56299999999999994</v>
      </c>
      <c r="O30" s="13">
        <f>SUM('February 2023'!D33)</f>
        <v>0</v>
      </c>
      <c r="Q30" s="1">
        <f>'February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2</v>
      </c>
      <c r="D31">
        <v>2023</v>
      </c>
      <c r="E31" s="13">
        <f>'February 2023'!E34</f>
        <v>0</v>
      </c>
      <c r="F31" s="9">
        <v>2.9000000000000001E-2</v>
      </c>
      <c r="G31" s="1">
        <f>'February 2023'!J34</f>
        <v>0</v>
      </c>
      <c r="H31" s="9">
        <v>0.112</v>
      </c>
      <c r="I31" s="1">
        <f>'February 2023'!G34*1000</f>
        <v>0</v>
      </c>
      <c r="J31" s="9">
        <v>3.61E-2</v>
      </c>
      <c r="K31" s="1">
        <f>'February 2023'!I34</f>
        <v>0</v>
      </c>
      <c r="L31" s="9">
        <v>0.75</v>
      </c>
      <c r="M31" s="9">
        <f>'February 2023'!L34</f>
        <v>0</v>
      </c>
      <c r="N31" s="9">
        <v>0.56299999999999994</v>
      </c>
      <c r="O31" s="13">
        <f>SUM('February 2023'!D34)</f>
        <v>0</v>
      </c>
      <c r="Q31" s="1">
        <f>'February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2</v>
      </c>
      <c r="D32">
        <v>2023</v>
      </c>
      <c r="E32" s="13">
        <f>'February 2023'!E35</f>
        <v>0</v>
      </c>
      <c r="F32" s="9">
        <v>2.9000000000000001E-2</v>
      </c>
      <c r="G32" s="1">
        <f>'February 2023'!J35</f>
        <v>0</v>
      </c>
      <c r="H32" s="9">
        <v>0.112</v>
      </c>
      <c r="I32" s="1">
        <f>'February 2023'!G35*1000</f>
        <v>0</v>
      </c>
      <c r="J32" s="9">
        <v>3.61E-2</v>
      </c>
      <c r="K32" s="1">
        <f>'February 2023'!I35</f>
        <v>0</v>
      </c>
      <c r="L32" s="9">
        <v>0.75</v>
      </c>
      <c r="M32" s="9">
        <f>'February 2023'!L35</f>
        <v>0</v>
      </c>
      <c r="N32" s="9">
        <v>0.56299999999999994</v>
      </c>
      <c r="O32" s="13">
        <f>'February 2023'!D35</f>
        <v>0</v>
      </c>
      <c r="Q32" s="1">
        <f>'February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C32" sqref="A32:XFD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44958</v>
      </c>
      <c r="D5" s="7">
        <v>130</v>
      </c>
      <c r="E5" s="4">
        <v>36600</v>
      </c>
      <c r="F5" s="11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37">
        <f>K6-K5</f>
        <v>0</v>
      </c>
      <c r="M5" s="40">
        <v>558589</v>
      </c>
      <c r="N5" s="41">
        <f>M6-M5</f>
        <v>245</v>
      </c>
    </row>
    <row r="6" spans="1:14" x14ac:dyDescent="0.2">
      <c r="B6" s="2">
        <v>2</v>
      </c>
      <c r="C6" s="10">
        <v>44959</v>
      </c>
      <c r="D6" s="7">
        <v>156</v>
      </c>
      <c r="E6" s="4">
        <v>36717</v>
      </c>
      <c r="F6" s="11">
        <v>231528</v>
      </c>
      <c r="G6" s="8">
        <f t="shared" ref="G6:G32" si="0">F7-F6</f>
        <v>34</v>
      </c>
      <c r="H6" s="4">
        <v>759614</v>
      </c>
      <c r="I6" s="3">
        <f t="shared" ref="I6:I31" si="1">H7-H6</f>
        <v>436</v>
      </c>
      <c r="J6" s="3">
        <v>2970</v>
      </c>
      <c r="K6" s="4">
        <v>367167</v>
      </c>
      <c r="L6" s="37">
        <f t="shared" ref="L6:L31" si="2">K7-K6</f>
        <v>0</v>
      </c>
      <c r="M6" s="4">
        <v>558834</v>
      </c>
      <c r="N6" s="41">
        <f t="shared" ref="N6:N31" si="3">M7-M6</f>
        <v>258</v>
      </c>
    </row>
    <row r="7" spans="1:14" x14ac:dyDescent="0.2">
      <c r="B7" s="2">
        <v>3</v>
      </c>
      <c r="C7" s="10">
        <v>44960</v>
      </c>
      <c r="D7" s="7">
        <v>142</v>
      </c>
      <c r="E7" s="4">
        <v>34525</v>
      </c>
      <c r="F7" s="11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37">
        <f t="shared" si="2"/>
        <v>39</v>
      </c>
      <c r="M7" s="4">
        <v>559092</v>
      </c>
      <c r="N7" s="41">
        <f t="shared" si="3"/>
        <v>310</v>
      </c>
    </row>
    <row r="8" spans="1:14" x14ac:dyDescent="0.2">
      <c r="B8" s="2">
        <v>4</v>
      </c>
      <c r="C8" s="10">
        <v>44961</v>
      </c>
      <c r="D8" s="7">
        <v>84</v>
      </c>
      <c r="E8" s="4">
        <v>34552</v>
      </c>
      <c r="F8" s="11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37">
        <f t="shared" si="2"/>
        <v>42</v>
      </c>
      <c r="M8" s="4">
        <v>559402</v>
      </c>
      <c r="N8" s="41">
        <f t="shared" si="3"/>
        <v>304</v>
      </c>
    </row>
    <row r="9" spans="1:14" ht="12" customHeight="1" x14ac:dyDescent="0.2">
      <c r="B9" s="2">
        <v>5</v>
      </c>
      <c r="C9" s="10">
        <v>44962</v>
      </c>
      <c r="D9" s="7">
        <v>75</v>
      </c>
      <c r="E9" s="4">
        <v>34579</v>
      </c>
      <c r="F9" s="11">
        <v>231618</v>
      </c>
      <c r="G9" s="8">
        <f t="shared" si="0"/>
        <v>29</v>
      </c>
      <c r="H9" s="22">
        <v>760725</v>
      </c>
      <c r="I9" s="3">
        <f t="shared" si="1"/>
        <v>452</v>
      </c>
      <c r="J9" s="3">
        <v>2970</v>
      </c>
      <c r="K9" s="4">
        <v>367248</v>
      </c>
      <c r="L9" s="37">
        <f t="shared" si="2"/>
        <v>0</v>
      </c>
      <c r="M9" s="4">
        <v>559706</v>
      </c>
      <c r="N9" s="41">
        <f t="shared" si="3"/>
        <v>247</v>
      </c>
    </row>
    <row r="10" spans="1:14" x14ac:dyDescent="0.2">
      <c r="B10" s="2">
        <v>6</v>
      </c>
      <c r="C10" s="10">
        <v>44963</v>
      </c>
      <c r="D10" s="7">
        <v>98</v>
      </c>
      <c r="E10" s="7">
        <v>34605</v>
      </c>
      <c r="F10" s="31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37">
        <f t="shared" si="2"/>
        <v>33</v>
      </c>
      <c r="M10" s="4">
        <v>559953</v>
      </c>
      <c r="N10" s="41">
        <f t="shared" si="3"/>
        <v>236</v>
      </c>
    </row>
    <row r="11" spans="1:14" x14ac:dyDescent="0.2">
      <c r="B11" s="2">
        <v>7</v>
      </c>
      <c r="C11" s="10">
        <v>44964</v>
      </c>
      <c r="D11" s="7">
        <v>112</v>
      </c>
      <c r="E11" s="7">
        <v>34632</v>
      </c>
      <c r="F11" s="31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37">
        <f t="shared" si="2"/>
        <v>34</v>
      </c>
      <c r="M11" s="4">
        <v>560189</v>
      </c>
      <c r="N11" s="41">
        <f t="shared" si="3"/>
        <v>249</v>
      </c>
    </row>
    <row r="12" spans="1:14" x14ac:dyDescent="0.2">
      <c r="B12" s="2">
        <v>8</v>
      </c>
      <c r="C12" s="10">
        <v>44965</v>
      </c>
      <c r="D12" s="7">
        <v>129</v>
      </c>
      <c r="E12" s="4">
        <v>34658</v>
      </c>
      <c r="F12" s="31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37">
        <f t="shared" si="2"/>
        <v>0</v>
      </c>
      <c r="M12" s="4">
        <v>560438</v>
      </c>
      <c r="N12" s="41">
        <f t="shared" si="3"/>
        <v>246</v>
      </c>
    </row>
    <row r="13" spans="1:14" x14ac:dyDescent="0.2">
      <c r="A13" t="s">
        <v>20</v>
      </c>
      <c r="B13" s="2">
        <v>9</v>
      </c>
      <c r="C13" s="10">
        <v>44966</v>
      </c>
      <c r="D13" s="7">
        <v>136</v>
      </c>
      <c r="E13" s="7">
        <v>33305</v>
      </c>
      <c r="F13" s="32">
        <v>231741</v>
      </c>
      <c r="G13" s="8">
        <f t="shared" si="0"/>
        <v>28</v>
      </c>
      <c r="H13" s="22">
        <v>762488</v>
      </c>
      <c r="I13" s="3">
        <f t="shared" si="1"/>
        <v>761</v>
      </c>
      <c r="J13" s="3">
        <v>2970</v>
      </c>
      <c r="K13" s="4">
        <v>367315</v>
      </c>
      <c r="L13" s="37">
        <f t="shared" si="2"/>
        <v>35</v>
      </c>
      <c r="M13" s="4">
        <v>560684</v>
      </c>
      <c r="N13" s="41">
        <f t="shared" si="3"/>
        <v>270</v>
      </c>
    </row>
    <row r="14" spans="1:14" x14ac:dyDescent="0.2">
      <c r="B14" s="2">
        <v>10</v>
      </c>
      <c r="C14" s="10">
        <v>44967</v>
      </c>
      <c r="D14" s="7">
        <v>150</v>
      </c>
      <c r="E14" s="7">
        <v>33045</v>
      </c>
      <c r="F14" s="31">
        <v>231769</v>
      </c>
      <c r="G14" s="8">
        <f t="shared" si="0"/>
        <v>26</v>
      </c>
      <c r="H14" s="15">
        <v>763249</v>
      </c>
      <c r="I14" s="3">
        <f t="shared" si="1"/>
        <v>607</v>
      </c>
      <c r="J14" s="3">
        <v>0</v>
      </c>
      <c r="K14" s="20">
        <v>367350</v>
      </c>
      <c r="L14" s="37">
        <f t="shared" si="2"/>
        <v>0</v>
      </c>
      <c r="M14" s="4">
        <v>560954</v>
      </c>
      <c r="N14" s="41">
        <f t="shared" si="3"/>
        <v>327</v>
      </c>
    </row>
    <row r="15" spans="1:14" x14ac:dyDescent="0.2">
      <c r="B15" s="2">
        <v>11</v>
      </c>
      <c r="C15" s="10">
        <v>44968</v>
      </c>
      <c r="D15" s="7">
        <v>107</v>
      </c>
      <c r="E15" s="11">
        <v>33306</v>
      </c>
      <c r="F15" s="21">
        <v>231795</v>
      </c>
      <c r="G15" s="8">
        <f t="shared" si="0"/>
        <v>28</v>
      </c>
      <c r="H15" s="22">
        <v>763856</v>
      </c>
      <c r="I15" s="3">
        <f t="shared" si="1"/>
        <v>445</v>
      </c>
      <c r="J15" s="19">
        <v>2970</v>
      </c>
      <c r="K15" s="20">
        <v>367350</v>
      </c>
      <c r="L15" s="37">
        <f t="shared" si="2"/>
        <v>0</v>
      </c>
      <c r="M15" s="4">
        <v>561281</v>
      </c>
      <c r="N15" s="41">
        <f t="shared" si="3"/>
        <v>291</v>
      </c>
    </row>
    <row r="16" spans="1:14" ht="13.5" customHeight="1" x14ac:dyDescent="0.2">
      <c r="B16" s="2">
        <v>12</v>
      </c>
      <c r="C16" s="10">
        <v>44969</v>
      </c>
      <c r="D16" s="7">
        <v>112</v>
      </c>
      <c r="E16" s="11">
        <v>37015</v>
      </c>
      <c r="F16" s="21">
        <v>231823</v>
      </c>
      <c r="G16" s="8">
        <f t="shared" si="0"/>
        <v>29</v>
      </c>
      <c r="H16" s="22">
        <v>764301</v>
      </c>
      <c r="I16" s="3">
        <f t="shared" si="1"/>
        <v>558</v>
      </c>
      <c r="J16" s="3">
        <v>2970</v>
      </c>
      <c r="K16" s="21">
        <v>367350</v>
      </c>
      <c r="L16" s="37">
        <f t="shared" si="2"/>
        <v>0</v>
      </c>
      <c r="M16" s="4">
        <v>561572</v>
      </c>
      <c r="N16" s="41">
        <f t="shared" si="3"/>
        <v>267</v>
      </c>
    </row>
    <row r="17" spans="1:14" x14ac:dyDescent="0.2">
      <c r="B17" s="2">
        <v>13</v>
      </c>
      <c r="C17" s="10">
        <v>44970</v>
      </c>
      <c r="D17" s="7">
        <v>123</v>
      </c>
      <c r="E17" s="11">
        <v>37047</v>
      </c>
      <c r="F17" s="20">
        <v>231852</v>
      </c>
      <c r="G17" s="8">
        <f t="shared" si="0"/>
        <v>34</v>
      </c>
      <c r="H17" s="7">
        <v>764859</v>
      </c>
      <c r="I17" s="3">
        <f t="shared" si="1"/>
        <v>603</v>
      </c>
      <c r="J17" s="3">
        <v>2970</v>
      </c>
      <c r="K17" s="21">
        <v>367350</v>
      </c>
      <c r="L17" s="37">
        <f t="shared" si="2"/>
        <v>0</v>
      </c>
      <c r="M17" s="4">
        <v>561839</v>
      </c>
      <c r="N17" s="41">
        <f t="shared" si="3"/>
        <v>289</v>
      </c>
    </row>
    <row r="18" spans="1:14" ht="13.5" customHeight="1" x14ac:dyDescent="0.2">
      <c r="B18" s="2">
        <v>14</v>
      </c>
      <c r="C18" s="10">
        <v>44971</v>
      </c>
      <c r="D18" s="7">
        <v>158</v>
      </c>
      <c r="E18" s="22">
        <v>37080</v>
      </c>
      <c r="F18" s="21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1">
        <v>367350</v>
      </c>
      <c r="L18" s="37">
        <f t="shared" si="2"/>
        <v>0</v>
      </c>
      <c r="M18" s="4">
        <v>562128</v>
      </c>
      <c r="N18" s="41">
        <f t="shared" si="3"/>
        <v>275</v>
      </c>
    </row>
    <row r="19" spans="1:14" x14ac:dyDescent="0.2">
      <c r="B19" s="2">
        <v>15</v>
      </c>
      <c r="C19" s="10">
        <v>44972</v>
      </c>
      <c r="D19" s="15">
        <v>169</v>
      </c>
      <c r="E19" s="22">
        <v>37114</v>
      </c>
      <c r="F19" s="4">
        <v>231922</v>
      </c>
      <c r="G19" s="8">
        <f t="shared" si="0"/>
        <v>35</v>
      </c>
      <c r="H19" s="7">
        <v>765828</v>
      </c>
      <c r="I19" s="3">
        <f t="shared" si="1"/>
        <v>556</v>
      </c>
      <c r="J19" s="3">
        <v>2970</v>
      </c>
      <c r="K19" s="21">
        <v>367350</v>
      </c>
      <c r="L19" s="37">
        <f t="shared" si="2"/>
        <v>0</v>
      </c>
      <c r="M19" s="4">
        <v>562403</v>
      </c>
      <c r="N19" s="41">
        <f t="shared" si="3"/>
        <v>321</v>
      </c>
    </row>
    <row r="20" spans="1:14" x14ac:dyDescent="0.2">
      <c r="A20" t="s">
        <v>20</v>
      </c>
      <c r="B20" s="2">
        <v>16</v>
      </c>
      <c r="C20" s="10">
        <v>44973</v>
      </c>
      <c r="D20" s="7">
        <v>200</v>
      </c>
      <c r="E20" s="22">
        <v>37149</v>
      </c>
      <c r="F20" s="4">
        <v>231957</v>
      </c>
      <c r="G20" s="8">
        <f t="shared" si="0"/>
        <v>30</v>
      </c>
      <c r="H20" s="22">
        <v>766384</v>
      </c>
      <c r="I20" s="3">
        <f t="shared" si="1"/>
        <v>447</v>
      </c>
      <c r="J20" s="3">
        <v>2970</v>
      </c>
      <c r="K20" s="21">
        <v>367350</v>
      </c>
      <c r="L20" s="37">
        <f t="shared" si="2"/>
        <v>0</v>
      </c>
      <c r="M20" s="4">
        <v>562724</v>
      </c>
      <c r="N20" s="41">
        <f t="shared" si="3"/>
        <v>302</v>
      </c>
    </row>
    <row r="21" spans="1:14" x14ac:dyDescent="0.2">
      <c r="B21" s="2">
        <v>17</v>
      </c>
      <c r="C21" s="10">
        <v>44974</v>
      </c>
      <c r="D21" s="7">
        <v>232</v>
      </c>
      <c r="E21" s="7">
        <v>37184</v>
      </c>
      <c r="F21" s="21">
        <v>231987</v>
      </c>
      <c r="G21" s="8">
        <f t="shared" si="0"/>
        <v>28</v>
      </c>
      <c r="H21" s="23">
        <v>766831</v>
      </c>
      <c r="I21" s="3">
        <f t="shared" si="1"/>
        <v>682</v>
      </c>
      <c r="J21" s="3">
        <v>0</v>
      </c>
      <c r="K21" s="21">
        <v>367350</v>
      </c>
      <c r="L21" s="37">
        <f t="shared" si="2"/>
        <v>0</v>
      </c>
      <c r="M21" s="4">
        <v>563026</v>
      </c>
      <c r="N21" s="41">
        <f t="shared" si="3"/>
        <v>325</v>
      </c>
    </row>
    <row r="22" spans="1:14" ht="12" customHeight="1" x14ac:dyDescent="0.2">
      <c r="B22" s="2">
        <v>18</v>
      </c>
      <c r="C22" s="10">
        <v>44975</v>
      </c>
      <c r="D22" s="7">
        <v>132</v>
      </c>
      <c r="E22" s="7">
        <v>37219</v>
      </c>
      <c r="F22" s="4">
        <v>232015</v>
      </c>
      <c r="G22" s="8">
        <f t="shared" si="0"/>
        <v>27</v>
      </c>
      <c r="H22" s="24">
        <v>767513</v>
      </c>
      <c r="I22" s="3">
        <f t="shared" si="1"/>
        <v>488</v>
      </c>
      <c r="J22" s="3">
        <v>5940</v>
      </c>
      <c r="K22" s="21">
        <v>367350</v>
      </c>
      <c r="L22" s="37">
        <f t="shared" si="2"/>
        <v>0</v>
      </c>
      <c r="M22" s="4">
        <v>563351</v>
      </c>
      <c r="N22" s="41">
        <f t="shared" si="3"/>
        <v>341</v>
      </c>
    </row>
    <row r="23" spans="1:14" x14ac:dyDescent="0.2">
      <c r="B23" s="2">
        <v>19</v>
      </c>
      <c r="C23" s="10">
        <v>44976</v>
      </c>
      <c r="D23" s="7">
        <v>130</v>
      </c>
      <c r="E23" s="22">
        <v>37253</v>
      </c>
      <c r="F23" s="4">
        <v>232042</v>
      </c>
      <c r="G23" s="8">
        <f t="shared" si="0"/>
        <v>25</v>
      </c>
      <c r="H23" s="4">
        <v>768001</v>
      </c>
      <c r="I23" s="3">
        <f t="shared" si="1"/>
        <v>951</v>
      </c>
      <c r="J23" s="3">
        <v>5940</v>
      </c>
      <c r="K23" s="21">
        <v>367350</v>
      </c>
      <c r="L23" s="37">
        <f t="shared" si="2"/>
        <v>0</v>
      </c>
      <c r="M23" s="4">
        <v>563692</v>
      </c>
      <c r="N23" s="41">
        <f t="shared" si="3"/>
        <v>331</v>
      </c>
    </row>
    <row r="24" spans="1:14" ht="12" customHeight="1" x14ac:dyDescent="0.2">
      <c r="B24" s="2">
        <v>20</v>
      </c>
      <c r="C24" s="10">
        <v>44977</v>
      </c>
      <c r="D24" s="7">
        <v>158</v>
      </c>
      <c r="E24" s="22">
        <v>37287</v>
      </c>
      <c r="F24" s="4">
        <v>232067</v>
      </c>
      <c r="G24" s="8">
        <f t="shared" si="0"/>
        <v>27</v>
      </c>
      <c r="H24" s="21">
        <v>768952</v>
      </c>
      <c r="I24" s="3">
        <f t="shared" si="1"/>
        <v>625</v>
      </c>
      <c r="J24" s="3">
        <v>0</v>
      </c>
      <c r="K24" s="21">
        <v>367350</v>
      </c>
      <c r="L24" s="37">
        <f t="shared" si="2"/>
        <v>0</v>
      </c>
      <c r="M24" s="4">
        <v>564023</v>
      </c>
      <c r="N24" s="41">
        <f t="shared" si="3"/>
        <v>282</v>
      </c>
    </row>
    <row r="25" spans="1:14" x14ac:dyDescent="0.2">
      <c r="B25" s="2">
        <v>21</v>
      </c>
      <c r="C25" s="10">
        <v>44978</v>
      </c>
      <c r="D25" s="7">
        <v>226</v>
      </c>
      <c r="E25" s="7">
        <v>37322</v>
      </c>
      <c r="F25" s="21">
        <v>232094</v>
      </c>
      <c r="G25" s="8">
        <f t="shared" si="0"/>
        <v>28</v>
      </c>
      <c r="H25" s="20">
        <v>769577</v>
      </c>
      <c r="I25" s="3">
        <f t="shared" si="1"/>
        <v>656</v>
      </c>
      <c r="J25" s="3">
        <v>5940</v>
      </c>
      <c r="K25" s="21">
        <v>367350</v>
      </c>
      <c r="L25" s="37">
        <f t="shared" si="2"/>
        <v>0</v>
      </c>
      <c r="M25" s="4">
        <v>564305</v>
      </c>
      <c r="N25" s="41">
        <f t="shared" si="3"/>
        <v>312</v>
      </c>
    </row>
    <row r="26" spans="1:14" x14ac:dyDescent="0.2">
      <c r="B26" s="2">
        <v>22</v>
      </c>
      <c r="C26" s="10">
        <v>44979</v>
      </c>
      <c r="D26" s="7">
        <v>263</v>
      </c>
      <c r="E26" s="7">
        <v>37357</v>
      </c>
      <c r="F26" s="4">
        <v>232122</v>
      </c>
      <c r="G26" s="8">
        <f t="shared" si="0"/>
        <v>32</v>
      </c>
      <c r="H26" s="4">
        <v>770233</v>
      </c>
      <c r="I26" s="3">
        <f t="shared" si="1"/>
        <v>666</v>
      </c>
      <c r="J26" s="3">
        <v>2970</v>
      </c>
      <c r="K26" s="21">
        <v>367350</v>
      </c>
      <c r="L26" s="37">
        <f t="shared" si="2"/>
        <v>0</v>
      </c>
      <c r="M26" s="4">
        <v>564617</v>
      </c>
      <c r="N26" s="41">
        <f t="shared" si="3"/>
        <v>414</v>
      </c>
    </row>
    <row r="27" spans="1:14" x14ac:dyDescent="0.2">
      <c r="B27" s="2">
        <v>23</v>
      </c>
      <c r="C27" s="10">
        <v>44980</v>
      </c>
      <c r="D27" s="7">
        <v>249</v>
      </c>
      <c r="E27" s="7">
        <v>37392</v>
      </c>
      <c r="F27" s="4">
        <v>232154</v>
      </c>
      <c r="G27" s="8">
        <f t="shared" si="0"/>
        <v>29</v>
      </c>
      <c r="H27" s="7">
        <v>770899</v>
      </c>
      <c r="I27" s="3">
        <f t="shared" si="1"/>
        <v>541</v>
      </c>
      <c r="J27" s="3">
        <v>2970</v>
      </c>
      <c r="K27" s="21">
        <v>367350</v>
      </c>
      <c r="L27" s="37">
        <f t="shared" si="2"/>
        <v>0</v>
      </c>
      <c r="M27" s="4">
        <v>565031</v>
      </c>
      <c r="N27" s="41">
        <f t="shared" si="3"/>
        <v>334</v>
      </c>
    </row>
    <row r="28" spans="1:14" ht="12.75" customHeight="1" x14ac:dyDescent="0.2">
      <c r="A28" t="s">
        <v>20</v>
      </c>
      <c r="B28" s="2">
        <v>24</v>
      </c>
      <c r="C28" s="10">
        <v>44981</v>
      </c>
      <c r="D28" s="7">
        <v>240</v>
      </c>
      <c r="E28" s="7">
        <v>37428</v>
      </c>
      <c r="F28" s="4">
        <v>232183</v>
      </c>
      <c r="G28" s="8">
        <f t="shared" si="0"/>
        <v>41</v>
      </c>
      <c r="H28" s="7">
        <v>771440</v>
      </c>
      <c r="I28" s="3">
        <f t="shared" si="1"/>
        <v>658</v>
      </c>
      <c r="J28" s="3">
        <v>0</v>
      </c>
      <c r="K28" s="21">
        <v>367350</v>
      </c>
      <c r="L28" s="37">
        <f t="shared" si="2"/>
        <v>510</v>
      </c>
      <c r="M28" s="4">
        <v>565365</v>
      </c>
      <c r="N28" s="41">
        <f t="shared" si="3"/>
        <v>377</v>
      </c>
    </row>
    <row r="29" spans="1:14" x14ac:dyDescent="0.2">
      <c r="A29" t="s">
        <v>22</v>
      </c>
      <c r="B29" s="2">
        <v>25</v>
      </c>
      <c r="C29" s="10">
        <v>44982</v>
      </c>
      <c r="D29" s="7">
        <v>147</v>
      </c>
      <c r="E29" s="7">
        <v>37463</v>
      </c>
      <c r="F29" s="4">
        <v>232224</v>
      </c>
      <c r="G29" s="8">
        <f t="shared" si="0"/>
        <v>40</v>
      </c>
      <c r="H29" s="20">
        <v>772098</v>
      </c>
      <c r="I29" s="3">
        <f t="shared" si="1"/>
        <v>519</v>
      </c>
      <c r="J29" s="3">
        <v>2970</v>
      </c>
      <c r="K29" s="21">
        <v>367860</v>
      </c>
      <c r="L29" s="37">
        <f t="shared" si="2"/>
        <v>50</v>
      </c>
      <c r="M29" s="4">
        <v>565742</v>
      </c>
      <c r="N29" s="41">
        <f t="shared" si="3"/>
        <v>315</v>
      </c>
    </row>
    <row r="30" spans="1:14" x14ac:dyDescent="0.2">
      <c r="B30" s="2">
        <v>26</v>
      </c>
      <c r="C30" s="10">
        <v>44983</v>
      </c>
      <c r="D30" s="7">
        <v>115</v>
      </c>
      <c r="E30" s="7">
        <v>37498</v>
      </c>
      <c r="F30" s="4">
        <v>232264</v>
      </c>
      <c r="G30" s="8">
        <f t="shared" si="0"/>
        <v>41</v>
      </c>
      <c r="H30" s="7">
        <v>772617</v>
      </c>
      <c r="I30" s="3">
        <f t="shared" si="1"/>
        <v>436</v>
      </c>
      <c r="J30" s="3">
        <v>5940</v>
      </c>
      <c r="K30" s="21">
        <v>367910</v>
      </c>
      <c r="L30" s="37">
        <f t="shared" si="2"/>
        <v>0</v>
      </c>
      <c r="M30" s="4">
        <v>566057</v>
      </c>
      <c r="N30" s="41">
        <f t="shared" si="3"/>
        <v>289</v>
      </c>
    </row>
    <row r="31" spans="1:14" x14ac:dyDescent="0.2">
      <c r="A31" t="s">
        <v>21</v>
      </c>
      <c r="B31" s="2">
        <v>27</v>
      </c>
      <c r="C31" s="10">
        <v>44984</v>
      </c>
      <c r="D31" s="7">
        <v>129</v>
      </c>
      <c r="E31" s="7">
        <v>37532</v>
      </c>
      <c r="F31" s="20">
        <v>232305</v>
      </c>
      <c r="G31" s="8">
        <f t="shared" si="0"/>
        <v>41</v>
      </c>
      <c r="H31" s="7">
        <v>773053</v>
      </c>
      <c r="I31" s="3">
        <f t="shared" si="1"/>
        <v>493</v>
      </c>
      <c r="J31" s="3">
        <v>0</v>
      </c>
      <c r="K31" s="21">
        <v>367910</v>
      </c>
      <c r="L31" s="37">
        <f t="shared" si="2"/>
        <v>0</v>
      </c>
      <c r="M31" s="4">
        <v>566346</v>
      </c>
      <c r="N31" s="41">
        <f t="shared" si="3"/>
        <v>312</v>
      </c>
    </row>
    <row r="32" spans="1:14" x14ac:dyDescent="0.2">
      <c r="B32" s="2">
        <v>28</v>
      </c>
      <c r="C32" s="10">
        <v>44985</v>
      </c>
      <c r="D32" s="7"/>
      <c r="E32" s="11"/>
      <c r="F32" s="4">
        <v>232346</v>
      </c>
      <c r="G32" s="8"/>
      <c r="H32" s="15">
        <v>773546</v>
      </c>
      <c r="I32" s="3"/>
      <c r="J32" s="3">
        <v>2970</v>
      </c>
      <c r="K32" s="21">
        <v>367910</v>
      </c>
      <c r="L32" s="37"/>
      <c r="M32" s="4">
        <v>566658</v>
      </c>
      <c r="N32" s="7"/>
    </row>
    <row r="33" spans="2:14" x14ac:dyDescent="0.2">
      <c r="B33" s="2"/>
      <c r="C33" s="10"/>
      <c r="D33" s="17"/>
      <c r="E33" s="18"/>
      <c r="F33" s="4"/>
      <c r="G33" s="8"/>
      <c r="H33" s="7"/>
      <c r="I33" s="3"/>
      <c r="J33" s="3"/>
      <c r="K33" s="21"/>
      <c r="L33" s="37"/>
      <c r="M33" s="4"/>
      <c r="N33" s="7"/>
    </row>
    <row r="34" spans="2:14" x14ac:dyDescent="0.2">
      <c r="B34" s="16"/>
      <c r="C34" s="10"/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/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2023-02-28T11:59:56Z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