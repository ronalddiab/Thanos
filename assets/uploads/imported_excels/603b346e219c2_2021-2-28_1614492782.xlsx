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filterPrivacy="1" defaultThemeVersion="124226"/>
  <xr:revisionPtr revIDLastSave="0" documentId="13_ncr:1_{39BF387F-581F-4BB8-9750-A11FD80A4695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7" i="2" l="1"/>
  <c r="B20" i="4"/>
  <c r="B3" i="4"/>
  <c r="H21" i="2"/>
  <c r="C21" i="2"/>
  <c r="C22" i="2"/>
  <c r="C23" i="2"/>
  <c r="C24" i="2"/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V33" i="8" s="1"/>
  <c r="W33" i="8"/>
  <c r="E34" i="8"/>
  <c r="I34" i="8"/>
  <c r="K34" i="8"/>
  <c r="M34" i="8"/>
  <c r="O34" i="8"/>
  <c r="S34" i="8"/>
  <c r="U34" i="8"/>
  <c r="W34" i="8"/>
  <c r="C33" i="8"/>
  <c r="H33" i="8" s="1"/>
  <c r="C34" i="8"/>
  <c r="T33" i="8" l="1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U30" i="8"/>
  <c r="S30" i="8"/>
  <c r="Q30" i="8"/>
  <c r="O30" i="8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Q12" i="8"/>
  <c r="O12" i="8"/>
  <c r="M12" i="8"/>
  <c r="K12" i="8"/>
  <c r="I12" i="8"/>
  <c r="E12" i="8"/>
  <c r="C12" i="8"/>
  <c r="A12" i="8"/>
  <c r="W11" i="8"/>
  <c r="U11" i="8"/>
  <c r="S11" i="8"/>
  <c r="Q11" i="8"/>
  <c r="O11" i="8"/>
  <c r="M11" i="8"/>
  <c r="K11" i="8"/>
  <c r="I11" i="8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Q8" i="8"/>
  <c r="O8" i="8"/>
  <c r="M8" i="8"/>
  <c r="K8" i="8"/>
  <c r="I8" i="8"/>
  <c r="E8" i="8"/>
  <c r="C8" i="8"/>
  <c r="A8" i="8"/>
  <c r="W7" i="8"/>
  <c r="U7" i="8"/>
  <c r="S7" i="8"/>
  <c r="Q7" i="8"/>
  <c r="O7" i="8"/>
  <c r="M7" i="8"/>
  <c r="K7" i="8"/>
  <c r="I7" i="8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tc={4820A5C3-3458-429C-875A-2FF12FD07541}</author>
  </authors>
  <commentList>
    <comment ref="R16" authorId="0" shapeId="0" xr:uid="{4820A5C3-3458-429C-875A-2FF12FD07541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reading showing high, informed Areesh to check any water leakage</t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<sst xmlns="http://schemas.openxmlformats.org/spreadsheetml/2006/main" count="201" uniqueCount="128">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</sst>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-350440</c:v>
                </c:pt>
                <c:pt idx="1">
                  <c:v>-2013700</c:v>
                </c:pt>
                <c:pt idx="2">
                  <c:v>-195330</c:v>
                </c:pt>
                <c:pt idx="3">
                  <c:v>-780280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-45508</c:v>
                </c:pt>
                <c:pt idx="1">
                  <c:v>0.18958033043666631</c:v>
                </c:pt>
                <c:pt idx="2" formatCode="_(* #,##0.00_);_(* \(#,##0.00\);_(* &quot;-&quot;??_);_(@_)">
                  <c:v>-182462</c:v>
                </c:pt>
                <c:pt idx="3">
                  <c:v>0.76011264507636034</c:v>
                </c:pt>
                <c:pt idx="4" formatCode="0.00">
                  <c:v>-25830</c:v>
                </c:pt>
                <c:pt idx="5">
                  <c:v>0.10760437582796631</c:v>
                </c:pt>
                <c:pt idx="6" formatCode="0.00">
                  <c:v>-31668</c:v>
                </c:pt>
                <c:pt idx="7">
                  <c:v>0.1319247144297343</c:v>
                </c:pt>
                <c:pt idx="8" formatCode="0.00">
                  <c:v>-5466</c:v>
                </c:pt>
                <c:pt idx="9">
                  <c:v>2.2770635628171266E-2</c:v>
                </c:pt>
                <c:pt idx="10" formatCode="0.00">
                  <c:v>45</c:v>
                </c:pt>
                <c:pt idx="11">
                  <c:v>-1.8746406938670087E-4</c:v>
                </c:pt>
                <c:pt idx="12" formatCode="0.00">
                  <c:v>-66842</c:v>
                </c:pt>
                <c:pt idx="13">
                  <c:v>0.27845496279879689</c:v>
                </c:pt>
                <c:pt idx="14" formatCode="_(* #,##0.00_);_(* \(#,##0.00\);_(* &quot;-&quot;??_);_(@_)">
                  <c:v>-238934</c:v>
                </c:pt>
                <c:pt idx="15">
                  <c:v>0.99536755455204418</c:v>
                </c:pt>
                <c:pt idx="16" formatCode="0.00">
                  <c:v>-108776</c:v>
                </c:pt>
                <c:pt idx="17">
                  <c:v>0.45314648025795057</c:v>
                </c:pt>
                <c:pt idx="18" formatCode="0.00">
                  <c:v>-18332</c:v>
                </c:pt>
                <c:pt idx="19">
                  <c:v>7.6368695999933345E-2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6746.1999999999971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-240046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-723773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804672"/>
        <c:axId val="249806208"/>
      </c:barChart>
      <c:catAx>
        <c:axId val="249804672"/>
        <c:scaling>
          <c:orientation val="minMax"/>
        </c:scaling>
        <c:delete val="1"/>
        <c:axPos val="b"/>
        <c:majorTickMark val="none"/>
        <c:minorTickMark val="none"/>
        <c:tickLblPos val="nextTo"/>
        <c:crossAx val="249806208"/>
        <c:crosses val="autoZero"/>
        <c:auto val="1"/>
        <c:lblAlgn val="ctr"/>
        <c:lblOffset val="100"/>
        <c:noMultiLvlLbl val="0"/>
      </c:catAx>
      <c:valAx>
        <c:axId val="24980620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49804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6" dT="2021-02-14T04:46:57.18" personId="{00000000-0000-0000-0000-000000000000}" id="{4820A5C3-3458-429C-875A-2FF12FD07541}">
    <text>Meter reading showing high, informed Areesh to check any water leakage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opLeftCell="A13" zoomScale="85" zoomScaleNormal="85" workbookViewId="0">
      <selection activeCell="M27" sqref="M27:O27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2</v>
      </c>
      <c r="D2" s="46">
        <v>2021</v>
      </c>
      <c r="E2" s="107">
        <v>20559.999999999491</v>
      </c>
      <c r="F2" s="48">
        <v>0.14000000000000001</v>
      </c>
      <c r="G2" s="107">
        <v>5493</v>
      </c>
      <c r="H2" s="48">
        <v>0.4453480216384178</v>
      </c>
      <c r="I2" s="65">
        <v>279</v>
      </c>
      <c r="J2" s="76">
        <v>0.4</v>
      </c>
      <c r="K2" s="108">
        <f>K33/31</f>
        <v>0</v>
      </c>
      <c r="L2" s="76">
        <v>1.5287027707808565</v>
      </c>
      <c r="M2" s="72">
        <v>23</v>
      </c>
      <c r="N2" s="72">
        <v>52</v>
      </c>
      <c r="O2" s="72">
        <v>148</v>
      </c>
    </row>
    <row r="3" spans="1:15" ht="15" x14ac:dyDescent="0.25">
      <c r="A3" s="45" t="s">
        <v>9</v>
      </c>
      <c r="B3" s="46">
        <f>B2+1</f>
        <v>2</v>
      </c>
      <c r="C3" s="47">
        <v>2</v>
      </c>
      <c r="D3" s="46">
        <v>2021</v>
      </c>
      <c r="E3" s="107">
        <v>24529.999999999294</v>
      </c>
      <c r="F3" s="48">
        <v>0.14000000000000001</v>
      </c>
      <c r="G3" s="107">
        <v>6460</v>
      </c>
      <c r="H3" s="48">
        <v>0.4453480216384178</v>
      </c>
      <c r="I3" s="65">
        <v>248</v>
      </c>
      <c r="J3" s="76">
        <v>0.4</v>
      </c>
      <c r="K3" s="108">
        <v>0</v>
      </c>
      <c r="L3" s="76">
        <v>1.5287027707808565</v>
      </c>
      <c r="M3" s="72">
        <v>26</v>
      </c>
      <c r="N3" s="72">
        <v>64</v>
      </c>
      <c r="O3" s="72">
        <v>195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2</v>
      </c>
      <c r="D4" s="46">
        <v>2021</v>
      </c>
      <c r="E4" s="107">
        <v>21160.000000000535</v>
      </c>
      <c r="F4" s="48">
        <v>0.14000000000000001</v>
      </c>
      <c r="G4" s="107">
        <v>6147</v>
      </c>
      <c r="H4" s="48">
        <v>0.4453480216384178</v>
      </c>
      <c r="I4" s="65">
        <v>241</v>
      </c>
      <c r="J4" s="76">
        <v>0.4</v>
      </c>
      <c r="K4" s="108">
        <v>0</v>
      </c>
      <c r="L4" s="76">
        <v>1.5287027707808565</v>
      </c>
      <c r="M4" s="72">
        <v>27</v>
      </c>
      <c r="N4" s="72">
        <v>68</v>
      </c>
      <c r="O4" s="72">
        <v>217</v>
      </c>
    </row>
    <row r="5" spans="1:15" ht="15" x14ac:dyDescent="0.25">
      <c r="A5" s="45" t="s">
        <v>9</v>
      </c>
      <c r="B5" s="46">
        <f t="shared" si="0"/>
        <v>4</v>
      </c>
      <c r="C5" s="47">
        <v>2</v>
      </c>
      <c r="D5" s="46">
        <v>2021</v>
      </c>
      <c r="E5" s="107">
        <v>20480.000000000469</v>
      </c>
      <c r="F5" s="48">
        <v>0.14000000000000001</v>
      </c>
      <c r="G5" s="107">
        <v>5852</v>
      </c>
      <c r="H5" s="48">
        <v>0.4453480216384178</v>
      </c>
      <c r="I5" s="65">
        <v>216</v>
      </c>
      <c r="J5" s="76">
        <v>0.4</v>
      </c>
      <c r="K5" s="108">
        <v>0</v>
      </c>
      <c r="L5" s="76">
        <v>1.5287027707808565</v>
      </c>
      <c r="M5" s="72">
        <v>28</v>
      </c>
      <c r="N5" s="72">
        <v>68</v>
      </c>
      <c r="O5" s="72">
        <v>199</v>
      </c>
    </row>
    <row r="6" spans="1:15" ht="15" x14ac:dyDescent="0.25">
      <c r="A6" s="45" t="s">
        <v>9</v>
      </c>
      <c r="B6" s="46">
        <f t="shared" si="0"/>
        <v>5</v>
      </c>
      <c r="C6" s="47">
        <v>2</v>
      </c>
      <c r="D6" s="46">
        <v>2021</v>
      </c>
      <c r="E6" s="107">
        <v>20840.000000000146</v>
      </c>
      <c r="F6" s="48">
        <v>0.14000000000000001</v>
      </c>
      <c r="G6" s="107">
        <v>5479</v>
      </c>
      <c r="H6" s="48">
        <v>0.4453480216384178</v>
      </c>
      <c r="I6" s="65">
        <v>240</v>
      </c>
      <c r="J6" s="76">
        <v>0.4</v>
      </c>
      <c r="K6" s="108">
        <v>0</v>
      </c>
      <c r="L6" s="76">
        <v>1.5287027707808565</v>
      </c>
      <c r="M6" s="72">
        <v>31</v>
      </c>
      <c r="N6" s="72">
        <v>76</v>
      </c>
      <c r="O6" s="72">
        <v>204</v>
      </c>
    </row>
    <row r="7" spans="1:15" ht="15" x14ac:dyDescent="0.25">
      <c r="A7" s="45" t="s">
        <v>9</v>
      </c>
      <c r="B7" s="46">
        <f t="shared" si="0"/>
        <v>6</v>
      </c>
      <c r="C7" s="47">
        <v>2</v>
      </c>
      <c r="D7" s="46">
        <v>2021</v>
      </c>
      <c r="E7" s="107">
        <v>21679.999999998927</v>
      </c>
      <c r="F7" s="48">
        <v>0.14000000000000001</v>
      </c>
      <c r="G7" s="107">
        <v>5802</v>
      </c>
      <c r="H7" s="48">
        <v>0.4453480216384178</v>
      </c>
      <c r="I7" s="65">
        <v>231</v>
      </c>
      <c r="J7" s="76">
        <v>0.4</v>
      </c>
      <c r="K7" s="108">
        <v>0</v>
      </c>
      <c r="L7" s="76">
        <v>1.5287027707808565</v>
      </c>
      <c r="M7" s="72">
        <v>29</v>
      </c>
      <c r="N7" s="72">
        <v>74</v>
      </c>
      <c r="O7" s="72">
        <v>223</v>
      </c>
    </row>
    <row r="8" spans="1:15" ht="15" x14ac:dyDescent="0.25">
      <c r="A8" s="45" t="s">
        <v>9</v>
      </c>
      <c r="B8" s="46">
        <f t="shared" si="0"/>
        <v>7</v>
      </c>
      <c r="C8" s="47">
        <v>2</v>
      </c>
      <c r="D8" s="46">
        <v>2021</v>
      </c>
      <c r="E8" s="107">
        <v>20130.000000000793</v>
      </c>
      <c r="F8" s="48">
        <v>0.14000000000000001</v>
      </c>
      <c r="G8" s="107">
        <v>5630</v>
      </c>
      <c r="H8" s="48">
        <v>0.4453480216384178</v>
      </c>
      <c r="I8" s="65">
        <v>174</v>
      </c>
      <c r="J8" s="76">
        <v>0.4</v>
      </c>
      <c r="K8" s="108">
        <v>0</v>
      </c>
      <c r="L8" s="76">
        <v>1.5287027707808565</v>
      </c>
      <c r="M8" s="72">
        <v>24</v>
      </c>
      <c r="N8" s="72">
        <v>59</v>
      </c>
      <c r="O8" s="72">
        <v>172</v>
      </c>
    </row>
    <row r="9" spans="1:15" ht="15" x14ac:dyDescent="0.25">
      <c r="A9" s="45" t="s">
        <v>9</v>
      </c>
      <c r="B9" s="46">
        <f t="shared" si="0"/>
        <v>8</v>
      </c>
      <c r="C9" s="47">
        <v>2</v>
      </c>
      <c r="D9" s="46">
        <v>2021</v>
      </c>
      <c r="E9" s="107">
        <v>21680.000000000065</v>
      </c>
      <c r="F9" s="48">
        <v>0.14000000000000001</v>
      </c>
      <c r="G9" s="107">
        <v>5898</v>
      </c>
      <c r="H9" s="48">
        <v>0.4453480216384178</v>
      </c>
      <c r="I9" s="65">
        <v>305</v>
      </c>
      <c r="J9" s="76">
        <v>0.4</v>
      </c>
      <c r="K9" s="108">
        <v>0</v>
      </c>
      <c r="L9" s="76">
        <v>1.5287027707808565</v>
      </c>
      <c r="M9" s="72">
        <v>24</v>
      </c>
      <c r="N9" s="72">
        <v>62</v>
      </c>
      <c r="O9" s="72">
        <v>176</v>
      </c>
    </row>
    <row r="10" spans="1:15" ht="15" x14ac:dyDescent="0.25">
      <c r="A10" s="45" t="s">
        <v>9</v>
      </c>
      <c r="B10" s="46">
        <f t="shared" si="0"/>
        <v>9</v>
      </c>
      <c r="C10" s="47">
        <v>2</v>
      </c>
      <c r="D10" s="46">
        <v>2021</v>
      </c>
      <c r="E10" s="107">
        <v>20349.999999999454</v>
      </c>
      <c r="F10" s="48">
        <v>0.14000000000000001</v>
      </c>
      <c r="G10" s="107">
        <v>5654</v>
      </c>
      <c r="H10" s="48">
        <v>0.4453480216384178</v>
      </c>
      <c r="I10" s="65">
        <v>258</v>
      </c>
      <c r="J10" s="76">
        <v>0.4</v>
      </c>
      <c r="K10" s="108">
        <v>0</v>
      </c>
      <c r="L10" s="76">
        <v>1.5287027707808565</v>
      </c>
      <c r="M10" s="72">
        <v>27</v>
      </c>
      <c r="N10" s="72">
        <v>70</v>
      </c>
      <c r="O10" s="72">
        <v>193</v>
      </c>
    </row>
    <row r="11" spans="1:15" ht="15" x14ac:dyDescent="0.25">
      <c r="A11" s="45" t="s">
        <v>9</v>
      </c>
      <c r="B11" s="46">
        <f t="shared" si="0"/>
        <v>10</v>
      </c>
      <c r="C11" s="47">
        <v>2</v>
      </c>
      <c r="D11" s="46">
        <v>2021</v>
      </c>
      <c r="E11" s="107">
        <v>21709.999999999585</v>
      </c>
      <c r="F11" s="48">
        <v>0.14000000000000001</v>
      </c>
      <c r="G11" s="107">
        <v>5698</v>
      </c>
      <c r="H11" s="48">
        <v>0.4453480216384178</v>
      </c>
      <c r="I11" s="65">
        <v>280</v>
      </c>
      <c r="J11" s="76">
        <v>0.4</v>
      </c>
      <c r="K11" s="108">
        <v>0</v>
      </c>
      <c r="L11" s="76">
        <v>1.5287027707808565</v>
      </c>
      <c r="M11" s="72">
        <v>23</v>
      </c>
      <c r="N11" s="72">
        <v>58</v>
      </c>
      <c r="O11" s="72">
        <v>160</v>
      </c>
    </row>
    <row r="12" spans="1:15" ht="15" x14ac:dyDescent="0.25">
      <c r="A12" s="45" t="s">
        <v>9</v>
      </c>
      <c r="B12" s="46">
        <f t="shared" si="0"/>
        <v>11</v>
      </c>
      <c r="C12" s="47">
        <v>2</v>
      </c>
      <c r="D12" s="46">
        <v>2021</v>
      </c>
      <c r="E12" s="107">
        <v>20710.000000001401</v>
      </c>
      <c r="F12" s="48">
        <v>0.14000000000000001</v>
      </c>
      <c r="G12" s="107">
        <v>5401</v>
      </c>
      <c r="H12" s="48">
        <v>0.4453480216384178</v>
      </c>
      <c r="I12" s="65">
        <v>240</v>
      </c>
      <c r="J12" s="76">
        <v>0.4</v>
      </c>
      <c r="K12" s="108">
        <v>0</v>
      </c>
      <c r="L12" s="76">
        <v>1.5287027707808565</v>
      </c>
      <c r="M12" s="72">
        <v>23</v>
      </c>
      <c r="N12" s="72">
        <v>59</v>
      </c>
      <c r="O12" s="72">
        <v>175</v>
      </c>
    </row>
    <row r="13" spans="1:15" ht="15" x14ac:dyDescent="0.25">
      <c r="A13" s="45" t="s">
        <v>9</v>
      </c>
      <c r="B13" s="46">
        <f t="shared" si="0"/>
        <v>12</v>
      </c>
      <c r="C13" s="47">
        <v>2</v>
      </c>
      <c r="D13" s="46">
        <v>2021</v>
      </c>
      <c r="E13" s="107">
        <v>20599.999999999454</v>
      </c>
      <c r="F13" s="48">
        <v>0.14000000000000001</v>
      </c>
      <c r="G13" s="107">
        <v>5795</v>
      </c>
      <c r="H13" s="48">
        <v>0.4453480216384178</v>
      </c>
      <c r="I13" s="65">
        <v>257</v>
      </c>
      <c r="J13" s="76">
        <v>0.4</v>
      </c>
      <c r="K13" s="108">
        <v>0</v>
      </c>
      <c r="L13" s="76">
        <v>1.5287027707808565</v>
      </c>
      <c r="M13" s="72">
        <v>28</v>
      </c>
      <c r="N13" s="72">
        <v>81</v>
      </c>
      <c r="O13" s="72">
        <v>208</v>
      </c>
    </row>
    <row r="14" spans="1:15" ht="15" x14ac:dyDescent="0.25">
      <c r="A14" s="45" t="s">
        <v>9</v>
      </c>
      <c r="B14" s="46">
        <f t="shared" si="0"/>
        <v>13</v>
      </c>
      <c r="C14" s="47">
        <v>2</v>
      </c>
      <c r="D14" s="46">
        <v>2021</v>
      </c>
      <c r="E14" s="107">
        <v>20869.999999999665</v>
      </c>
      <c r="F14" s="48">
        <v>0.14000000000000001</v>
      </c>
      <c r="G14" s="107">
        <v>6078</v>
      </c>
      <c r="H14" s="48">
        <v>0.4453480216384178</v>
      </c>
      <c r="I14" s="65">
        <v>237</v>
      </c>
      <c r="J14" s="76">
        <v>0.4</v>
      </c>
      <c r="K14" s="108">
        <v>0</v>
      </c>
      <c r="L14" s="76">
        <v>1.5287027707808565</v>
      </c>
      <c r="M14" s="72">
        <v>46</v>
      </c>
      <c r="N14" s="72">
        <v>126</v>
      </c>
      <c r="O14" s="72">
        <v>365</v>
      </c>
    </row>
    <row r="15" spans="1:15" ht="15" x14ac:dyDescent="0.25">
      <c r="A15" s="45" t="s">
        <v>9</v>
      </c>
      <c r="B15" s="46">
        <f t="shared" si="0"/>
        <v>14</v>
      </c>
      <c r="C15" s="47">
        <v>2</v>
      </c>
      <c r="D15" s="46">
        <v>2021</v>
      </c>
      <c r="E15" s="107">
        <v>24040.000000000418</v>
      </c>
      <c r="F15" s="48">
        <v>0.14000000000000001</v>
      </c>
      <c r="G15" s="107">
        <v>6039</v>
      </c>
      <c r="H15" s="48">
        <v>0.4453480216384178</v>
      </c>
      <c r="I15" s="65">
        <v>240</v>
      </c>
      <c r="J15" s="76">
        <v>0.4</v>
      </c>
      <c r="K15" s="108">
        <v>0</v>
      </c>
      <c r="L15" s="76">
        <v>1.5287027707808565</v>
      </c>
      <c r="M15" s="72">
        <v>44</v>
      </c>
      <c r="N15" s="72">
        <v>121</v>
      </c>
      <c r="O15" s="72">
        <v>371</v>
      </c>
    </row>
    <row r="16" spans="1:15" ht="15" x14ac:dyDescent="0.25">
      <c r="A16" s="45" t="s">
        <v>9</v>
      </c>
      <c r="B16" s="46">
        <f t="shared" si="0"/>
        <v>15</v>
      </c>
      <c r="C16" s="47">
        <v>2</v>
      </c>
      <c r="D16" s="46">
        <v>2021</v>
      </c>
      <c r="E16" s="107">
        <v>22340.000000000146</v>
      </c>
      <c r="F16" s="48">
        <v>0.14000000000000001</v>
      </c>
      <c r="G16" s="107">
        <v>5945</v>
      </c>
      <c r="H16" s="48">
        <v>0.4453480216384178</v>
      </c>
      <c r="I16" s="65">
        <v>317</v>
      </c>
      <c r="J16" s="76">
        <v>0.4</v>
      </c>
      <c r="K16" s="108">
        <v>0</v>
      </c>
      <c r="L16" s="76">
        <v>1.5287027707808565</v>
      </c>
      <c r="M16" s="72">
        <v>36</v>
      </c>
      <c r="N16" s="72">
        <v>103</v>
      </c>
      <c r="O16" s="72">
        <v>303</v>
      </c>
    </row>
    <row r="17" spans="1:15" ht="15" x14ac:dyDescent="0.25">
      <c r="A17" s="45" t="s">
        <v>9</v>
      </c>
      <c r="B17" s="46">
        <f t="shared" si="0"/>
        <v>16</v>
      </c>
      <c r="C17" s="47">
        <v>2</v>
      </c>
      <c r="D17" s="46">
        <v>2021</v>
      </c>
      <c r="E17" s="107">
        <v>22669.999999999163</v>
      </c>
      <c r="F17" s="48">
        <v>0.14000000000000001</v>
      </c>
      <c r="G17" s="107">
        <v>6483</v>
      </c>
      <c r="H17" s="48">
        <v>0.4453480216384178</v>
      </c>
      <c r="I17" s="65">
        <v>192</v>
      </c>
      <c r="J17" s="76">
        <v>0.4</v>
      </c>
      <c r="K17" s="108">
        <v>0</v>
      </c>
      <c r="L17" s="76">
        <v>1.5287027707808565</v>
      </c>
      <c r="M17" s="72">
        <v>33</v>
      </c>
      <c r="N17" s="72">
        <v>96</v>
      </c>
      <c r="O17" s="72">
        <v>296</v>
      </c>
    </row>
    <row r="18" spans="1:15" ht="15" x14ac:dyDescent="0.25">
      <c r="A18" s="45" t="s">
        <v>9</v>
      </c>
      <c r="B18" s="46">
        <f t="shared" si="0"/>
        <v>17</v>
      </c>
      <c r="C18" s="47">
        <v>2</v>
      </c>
      <c r="D18" s="46">
        <v>2021</v>
      </c>
      <c r="E18" s="107">
        <v>22640.000000000327</v>
      </c>
      <c r="F18" s="48">
        <v>0.14000000000000001</v>
      </c>
      <c r="G18" s="107">
        <v>5991</v>
      </c>
      <c r="H18" s="48">
        <v>0.4453480216384178</v>
      </c>
      <c r="I18" s="65">
        <v>213</v>
      </c>
      <c r="J18" s="76">
        <v>0.4</v>
      </c>
      <c r="K18" s="108">
        <v>0</v>
      </c>
      <c r="L18" s="76">
        <v>1.5287027707808565</v>
      </c>
      <c r="M18" s="72">
        <v>31</v>
      </c>
      <c r="N18" s="72">
        <v>91</v>
      </c>
      <c r="O18" s="72">
        <v>282</v>
      </c>
    </row>
    <row r="19" spans="1:15" ht="15" x14ac:dyDescent="0.25">
      <c r="A19" s="45" t="s">
        <v>9</v>
      </c>
      <c r="B19" s="46">
        <f t="shared" si="0"/>
        <v>18</v>
      </c>
      <c r="C19" s="47">
        <v>2</v>
      </c>
      <c r="D19" s="46">
        <v>2021</v>
      </c>
      <c r="E19" s="107">
        <v>23229.999999999789</v>
      </c>
      <c r="F19" s="48">
        <v>0.14000000000000001</v>
      </c>
      <c r="G19" s="107">
        <v>6224</v>
      </c>
      <c r="H19" s="48">
        <v>0.4453480216384178</v>
      </c>
      <c r="I19" s="65">
        <v>277</v>
      </c>
      <c r="J19" s="76">
        <v>0.4</v>
      </c>
      <c r="K19" s="108">
        <v>0</v>
      </c>
      <c r="L19" s="76">
        <v>1.5287027707808565</v>
      </c>
      <c r="M19" s="72">
        <v>37</v>
      </c>
      <c r="N19" s="72">
        <v>111</v>
      </c>
      <c r="O19" s="72">
        <v>302</v>
      </c>
    </row>
    <row r="20" spans="1:15" ht="15" x14ac:dyDescent="0.25">
      <c r="A20" s="45" t="s">
        <v>9</v>
      </c>
      <c r="B20" s="46">
        <f t="shared" si="0"/>
        <v>19</v>
      </c>
      <c r="C20" s="47">
        <v>2</v>
      </c>
      <c r="D20" s="46">
        <v>2021</v>
      </c>
      <c r="E20" s="107">
        <v>21789.999999999964</v>
      </c>
      <c r="F20" s="48">
        <v>0.14000000000000001</v>
      </c>
      <c r="G20" s="107">
        <v>6070</v>
      </c>
      <c r="H20" s="48">
        <v>0.4453480216384178</v>
      </c>
      <c r="I20" s="65">
        <v>231</v>
      </c>
      <c r="J20" s="76">
        <v>0.4</v>
      </c>
      <c r="K20" s="108">
        <v>0</v>
      </c>
      <c r="L20" s="76">
        <v>1.5287027707808565</v>
      </c>
      <c r="M20" s="72">
        <v>43</v>
      </c>
      <c r="N20" s="72">
        <v>121</v>
      </c>
      <c r="O20" s="72">
        <v>356</v>
      </c>
    </row>
    <row r="21" spans="1:15" ht="15" x14ac:dyDescent="0.25">
      <c r="A21" s="45" t="s">
        <v>9</v>
      </c>
      <c r="B21" s="46">
        <f t="shared" si="0"/>
        <v>20</v>
      </c>
      <c r="C21" s="47">
        <v>2</v>
      </c>
      <c r="D21" s="46">
        <v>2021</v>
      </c>
      <c r="E21" s="107">
        <v>22769.999999999982</v>
      </c>
      <c r="F21" s="48">
        <v>0.14000000000000001</v>
      </c>
      <c r="G21" s="107">
        <v>6614</v>
      </c>
      <c r="H21" s="48">
        <v>0.4453480216384178</v>
      </c>
      <c r="I21" s="65">
        <v>262</v>
      </c>
      <c r="J21" s="76">
        <v>0.4</v>
      </c>
      <c r="K21" s="108">
        <v>0</v>
      </c>
      <c r="L21" s="76">
        <v>1.5287027707808565</v>
      </c>
      <c r="M21" s="72">
        <v>39</v>
      </c>
      <c r="N21" s="72">
        <v>110</v>
      </c>
      <c r="O21" s="72">
        <v>322</v>
      </c>
    </row>
    <row r="22" spans="1:15" ht="15" x14ac:dyDescent="0.25">
      <c r="A22" s="45" t="s">
        <v>9</v>
      </c>
      <c r="B22" s="46">
        <f t="shared" si="0"/>
        <v>21</v>
      </c>
      <c r="C22" s="47">
        <v>2</v>
      </c>
      <c r="D22" s="46">
        <v>2021</v>
      </c>
      <c r="E22" s="107">
        <v>21040.000000000648</v>
      </c>
      <c r="F22" s="48">
        <v>0.14000000000000001</v>
      </c>
      <c r="G22" s="107">
        <v>5878</v>
      </c>
      <c r="H22" s="48">
        <v>0.4453480216384178</v>
      </c>
      <c r="I22" s="65">
        <v>255</v>
      </c>
      <c r="J22" s="76">
        <v>0.4</v>
      </c>
      <c r="K22" s="108">
        <v>0</v>
      </c>
      <c r="L22" s="76">
        <v>1.5287027707808565</v>
      </c>
      <c r="M22" s="72">
        <v>47</v>
      </c>
      <c r="N22" s="72">
        <v>120</v>
      </c>
      <c r="O22" s="72">
        <v>334</v>
      </c>
    </row>
    <row r="23" spans="1:15" ht="15" x14ac:dyDescent="0.25">
      <c r="A23" s="45" t="s">
        <v>9</v>
      </c>
      <c r="B23" s="46">
        <f t="shared" si="0"/>
        <v>22</v>
      </c>
      <c r="C23" s="47">
        <v>2</v>
      </c>
      <c r="D23" s="46">
        <v>2021</v>
      </c>
      <c r="E23" s="107">
        <v>22699.999999999818</v>
      </c>
      <c r="F23" s="48">
        <v>0.14000000000000001</v>
      </c>
      <c r="G23" s="107">
        <v>6384</v>
      </c>
      <c r="H23" s="48">
        <v>0.4453480216384178</v>
      </c>
      <c r="I23" s="65">
        <v>229</v>
      </c>
      <c r="J23" s="76">
        <v>0.4</v>
      </c>
      <c r="K23" s="108">
        <v>0</v>
      </c>
      <c r="L23" s="76">
        <v>1.5287027707808565</v>
      </c>
      <c r="M23" s="72">
        <v>40</v>
      </c>
      <c r="N23" s="72">
        <v>104</v>
      </c>
      <c r="O23" s="72">
        <v>321</v>
      </c>
    </row>
    <row r="24" spans="1:15" ht="15" x14ac:dyDescent="0.25">
      <c r="A24" s="45" t="s">
        <v>9</v>
      </c>
      <c r="B24" s="46">
        <f t="shared" si="0"/>
        <v>23</v>
      </c>
      <c r="C24" s="47">
        <v>2</v>
      </c>
      <c r="D24" s="46">
        <v>2021</v>
      </c>
      <c r="E24" s="107">
        <v>23669.999999999622</v>
      </c>
      <c r="F24" s="48">
        <v>0.14000000000000001</v>
      </c>
      <c r="G24" s="107">
        <v>6574</v>
      </c>
      <c r="H24" s="48">
        <v>0.4453480216384178</v>
      </c>
      <c r="I24" s="65">
        <v>263</v>
      </c>
      <c r="J24" s="76">
        <v>0.4</v>
      </c>
      <c r="K24" s="108">
        <v>0</v>
      </c>
      <c r="L24" s="76">
        <v>1.5287027707808565</v>
      </c>
      <c r="M24" s="72">
        <v>44</v>
      </c>
      <c r="N24" s="72">
        <v>112</v>
      </c>
      <c r="O24" s="72">
        <v>326</v>
      </c>
    </row>
    <row r="25" spans="1:15" ht="15" x14ac:dyDescent="0.25">
      <c r="A25" s="45" t="s">
        <v>9</v>
      </c>
      <c r="B25" s="46">
        <f t="shared" si="0"/>
        <v>24</v>
      </c>
      <c r="C25" s="47">
        <v>2</v>
      </c>
      <c r="D25" s="46">
        <v>2021</v>
      </c>
      <c r="E25" s="107">
        <v>21540.000000000418</v>
      </c>
      <c r="F25" s="48">
        <v>0.14000000000000001</v>
      </c>
      <c r="G25" s="107">
        <v>6290</v>
      </c>
      <c r="H25" s="48">
        <v>0.4453480216384178</v>
      </c>
      <c r="I25" s="65">
        <v>273</v>
      </c>
      <c r="J25" s="76">
        <v>0.4</v>
      </c>
      <c r="K25" s="108">
        <v>0</v>
      </c>
      <c r="L25" s="76">
        <v>1.5287027707808565</v>
      </c>
      <c r="M25" s="72">
        <v>48</v>
      </c>
      <c r="N25" s="72">
        <v>131</v>
      </c>
      <c r="O25" s="72">
        <v>359</v>
      </c>
    </row>
    <row r="26" spans="1:15" ht="15" x14ac:dyDescent="0.25">
      <c r="A26" s="45" t="s">
        <v>9</v>
      </c>
      <c r="B26" s="46">
        <f>B25+1</f>
        <v>25</v>
      </c>
      <c r="C26" s="47">
        <v>2</v>
      </c>
      <c r="D26" s="46">
        <v>2021</v>
      </c>
      <c r="E26" s="107">
        <v>22419.999999999847</v>
      </c>
      <c r="F26" s="48">
        <v>0.14000000000000001</v>
      </c>
      <c r="G26" s="107">
        <v>5733</v>
      </c>
      <c r="H26" s="48">
        <v>0.4453480216384178</v>
      </c>
      <c r="I26" s="65">
        <v>268</v>
      </c>
      <c r="J26" s="76">
        <v>0.4</v>
      </c>
      <c r="K26" s="108">
        <v>0</v>
      </c>
      <c r="L26" s="76">
        <v>1.5287027707808565</v>
      </c>
      <c r="M26" s="72">
        <v>47</v>
      </c>
      <c r="N26" s="72">
        <v>126</v>
      </c>
      <c r="O26" s="72">
        <v>421</v>
      </c>
    </row>
    <row r="27" spans="1:15" ht="15" x14ac:dyDescent="0.25">
      <c r="A27" s="45" t="s">
        <v>9</v>
      </c>
      <c r="B27" s="46">
        <f t="shared" si="0"/>
        <v>26</v>
      </c>
      <c r="C27" s="47">
        <v>2</v>
      </c>
      <c r="D27" s="46">
        <v>2021</v>
      </c>
      <c r="E27" s="107">
        <v>22959.999999999811</v>
      </c>
      <c r="F27" s="48">
        <v>0.14000000000000001</v>
      </c>
      <c r="G27" s="107">
        <v>6906</v>
      </c>
      <c r="H27" s="48">
        <v>0.4453480216384178</v>
      </c>
      <c r="I27" s="65">
        <v>252</v>
      </c>
      <c r="J27" s="76">
        <v>0.4</v>
      </c>
      <c r="K27" s="108">
        <v>0</v>
      </c>
      <c r="L27" s="76">
        <v>1.5287027707808565</v>
      </c>
      <c r="M27" s="72">
        <v>51</v>
      </c>
      <c r="N27" s="72">
        <v>134</v>
      </c>
      <c r="O27" s="72">
        <v>380</v>
      </c>
    </row>
    <row r="28" spans="1:15" ht="15" x14ac:dyDescent="0.25">
      <c r="A28" s="45" t="s">
        <v>9</v>
      </c>
      <c r="B28" s="46">
        <f t="shared" si="0"/>
        <v>27</v>
      </c>
      <c r="C28" s="47">
        <v>2</v>
      </c>
      <c r="D28" s="46">
        <v>2021</v>
      </c>
      <c r="E28" s="107">
        <v>22350.000000000589</v>
      </c>
      <c r="F28" s="48">
        <v>0.14000000000000001</v>
      </c>
      <c r="G28" s="107">
        <v>6544</v>
      </c>
      <c r="H28" s="48">
        <v>0.4453480216384178</v>
      </c>
      <c r="I28" s="65">
        <v>268.19999999999709</v>
      </c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2</v>
      </c>
      <c r="D29" s="46">
        <v>2021</v>
      </c>
      <c r="E29" s="107">
        <v>0</v>
      </c>
      <c r="F29" s="48">
        <v>0.14000000000000001</v>
      </c>
      <c r="G29" s="107">
        <v>0</v>
      </c>
      <c r="H29" s="48">
        <v>0.4453480216384178</v>
      </c>
      <c r="I29" s="65">
        <v>0</v>
      </c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0</v>
      </c>
      <c r="D30" s="46">
        <v>2021</v>
      </c>
      <c r="E30" s="107">
        <v>0</v>
      </c>
      <c r="F30" s="48">
        <v>0.14000000000000001</v>
      </c>
      <c r="G30" s="107">
        <v>0</v>
      </c>
      <c r="H30" s="48">
        <v>0.4453480216384178</v>
      </c>
      <c r="I30" s="65">
        <v>0</v>
      </c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0</v>
      </c>
      <c r="D31" s="46">
        <v>2021</v>
      </c>
      <c r="E31" s="107">
        <v>0</v>
      </c>
      <c r="F31" s="48">
        <v>0.14000000000000001</v>
      </c>
      <c r="G31" s="107">
        <v>0</v>
      </c>
      <c r="H31" s="48">
        <v>0.4453480216384178</v>
      </c>
      <c r="I31" s="65">
        <v>0</v>
      </c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0</v>
      </c>
      <c r="D32" s="46">
        <v>2021</v>
      </c>
      <c r="E32" s="107">
        <v>0</v>
      </c>
      <c r="F32" s="48">
        <v>0.14000000000000001</v>
      </c>
      <c r="G32" s="107">
        <v>0</v>
      </c>
      <c r="H32" s="48">
        <v>0.4453480216384178</v>
      </c>
      <c r="I32" s="65">
        <v>0</v>
      </c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591459.99999999965</v>
      </c>
      <c r="F33" s="104">
        <v>0</v>
      </c>
      <c r="G33" s="101">
        <f>SUM(G2:G32)</f>
        <v>163062</v>
      </c>
      <c r="H33" s="102">
        <v>0</v>
      </c>
      <c r="I33" s="103">
        <f>SUM(I2:I32)</f>
        <v>6746.1999999999971</v>
      </c>
      <c r="J33" s="104">
        <v>0</v>
      </c>
      <c r="K33" s="105">
        <v>0</v>
      </c>
      <c r="L33" s="102">
        <v>0</v>
      </c>
      <c r="M33" s="106">
        <f t="shared" ref="M33:O33" si="1">SUM(M2:M32)</f>
        <v>899</v>
      </c>
      <c r="N33" s="106">
        <f t="shared" si="1"/>
        <v>2397</v>
      </c>
      <c r="O33" s="106">
        <f t="shared" si="1"/>
        <v>7008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topLeftCell="A16" zoomScale="78" zoomScaleNormal="78" workbookViewId="0">
      <selection activeCell="V29" sqref="V29:X29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0" t="s">
        <v>10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77"/>
      <c r="V1" s="77"/>
    </row>
    <row r="2" spans="1:25" s="17" customFormat="1" ht="33" customHeight="1" x14ac:dyDescent="0.25">
      <c r="A2" s="29" t="s">
        <v>2</v>
      </c>
      <c r="B2" s="117" t="s">
        <v>11</v>
      </c>
      <c r="C2" s="117" t="s">
        <v>12</v>
      </c>
      <c r="D2" s="117" t="s">
        <v>13</v>
      </c>
      <c r="E2" s="117" t="s">
        <v>14</v>
      </c>
      <c r="F2" s="117" t="s">
        <v>15</v>
      </c>
      <c r="G2" s="112" t="s">
        <v>16</v>
      </c>
      <c r="H2" s="114" t="s">
        <v>17</v>
      </c>
      <c r="I2" s="117" t="s">
        <v>18</v>
      </c>
      <c r="J2" s="119" t="s">
        <v>19</v>
      </c>
      <c r="K2" s="120"/>
      <c r="L2" s="121"/>
      <c r="M2" s="112" t="s">
        <v>20</v>
      </c>
      <c r="N2" s="114" t="s">
        <v>21</v>
      </c>
      <c r="O2" s="115" t="s">
        <v>22</v>
      </c>
      <c r="P2" s="114" t="s">
        <v>23</v>
      </c>
      <c r="Q2" s="122" t="s">
        <v>24</v>
      </c>
      <c r="R2" s="117" t="s">
        <v>25</v>
      </c>
      <c r="S2" s="117" t="s">
        <v>26</v>
      </c>
      <c r="T2" s="117" t="s">
        <v>27</v>
      </c>
      <c r="V2" s="124" t="s">
        <v>6</v>
      </c>
      <c r="W2" s="124" t="s">
        <v>7</v>
      </c>
      <c r="X2" s="124" t="s">
        <v>8</v>
      </c>
    </row>
    <row r="3" spans="1:25" s="17" customFormat="1" ht="45" customHeight="1" x14ac:dyDescent="0.25">
      <c r="A3" s="30"/>
      <c r="B3" s="118"/>
      <c r="C3" s="118"/>
      <c r="D3" s="118"/>
      <c r="E3" s="118"/>
      <c r="F3" s="118"/>
      <c r="G3" s="113"/>
      <c r="H3" s="114"/>
      <c r="I3" s="118"/>
      <c r="J3" s="18" t="s">
        <v>28</v>
      </c>
      <c r="K3" s="18" t="s">
        <v>29</v>
      </c>
      <c r="L3" s="18" t="s">
        <v>30</v>
      </c>
      <c r="M3" s="113"/>
      <c r="N3" s="114"/>
      <c r="O3" s="116"/>
      <c r="P3" s="114"/>
      <c r="Q3" s="123"/>
      <c r="R3" s="118"/>
      <c r="S3" s="118"/>
      <c r="T3" s="118"/>
      <c r="V3" s="124"/>
      <c r="W3" s="124"/>
      <c r="X3" s="124"/>
    </row>
    <row r="4" spans="1:25" ht="21" customHeight="1" x14ac:dyDescent="0.25">
      <c r="A4" s="8">
        <v>44228</v>
      </c>
      <c r="B4" s="1">
        <v>789.94</v>
      </c>
      <c r="C4" s="1">
        <v>195.33</v>
      </c>
      <c r="D4" s="1">
        <v>7127780.3200000003</v>
      </c>
      <c r="E4" s="1">
        <v>7729754.3600000003</v>
      </c>
      <c r="F4" s="1">
        <v>2.0137</v>
      </c>
      <c r="G4" s="1">
        <v>609.17999999999995</v>
      </c>
      <c r="H4" s="1">
        <v>507.25</v>
      </c>
      <c r="I4" s="1">
        <v>189.12</v>
      </c>
      <c r="J4" s="1">
        <v>282.31</v>
      </c>
      <c r="K4" s="1">
        <v>295.32</v>
      </c>
      <c r="L4" s="1">
        <v>202.65</v>
      </c>
      <c r="M4" s="1">
        <v>407.78</v>
      </c>
      <c r="N4" s="1">
        <v>353.62</v>
      </c>
      <c r="O4" s="1">
        <v>114.83</v>
      </c>
      <c r="P4" s="1">
        <v>471.72</v>
      </c>
      <c r="Q4" s="1">
        <v>350.86</v>
      </c>
      <c r="R4" s="1">
        <v>119.31</v>
      </c>
      <c r="S4" s="1">
        <v>95.495999999999995</v>
      </c>
      <c r="T4" s="1">
        <v>350.44</v>
      </c>
      <c r="V4" s="71">
        <v>23</v>
      </c>
      <c r="W4" s="71">
        <v>52</v>
      </c>
      <c r="X4" s="71">
        <v>148</v>
      </c>
      <c r="Y4" s="17"/>
    </row>
    <row r="5" spans="1:25" ht="21" customHeight="1" x14ac:dyDescent="0.25">
      <c r="A5" s="8">
        <v>44229</v>
      </c>
      <c r="B5" s="1">
        <v>791.11</v>
      </c>
      <c r="C5" s="1">
        <v>195.59</v>
      </c>
      <c r="D5" s="1">
        <v>7129899.6799999997</v>
      </c>
      <c r="E5" s="1">
        <v>7732600.4000000004</v>
      </c>
      <c r="F5" s="1">
        <v>2.0160999999999998</v>
      </c>
      <c r="G5" s="1">
        <v>610.13</v>
      </c>
      <c r="H5" s="1">
        <v>508.09</v>
      </c>
      <c r="I5" s="1">
        <v>189.36</v>
      </c>
      <c r="J5" s="1">
        <v>282.63</v>
      </c>
      <c r="K5" s="1">
        <v>295.62</v>
      </c>
      <c r="L5" s="1">
        <v>202.84</v>
      </c>
      <c r="M5" s="1">
        <v>408.46</v>
      </c>
      <c r="N5" s="1">
        <v>354.45</v>
      </c>
      <c r="O5" s="1">
        <v>115.03</v>
      </c>
      <c r="P5" s="1">
        <v>472.5</v>
      </c>
      <c r="Q5" s="1">
        <v>351.4</v>
      </c>
      <c r="R5" s="1">
        <v>119.48</v>
      </c>
      <c r="S5" s="1">
        <v>95.629000000000005</v>
      </c>
      <c r="T5" s="1">
        <v>350.86</v>
      </c>
      <c r="V5" s="71">
        <v>26</v>
      </c>
      <c r="W5" s="71">
        <v>64</v>
      </c>
      <c r="X5" s="71">
        <v>195</v>
      </c>
      <c r="Y5" s="17"/>
    </row>
    <row r="6" spans="1:25" ht="21" customHeight="1" x14ac:dyDescent="0.25">
      <c r="A6" s="8">
        <v>44230</v>
      </c>
      <c r="B6" s="1">
        <v>792.35</v>
      </c>
      <c r="C6" s="1">
        <v>195.88</v>
      </c>
      <c r="D6" s="1">
        <v>7132506.7800000003</v>
      </c>
      <c r="E6" s="1">
        <v>7735877.5099999998</v>
      </c>
      <c r="F6" s="1">
        <v>2.0186000000000002</v>
      </c>
      <c r="G6" s="1">
        <v>611.03</v>
      </c>
      <c r="H6" s="1">
        <v>509</v>
      </c>
      <c r="I6" s="1">
        <v>189.64</v>
      </c>
      <c r="J6" s="1">
        <v>283.05</v>
      </c>
      <c r="K6" s="1">
        <v>295.97000000000003</v>
      </c>
      <c r="L6" s="1">
        <v>203.04</v>
      </c>
      <c r="M6" s="1">
        <v>409.18</v>
      </c>
      <c r="N6" s="1">
        <v>355.3</v>
      </c>
      <c r="O6" s="1">
        <v>115.23</v>
      </c>
      <c r="P6" s="1">
        <v>473.4</v>
      </c>
      <c r="Q6" s="1">
        <v>352.09</v>
      </c>
      <c r="R6" s="1">
        <v>119.71</v>
      </c>
      <c r="S6" s="1">
        <v>95.778999999999996</v>
      </c>
      <c r="T6" s="1">
        <v>351.42</v>
      </c>
      <c r="V6" s="71">
        <v>27</v>
      </c>
      <c r="W6" s="71">
        <v>68</v>
      </c>
      <c r="X6" s="71">
        <v>217</v>
      </c>
      <c r="Y6" s="17"/>
    </row>
    <row r="7" spans="1:25" ht="21" customHeight="1" x14ac:dyDescent="0.25">
      <c r="A7" s="8">
        <v>44231</v>
      </c>
      <c r="B7" s="1">
        <v>793.49</v>
      </c>
      <c r="C7" s="1">
        <v>196.12</v>
      </c>
      <c r="D7" s="1">
        <v>7134799.4500000002</v>
      </c>
      <c r="E7" s="1">
        <v>7738767.1200000001</v>
      </c>
      <c r="F7" s="1">
        <v>2.0209999999999999</v>
      </c>
      <c r="G7" s="1">
        <v>611.85</v>
      </c>
      <c r="H7" s="1">
        <v>509.88</v>
      </c>
      <c r="I7" s="1">
        <v>189.92</v>
      </c>
      <c r="J7" s="1">
        <v>283.32</v>
      </c>
      <c r="K7" s="1">
        <v>296.33</v>
      </c>
      <c r="L7" s="1">
        <v>203.25</v>
      </c>
      <c r="M7" s="1">
        <v>409.96</v>
      </c>
      <c r="N7" s="1">
        <v>356.07</v>
      </c>
      <c r="O7" s="1">
        <v>115.43</v>
      </c>
      <c r="P7" s="1">
        <v>474.27</v>
      </c>
      <c r="Q7" s="1">
        <v>352.7</v>
      </c>
      <c r="R7" s="1">
        <v>119.87</v>
      </c>
      <c r="S7" s="1">
        <v>95.908000000000001</v>
      </c>
      <c r="T7" s="1">
        <v>351.94</v>
      </c>
      <c r="V7" s="71">
        <v>28</v>
      </c>
      <c r="W7" s="71">
        <v>68</v>
      </c>
      <c r="X7" s="71">
        <v>199</v>
      </c>
      <c r="Y7" s="17"/>
    </row>
    <row r="8" spans="1:25" ht="21" customHeight="1" x14ac:dyDescent="0.25">
      <c r="A8" s="8">
        <v>44232</v>
      </c>
      <c r="B8" s="1">
        <v>794.65</v>
      </c>
      <c r="C8" s="1">
        <v>196.37</v>
      </c>
      <c r="D8" s="1">
        <v>7137019.2800000003</v>
      </c>
      <c r="E8" s="1">
        <v>7741800.5099999998</v>
      </c>
      <c r="F8" s="1">
        <v>2.0234999999999999</v>
      </c>
      <c r="G8" s="1">
        <v>612.70000000000005</v>
      </c>
      <c r="H8" s="1">
        <v>510.79</v>
      </c>
      <c r="I8" s="1">
        <v>190.2</v>
      </c>
      <c r="J8" s="1">
        <v>283.61</v>
      </c>
      <c r="K8" s="1">
        <v>296.66000000000003</v>
      </c>
      <c r="L8" s="1">
        <v>203.49</v>
      </c>
      <c r="M8" s="1">
        <v>410.7</v>
      </c>
      <c r="N8" s="1">
        <v>356.85</v>
      </c>
      <c r="O8" s="1">
        <v>115.62</v>
      </c>
      <c r="P8" s="1">
        <v>475.13</v>
      </c>
      <c r="Q8" s="1">
        <v>353.42</v>
      </c>
      <c r="R8" s="1">
        <v>119.98</v>
      </c>
      <c r="S8" s="1">
        <v>96.043000000000006</v>
      </c>
      <c r="T8" s="1">
        <v>352.42</v>
      </c>
      <c r="V8" s="71">
        <v>31</v>
      </c>
      <c r="W8" s="71">
        <v>76</v>
      </c>
      <c r="X8" s="71">
        <v>204</v>
      </c>
      <c r="Y8" s="17"/>
    </row>
    <row r="9" spans="1:25" ht="21" customHeight="1" x14ac:dyDescent="0.25">
      <c r="A9" s="8">
        <v>44233</v>
      </c>
      <c r="B9" s="1">
        <v>794.7</v>
      </c>
      <c r="C9" s="1">
        <v>196.62</v>
      </c>
      <c r="D9" s="1">
        <v>7138950.0199999996</v>
      </c>
      <c r="E9" s="1">
        <v>7744227.04</v>
      </c>
      <c r="F9" s="1">
        <v>2.0259999999999998</v>
      </c>
      <c r="G9" s="1">
        <v>613.46</v>
      </c>
      <c r="H9" s="1">
        <v>511.62</v>
      </c>
      <c r="I9" s="1">
        <v>190.43</v>
      </c>
      <c r="J9" s="1">
        <v>283.88</v>
      </c>
      <c r="K9" s="1">
        <v>297.01</v>
      </c>
      <c r="L9" s="1">
        <v>203.7</v>
      </c>
      <c r="M9" s="1">
        <v>411.29</v>
      </c>
      <c r="N9" s="1">
        <v>357.53</v>
      </c>
      <c r="O9" s="1">
        <v>115.83</v>
      </c>
      <c r="P9" s="1">
        <v>475.93</v>
      </c>
      <c r="Q9" s="1">
        <v>354.13</v>
      </c>
      <c r="R9" s="1">
        <v>120.16</v>
      </c>
      <c r="S9" s="1">
        <v>96.180999999999997</v>
      </c>
      <c r="T9" s="1">
        <v>352.7</v>
      </c>
      <c r="V9" s="71">
        <v>29</v>
      </c>
      <c r="W9" s="71">
        <v>74</v>
      </c>
      <c r="X9" s="71">
        <v>223</v>
      </c>
      <c r="Y9" s="17"/>
    </row>
    <row r="10" spans="1:25" ht="21" customHeight="1" x14ac:dyDescent="0.25">
      <c r="A10" s="8">
        <v>44234</v>
      </c>
      <c r="B10" s="1">
        <v>796.92</v>
      </c>
      <c r="C10" s="1">
        <v>196.9</v>
      </c>
      <c r="D10" s="1">
        <v>7141207.6100000003</v>
      </c>
      <c r="E10" s="1">
        <v>7747292.2599999998</v>
      </c>
      <c r="F10" s="1">
        <v>2.0286</v>
      </c>
      <c r="G10" s="1">
        <v>614.26</v>
      </c>
      <c r="H10" s="1">
        <v>512.61</v>
      </c>
      <c r="I10" s="1">
        <v>190.76</v>
      </c>
      <c r="J10" s="1">
        <v>284.12</v>
      </c>
      <c r="K10" s="1">
        <v>297.38</v>
      </c>
      <c r="L10" s="1">
        <v>203.95</v>
      </c>
      <c r="M10" s="1">
        <v>411.92</v>
      </c>
      <c r="N10" s="1">
        <v>358.37</v>
      </c>
      <c r="O10" s="1">
        <v>116.04</v>
      </c>
      <c r="P10" s="1">
        <v>476.73</v>
      </c>
      <c r="Q10" s="1">
        <v>354.94</v>
      </c>
      <c r="R10" s="1">
        <v>120.37</v>
      </c>
      <c r="S10" s="1">
        <v>96.322999999999993</v>
      </c>
      <c r="T10" s="1">
        <v>353.22</v>
      </c>
      <c r="V10" s="71">
        <v>24</v>
      </c>
      <c r="W10" s="71">
        <v>59</v>
      </c>
      <c r="X10" s="71">
        <v>172</v>
      </c>
      <c r="Y10" s="17"/>
    </row>
    <row r="11" spans="1:25" ht="21" customHeight="1" x14ac:dyDescent="0.25">
      <c r="A11" s="8">
        <v>44235</v>
      </c>
      <c r="B11" s="1">
        <v>797.96</v>
      </c>
      <c r="C11" s="1">
        <v>197.09</v>
      </c>
      <c r="D11" s="1">
        <v>7143016.5199999996</v>
      </c>
      <c r="E11" s="1">
        <v>7750049.4100000001</v>
      </c>
      <c r="F11" s="1">
        <v>2.0308999999999999</v>
      </c>
      <c r="G11" s="1">
        <v>615.03</v>
      </c>
      <c r="H11" s="1">
        <v>513.46</v>
      </c>
      <c r="I11" s="1">
        <v>191.02</v>
      </c>
      <c r="J11" s="1">
        <v>284.36</v>
      </c>
      <c r="K11" s="1">
        <v>297.63</v>
      </c>
      <c r="L11" s="1">
        <v>204.13</v>
      </c>
      <c r="M11" s="1">
        <v>412.59</v>
      </c>
      <c r="N11" s="1">
        <v>359.06</v>
      </c>
      <c r="O11" s="1">
        <v>116.24</v>
      </c>
      <c r="P11" s="1">
        <v>477.43</v>
      </c>
      <c r="Q11" s="1">
        <v>355.56</v>
      </c>
      <c r="R11" s="1">
        <v>120.49</v>
      </c>
      <c r="S11" s="1">
        <v>96.451999999999998</v>
      </c>
      <c r="T11" s="1">
        <v>353.73</v>
      </c>
      <c r="V11" s="71">
        <v>24</v>
      </c>
      <c r="W11" s="71">
        <v>62</v>
      </c>
      <c r="X11" s="71">
        <v>176</v>
      </c>
      <c r="Y11" s="17"/>
    </row>
    <row r="12" spans="1:25" ht="21" customHeight="1" x14ac:dyDescent="0.25">
      <c r="A12" s="8">
        <v>44236</v>
      </c>
      <c r="B12" s="1">
        <v>799.1</v>
      </c>
      <c r="C12" s="1">
        <v>197.34</v>
      </c>
      <c r="D12" s="1">
        <v>7145185.8700000001</v>
      </c>
      <c r="E12" s="1">
        <v>7753203.46</v>
      </c>
      <c r="F12" s="1">
        <v>2.0329999999999999</v>
      </c>
      <c r="G12" s="1">
        <v>615.94000000000005</v>
      </c>
      <c r="H12" s="1">
        <v>514.4</v>
      </c>
      <c r="I12" s="1">
        <v>191.3</v>
      </c>
      <c r="J12" s="1">
        <v>284.64999999999998</v>
      </c>
      <c r="K12" s="1">
        <v>297.97000000000003</v>
      </c>
      <c r="L12" s="1">
        <v>204.37</v>
      </c>
      <c r="M12" s="1">
        <v>413.36</v>
      </c>
      <c r="N12" s="1">
        <v>359.81</v>
      </c>
      <c r="O12" s="1">
        <v>116.44</v>
      </c>
      <c r="P12" s="1">
        <v>478.24</v>
      </c>
      <c r="Q12" s="1">
        <v>356.23</v>
      </c>
      <c r="R12" s="1">
        <v>120.69</v>
      </c>
      <c r="S12" s="1">
        <v>96.59</v>
      </c>
      <c r="T12" s="1">
        <v>354.24</v>
      </c>
      <c r="V12" s="71">
        <v>27</v>
      </c>
      <c r="W12" s="71">
        <v>70</v>
      </c>
      <c r="X12" s="71">
        <v>193</v>
      </c>
      <c r="Y12" s="17"/>
    </row>
    <row r="13" spans="1:25" ht="21" customHeight="1" x14ac:dyDescent="0.25">
      <c r="A13" s="8">
        <v>44237</v>
      </c>
      <c r="B13" s="1">
        <v>800.19</v>
      </c>
      <c r="C13" s="1">
        <v>197.59</v>
      </c>
      <c r="D13" s="1">
        <v>7147129.0599999996</v>
      </c>
      <c r="E13" s="1">
        <v>7756079.7400000002</v>
      </c>
      <c r="F13" s="1">
        <v>2.0356999999999998</v>
      </c>
      <c r="G13" s="1">
        <v>616.76</v>
      </c>
      <c r="H13" s="1">
        <v>515.33000000000004</v>
      </c>
      <c r="I13" s="1">
        <v>191.6</v>
      </c>
      <c r="J13" s="1">
        <v>284.86</v>
      </c>
      <c r="K13" s="1">
        <v>298.27999999999997</v>
      </c>
      <c r="L13" s="1">
        <v>204.59</v>
      </c>
      <c r="M13" s="1">
        <v>414.07</v>
      </c>
      <c r="N13" s="1">
        <v>360.56</v>
      </c>
      <c r="O13" s="1">
        <v>116.66</v>
      </c>
      <c r="P13" s="1">
        <v>479.05</v>
      </c>
      <c r="Q13" s="1">
        <v>356.94</v>
      </c>
      <c r="R13" s="1">
        <v>120.88</v>
      </c>
      <c r="S13" s="1">
        <v>96.725999999999999</v>
      </c>
      <c r="T13" s="1">
        <v>354.74</v>
      </c>
      <c r="V13" s="71">
        <v>23</v>
      </c>
      <c r="W13" s="71">
        <v>58</v>
      </c>
      <c r="X13" s="71">
        <v>160</v>
      </c>
      <c r="Y13" s="17"/>
    </row>
    <row r="14" spans="1:25" ht="21" customHeight="1" x14ac:dyDescent="0.25">
      <c r="A14" s="8">
        <v>44238</v>
      </c>
      <c r="B14" s="1">
        <v>801.37</v>
      </c>
      <c r="C14" s="1">
        <v>197.83</v>
      </c>
      <c r="D14" s="1">
        <v>7149129</v>
      </c>
      <c r="E14" s="1">
        <v>7758821.1500000004</v>
      </c>
      <c r="F14" s="1">
        <v>2.0381999999999998</v>
      </c>
      <c r="G14" s="1">
        <v>617.55999999999995</v>
      </c>
      <c r="H14" s="1">
        <v>516.24</v>
      </c>
      <c r="I14" s="1">
        <v>191.89</v>
      </c>
      <c r="J14" s="1">
        <v>285.13</v>
      </c>
      <c r="K14" s="1">
        <v>298.64</v>
      </c>
      <c r="L14" s="1">
        <v>204.85</v>
      </c>
      <c r="M14" s="1">
        <v>414.79</v>
      </c>
      <c r="N14" s="1">
        <v>361.32</v>
      </c>
      <c r="O14" s="1">
        <v>116.86</v>
      </c>
      <c r="P14" s="1">
        <v>479.9</v>
      </c>
      <c r="Q14" s="1">
        <v>357.58</v>
      </c>
      <c r="R14" s="1">
        <v>120.99</v>
      </c>
      <c r="S14" s="1">
        <v>96.855999999999995</v>
      </c>
      <c r="T14" s="1">
        <v>355.27</v>
      </c>
      <c r="V14" s="71">
        <v>23</v>
      </c>
      <c r="W14" s="71">
        <v>59</v>
      </c>
      <c r="X14" s="71">
        <v>175</v>
      </c>
      <c r="Y14" s="17"/>
    </row>
    <row r="15" spans="1:25" ht="21" customHeight="1" x14ac:dyDescent="0.25">
      <c r="A15" s="8">
        <v>44239</v>
      </c>
      <c r="B15" s="1">
        <v>802.43</v>
      </c>
      <c r="C15" s="1">
        <v>198.07</v>
      </c>
      <c r="D15" s="1">
        <v>7151024.7699999996</v>
      </c>
      <c r="E15" s="1">
        <v>7761424.0499999998</v>
      </c>
      <c r="F15" s="1">
        <v>2.0405000000000002</v>
      </c>
      <c r="G15" s="1">
        <v>618.35</v>
      </c>
      <c r="H15" s="1">
        <v>517.1</v>
      </c>
      <c r="I15" s="1">
        <v>192.17</v>
      </c>
      <c r="J15" s="1">
        <v>285.32</v>
      </c>
      <c r="K15" s="1">
        <v>298.92</v>
      </c>
      <c r="L15" s="1">
        <v>205.07</v>
      </c>
      <c r="M15" s="1">
        <v>415.4</v>
      </c>
      <c r="N15" s="1">
        <v>362</v>
      </c>
      <c r="O15" s="1">
        <v>117.05</v>
      </c>
      <c r="P15" s="1">
        <v>480.64</v>
      </c>
      <c r="Q15" s="1">
        <v>358.19</v>
      </c>
      <c r="R15" s="1">
        <v>121.14</v>
      </c>
      <c r="S15" s="1">
        <v>96.98</v>
      </c>
      <c r="T15" s="1">
        <v>355.75</v>
      </c>
      <c r="V15" s="71">
        <v>28</v>
      </c>
      <c r="W15" s="71">
        <v>81</v>
      </c>
      <c r="X15" s="71">
        <v>208</v>
      </c>
      <c r="Y15" s="17"/>
    </row>
    <row r="16" spans="1:25" ht="21" customHeight="1" x14ac:dyDescent="0.25">
      <c r="A16" s="8">
        <v>44240</v>
      </c>
      <c r="B16" s="1">
        <v>802.5</v>
      </c>
      <c r="C16" s="1">
        <v>198.3</v>
      </c>
      <c r="D16" s="1">
        <v>7153148.2699999996</v>
      </c>
      <c r="E16" s="1">
        <v>7763924.6200000001</v>
      </c>
      <c r="F16" s="1">
        <v>2.0430000000000001</v>
      </c>
      <c r="G16" s="1">
        <v>619.19000000000005</v>
      </c>
      <c r="H16" s="1">
        <v>517.97</v>
      </c>
      <c r="I16" s="1">
        <v>192.42</v>
      </c>
      <c r="J16" s="1">
        <v>285.51</v>
      </c>
      <c r="K16" s="1">
        <v>299.26</v>
      </c>
      <c r="L16" s="1">
        <v>205.28</v>
      </c>
      <c r="M16" s="1">
        <v>416.04</v>
      </c>
      <c r="N16" s="1">
        <v>362.72</v>
      </c>
      <c r="O16" s="1">
        <v>117.24</v>
      </c>
      <c r="P16" s="1">
        <v>481.48</v>
      </c>
      <c r="Q16" s="1">
        <v>358.77</v>
      </c>
      <c r="R16" s="1">
        <v>121.36</v>
      </c>
      <c r="S16" s="1">
        <v>97.125</v>
      </c>
      <c r="T16" s="1">
        <v>356.02</v>
      </c>
      <c r="V16" s="71">
        <v>46</v>
      </c>
      <c r="W16" s="71">
        <v>126</v>
      </c>
      <c r="X16" s="71">
        <v>365</v>
      </c>
      <c r="Y16" s="17"/>
    </row>
    <row r="17" spans="1:25" ht="21" customHeight="1" x14ac:dyDescent="0.25">
      <c r="A17" s="8">
        <v>44241</v>
      </c>
      <c r="B17" s="1">
        <v>804.64</v>
      </c>
      <c r="C17" s="1">
        <v>198.55</v>
      </c>
      <c r="D17" s="1">
        <v>7155562</v>
      </c>
      <c r="E17" s="1">
        <v>7767161</v>
      </c>
      <c r="F17" s="1">
        <v>2.0455999999999999</v>
      </c>
      <c r="G17" s="1">
        <v>620.21</v>
      </c>
      <c r="H17" s="1">
        <v>518.91999999999996</v>
      </c>
      <c r="I17" s="1">
        <v>192.71</v>
      </c>
      <c r="J17" s="1">
        <v>285.73</v>
      </c>
      <c r="K17" s="1">
        <v>299.63</v>
      </c>
      <c r="L17" s="1">
        <v>205.51</v>
      </c>
      <c r="M17" s="1">
        <v>416.66</v>
      </c>
      <c r="N17" s="1">
        <v>363.55</v>
      </c>
      <c r="O17" s="1">
        <v>117.48</v>
      </c>
      <c r="P17" s="1">
        <v>482.4</v>
      </c>
      <c r="Q17" s="1">
        <v>359.52</v>
      </c>
      <c r="R17" s="1">
        <v>121.57</v>
      </c>
      <c r="S17" s="1">
        <v>97.263000000000005</v>
      </c>
      <c r="T17" s="1">
        <v>356.6</v>
      </c>
      <c r="V17" s="71">
        <v>44</v>
      </c>
      <c r="W17" s="71">
        <v>121</v>
      </c>
      <c r="X17" s="71">
        <v>371</v>
      </c>
      <c r="Y17" s="17"/>
    </row>
    <row r="18" spans="1:25" ht="21" customHeight="1" x14ac:dyDescent="0.25">
      <c r="A18" s="8">
        <v>44242</v>
      </c>
      <c r="B18" s="1">
        <v>805.73</v>
      </c>
      <c r="C18" s="1">
        <v>198.79</v>
      </c>
      <c r="D18" s="1">
        <v>7157738.0999999996</v>
      </c>
      <c r="E18" s="1">
        <v>7770209.75</v>
      </c>
      <c r="F18" s="1">
        <v>2.0480999999999998</v>
      </c>
      <c r="G18" s="1">
        <v>621.11</v>
      </c>
      <c r="H18" s="1">
        <v>519.89</v>
      </c>
      <c r="I18" s="1">
        <v>192.79</v>
      </c>
      <c r="J18" s="1">
        <v>285.98</v>
      </c>
      <c r="K18" s="1">
        <v>300</v>
      </c>
      <c r="L18" s="1">
        <v>205.74</v>
      </c>
      <c r="M18" s="1">
        <v>417.25</v>
      </c>
      <c r="N18" s="1">
        <v>364.41</v>
      </c>
      <c r="O18" s="1">
        <v>117.72</v>
      </c>
      <c r="P18" s="1">
        <v>483.3</v>
      </c>
      <c r="Q18" s="1">
        <v>360.25</v>
      </c>
      <c r="R18" s="1">
        <v>121.7</v>
      </c>
      <c r="S18" s="1">
        <v>97.402000000000001</v>
      </c>
      <c r="T18" s="1">
        <v>357.2</v>
      </c>
      <c r="V18" s="71">
        <v>36</v>
      </c>
      <c r="W18" s="71">
        <v>103</v>
      </c>
      <c r="X18" s="71">
        <v>303</v>
      </c>
      <c r="Y18" s="17"/>
    </row>
    <row r="19" spans="1:25" ht="21" customHeight="1" x14ac:dyDescent="0.25">
      <c r="A19" s="8">
        <v>44243</v>
      </c>
      <c r="B19" s="1">
        <v>806.82</v>
      </c>
      <c r="C19" s="1">
        <v>199.01</v>
      </c>
      <c r="D19" s="1">
        <v>7159773.54</v>
      </c>
      <c r="E19" s="1">
        <v>7773025.4800000004</v>
      </c>
      <c r="F19" s="1">
        <v>2.0506000000000002</v>
      </c>
      <c r="G19" s="1">
        <v>622.03</v>
      </c>
      <c r="H19" s="1">
        <v>520.82000000000005</v>
      </c>
      <c r="I19" s="1">
        <v>193.29</v>
      </c>
      <c r="J19" s="1">
        <v>286.14999999999998</v>
      </c>
      <c r="K19" s="1">
        <v>300.33</v>
      </c>
      <c r="L19" s="1">
        <v>205.93</v>
      </c>
      <c r="M19" s="1">
        <v>417.82</v>
      </c>
      <c r="N19" s="1">
        <v>365.22</v>
      </c>
      <c r="O19" s="1">
        <v>117.98</v>
      </c>
      <c r="P19" s="1">
        <v>484.15</v>
      </c>
      <c r="Q19" s="1">
        <v>360.91</v>
      </c>
      <c r="R19" s="1">
        <v>121.83</v>
      </c>
      <c r="S19" s="1">
        <v>97.546999999999997</v>
      </c>
      <c r="T19" s="1">
        <v>357.74</v>
      </c>
      <c r="V19" s="71">
        <v>33</v>
      </c>
      <c r="W19" s="71">
        <v>96</v>
      </c>
      <c r="X19" s="71">
        <v>296</v>
      </c>
      <c r="Y19" s="17"/>
    </row>
    <row r="20" spans="1:25" ht="21" customHeight="1" x14ac:dyDescent="0.25">
      <c r="A20" s="8">
        <v>44244</v>
      </c>
      <c r="B20" s="1">
        <v>808.09</v>
      </c>
      <c r="C20" s="1">
        <v>199.29</v>
      </c>
      <c r="D20" s="1">
        <v>7162037.3799999999</v>
      </c>
      <c r="E20" s="1">
        <v>7776266.6100000003</v>
      </c>
      <c r="F20" s="1">
        <v>2.0533999999999999</v>
      </c>
      <c r="G20" s="1">
        <v>623.04</v>
      </c>
      <c r="H20" s="1">
        <v>521.84</v>
      </c>
      <c r="I20" s="1">
        <v>193.57</v>
      </c>
      <c r="J20" s="1">
        <v>286.39999999999998</v>
      </c>
      <c r="K20" s="1">
        <v>300.7</v>
      </c>
      <c r="L20" s="1">
        <v>206.17</v>
      </c>
      <c r="M20" s="1">
        <v>418.51</v>
      </c>
      <c r="N20" s="1">
        <v>366.17</v>
      </c>
      <c r="O20" s="1">
        <v>118.22</v>
      </c>
      <c r="P20" s="1">
        <v>485.09</v>
      </c>
      <c r="Q20" s="1">
        <v>361.72</v>
      </c>
      <c r="R20" s="1">
        <v>122.01</v>
      </c>
      <c r="S20" s="1">
        <v>97.685000000000002</v>
      </c>
      <c r="T20" s="1">
        <v>358.31</v>
      </c>
      <c r="V20" s="71">
        <v>31</v>
      </c>
      <c r="W20" s="71">
        <v>91</v>
      </c>
      <c r="X20" s="71">
        <v>282</v>
      </c>
      <c r="Y20" s="17"/>
    </row>
    <row r="21" spans="1:25" ht="21" customHeight="1" x14ac:dyDescent="0.25">
      <c r="A21" s="8">
        <v>44245</v>
      </c>
      <c r="B21" s="1">
        <v>809.28</v>
      </c>
      <c r="C21" s="1">
        <v>199.52</v>
      </c>
      <c r="D21" s="1">
        <v>7164215.1900000004</v>
      </c>
      <c r="E21" s="1">
        <v>7779399.2800000003</v>
      </c>
      <c r="F21" s="1">
        <v>2.0558999999999998</v>
      </c>
      <c r="G21" s="1">
        <v>623.94000000000005</v>
      </c>
      <c r="H21" s="1">
        <v>522.82000000000005</v>
      </c>
      <c r="I21" s="1">
        <v>193.85</v>
      </c>
      <c r="J21" s="1">
        <v>286.73</v>
      </c>
      <c r="K21" s="1">
        <v>301.05</v>
      </c>
      <c r="L21" s="1">
        <v>206.4</v>
      </c>
      <c r="M21" s="1">
        <v>419.31</v>
      </c>
      <c r="N21" s="1">
        <v>367.06</v>
      </c>
      <c r="O21" s="1">
        <v>118.49</v>
      </c>
      <c r="P21" s="1">
        <v>486</v>
      </c>
      <c r="Q21" s="1">
        <v>362.44</v>
      </c>
      <c r="R21" s="1">
        <v>122.18</v>
      </c>
      <c r="S21" s="1">
        <v>97.83</v>
      </c>
      <c r="T21" s="1">
        <v>358.89</v>
      </c>
      <c r="V21" s="71">
        <v>37</v>
      </c>
      <c r="W21" s="71">
        <v>111</v>
      </c>
      <c r="X21" s="71">
        <v>302</v>
      </c>
      <c r="Y21" s="17"/>
    </row>
    <row r="22" spans="1:25" ht="21" customHeight="1" x14ac:dyDescent="0.25">
      <c r="A22" s="8">
        <v>44246</v>
      </c>
      <c r="B22" s="1">
        <v>810.41</v>
      </c>
      <c r="C22" s="1">
        <v>199.76</v>
      </c>
      <c r="D22" s="1">
        <v>7166439.8200000003</v>
      </c>
      <c r="E22" s="1">
        <v>7782469.8700000001</v>
      </c>
      <c r="F22" s="1">
        <v>2.0583999999999998</v>
      </c>
      <c r="G22" s="1">
        <v>624.79</v>
      </c>
      <c r="H22" s="1">
        <v>523.80999999999995</v>
      </c>
      <c r="I22" s="1">
        <v>194.12</v>
      </c>
      <c r="J22" s="1">
        <v>286.98</v>
      </c>
      <c r="K22" s="1">
        <v>301.38</v>
      </c>
      <c r="L22" s="1">
        <v>206.63</v>
      </c>
      <c r="M22" s="1">
        <v>420.07</v>
      </c>
      <c r="N22" s="1">
        <v>367.87</v>
      </c>
      <c r="O22" s="1">
        <v>118.76</v>
      </c>
      <c r="P22" s="1">
        <v>486.87</v>
      </c>
      <c r="Q22" s="1">
        <v>363.08</v>
      </c>
      <c r="R22" s="28">
        <v>122.35</v>
      </c>
      <c r="S22" s="28">
        <v>97.962000000000003</v>
      </c>
      <c r="T22" s="1">
        <v>359.39</v>
      </c>
      <c r="V22" s="71">
        <v>43</v>
      </c>
      <c r="W22" s="71">
        <v>121</v>
      </c>
      <c r="X22" s="71">
        <v>356</v>
      </c>
      <c r="Y22" s="17"/>
    </row>
    <row r="23" spans="1:25" ht="21" customHeight="1" x14ac:dyDescent="0.25">
      <c r="A23" s="8">
        <v>44247</v>
      </c>
      <c r="B23" s="1">
        <v>811.56</v>
      </c>
      <c r="C23" s="1">
        <v>200</v>
      </c>
      <c r="D23" s="1">
        <v>7168710.0999999996</v>
      </c>
      <c r="E23" s="1">
        <v>7785151.3600000003</v>
      </c>
      <c r="F23" s="1">
        <v>2.0611000000000002</v>
      </c>
      <c r="G23" s="1">
        <v>625.67999999999995</v>
      </c>
      <c r="H23" s="1">
        <v>524.84</v>
      </c>
      <c r="I23" s="1">
        <v>194.29</v>
      </c>
      <c r="J23" s="1">
        <v>287.39</v>
      </c>
      <c r="K23" s="1">
        <v>301.75</v>
      </c>
      <c r="L23" s="1">
        <v>206.85</v>
      </c>
      <c r="M23" s="1">
        <v>420.86</v>
      </c>
      <c r="N23" s="1">
        <v>368.67</v>
      </c>
      <c r="O23" s="1">
        <v>119.02</v>
      </c>
      <c r="P23" s="1">
        <v>487.71</v>
      </c>
      <c r="Q23" s="1">
        <v>363.82</v>
      </c>
      <c r="R23" s="1">
        <v>122.55</v>
      </c>
      <c r="S23" s="1">
        <v>98.114000000000004</v>
      </c>
      <c r="T23" s="1">
        <v>359.68</v>
      </c>
      <c r="V23" s="71">
        <v>39</v>
      </c>
      <c r="W23" s="71">
        <v>110</v>
      </c>
      <c r="X23" s="71">
        <v>322</v>
      </c>
      <c r="Y23" s="17"/>
    </row>
    <row r="24" spans="1:25" ht="21" customHeight="1" x14ac:dyDescent="0.25">
      <c r="A24" s="8">
        <v>44248</v>
      </c>
      <c r="B24" s="1">
        <v>812.8</v>
      </c>
      <c r="C24" s="1">
        <v>200.26</v>
      </c>
      <c r="D24" s="1">
        <v>7170912.7699999996</v>
      </c>
      <c r="E24" s="1">
        <v>7788163.9100000001</v>
      </c>
      <c r="F24" s="1">
        <v>2.0638999999999998</v>
      </c>
      <c r="G24" s="1">
        <v>626.64</v>
      </c>
      <c r="H24" s="1">
        <v>525.85</v>
      </c>
      <c r="I24" s="1">
        <v>194.69</v>
      </c>
      <c r="J24" s="1">
        <v>287.83999999999997</v>
      </c>
      <c r="K24" s="1">
        <v>302.19</v>
      </c>
      <c r="L24" s="1">
        <v>207.11</v>
      </c>
      <c r="M24" s="1">
        <v>421.66</v>
      </c>
      <c r="N24" s="1">
        <v>369.58</v>
      </c>
      <c r="O24" s="1">
        <v>119.31</v>
      </c>
      <c r="P24" s="1">
        <v>488.51</v>
      </c>
      <c r="Q24" s="1">
        <v>364.52</v>
      </c>
      <c r="R24" s="1">
        <v>122.75</v>
      </c>
      <c r="S24" s="1">
        <v>98.256</v>
      </c>
      <c r="T24" s="1">
        <v>360.19</v>
      </c>
      <c r="V24" s="71">
        <v>47</v>
      </c>
      <c r="W24" s="71">
        <v>120</v>
      </c>
      <c r="X24" s="71">
        <v>334</v>
      </c>
      <c r="Y24" s="17"/>
    </row>
    <row r="25" spans="1:25" ht="21" customHeight="1" x14ac:dyDescent="0.25">
      <c r="A25" s="8">
        <v>44249</v>
      </c>
      <c r="B25" s="1">
        <v>813.96</v>
      </c>
      <c r="C25" s="1">
        <v>200.46</v>
      </c>
      <c r="D25" s="1">
        <v>7172828.7300000004</v>
      </c>
      <c r="E25" s="1">
        <v>7790909.5800000001</v>
      </c>
      <c r="F25" s="1">
        <v>2.0663</v>
      </c>
      <c r="G25" s="1">
        <v>627.6</v>
      </c>
      <c r="H25" s="1">
        <v>526.58000000000004</v>
      </c>
      <c r="I25" s="1">
        <v>194.95</v>
      </c>
      <c r="J25" s="1">
        <v>288.11</v>
      </c>
      <c r="K25" s="1">
        <v>302.54000000000002</v>
      </c>
      <c r="L25" s="1">
        <v>207.34</v>
      </c>
      <c r="M25" s="1">
        <v>422.41</v>
      </c>
      <c r="N25" s="1">
        <v>370.37</v>
      </c>
      <c r="O25" s="1">
        <v>119.54</v>
      </c>
      <c r="P25" s="1">
        <v>489.3</v>
      </c>
      <c r="Q25" s="1">
        <v>365.25</v>
      </c>
      <c r="R25" s="1">
        <v>122.94</v>
      </c>
      <c r="S25" s="1">
        <v>98.402000000000001</v>
      </c>
      <c r="T25" s="1">
        <v>360.7</v>
      </c>
      <c r="V25" s="71">
        <v>40</v>
      </c>
      <c r="W25" s="71">
        <v>104</v>
      </c>
      <c r="X25" s="71">
        <v>321</v>
      </c>
      <c r="Y25" s="17"/>
    </row>
    <row r="26" spans="1:25" ht="21" customHeight="1" x14ac:dyDescent="0.25">
      <c r="A26" s="8">
        <v>44250</v>
      </c>
      <c r="B26" s="1">
        <v>815.14</v>
      </c>
      <c r="C26" s="1">
        <v>200.7</v>
      </c>
      <c r="D26" s="1">
        <v>7175086.5999999996</v>
      </c>
      <c r="E26" s="1">
        <v>7793712.9800000004</v>
      </c>
      <c r="F26" s="1">
        <v>2.0688</v>
      </c>
      <c r="G26" s="1">
        <v>628.54999999999995</v>
      </c>
      <c r="H26" s="1">
        <v>527.48</v>
      </c>
      <c r="I26" s="1">
        <v>195.25</v>
      </c>
      <c r="J26" s="1">
        <v>288.38</v>
      </c>
      <c r="K26" s="1">
        <v>302.95999999999998</v>
      </c>
      <c r="L26" s="1">
        <v>207.58</v>
      </c>
      <c r="M26" s="1">
        <v>423.18</v>
      </c>
      <c r="N26" s="1">
        <v>371.24</v>
      </c>
      <c r="O26" s="1">
        <v>119.77</v>
      </c>
      <c r="P26" s="1">
        <v>490.12</v>
      </c>
      <c r="Q26" s="1">
        <v>366.01</v>
      </c>
      <c r="R26" s="1">
        <v>123.15</v>
      </c>
      <c r="S26" s="1">
        <v>98.536000000000001</v>
      </c>
      <c r="T26" s="1">
        <v>361.25</v>
      </c>
      <c r="V26" s="71">
        <v>44</v>
      </c>
      <c r="W26" s="71">
        <v>112</v>
      </c>
      <c r="X26" s="71">
        <v>326</v>
      </c>
      <c r="Y26" s="17"/>
    </row>
    <row r="27" spans="1:25" ht="21" customHeight="1" x14ac:dyDescent="0.25">
      <c r="A27" s="8">
        <v>44251</v>
      </c>
      <c r="B27" s="1">
        <v>816.45</v>
      </c>
      <c r="C27" s="1">
        <v>200.96</v>
      </c>
      <c r="D27" s="1">
        <v>7177574.8799999999</v>
      </c>
      <c r="E27" s="1">
        <v>7796762.3399999999</v>
      </c>
      <c r="F27" s="1">
        <v>2.0714999999999999</v>
      </c>
      <c r="G27" s="1">
        <v>629.63</v>
      </c>
      <c r="H27" s="1">
        <v>528.45000000000005</v>
      </c>
      <c r="I27" s="1">
        <v>195.6</v>
      </c>
      <c r="J27" s="1">
        <v>288.77</v>
      </c>
      <c r="K27" s="1">
        <v>303.42</v>
      </c>
      <c r="L27" s="1">
        <v>207.81</v>
      </c>
      <c r="M27" s="1">
        <v>424.01</v>
      </c>
      <c r="N27" s="1">
        <v>372.17</v>
      </c>
      <c r="O27" s="1">
        <v>120.04</v>
      </c>
      <c r="P27" s="1">
        <v>491.08</v>
      </c>
      <c r="Q27" s="1">
        <v>366.87</v>
      </c>
      <c r="R27" s="1">
        <v>123.34</v>
      </c>
      <c r="S27" s="1">
        <v>98.694999999999993</v>
      </c>
      <c r="T27" s="1">
        <v>361.78</v>
      </c>
      <c r="V27" s="71">
        <v>48</v>
      </c>
      <c r="W27" s="71">
        <v>131</v>
      </c>
      <c r="X27" s="71">
        <v>359</v>
      </c>
      <c r="Y27" s="17"/>
    </row>
    <row r="28" spans="1:25" ht="21" customHeight="1" x14ac:dyDescent="0.25">
      <c r="A28" s="8">
        <v>44252</v>
      </c>
      <c r="B28" s="1">
        <v>817.61</v>
      </c>
      <c r="C28" s="1">
        <v>201.18</v>
      </c>
      <c r="D28" s="1">
        <v>7179788.6500000004</v>
      </c>
      <c r="E28" s="1">
        <v>7799466.54</v>
      </c>
      <c r="F28" s="1">
        <v>2.0739000000000001</v>
      </c>
      <c r="G28" s="1">
        <v>630.55999999999995</v>
      </c>
      <c r="H28" s="1">
        <v>529.28</v>
      </c>
      <c r="I28" s="1">
        <v>195.89</v>
      </c>
      <c r="J28" s="1">
        <v>289</v>
      </c>
      <c r="K28" s="1">
        <v>303.8</v>
      </c>
      <c r="L28" s="1">
        <v>208.09</v>
      </c>
      <c r="M28" s="1">
        <v>424.75</v>
      </c>
      <c r="N28" s="1">
        <v>372.92</v>
      </c>
      <c r="O28" s="1">
        <v>120.28</v>
      </c>
      <c r="P28" s="1">
        <v>491.94</v>
      </c>
      <c r="Q28" s="1">
        <v>367.61</v>
      </c>
      <c r="R28" s="1">
        <v>123.46</v>
      </c>
      <c r="S28" s="1">
        <v>98.870999999999995</v>
      </c>
      <c r="T28" s="1">
        <v>362.32</v>
      </c>
      <c r="V28" s="71">
        <v>47</v>
      </c>
      <c r="W28" s="71">
        <v>126</v>
      </c>
      <c r="X28" s="71">
        <v>421</v>
      </c>
      <c r="Y28" s="17"/>
    </row>
    <row r="29" spans="1:25" ht="21" customHeight="1" x14ac:dyDescent="0.25">
      <c r="A29" s="8">
        <v>44253</v>
      </c>
      <c r="B29" s="1">
        <v>818.84</v>
      </c>
      <c r="C29" s="1">
        <v>201.43</v>
      </c>
      <c r="D29" s="1">
        <v>7181971.25</v>
      </c>
      <c r="E29" s="1">
        <v>7802217.1600000001</v>
      </c>
      <c r="F29" s="1">
        <v>2.0762999999999998</v>
      </c>
      <c r="G29" s="1">
        <v>631.51</v>
      </c>
      <c r="H29" s="1">
        <v>530.13</v>
      </c>
      <c r="I29" s="1">
        <v>196.18</v>
      </c>
      <c r="J29" s="1">
        <v>289.29000000000002</v>
      </c>
      <c r="K29" s="1">
        <v>304.18</v>
      </c>
      <c r="L29" s="1">
        <v>208.32</v>
      </c>
      <c r="M29" s="1">
        <v>425.45</v>
      </c>
      <c r="N29" s="1">
        <v>373.73</v>
      </c>
      <c r="O29" s="1">
        <v>120.55</v>
      </c>
      <c r="P29" s="1">
        <v>492.85</v>
      </c>
      <c r="Q29" s="1">
        <v>368.37</v>
      </c>
      <c r="R29" s="1">
        <v>123.58</v>
      </c>
      <c r="S29" s="1">
        <v>99.024000000000001</v>
      </c>
      <c r="T29" s="1">
        <v>362.87</v>
      </c>
      <c r="V29" s="71">
        <v>51</v>
      </c>
      <c r="W29" s="71">
        <v>134</v>
      </c>
      <c r="X29" s="71">
        <v>380</v>
      </c>
      <c r="Y29" s="17"/>
    </row>
    <row r="30" spans="1:25" ht="21" customHeight="1" x14ac:dyDescent="0.25">
      <c r="A30" s="8">
        <v>44254</v>
      </c>
      <c r="B30" s="1">
        <v>820.03</v>
      </c>
      <c r="C30" s="1">
        <v>201.68</v>
      </c>
      <c r="D30" s="1">
        <v>7184311.5499999998</v>
      </c>
      <c r="E30" s="1">
        <v>7804728.5499999998</v>
      </c>
      <c r="F30" s="1">
        <v>2.0788000000000002</v>
      </c>
      <c r="G30" s="1">
        <v>632.47</v>
      </c>
      <c r="H30" s="1">
        <v>530.96</v>
      </c>
      <c r="I30" s="1">
        <v>196.5</v>
      </c>
      <c r="J30" s="1">
        <v>289.61</v>
      </c>
      <c r="K30" s="1">
        <v>304.56</v>
      </c>
      <c r="L30" s="1">
        <v>208.53</v>
      </c>
      <c r="M30" s="1">
        <v>426.19</v>
      </c>
      <c r="N30" s="1">
        <v>374.52</v>
      </c>
      <c r="O30" s="1">
        <v>120.85</v>
      </c>
      <c r="P30" s="1">
        <v>493.79</v>
      </c>
      <c r="Q30" s="1">
        <v>369.12</v>
      </c>
      <c r="R30" s="1">
        <v>123.75</v>
      </c>
      <c r="S30" s="1">
        <v>99.165999999999997</v>
      </c>
      <c r="T30" s="1">
        <v>363.13</v>
      </c>
      <c r="V30" s="71"/>
      <c r="W30" s="71"/>
      <c r="X30" s="71"/>
      <c r="Y30" s="17"/>
    </row>
    <row r="31" spans="1:25" ht="21" customHeight="1" x14ac:dyDescent="0.25">
      <c r="A31" s="8">
        <v>44255</v>
      </c>
      <c r="B31" s="1">
        <v>821.29</v>
      </c>
      <c r="C31" s="1">
        <v>201.93</v>
      </c>
      <c r="D31" s="1">
        <v>7186612.8200000003</v>
      </c>
      <c r="E31" s="1">
        <v>7807584.1299999999</v>
      </c>
      <c r="F31" s="1">
        <v>2.0813000000000001</v>
      </c>
      <c r="G31" s="1">
        <v>633.39</v>
      </c>
      <c r="H31" s="1">
        <v>531.85</v>
      </c>
      <c r="I31" s="1">
        <v>196.79</v>
      </c>
      <c r="J31" s="1">
        <v>289.89</v>
      </c>
      <c r="K31" s="1">
        <v>304.92</v>
      </c>
      <c r="L31" s="1">
        <v>208.75</v>
      </c>
      <c r="M31" s="1">
        <v>426.88</v>
      </c>
      <c r="N31" s="1">
        <v>375.26</v>
      </c>
      <c r="O31" s="1">
        <v>121.11</v>
      </c>
      <c r="P31" s="1">
        <v>494.62</v>
      </c>
      <c r="Q31" s="1">
        <v>369.86</v>
      </c>
      <c r="R31" s="1">
        <v>123.92</v>
      </c>
      <c r="S31" s="1">
        <v>99.807000000000002</v>
      </c>
      <c r="T31" s="1">
        <v>363.63</v>
      </c>
      <c r="V31" s="71"/>
      <c r="W31" s="71"/>
      <c r="X31" s="71"/>
      <c r="Y31" s="17"/>
    </row>
    <row r="32" spans="1:25" ht="21" customHeight="1" x14ac:dyDescent="0.25">
      <c r="A32" s="8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899</v>
      </c>
      <c r="W35" s="78">
        <f>SUM(W4:W34)</f>
        <v>2397</v>
      </c>
      <c r="X35" s="78">
        <f>SUM(X4:X34)</f>
        <v>7008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L10" activePane="bottomRight" state="frozen"/>
      <selection pane="topRight" activeCell="C1" sqref="C1"/>
      <selection pane="bottomLeft" activeCell="A4" sqref="A4"/>
      <selection pane="bottomRight" activeCell="O29" sqref="O29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5" t="s">
        <v>32</v>
      </c>
      <c r="B2" s="117" t="s">
        <v>33</v>
      </c>
      <c r="C2" s="117" t="s">
        <v>34</v>
      </c>
      <c r="D2" s="117" t="s">
        <v>120</v>
      </c>
      <c r="E2" s="115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6"/>
      <c r="B3" s="118"/>
      <c r="C3" s="118"/>
      <c r="D3" s="118"/>
      <c r="E3" s="116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44228</v>
      </c>
      <c r="B4" s="26">
        <v>20560</v>
      </c>
      <c r="C4" s="4">
        <f>('Kwh Reading'!T5-'Kwh Reading'!T4)*1000</f>
        <v>420.00000000001592</v>
      </c>
      <c r="D4" s="2">
        <f>('Kwh Reading'!F5-'Kwh Reading'!F4)*1000000</f>
        <v>2399.9999999997358</v>
      </c>
      <c r="E4" s="2">
        <f>('Kwh Reading'!C5-'Kwh Reading'!C4)*1000</f>
        <v>259.99999999999091</v>
      </c>
      <c r="F4" s="2">
        <f>('Kwh Reading'!J5-'Kwh Reading'!J4)*1000</f>
        <v>319.99999999999318</v>
      </c>
      <c r="G4" s="2">
        <f>('Kwh Reading'!K5-'Kwh Reading'!K4)*1000</f>
        <v>300.00000000001137</v>
      </c>
      <c r="H4" s="2">
        <f>('Kwh Reading'!L5-'Kwh Reading'!L4)*1000</f>
        <v>189.99999999999773</v>
      </c>
      <c r="I4" s="2">
        <f>('Kwh Reading'!R5-'Kwh Reading'!R4)*1000</f>
        <v>170.00000000000171</v>
      </c>
      <c r="J4" s="2">
        <f>('Kwh Reading'!S5-'Kwh Reading'!S4)*1000</f>
        <v>133.00000000000978</v>
      </c>
      <c r="K4" s="2">
        <f>('Kwh Reading'!I5-'Kwh Reading'!I4)*1000</f>
        <v>240.00000000000909</v>
      </c>
      <c r="L4" s="2">
        <f>('Kwh Reading'!B5-'Kwh Reading'!B4)*1000</f>
        <v>1169.9999999999591</v>
      </c>
      <c r="M4" s="2">
        <f>('Kwh Reading'!M5-'Kwh Reading'!M4)*1000</f>
        <v>680.00000000000682</v>
      </c>
      <c r="N4" s="2">
        <f>('Kwh Reading'!H5-'Kwh Reading'!H4)*1000</f>
        <v>839.99999999997499</v>
      </c>
      <c r="O4" s="2">
        <f>('Kwh Reading'!P5-'Kwh Reading'!P4)*1000</f>
        <v>779.99999999997272</v>
      </c>
      <c r="P4" s="2">
        <f>('Kwh Reading'!G5-'Kwh Reading'!G4)*1000</f>
        <v>950.00000000004547</v>
      </c>
      <c r="Q4" s="2">
        <f>('Kwh Reading'!Q5-'Kwh Reading'!Q4)*1000</f>
        <v>539.99999999996362</v>
      </c>
      <c r="R4" s="2">
        <f>('Kwh Reading'!N5-'Kwh Reading'!N4)*1000</f>
        <v>829.99999999998408</v>
      </c>
      <c r="S4" s="2">
        <f>'Kwh Reading'!E5-'Kwh Reading'!E4</f>
        <v>2846.0400000000373</v>
      </c>
      <c r="T4" s="2">
        <f>'Kwh Reading'!D5-'Kwh Reading'!D4</f>
        <v>2119.359999999404</v>
      </c>
      <c r="U4" s="27">
        <f>('Kwh Reading'!O5-'Kwh Reading'!O4)*1000</f>
        <v>200.00000000000284</v>
      </c>
      <c r="V4" s="16">
        <f>B4-(SUM(C4:U4))</f>
        <v>5171.6000000008844</v>
      </c>
    </row>
    <row r="5" spans="1:22" x14ac:dyDescent="0.25">
      <c r="A5" s="3">
        <f>'Kwh Reading'!A5</f>
        <v>44229</v>
      </c>
      <c r="B5" s="26">
        <f>TOTAL!E3</f>
        <v>24529.999999999294</v>
      </c>
      <c r="C5" s="4">
        <f>('Kwh Reading'!T6-'Kwh Reading'!T5)*1000</f>
        <v>560.00000000000227</v>
      </c>
      <c r="D5" s="2">
        <f>('Kwh Reading'!F6-'Kwh Reading'!F5)*1000000</f>
        <v>2500.0000000003906</v>
      </c>
      <c r="E5" s="2">
        <f>('Kwh Reading'!C6-'Kwh Reading'!C5)*1000</f>
        <v>289.99999999999204</v>
      </c>
      <c r="F5" s="2">
        <f>('Kwh Reading'!J6-'Kwh Reading'!J5)*1000</f>
        <v>420.00000000001592</v>
      </c>
      <c r="G5" s="2">
        <f>('Kwh Reading'!K6-'Kwh Reading'!K5)*1000</f>
        <v>350.00000000002274</v>
      </c>
      <c r="H5" s="2">
        <f>('Kwh Reading'!L6-'Kwh Reading'!L5)*1000</f>
        <v>199.99999999998863</v>
      </c>
      <c r="I5" s="2">
        <f>('Kwh Reading'!R6-'Kwh Reading'!R5)*1000</f>
        <v>229.99999999998977</v>
      </c>
      <c r="J5" s="2">
        <f>('Kwh Reading'!S6-'Kwh Reading'!S5)*1000</f>
        <v>149.99999999999147</v>
      </c>
      <c r="K5" s="2">
        <f>('Kwh Reading'!I6-'Kwh Reading'!I5)*1000</f>
        <v>279.99999999997272</v>
      </c>
      <c r="L5" s="2">
        <f>('Kwh Reading'!B6-'Kwh Reading'!B5)*1000</f>
        <v>1240.0000000000091</v>
      </c>
      <c r="M5" s="2">
        <f>('Kwh Reading'!M6-'Kwh Reading'!M5)*1000</f>
        <v>720.00000000002728</v>
      </c>
      <c r="N5" s="2">
        <f>('Kwh Reading'!H6-'Kwh Reading'!H5)*1000</f>
        <v>910.00000000002501</v>
      </c>
      <c r="O5" s="2">
        <f>('Kwh Reading'!P6-'Kwh Reading'!P5)*1000</f>
        <v>899.99999999997726</v>
      </c>
      <c r="P5" s="2">
        <f>('Kwh Reading'!G6-'Kwh Reading'!G5)*1000</f>
        <v>899.99999999997726</v>
      </c>
      <c r="Q5" s="2">
        <f>('Kwh Reading'!Q6-'Kwh Reading'!Q5)*1000</f>
        <v>689.99999999999773</v>
      </c>
      <c r="R5" s="2">
        <f>('Kwh Reading'!N6-'Kwh Reading'!N5)*1000</f>
        <v>850.00000000002274</v>
      </c>
      <c r="S5" s="2">
        <f>'Kwh Reading'!E6-'Kwh Reading'!E5</f>
        <v>3277.109999999404</v>
      </c>
      <c r="T5" s="2">
        <f>'Kwh Reading'!D6-'Kwh Reading'!D5</f>
        <v>2607.1000000005588</v>
      </c>
      <c r="U5" s="27">
        <f>('Kwh Reading'!O6-'Kwh Reading'!O5)*1000</f>
        <v>200.00000000000284</v>
      </c>
      <c r="V5" s="16">
        <f>B5-(SUM(C5:U5))</f>
        <v>7255.7899999989204</v>
      </c>
    </row>
    <row r="6" spans="1:22" x14ac:dyDescent="0.25">
      <c r="A6" s="3">
        <f>'Kwh Reading'!A6</f>
        <v>44230</v>
      </c>
      <c r="B6" s="26">
        <f>TOTAL!E4</f>
        <v>21160.000000000535</v>
      </c>
      <c r="C6" s="4">
        <f>('Kwh Reading'!T7-'Kwh Reading'!T6)*1000</f>
        <v>519.99999999998181</v>
      </c>
      <c r="D6" s="2">
        <f>('Kwh Reading'!F7-'Kwh Reading'!F6)*1000000</f>
        <v>2399.9999999997358</v>
      </c>
      <c r="E6" s="2">
        <f>('Kwh Reading'!C7-'Kwh Reading'!C6)*1000</f>
        <v>240.00000000000909</v>
      </c>
      <c r="F6" s="2">
        <f>('Kwh Reading'!J7-'Kwh Reading'!J6)*1000</f>
        <v>269.99999999998181</v>
      </c>
      <c r="G6" s="2">
        <f>('Kwh Reading'!K7-'Kwh Reading'!K6)*1000</f>
        <v>359.9999999999568</v>
      </c>
      <c r="H6" s="2">
        <f>('Kwh Reading'!L7-'Kwh Reading'!L6)*1000</f>
        <v>210.00000000000796</v>
      </c>
      <c r="I6" s="2">
        <f>('Kwh Reading'!R7-'Kwh Reading'!R6)*1000</f>
        <v>160.0000000000108</v>
      </c>
      <c r="J6" s="2">
        <f>('Kwh Reading'!S7-'Kwh Reading'!S6)*1000</f>
        <v>129.00000000000489</v>
      </c>
      <c r="K6" s="2">
        <f>('Kwh Reading'!I7-'Kwh Reading'!I6)*1000</f>
        <v>280.00000000000114</v>
      </c>
      <c r="L6" s="2">
        <f>('Kwh Reading'!B7-'Kwh Reading'!B6)*1000</f>
        <v>1139.9999999999864</v>
      </c>
      <c r="M6" s="2">
        <f>('Kwh Reading'!M7-'Kwh Reading'!M6)*1000</f>
        <v>779.99999999997272</v>
      </c>
      <c r="N6" s="2">
        <f>('Kwh Reading'!H7-'Kwh Reading'!H6)*1000</f>
        <v>879.99999999999545</v>
      </c>
      <c r="O6" s="2">
        <f>('Kwh Reading'!P7-'Kwh Reading'!P6)*1000</f>
        <v>870.00000000000455</v>
      </c>
      <c r="P6" s="2">
        <f>('Kwh Reading'!G7-'Kwh Reading'!G6)*1000</f>
        <v>820.00000000005002</v>
      </c>
      <c r="Q6" s="2">
        <f>('Kwh Reading'!Q7-'Kwh Reading'!Q6)*1000</f>
        <v>610.00000000001364</v>
      </c>
      <c r="R6" s="2">
        <f>('Kwh Reading'!N7-'Kwh Reading'!N6)*1000</f>
        <v>769.99999999998181</v>
      </c>
      <c r="S6" s="2">
        <f>'Kwh Reading'!E7-'Kwh Reading'!E6</f>
        <v>2889.6100000003353</v>
      </c>
      <c r="T6" s="2">
        <f>'Kwh Reading'!D7-'Kwh Reading'!D6</f>
        <v>2292.6699999999255</v>
      </c>
      <c r="U6" s="27">
        <f>('Kwh Reading'!O7-'Kwh Reading'!O6)*1000</f>
        <v>200.00000000000284</v>
      </c>
      <c r="V6" s="16">
        <f t="shared" ref="V6:V34" si="0">B6-(SUM(C6:U6))</f>
        <v>5338.720000000576</v>
      </c>
    </row>
    <row r="7" spans="1:22" x14ac:dyDescent="0.25">
      <c r="A7" s="3">
        <f>'Kwh Reading'!A7</f>
        <v>44231</v>
      </c>
      <c r="B7" s="26">
        <f>TOTAL!E5</f>
        <v>20480.000000000469</v>
      </c>
      <c r="C7" s="4">
        <f>('Kwh Reading'!T8-'Kwh Reading'!T7)*1000</f>
        <v>480.00000000001819</v>
      </c>
      <c r="D7" s="2">
        <f>('Kwh Reading'!F8-'Kwh Reading'!F7)*1000000</f>
        <v>2499.9999999999468</v>
      </c>
      <c r="E7" s="2">
        <f>('Kwh Reading'!C8-'Kwh Reading'!C7)*1000</f>
        <v>250</v>
      </c>
      <c r="F7" s="2">
        <f>('Kwh Reading'!J8-'Kwh Reading'!J7)*1000</f>
        <v>290.00000000002046</v>
      </c>
      <c r="G7" s="2">
        <f>('Kwh Reading'!K8-'Kwh Reading'!K7)*1000</f>
        <v>330.00000000004093</v>
      </c>
      <c r="H7" s="2">
        <f>('Kwh Reading'!L8-'Kwh Reading'!L7)*1000</f>
        <v>240.00000000000909</v>
      </c>
      <c r="I7" s="2">
        <f>('Kwh Reading'!R8-'Kwh Reading'!R7)*1000</f>
        <v>109.99999999999943</v>
      </c>
      <c r="J7" s="2">
        <f>('Kwh Reading'!S8-'Kwh Reading'!S7)*1000</f>
        <v>135.00000000000512</v>
      </c>
      <c r="K7" s="2">
        <f>('Kwh Reading'!I8-'Kwh Reading'!I7)*1000</f>
        <v>280.00000000000114</v>
      </c>
      <c r="L7" s="2">
        <f>('Kwh Reading'!B8-'Kwh Reading'!B7)*1000</f>
        <v>1159.9999999999682</v>
      </c>
      <c r="M7" s="2">
        <f>('Kwh Reading'!M8-'Kwh Reading'!M7)*1000</f>
        <v>740.00000000000909</v>
      </c>
      <c r="N7" s="2">
        <f>('Kwh Reading'!H8-'Kwh Reading'!H7)*1000</f>
        <v>910.00000000002501</v>
      </c>
      <c r="O7" s="2">
        <f>('Kwh Reading'!P8-'Kwh Reading'!P7)*1000</f>
        <v>860.00000000001364</v>
      </c>
      <c r="P7" s="2">
        <f>('Kwh Reading'!G8-'Kwh Reading'!G7)*1000</f>
        <v>850.00000000002274</v>
      </c>
      <c r="Q7" s="2">
        <f>('Kwh Reading'!Q8-'Kwh Reading'!Q7)*1000</f>
        <v>720.00000000002728</v>
      </c>
      <c r="R7" s="2">
        <f>('Kwh Reading'!N8-'Kwh Reading'!N7)*1000</f>
        <v>780.00000000002956</v>
      </c>
      <c r="S7" s="2">
        <f>'Kwh Reading'!E8-'Kwh Reading'!E7</f>
        <v>3033.3899999996647</v>
      </c>
      <c r="T7" s="2">
        <f>'Kwh Reading'!D8-'Kwh Reading'!D7</f>
        <v>2219.8300000000745</v>
      </c>
      <c r="U7" s="27">
        <f>('Kwh Reading'!O8-'Kwh Reading'!O7)*1000</f>
        <v>189.99999999999773</v>
      </c>
      <c r="V7" s="16">
        <f t="shared" si="0"/>
        <v>4401.7800000005955</v>
      </c>
    </row>
    <row r="8" spans="1:22" x14ac:dyDescent="0.25">
      <c r="A8" s="3">
        <f>'Kwh Reading'!A8</f>
        <v>44232</v>
      </c>
      <c r="B8" s="26">
        <f>TOTAL!E6</f>
        <v>20840.000000000146</v>
      </c>
      <c r="C8" s="4">
        <f>('Kwh Reading'!T9-'Kwh Reading'!T8)*1000</f>
        <v>279.99999999997272</v>
      </c>
      <c r="D8" s="2">
        <f>('Kwh Reading'!F9-'Kwh Reading'!F8)*1000000</f>
        <v>2499.9999999999468</v>
      </c>
      <c r="E8" s="2">
        <f>('Kwh Reading'!C9-'Kwh Reading'!C8)*1000</f>
        <v>250</v>
      </c>
      <c r="F8" s="2">
        <f>('Kwh Reading'!J9-'Kwh Reading'!J8)*1000</f>
        <v>269.99999999998181</v>
      </c>
      <c r="G8" s="2">
        <f>('Kwh Reading'!K9-'Kwh Reading'!K8)*1000</f>
        <v>349.99999999996589</v>
      </c>
      <c r="H8" s="2">
        <f>('Kwh Reading'!L9-'Kwh Reading'!L8)*1000</f>
        <v>209.99999999997954</v>
      </c>
      <c r="I8" s="2">
        <f>('Kwh Reading'!R9-'Kwh Reading'!R8)*1000</f>
        <v>179.99999999999261</v>
      </c>
      <c r="J8" s="2">
        <f>('Kwh Reading'!S9-'Kwh Reading'!S8)*1000</f>
        <v>137.99999999999102</v>
      </c>
      <c r="K8" s="2">
        <f>('Kwh Reading'!I9-'Kwh Reading'!I8)*1000</f>
        <v>230.00000000001819</v>
      </c>
      <c r="L8" s="2">
        <f>('Kwh Reading'!B9-'Kwh Reading'!B8)*1000</f>
        <v>50.000000000068212</v>
      </c>
      <c r="M8" s="2">
        <f>('Kwh Reading'!M9-'Kwh Reading'!M8)*1000</f>
        <v>590.00000000003183</v>
      </c>
      <c r="N8" s="2">
        <f>('Kwh Reading'!H9-'Kwh Reading'!H8)*1000</f>
        <v>829.99999999998408</v>
      </c>
      <c r="O8" s="2">
        <f>('Kwh Reading'!P9-'Kwh Reading'!P8)*1000</f>
        <v>800.00000000001137</v>
      </c>
      <c r="P8" s="2">
        <f>('Kwh Reading'!G9-'Kwh Reading'!G8)*1000</f>
        <v>759.99999999999091</v>
      </c>
      <c r="Q8" s="2">
        <f>('Kwh Reading'!Q9-'Kwh Reading'!Q8)*1000</f>
        <v>709.99999999997954</v>
      </c>
      <c r="R8" s="2">
        <f>('Kwh Reading'!N9-'Kwh Reading'!N8)*1000</f>
        <v>679.99999999994998</v>
      </c>
      <c r="S8" s="2">
        <f>'Kwh Reading'!E9-'Kwh Reading'!E8</f>
        <v>2426.5300000002608</v>
      </c>
      <c r="T8" s="2">
        <f>'Kwh Reading'!D9-'Kwh Reading'!D8</f>
        <v>1930.7399999992922</v>
      </c>
      <c r="U8" s="27">
        <f>('Kwh Reading'!O9-'Kwh Reading'!O8)*1000</f>
        <v>209.99999999999375</v>
      </c>
      <c r="V8" s="16">
        <f t="shared" si="0"/>
        <v>7444.7300000007326</v>
      </c>
    </row>
    <row r="9" spans="1:22" x14ac:dyDescent="0.25">
      <c r="A9" s="3">
        <f>'Kwh Reading'!A9</f>
        <v>44233</v>
      </c>
      <c r="B9" s="26">
        <f>TOTAL!E7</f>
        <v>21679.999999998927</v>
      </c>
      <c r="C9" s="4">
        <f>('Kwh Reading'!T10-'Kwh Reading'!T9)*1000</f>
        <v>520.00000000003865</v>
      </c>
      <c r="D9" s="2">
        <f>('Kwh Reading'!F10-'Kwh Reading'!F9)*1000000</f>
        <v>2600.0000000001578</v>
      </c>
      <c r="E9" s="2">
        <f>('Kwh Reading'!C10-'Kwh Reading'!C9)*1000</f>
        <v>280.00000000000114</v>
      </c>
      <c r="F9" s="2">
        <f>('Kwh Reading'!J10-'Kwh Reading'!J9)*1000</f>
        <v>240.00000000000909</v>
      </c>
      <c r="G9" s="2">
        <f>('Kwh Reading'!K10-'Kwh Reading'!K9)*1000</f>
        <v>370.00000000000455</v>
      </c>
      <c r="H9" s="2">
        <f>('Kwh Reading'!L10-'Kwh Reading'!L9)*1000</f>
        <v>250</v>
      </c>
      <c r="I9" s="2">
        <f>('Kwh Reading'!R10-'Kwh Reading'!R9)*1000</f>
        <v>210.00000000000796</v>
      </c>
      <c r="J9" s="2">
        <f>('Kwh Reading'!S10-'Kwh Reading'!S9)*1000</f>
        <v>141.99999999999591</v>
      </c>
      <c r="K9" s="2">
        <f>('Kwh Reading'!I10-'Kwh Reading'!I9)*1000</f>
        <v>329.99999999998408</v>
      </c>
      <c r="L9" s="2">
        <f>('Kwh Reading'!B10-'Kwh Reading'!B9)*1000</f>
        <v>2219.9999999999136</v>
      </c>
      <c r="M9" s="2">
        <f>('Kwh Reading'!M10-'Kwh Reading'!M9)*1000</f>
        <v>629.99999999999545</v>
      </c>
      <c r="N9" s="2">
        <f>('Kwh Reading'!H10-'Kwh Reading'!H9)*1000</f>
        <v>990.00000000000909</v>
      </c>
      <c r="O9" s="2">
        <f>('Kwh Reading'!P10-'Kwh Reading'!P9)*1000</f>
        <v>800.00000000001137</v>
      </c>
      <c r="P9" s="2">
        <f>('Kwh Reading'!G10-'Kwh Reading'!G9)*1000</f>
        <v>799.99999999995453</v>
      </c>
      <c r="Q9" s="2">
        <f>('Kwh Reading'!Q10-'Kwh Reading'!Q9)*1000</f>
        <v>810.00000000000227</v>
      </c>
      <c r="R9" s="2">
        <f>('Kwh Reading'!N10-'Kwh Reading'!N9)*1000</f>
        <v>840.00000000003183</v>
      </c>
      <c r="S9" s="2">
        <f>'Kwh Reading'!E10-'Kwh Reading'!E9</f>
        <v>3065.2199999997392</v>
      </c>
      <c r="T9" s="2">
        <f>'Kwh Reading'!D10-'Kwh Reading'!D9</f>
        <v>2257.5900000007823</v>
      </c>
      <c r="U9" s="27">
        <f>('Kwh Reading'!O10-'Kwh Reading'!O9)*1000</f>
        <v>210.00000000000796</v>
      </c>
      <c r="V9" s="16">
        <f t="shared" si="0"/>
        <v>4115.1899999982816</v>
      </c>
    </row>
    <row r="10" spans="1:22" x14ac:dyDescent="0.25">
      <c r="A10" s="3">
        <f>'Kwh Reading'!A10</f>
        <v>44234</v>
      </c>
      <c r="B10" s="26">
        <f>TOTAL!E8</f>
        <v>20130.000000000793</v>
      </c>
      <c r="C10" s="4">
        <f>('Kwh Reading'!T11-'Kwh Reading'!T10)*1000</f>
        <v>509.99999999999091</v>
      </c>
      <c r="D10" s="2">
        <f>('Kwh Reading'!F11-'Kwh Reading'!F10)*1000000</f>
        <v>2299.9999999999686</v>
      </c>
      <c r="E10" s="2">
        <f>('Kwh Reading'!C11-'Kwh Reading'!C10)*1000</f>
        <v>189.99999999999773</v>
      </c>
      <c r="F10" s="2">
        <f>('Kwh Reading'!J11-'Kwh Reading'!J10)*1000</f>
        <v>240.00000000000909</v>
      </c>
      <c r="G10" s="2">
        <f>('Kwh Reading'!K11-'Kwh Reading'!K10)*1000</f>
        <v>250</v>
      </c>
      <c r="H10" s="2">
        <f>('Kwh Reading'!L11-'Kwh Reading'!L10)*1000</f>
        <v>180.00000000000682</v>
      </c>
      <c r="I10" s="2">
        <f>('Kwh Reading'!R11-'Kwh Reading'!R10)*1000</f>
        <v>119.99999999999034</v>
      </c>
      <c r="J10" s="2">
        <f>('Kwh Reading'!S11-'Kwh Reading'!S10)*1000</f>
        <v>129.00000000000489</v>
      </c>
      <c r="K10" s="2">
        <f>('Kwh Reading'!I11-'Kwh Reading'!I10)*1000</f>
        <v>260.00000000001933</v>
      </c>
      <c r="L10" s="2">
        <f>('Kwh Reading'!B11-'Kwh Reading'!B10)*1000</f>
        <v>1040.0000000000773</v>
      </c>
      <c r="M10" s="2">
        <f>('Kwh Reading'!M11-'Kwh Reading'!M10)*1000</f>
        <v>669.99999999995907</v>
      </c>
      <c r="N10" s="2">
        <f>('Kwh Reading'!H11-'Kwh Reading'!H10)*1000</f>
        <v>850.00000000002274</v>
      </c>
      <c r="O10" s="2">
        <f>('Kwh Reading'!P11-'Kwh Reading'!P10)*1000</f>
        <v>699.99999999998863</v>
      </c>
      <c r="P10" s="2">
        <f>('Kwh Reading'!G11-'Kwh Reading'!G10)*1000</f>
        <v>769.99999999998181</v>
      </c>
      <c r="Q10" s="2">
        <f>('Kwh Reading'!Q11-'Kwh Reading'!Q10)*1000</f>
        <v>620.00000000000455</v>
      </c>
      <c r="R10" s="2">
        <f>('Kwh Reading'!N11-'Kwh Reading'!N10)*1000</f>
        <v>689.99999999999773</v>
      </c>
      <c r="S10" s="34">
        <f>'Kwh Reading'!E11-'Kwh Reading'!E10</f>
        <v>2757.1500000003725</v>
      </c>
      <c r="T10" s="34">
        <f>'Kwh Reading'!D11-'Kwh Reading'!D10</f>
        <v>1808.9099999992177</v>
      </c>
      <c r="U10" s="27">
        <f>('Kwh Reading'!O11-'Kwh Reading'!O10)*1000</f>
        <v>199.99999999998863</v>
      </c>
      <c r="V10" s="16">
        <f t="shared" si="0"/>
        <v>5844.9400000011938</v>
      </c>
    </row>
    <row r="11" spans="1:22" x14ac:dyDescent="0.25">
      <c r="A11" s="3">
        <f>'Kwh Reading'!A11</f>
        <v>44235</v>
      </c>
      <c r="B11" s="26">
        <f>TOTAL!E9</f>
        <v>21680.000000000065</v>
      </c>
      <c r="C11" s="4">
        <f>('Kwh Reading'!T12-'Kwh Reading'!T11)*1000</f>
        <v>509.99999999999091</v>
      </c>
      <c r="D11" s="2">
        <f>('Kwh Reading'!F12-'Kwh Reading'!F11)*1000000</f>
        <v>2099.9999999999909</v>
      </c>
      <c r="E11" s="2">
        <f>('Kwh Reading'!C12-'Kwh Reading'!C11)*1000</f>
        <v>250</v>
      </c>
      <c r="F11" s="2">
        <f>('Kwh Reading'!J12-'Kwh Reading'!J11)*1000</f>
        <v>289.99999999996362</v>
      </c>
      <c r="G11" s="2">
        <f>('Kwh Reading'!K12-'Kwh Reading'!K11)*1000</f>
        <v>340.00000000003183</v>
      </c>
      <c r="H11" s="2">
        <f>('Kwh Reading'!L12-'Kwh Reading'!L11)*1000</f>
        <v>240.00000000000909</v>
      </c>
      <c r="I11" s="2">
        <f>('Kwh Reading'!R12-'Kwh Reading'!R11)*1000</f>
        <v>200.00000000000284</v>
      </c>
      <c r="J11" s="2">
        <f>('Kwh Reading'!S12-'Kwh Reading'!S11)*1000</f>
        <v>138.00000000000523</v>
      </c>
      <c r="K11" s="2">
        <f>('Kwh Reading'!I12-'Kwh Reading'!I11)*1000</f>
        <v>280.00000000000114</v>
      </c>
      <c r="L11" s="2">
        <f>('Kwh Reading'!B12-'Kwh Reading'!B11)*1000</f>
        <v>1139.9999999999864</v>
      </c>
      <c r="M11" s="2">
        <f>('Kwh Reading'!M12-'Kwh Reading'!M11)*1000</f>
        <v>770.00000000003865</v>
      </c>
      <c r="N11" s="2">
        <f>('Kwh Reading'!H12-'Kwh Reading'!H11)*1000</f>
        <v>939.99999999994088</v>
      </c>
      <c r="O11" s="2">
        <f>('Kwh Reading'!P12-'Kwh Reading'!P11)*1000</f>
        <v>810.00000000000227</v>
      </c>
      <c r="P11" s="2">
        <f>('Kwh Reading'!G12-'Kwh Reading'!G11)*1000</f>
        <v>910.00000000008185</v>
      </c>
      <c r="Q11" s="2">
        <f>('Kwh Reading'!Q12-'Kwh Reading'!Q11)*1000</f>
        <v>670.00000000001592</v>
      </c>
      <c r="R11" s="2">
        <f>('Kwh Reading'!N12-'Kwh Reading'!N11)*1000</f>
        <v>750</v>
      </c>
      <c r="S11" s="34">
        <f>'Kwh Reading'!E12-'Kwh Reading'!E11</f>
        <v>3154.0499999998137</v>
      </c>
      <c r="T11" s="34">
        <f>'Kwh Reading'!D12-'Kwh Reading'!D11</f>
        <v>2169.3500000005588</v>
      </c>
      <c r="U11" s="27">
        <f>('Kwh Reading'!O12-'Kwh Reading'!O11)*1000</f>
        <v>200.00000000000284</v>
      </c>
      <c r="V11" s="16">
        <f t="shared" si="0"/>
        <v>5818.5999999996275</v>
      </c>
    </row>
    <row r="12" spans="1:22" x14ac:dyDescent="0.25">
      <c r="A12" s="3">
        <f>'Kwh Reading'!A12</f>
        <v>44236</v>
      </c>
      <c r="B12" s="26">
        <f>TOTAL!E10</f>
        <v>20349.999999999454</v>
      </c>
      <c r="C12" s="4">
        <f>('Kwh Reading'!T13-'Kwh Reading'!T12)*1000</f>
        <v>500</v>
      </c>
      <c r="D12" s="2">
        <f>('Kwh Reading'!F13-'Kwh Reading'!F12)*1000000</f>
        <v>2699.9999999999245</v>
      </c>
      <c r="E12" s="2">
        <f>('Kwh Reading'!C13-'Kwh Reading'!C12)*1000</f>
        <v>250</v>
      </c>
      <c r="F12" s="2">
        <f>('Kwh Reading'!J13-'Kwh Reading'!J12)*1000</f>
        <v>210.00000000003638</v>
      </c>
      <c r="G12" s="2">
        <f>('Kwh Reading'!K13-'Kwh Reading'!K12)*1000</f>
        <v>309.99999999994543</v>
      </c>
      <c r="H12" s="2">
        <f>('Kwh Reading'!L13-'Kwh Reading'!L12)*1000</f>
        <v>219.99999999999886</v>
      </c>
      <c r="I12" s="2">
        <f>('Kwh Reading'!R13-'Kwh Reading'!R12)*1000</f>
        <v>189.99999999999773</v>
      </c>
      <c r="J12" s="2">
        <f>('Kwh Reading'!S13-'Kwh Reading'!S12)*1000</f>
        <v>135.99999999999568</v>
      </c>
      <c r="K12" s="2">
        <f>('Kwh Reading'!I13-'Kwh Reading'!I12)*1000</f>
        <v>299.99999999998295</v>
      </c>
      <c r="L12" s="2">
        <f>('Kwh Reading'!B13-'Kwh Reading'!B12)*1000</f>
        <v>1090.0000000000318</v>
      </c>
      <c r="M12" s="2">
        <f>('Kwh Reading'!M13-'Kwh Reading'!M12)*1000</f>
        <v>709.99999999997954</v>
      </c>
      <c r="N12" s="2">
        <f>('Kwh Reading'!H13-'Kwh Reading'!H12)*1000</f>
        <v>930.00000000006366</v>
      </c>
      <c r="O12" s="2">
        <f>('Kwh Reading'!P13-'Kwh Reading'!P12)*1000</f>
        <v>810.00000000000227</v>
      </c>
      <c r="P12" s="2">
        <f>('Kwh Reading'!G13-'Kwh Reading'!G12)*1000</f>
        <v>819.99999999993634</v>
      </c>
      <c r="Q12" s="2">
        <f>('Kwh Reading'!Q13-'Kwh Reading'!Q12)*1000</f>
        <v>709.99999999997954</v>
      </c>
      <c r="R12" s="2">
        <f>('Kwh Reading'!N13-'Kwh Reading'!N12)*1000</f>
        <v>750</v>
      </c>
      <c r="S12" s="34">
        <f>'Kwh Reading'!E13-'Kwh Reading'!E12</f>
        <v>2876.2800000002608</v>
      </c>
      <c r="T12" s="34">
        <f>'Kwh Reading'!D13-'Kwh Reading'!D12</f>
        <v>1943.1899999994785</v>
      </c>
      <c r="U12" s="27">
        <f>('Kwh Reading'!O13-'Kwh Reading'!O12)*1000</f>
        <v>219.99999999999886</v>
      </c>
      <c r="V12" s="16">
        <f t="shared" si="0"/>
        <v>4674.5299999998424</v>
      </c>
    </row>
    <row r="13" spans="1:22" x14ac:dyDescent="0.25">
      <c r="A13" s="3">
        <f>'Kwh Reading'!A13</f>
        <v>44237</v>
      </c>
      <c r="B13" s="26">
        <f>TOTAL!E11</f>
        <v>21709.999999999585</v>
      </c>
      <c r="C13" s="4">
        <f>('Kwh Reading'!T14-'Kwh Reading'!T13)*1000</f>
        <v>529.99999999997272</v>
      </c>
      <c r="D13" s="2">
        <f>('Kwh Reading'!F14-'Kwh Reading'!F13)*1000000</f>
        <v>2499.9999999999468</v>
      </c>
      <c r="E13" s="2">
        <f>('Kwh Reading'!C14-'Kwh Reading'!C13)*1000</f>
        <v>240.00000000000909</v>
      </c>
      <c r="F13" s="2">
        <f>('Kwh Reading'!J14-'Kwh Reading'!J13)*1000</f>
        <v>269.99999999998181</v>
      </c>
      <c r="G13" s="2">
        <f>('Kwh Reading'!K14-'Kwh Reading'!K13)*1000</f>
        <v>360.00000000001364</v>
      </c>
      <c r="H13" s="2">
        <f>('Kwh Reading'!L14-'Kwh Reading'!L13)*1000</f>
        <v>259.99999999999091</v>
      </c>
      <c r="I13" s="2">
        <f>('Kwh Reading'!R14-'Kwh Reading'!R13)*1000</f>
        <v>109.99999999999943</v>
      </c>
      <c r="J13" s="2">
        <f>('Kwh Reading'!S14-'Kwh Reading'!S13)*1000</f>
        <v>129.99999999999545</v>
      </c>
      <c r="K13" s="2">
        <f>('Kwh Reading'!I14-'Kwh Reading'!I13)*1000</f>
        <v>289.99999999999204</v>
      </c>
      <c r="L13" s="2">
        <f>('Kwh Reading'!B14-'Kwh Reading'!B13)*1000</f>
        <v>1179.99999999995</v>
      </c>
      <c r="M13" s="2">
        <f>('Kwh Reading'!M14-'Kwh Reading'!M13)*1000</f>
        <v>720.00000000002728</v>
      </c>
      <c r="N13" s="2">
        <f>('Kwh Reading'!H14-'Kwh Reading'!H13)*1000</f>
        <v>909.99999999996817</v>
      </c>
      <c r="O13" s="2">
        <f>('Kwh Reading'!P14-'Kwh Reading'!P13)*1000</f>
        <v>849.99999999996589</v>
      </c>
      <c r="P13" s="2">
        <f>('Kwh Reading'!G14-'Kwh Reading'!G13)*1000</f>
        <v>799.99999999995453</v>
      </c>
      <c r="Q13" s="2">
        <f>('Kwh Reading'!Q14-'Kwh Reading'!Q13)*1000</f>
        <v>639.99999999998636</v>
      </c>
      <c r="R13" s="2">
        <f>('Kwh Reading'!N14-'Kwh Reading'!N13)*1000</f>
        <v>759.99999999999091</v>
      </c>
      <c r="S13" s="34">
        <f>'Kwh Reading'!E14-'Kwh Reading'!E13</f>
        <v>2741.410000000149</v>
      </c>
      <c r="T13" s="34">
        <f>'Kwh Reading'!D14-'Kwh Reading'!D13</f>
        <v>1999.9400000004098</v>
      </c>
      <c r="U13" s="27">
        <f>('Kwh Reading'!O14-'Kwh Reading'!O13)*1000</f>
        <v>200.00000000000284</v>
      </c>
      <c r="V13" s="16">
        <f t="shared" si="0"/>
        <v>6218.6499999992793</v>
      </c>
    </row>
    <row r="14" spans="1:22" x14ac:dyDescent="0.25">
      <c r="A14" s="3">
        <f>'Kwh Reading'!A14</f>
        <v>44238</v>
      </c>
      <c r="B14" s="26">
        <f>TOTAL!E12</f>
        <v>20710.000000001401</v>
      </c>
      <c r="C14" s="4">
        <f>('Kwh Reading'!T15-'Kwh Reading'!T14)*1000</f>
        <v>480.00000000001819</v>
      </c>
      <c r="D14" s="2">
        <f>('Kwh Reading'!F15-'Kwh Reading'!F14)*1000000</f>
        <v>2300.0000000004129</v>
      </c>
      <c r="E14" s="2">
        <f>('Kwh Reading'!C15-'Kwh Reading'!C14)*1000</f>
        <v>239.99999999998067</v>
      </c>
      <c r="F14" s="2">
        <f>('Kwh Reading'!J15-'Kwh Reading'!J14)*1000</f>
        <v>189.99999999999773</v>
      </c>
      <c r="G14" s="2">
        <f>('Kwh Reading'!K15-'Kwh Reading'!K14)*1000</f>
        <v>280.00000000002956</v>
      </c>
      <c r="H14" s="2">
        <f>('Kwh Reading'!L15-'Kwh Reading'!L14)*1000</f>
        <v>219.99999999999886</v>
      </c>
      <c r="I14" s="2">
        <f>('Kwh Reading'!R15-'Kwh Reading'!R14)*1000</f>
        <v>150.00000000000568</v>
      </c>
      <c r="J14" s="2">
        <f>('Kwh Reading'!S15-'Kwh Reading'!S14)*1000</f>
        <v>124.00000000000944</v>
      </c>
      <c r="K14" s="2">
        <f>('Kwh Reading'!I15-'Kwh Reading'!I14)*1000</f>
        <v>280.00000000000114</v>
      </c>
      <c r="L14" s="2">
        <f>('Kwh Reading'!B15-'Kwh Reading'!B14)*1000</f>
        <v>1059.9999999999454</v>
      </c>
      <c r="M14" s="2">
        <f>('Kwh Reading'!M15-'Kwh Reading'!M14)*1000</f>
        <v>609.9999999999568</v>
      </c>
      <c r="N14" s="2">
        <f>('Kwh Reading'!H15-'Kwh Reading'!H14)*1000</f>
        <v>860.00000000001364</v>
      </c>
      <c r="O14" s="2">
        <f>('Kwh Reading'!P15-'Kwh Reading'!P14)*1000</f>
        <v>740.00000000000909</v>
      </c>
      <c r="P14" s="2">
        <f>('Kwh Reading'!G15-'Kwh Reading'!G14)*1000</f>
        <v>790.00000000007731</v>
      </c>
      <c r="Q14" s="2">
        <f>('Kwh Reading'!Q15-'Kwh Reading'!Q14)*1000</f>
        <v>610.00000000001364</v>
      </c>
      <c r="R14" s="2">
        <f>('Kwh Reading'!N15-'Kwh Reading'!N14)*1000</f>
        <v>680.00000000000682</v>
      </c>
      <c r="S14" s="34">
        <f>'Kwh Reading'!E15-'Kwh Reading'!E14</f>
        <v>2602.8999999994412</v>
      </c>
      <c r="T14" s="34">
        <f>'Kwh Reading'!D15-'Kwh Reading'!D14</f>
        <v>1895.769999999553</v>
      </c>
      <c r="U14" s="27">
        <f>('Kwh Reading'!O15-'Kwh Reading'!O14)*1000</f>
        <v>189.99999999999773</v>
      </c>
      <c r="V14" s="16">
        <f t="shared" si="0"/>
        <v>6407.3300000019317</v>
      </c>
    </row>
    <row r="15" spans="1:22" x14ac:dyDescent="0.25">
      <c r="A15" s="3">
        <f>'Kwh Reading'!A15</f>
        <v>44239</v>
      </c>
      <c r="B15" s="26">
        <f>TOTAL!E13</f>
        <v>20599.999999999454</v>
      </c>
      <c r="C15" s="4">
        <f>('Kwh Reading'!T16-'Kwh Reading'!T15)*1000</f>
        <v>269.99999999998181</v>
      </c>
      <c r="D15" s="2">
        <f>('Kwh Reading'!F16-'Kwh Reading'!F15)*1000000</f>
        <v>2499.9999999999468</v>
      </c>
      <c r="E15" s="2">
        <f>('Kwh Reading'!C16-'Kwh Reading'!C15)*1000</f>
        <v>230.00000000001819</v>
      </c>
      <c r="F15" s="2">
        <f>('Kwh Reading'!J16-'Kwh Reading'!J15)*1000</f>
        <v>189.99999999999773</v>
      </c>
      <c r="G15" s="2">
        <f>('Kwh Reading'!K16-'Kwh Reading'!K15)*1000</f>
        <v>339.99999999997499</v>
      </c>
      <c r="H15" s="2">
        <f>('Kwh Reading'!L16-'Kwh Reading'!L15)*1000</f>
        <v>210.00000000000796</v>
      </c>
      <c r="I15" s="2">
        <f>('Kwh Reading'!R16-'Kwh Reading'!R15)*1000</f>
        <v>219.99999999999886</v>
      </c>
      <c r="J15" s="2">
        <f>('Kwh Reading'!S16-'Kwh Reading'!S15)*1000</f>
        <v>144.99999999999602</v>
      </c>
      <c r="K15" s="2">
        <f>('Kwh Reading'!I16-'Kwh Reading'!I15)*1000</f>
        <v>250</v>
      </c>
      <c r="L15" s="2">
        <f>('Kwh Reading'!B16-'Kwh Reading'!B15)*1000</f>
        <v>70.000000000050022</v>
      </c>
      <c r="M15" s="2">
        <f>('Kwh Reading'!M16-'Kwh Reading'!M15)*1000</f>
        <v>640.0000000000432</v>
      </c>
      <c r="N15" s="2">
        <f>('Kwh Reading'!H16-'Kwh Reading'!H15)*1000</f>
        <v>870.00000000000455</v>
      </c>
      <c r="O15" s="2">
        <f>('Kwh Reading'!P16-'Kwh Reading'!P15)*1000</f>
        <v>840.00000000003183</v>
      </c>
      <c r="P15" s="2">
        <f>('Kwh Reading'!G16-'Kwh Reading'!G15)*1000</f>
        <v>840.00000000003183</v>
      </c>
      <c r="Q15" s="2">
        <f>('Kwh Reading'!Q16-'Kwh Reading'!Q15)*1000</f>
        <v>579.99999999998408</v>
      </c>
      <c r="R15" s="2">
        <f>('Kwh Reading'!N16-'Kwh Reading'!N15)*1000</f>
        <v>720.00000000002728</v>
      </c>
      <c r="S15" s="34">
        <f>'Kwh Reading'!E16-'Kwh Reading'!E15</f>
        <v>2500.570000000298</v>
      </c>
      <c r="T15" s="34">
        <f>'Kwh Reading'!D16-'Kwh Reading'!D15</f>
        <v>2123.5</v>
      </c>
      <c r="U15" s="27">
        <f>('Kwh Reading'!O16-'Kwh Reading'!O15)*1000</f>
        <v>189.99999999999773</v>
      </c>
      <c r="V15" s="16">
        <f t="shared" si="0"/>
        <v>6870.9299999990617</v>
      </c>
    </row>
    <row r="16" spans="1:22" x14ac:dyDescent="0.25">
      <c r="A16" s="3">
        <f>'Kwh Reading'!A16</f>
        <v>44240</v>
      </c>
      <c r="B16" s="26">
        <f>TOTAL!E14</f>
        <v>20869.999999999665</v>
      </c>
      <c r="C16" s="4">
        <f>('Kwh Reading'!T17-'Kwh Reading'!T16)*1000</f>
        <v>580.00000000004093</v>
      </c>
      <c r="D16" s="2">
        <f>('Kwh Reading'!F17-'Kwh Reading'!F16)*1000000</f>
        <v>2599.9999999997135</v>
      </c>
      <c r="E16" s="2">
        <f>('Kwh Reading'!C17-'Kwh Reading'!C16)*1000</f>
        <v>250</v>
      </c>
      <c r="F16" s="2">
        <f>('Kwh Reading'!J17-'Kwh Reading'!J16)*1000</f>
        <v>220.00000000002728</v>
      </c>
      <c r="G16" s="2">
        <f>('Kwh Reading'!K17-'Kwh Reading'!K16)*1000</f>
        <v>370.00000000000455</v>
      </c>
      <c r="H16" s="2">
        <f>('Kwh Reading'!L17-'Kwh Reading'!L16)*1000</f>
        <v>229.99999999998977</v>
      </c>
      <c r="I16" s="2">
        <f>('Kwh Reading'!R17-'Kwh Reading'!R16)*1000</f>
        <v>209.99999999999375</v>
      </c>
      <c r="J16" s="2">
        <f>('Kwh Reading'!S17-'Kwh Reading'!S16)*1000</f>
        <v>138.00000000000523</v>
      </c>
      <c r="K16" s="2">
        <f>('Kwh Reading'!I17-'Kwh Reading'!I16)*1000</f>
        <v>290.00000000002046</v>
      </c>
      <c r="L16" s="2">
        <f>('Kwh Reading'!B17-'Kwh Reading'!B16)*1000</f>
        <v>2139.9999999999864</v>
      </c>
      <c r="M16" s="2">
        <f>('Kwh Reading'!M17-'Kwh Reading'!M16)*1000</f>
        <v>620.00000000000455</v>
      </c>
      <c r="N16" s="2">
        <f>('Kwh Reading'!H17-'Kwh Reading'!H16)*1000</f>
        <v>949.99999999993179</v>
      </c>
      <c r="O16" s="2">
        <f>('Kwh Reading'!P17-'Kwh Reading'!P16)*1000</f>
        <v>919.99999999995907</v>
      </c>
      <c r="P16" s="2">
        <f>('Kwh Reading'!G17-'Kwh Reading'!G16)*1000</f>
        <v>1019.9999999999818</v>
      </c>
      <c r="Q16" s="2">
        <f>('Kwh Reading'!Q17-'Kwh Reading'!Q16)*1000</f>
        <v>750</v>
      </c>
      <c r="R16" s="2">
        <f>('Kwh Reading'!N17-'Kwh Reading'!N16)*1000</f>
        <v>829.99999999998408</v>
      </c>
      <c r="S16" s="34">
        <f>'Kwh Reading'!E17-'Kwh Reading'!E16</f>
        <v>3236.3799999998882</v>
      </c>
      <c r="T16" s="34">
        <f>'Kwh Reading'!D17-'Kwh Reading'!D16</f>
        <v>2413.730000000447</v>
      </c>
      <c r="U16" s="27">
        <f>('Kwh Reading'!O17-'Kwh Reading'!O16)*1000</f>
        <v>240.00000000000909</v>
      </c>
      <c r="V16" s="16">
        <f t="shared" si="0"/>
        <v>2861.8899999996793</v>
      </c>
    </row>
    <row r="17" spans="1:22" x14ac:dyDescent="0.25">
      <c r="A17" s="3">
        <f>'Kwh Reading'!A17</f>
        <v>44241</v>
      </c>
      <c r="B17" s="26">
        <f>TOTAL!E15</f>
        <v>24040.000000000418</v>
      </c>
      <c r="C17" s="4">
        <f>('Kwh Reading'!T18-'Kwh Reading'!T17)*1000</f>
        <v>599.99999999996589</v>
      </c>
      <c r="D17" s="2">
        <f>('Kwh Reading'!F18-'Kwh Reading'!F17)*1000000</f>
        <v>2499.9999999999468</v>
      </c>
      <c r="E17" s="2">
        <f>('Kwh Reading'!C18-'Kwh Reading'!C17)*1000</f>
        <v>239.99999999998067</v>
      </c>
      <c r="F17" s="2">
        <f>('Kwh Reading'!J18-'Kwh Reading'!J17)*1000</f>
        <v>250</v>
      </c>
      <c r="G17" s="2">
        <f>('Kwh Reading'!K18-'Kwh Reading'!K17)*1000</f>
        <v>370.00000000000455</v>
      </c>
      <c r="H17" s="2">
        <f>('Kwh Reading'!L18-'Kwh Reading'!L17)*1000</f>
        <v>230.00000000001819</v>
      </c>
      <c r="I17" s="2">
        <f>('Kwh Reading'!R18-'Kwh Reading'!R17)*1000</f>
        <v>130.00000000000966</v>
      </c>
      <c r="J17" s="2">
        <f>('Kwh Reading'!S18-'Kwh Reading'!S17)*1000</f>
        <v>138.99999999999579</v>
      </c>
      <c r="K17" s="2">
        <f>('Kwh Reading'!I18-'Kwh Reading'!I17)*1000</f>
        <v>79.999999999984084</v>
      </c>
      <c r="L17" s="2">
        <f>('Kwh Reading'!B18-'Kwh Reading'!B17)*1000</f>
        <v>1090.0000000000318</v>
      </c>
      <c r="M17" s="2">
        <f>('Kwh Reading'!M18-'Kwh Reading'!M17)*1000</f>
        <v>589.99999999997499</v>
      </c>
      <c r="N17" s="2">
        <f>('Kwh Reading'!H18-'Kwh Reading'!H17)*1000</f>
        <v>970.00000000002728</v>
      </c>
      <c r="O17" s="2">
        <f>('Kwh Reading'!P18-'Kwh Reading'!P17)*1000</f>
        <v>900.00000000003411</v>
      </c>
      <c r="P17" s="2">
        <f>('Kwh Reading'!G18-'Kwh Reading'!G17)*1000</f>
        <v>899.99999999997726</v>
      </c>
      <c r="Q17" s="2">
        <f>('Kwh Reading'!Q18-'Kwh Reading'!Q17)*1000</f>
        <v>730.00000000001819</v>
      </c>
      <c r="R17" s="2">
        <f>('Kwh Reading'!N18-'Kwh Reading'!N17)*1000</f>
        <v>860.00000000001364</v>
      </c>
      <c r="S17" s="34">
        <f>'Kwh Reading'!E18-'Kwh Reading'!E17</f>
        <v>3048.75</v>
      </c>
      <c r="T17" s="34">
        <f>'Kwh Reading'!D18-'Kwh Reading'!D17</f>
        <v>2176.0999999996275</v>
      </c>
      <c r="U17" s="27">
        <f>('Kwh Reading'!O18-'Kwh Reading'!O17)*1000</f>
        <v>239.99999999999488</v>
      </c>
      <c r="V17" s="16">
        <f t="shared" si="0"/>
        <v>7996.1500000008109</v>
      </c>
    </row>
    <row r="18" spans="1:22" x14ac:dyDescent="0.25">
      <c r="A18" s="3">
        <f>'Kwh Reading'!A18</f>
        <v>44242</v>
      </c>
      <c r="B18" s="26">
        <f>TOTAL!E16</f>
        <v>22340.000000000146</v>
      </c>
      <c r="C18" s="4">
        <f>('Kwh Reading'!T19-'Kwh Reading'!T18)*1000</f>
        <v>540.00000000002046</v>
      </c>
      <c r="D18" s="2">
        <f>('Kwh Reading'!F19-'Kwh Reading'!F18)*1000000</f>
        <v>2500.0000000003906</v>
      </c>
      <c r="E18" s="2">
        <f>('Kwh Reading'!C19-'Kwh Reading'!C18)*1000</f>
        <v>219.99999999999886</v>
      </c>
      <c r="F18" s="2">
        <f>('Kwh Reading'!J19-'Kwh Reading'!J18)*1000</f>
        <v>169.99999999995907</v>
      </c>
      <c r="G18" s="2">
        <f>('Kwh Reading'!K19-'Kwh Reading'!K18)*1000</f>
        <v>329.99999999998408</v>
      </c>
      <c r="H18" s="2">
        <f>('Kwh Reading'!L19-'Kwh Reading'!L18)*1000</f>
        <v>189.99999999999773</v>
      </c>
      <c r="I18" s="2">
        <f>('Kwh Reading'!R19-'Kwh Reading'!R18)*1000</f>
        <v>129.99999999999545</v>
      </c>
      <c r="J18" s="2">
        <f>('Kwh Reading'!S19-'Kwh Reading'!S18)*1000</f>
        <v>144.99999999999602</v>
      </c>
      <c r="K18" s="2">
        <f>('Kwh Reading'!I19-'Kwh Reading'!I18)*1000</f>
        <v>500</v>
      </c>
      <c r="L18" s="2">
        <f>('Kwh Reading'!B19-'Kwh Reading'!B18)*1000</f>
        <v>1090.0000000000318</v>
      </c>
      <c r="M18" s="2">
        <f>('Kwh Reading'!M19-'Kwh Reading'!M18)*1000</f>
        <v>569.99999999999318</v>
      </c>
      <c r="N18" s="2">
        <f>('Kwh Reading'!H19-'Kwh Reading'!H18)*1000</f>
        <v>930.00000000006366</v>
      </c>
      <c r="O18" s="2">
        <f>('Kwh Reading'!P19-'Kwh Reading'!P18)*1000</f>
        <v>849.99999999996589</v>
      </c>
      <c r="P18" s="2">
        <f>('Kwh Reading'!G19-'Kwh Reading'!G18)*1000</f>
        <v>919.99999999995907</v>
      </c>
      <c r="Q18" s="2">
        <f>('Kwh Reading'!Q19-'Kwh Reading'!Q18)*1000</f>
        <v>660.00000000002501</v>
      </c>
      <c r="R18" s="2">
        <f>('Kwh Reading'!N19-'Kwh Reading'!N18)*1000</f>
        <v>810.00000000000227</v>
      </c>
      <c r="S18" s="34">
        <f>'Kwh Reading'!E19-'Kwh Reading'!E18</f>
        <v>2815.730000000447</v>
      </c>
      <c r="T18" s="34">
        <f>'Kwh Reading'!D19-'Kwh Reading'!D18</f>
        <v>2035.4400000004098</v>
      </c>
      <c r="U18" s="27">
        <f>('Kwh Reading'!O19-'Kwh Reading'!O18)*1000</f>
        <v>260.00000000000512</v>
      </c>
      <c r="V18" s="16">
        <f t="shared" si="0"/>
        <v>6673.8299999988994</v>
      </c>
    </row>
    <row r="19" spans="1:22" x14ac:dyDescent="0.25">
      <c r="A19" s="3">
        <f>'Kwh Reading'!A19</f>
        <v>44243</v>
      </c>
      <c r="B19" s="26">
        <f>TOTAL!E17</f>
        <v>22669.999999999163</v>
      </c>
      <c r="C19" s="4">
        <f>('Kwh Reading'!T20-'Kwh Reading'!T19)*1000</f>
        <v>569.99999999999318</v>
      </c>
      <c r="D19" s="2">
        <f>('Kwh Reading'!F20-'Kwh Reading'!F19)*1000000</f>
        <v>2799.9999999996917</v>
      </c>
      <c r="E19" s="2">
        <f>('Kwh Reading'!C20-'Kwh Reading'!C19)*1000</f>
        <v>280.00000000000114</v>
      </c>
      <c r="F19" s="2">
        <f>('Kwh Reading'!J20-'Kwh Reading'!J19)*1000</f>
        <v>250</v>
      </c>
      <c r="G19" s="2">
        <f>('Kwh Reading'!K20-'Kwh Reading'!K19)*1000</f>
        <v>370.00000000000455</v>
      </c>
      <c r="H19" s="2">
        <f>('Kwh Reading'!L20-'Kwh Reading'!L19)*1000</f>
        <v>239.99999999998067</v>
      </c>
      <c r="I19" s="2">
        <f>('Kwh Reading'!R20-'Kwh Reading'!R19)*1000</f>
        <v>180.00000000000682</v>
      </c>
      <c r="J19" s="2">
        <f>('Kwh Reading'!S20-'Kwh Reading'!S19)*1000</f>
        <v>138.00000000000523</v>
      </c>
      <c r="K19" s="2">
        <f>('Kwh Reading'!I20-'Kwh Reading'!I19)*1000</f>
        <v>280.00000000000114</v>
      </c>
      <c r="L19" s="2">
        <f>('Kwh Reading'!B20-'Kwh Reading'!B19)*1000</f>
        <v>1269.9999999999818</v>
      </c>
      <c r="M19" s="2">
        <f>('Kwh Reading'!M20-'Kwh Reading'!M19)*1000</f>
        <v>689.99999999999773</v>
      </c>
      <c r="N19" s="2">
        <f>('Kwh Reading'!H20-'Kwh Reading'!H19)*1000</f>
        <v>1019.9999999999818</v>
      </c>
      <c r="O19" s="2">
        <f>('Kwh Reading'!P20-'Kwh Reading'!P19)*1000</f>
        <v>939.99999999999773</v>
      </c>
      <c r="P19" s="2">
        <f>('Kwh Reading'!G20-'Kwh Reading'!G19)*1000</f>
        <v>1009.9999999999909</v>
      </c>
      <c r="Q19" s="2">
        <f>('Kwh Reading'!Q20-'Kwh Reading'!Q19)*1000</f>
        <v>810.00000000000227</v>
      </c>
      <c r="R19" s="2">
        <f>('Kwh Reading'!N20-'Kwh Reading'!N19)*1000</f>
        <v>949.99999999998863</v>
      </c>
      <c r="S19" s="34">
        <f>'Kwh Reading'!E20-'Kwh Reading'!E19</f>
        <v>3241.1299999998882</v>
      </c>
      <c r="T19" s="34">
        <f>'Kwh Reading'!D20-'Kwh Reading'!D19</f>
        <v>2263.839999999851</v>
      </c>
      <c r="U19" s="27">
        <f>('Kwh Reading'!O20-'Kwh Reading'!O19)*1000</f>
        <v>239.99999999999488</v>
      </c>
      <c r="V19" s="16">
        <f t="shared" si="0"/>
        <v>5127.0299999998024</v>
      </c>
    </row>
    <row r="20" spans="1:22" x14ac:dyDescent="0.25">
      <c r="A20" s="3">
        <f>'Kwh Reading'!A20</f>
        <v>44244</v>
      </c>
      <c r="B20" s="26">
        <f>TOTAL!E18</f>
        <v>22640.000000000327</v>
      </c>
      <c r="C20" s="4">
        <f>('Kwh Reading'!T21-'Kwh Reading'!T20)*1000</f>
        <v>579.99999999998408</v>
      </c>
      <c r="D20" s="2">
        <f>('Kwh Reading'!F21-'Kwh Reading'!F20)*1000000</f>
        <v>2499.9999999999468</v>
      </c>
      <c r="E20" s="2">
        <f>('Kwh Reading'!C21-'Kwh Reading'!C20)*1000</f>
        <v>230.00000000001819</v>
      </c>
      <c r="F20" s="2">
        <f>('Kwh Reading'!J21-'Kwh Reading'!J20)*1000</f>
        <v>330.00000000004093</v>
      </c>
      <c r="G20" s="2">
        <f>('Kwh Reading'!K21-'Kwh Reading'!K20)*1000</f>
        <v>350.00000000002274</v>
      </c>
      <c r="H20" s="2">
        <f>('Kwh Reading'!L21-'Kwh Reading'!L20)*1000</f>
        <v>230.00000000001819</v>
      </c>
      <c r="I20" s="2">
        <f>('Kwh Reading'!R21-'Kwh Reading'!R20)*1000</f>
        <v>170.00000000000171</v>
      </c>
      <c r="J20" s="2">
        <f>('Kwh Reading'!S21-'Kwh Reading'!S20)*1000</f>
        <v>144.99999999999602</v>
      </c>
      <c r="K20" s="2">
        <f>('Kwh Reading'!I21-'Kwh Reading'!I20)*1000</f>
        <v>280.00000000000114</v>
      </c>
      <c r="L20" s="2">
        <f>('Kwh Reading'!B21-'Kwh Reading'!B20)*1000</f>
        <v>1189.9999999999409</v>
      </c>
      <c r="M20" s="2">
        <f>('Kwh Reading'!M21-'Kwh Reading'!M20)*1000</f>
        <v>800.00000000001137</v>
      </c>
      <c r="N20" s="2">
        <f>('Kwh Reading'!H21-'Kwh Reading'!H20)*1000</f>
        <v>980.00000000001819</v>
      </c>
      <c r="O20" s="2">
        <f>('Kwh Reading'!P21-'Kwh Reading'!P20)*1000</f>
        <v>910.00000000002501</v>
      </c>
      <c r="P20" s="2">
        <f>('Kwh Reading'!G21-'Kwh Reading'!G20)*1000</f>
        <v>900.00000000009095</v>
      </c>
      <c r="Q20" s="2">
        <f>('Kwh Reading'!Q21-'Kwh Reading'!Q20)*1000</f>
        <v>719.99999999997044</v>
      </c>
      <c r="R20" s="2">
        <f>('Kwh Reading'!N21-'Kwh Reading'!N20)*1000</f>
        <v>889.99999999998636</v>
      </c>
      <c r="S20" s="34">
        <f>'Kwh Reading'!E21-'Kwh Reading'!E20</f>
        <v>3132.6699999999255</v>
      </c>
      <c r="T20" s="34">
        <f>'Kwh Reading'!D21-'Kwh Reading'!D20</f>
        <v>2177.8100000005215</v>
      </c>
      <c r="U20" s="27">
        <f>('Kwh Reading'!O21-'Kwh Reading'!O20)*1000</f>
        <v>269.99999999999602</v>
      </c>
      <c r="V20" s="16">
        <f t="shared" si="0"/>
        <v>5854.5199999998113</v>
      </c>
    </row>
    <row r="21" spans="1:22" ht="16.5" customHeight="1" x14ac:dyDescent="0.25">
      <c r="A21" s="3">
        <f>'Kwh Reading'!A21</f>
        <v>44245</v>
      </c>
      <c r="B21" s="26">
        <f>TOTAL!E19</f>
        <v>23229.999999999789</v>
      </c>
      <c r="C21" s="4">
        <f>('Kwh Reading'!T22-'Kwh Reading'!T21)*1000</f>
        <v>500</v>
      </c>
      <c r="D21" s="2">
        <f>('Kwh Reading'!F22-'Kwh Reading'!F21)*1000000</f>
        <v>2499.9999999999468</v>
      </c>
      <c r="E21" s="2">
        <f>('Kwh Reading'!C22-'Kwh Reading'!C21)*1000</f>
        <v>239.99999999998067</v>
      </c>
      <c r="F21" s="2">
        <f>('Kwh Reading'!J22-'Kwh Reading'!J21)*1000</f>
        <v>250</v>
      </c>
      <c r="G21" s="2">
        <f>('Kwh Reading'!K22-'Kwh Reading'!K21)*1000</f>
        <v>329.99999999998408</v>
      </c>
      <c r="H21" s="2">
        <f>('Kwh Reading'!L22-'Kwh Reading'!L21)*1000</f>
        <v>229.99999999998977</v>
      </c>
      <c r="I21" s="2">
        <f>('Kwh Reading'!R22-'Kwh Reading'!R21)*1000</f>
        <v>169.99999999998749</v>
      </c>
      <c r="J21" s="2">
        <f>('Kwh Reading'!S22-'Kwh Reading'!S21)*1000</f>
        <v>132.000000000005</v>
      </c>
      <c r="K21" s="2">
        <f>('Kwh Reading'!I22-'Kwh Reading'!I21)*1000</f>
        <v>270.00000000001023</v>
      </c>
      <c r="L21" s="2">
        <f>('Kwh Reading'!B22-'Kwh Reading'!B21)*1000</f>
        <v>1129.9999999999955</v>
      </c>
      <c r="M21" s="2">
        <f>('Kwh Reading'!M22-'Kwh Reading'!M21)*1000</f>
        <v>759.99999999999091</v>
      </c>
      <c r="N21" s="2">
        <f>('Kwh Reading'!H22-'Kwh Reading'!H21)*1000</f>
        <v>989.99999999989541</v>
      </c>
      <c r="O21" s="2">
        <f>('Kwh Reading'!P22-'Kwh Reading'!P21)*1000</f>
        <v>870.00000000000455</v>
      </c>
      <c r="P21" s="2">
        <f>('Kwh Reading'!G22-'Kwh Reading'!G21)*1000</f>
        <v>849.99999999990905</v>
      </c>
      <c r="Q21" s="2">
        <f>('Kwh Reading'!Q22-'Kwh Reading'!Q21)*1000</f>
        <v>639.99999999998636</v>
      </c>
      <c r="R21" s="2">
        <f>('Kwh Reading'!N22-'Kwh Reading'!N21)*1000</f>
        <v>810.00000000000227</v>
      </c>
      <c r="S21" s="34">
        <f>'Kwh Reading'!E22-'Kwh Reading'!E21</f>
        <v>3070.589999999851</v>
      </c>
      <c r="T21" s="34">
        <f>'Kwh Reading'!D22-'Kwh Reading'!D21</f>
        <v>2224.6299999998882</v>
      </c>
      <c r="U21" s="27">
        <f>('Kwh Reading'!O22-'Kwh Reading'!O21)*1000</f>
        <v>270.00000000001023</v>
      </c>
      <c r="V21" s="16">
        <f t="shared" si="0"/>
        <v>6992.7800000003535</v>
      </c>
    </row>
    <row r="22" spans="1:22" x14ac:dyDescent="0.25">
      <c r="A22" s="3">
        <f>'Kwh Reading'!A22</f>
        <v>44246</v>
      </c>
      <c r="B22" s="26">
        <f>TOTAL!E20</f>
        <v>21789.999999999964</v>
      </c>
      <c r="C22" s="4">
        <f>('Kwh Reading'!T23-'Kwh Reading'!T22)*1000</f>
        <v>290.00000000002046</v>
      </c>
      <c r="D22" s="2">
        <f>('Kwh Reading'!F23-'Kwh Reading'!F22)*1000000</f>
        <v>2700.0000000003688</v>
      </c>
      <c r="E22" s="2">
        <f>('Kwh Reading'!C23-'Kwh Reading'!C22)*1000</f>
        <v>240.00000000000909</v>
      </c>
      <c r="F22" s="2">
        <f>('Kwh Reading'!J23-'Kwh Reading'!J22)*1000</f>
        <v>409.99999999996817</v>
      </c>
      <c r="G22" s="2">
        <f>('Kwh Reading'!K23-'Kwh Reading'!K22)*1000</f>
        <v>370.00000000000455</v>
      </c>
      <c r="H22" s="2">
        <f>('Kwh Reading'!L23-'Kwh Reading'!L22)*1000</f>
        <v>219.99999999999886</v>
      </c>
      <c r="I22" s="2">
        <f>('Kwh Reading'!R23-'Kwh Reading'!R22)*1000</f>
        <v>200.00000000000284</v>
      </c>
      <c r="J22" s="2">
        <f>('Kwh Reading'!S23-'Kwh Reading'!S22)*1000</f>
        <v>152.00000000000102</v>
      </c>
      <c r="K22" s="2">
        <f>('Kwh Reading'!I23-'Kwh Reading'!I22)*1000</f>
        <v>169.99999999998749</v>
      </c>
      <c r="L22" s="2">
        <f>('Kwh Reading'!B23-'Kwh Reading'!B22)*1000</f>
        <v>1149.9999999999773</v>
      </c>
      <c r="M22" s="2">
        <f>('Kwh Reading'!M23-'Kwh Reading'!M22)*1000</f>
        <v>790.00000000002046</v>
      </c>
      <c r="N22" s="2">
        <f>('Kwh Reading'!H23-'Kwh Reading'!H22)*1000</f>
        <v>1030.0000000000864</v>
      </c>
      <c r="O22" s="2">
        <f>('Kwh Reading'!P23-'Kwh Reading'!P22)*1000</f>
        <v>839.99999999997499</v>
      </c>
      <c r="P22" s="2">
        <f>('Kwh Reading'!G23-'Kwh Reading'!G22)*1000</f>
        <v>889.99999999998636</v>
      </c>
      <c r="Q22" s="2">
        <f>('Kwh Reading'!Q23-'Kwh Reading'!Q22)*1000</f>
        <v>740.00000000000909</v>
      </c>
      <c r="R22" s="2">
        <f>('Kwh Reading'!N23-'Kwh Reading'!N22)*1000</f>
        <v>800.00000000001137</v>
      </c>
      <c r="S22" s="34">
        <f>'Kwh Reading'!E23-'Kwh Reading'!E22</f>
        <v>2681.4900000002235</v>
      </c>
      <c r="T22" s="34">
        <f>'Kwh Reading'!D23-'Kwh Reading'!D22</f>
        <v>2270.2799999993294</v>
      </c>
      <c r="U22" s="27">
        <f>('Kwh Reading'!O23-'Kwh Reading'!O22)*1000</f>
        <v>259.99999999999091</v>
      </c>
      <c r="V22" s="16">
        <f t="shared" si="0"/>
        <v>5586.2299999999923</v>
      </c>
    </row>
    <row r="23" spans="1:22" x14ac:dyDescent="0.25">
      <c r="A23" s="3">
        <f>'Kwh Reading'!A23</f>
        <v>44247</v>
      </c>
      <c r="B23" s="26">
        <f>TOTAL!E21</f>
        <v>22769.999999999982</v>
      </c>
      <c r="C23" s="4">
        <f>('Kwh Reading'!T24-'Kwh Reading'!T23)*1000</f>
        <v>509.99999999999091</v>
      </c>
      <c r="D23" s="2">
        <f>('Kwh Reading'!F24-'Kwh Reading'!F23)*1000000</f>
        <v>2799.9999999996917</v>
      </c>
      <c r="E23" s="2">
        <f>('Kwh Reading'!C24-'Kwh Reading'!C23)*1000</f>
        <v>259.99999999999091</v>
      </c>
      <c r="F23" s="2">
        <f>('Kwh Reading'!J24-'Kwh Reading'!J23)*1000</f>
        <v>449.99999999998863</v>
      </c>
      <c r="G23" s="2">
        <f>('Kwh Reading'!K24-'Kwh Reading'!K23)*1000</f>
        <v>439.99999999999773</v>
      </c>
      <c r="H23" s="2">
        <f>('Kwh Reading'!L24-'Kwh Reading'!L23)*1000</f>
        <v>260.00000000001933</v>
      </c>
      <c r="I23" s="2">
        <f>('Kwh Reading'!R24-'Kwh Reading'!R23)*1000</f>
        <v>200.00000000000284</v>
      </c>
      <c r="J23" s="2">
        <f>('Kwh Reading'!S24-'Kwh Reading'!S23)*1000</f>
        <v>141.99999999999591</v>
      </c>
      <c r="K23" s="2">
        <f>('Kwh Reading'!I24-'Kwh Reading'!I23)*1000</f>
        <v>400.00000000000568</v>
      </c>
      <c r="L23" s="2">
        <f>('Kwh Reading'!B24-'Kwh Reading'!B23)*1000</f>
        <v>1240.0000000000091</v>
      </c>
      <c r="M23" s="2">
        <f>('Kwh Reading'!M24-'Kwh Reading'!M23)*1000</f>
        <v>800.00000000001137</v>
      </c>
      <c r="N23" s="2">
        <f>('Kwh Reading'!H24-'Kwh Reading'!H23)*1000</f>
        <v>1009.9999999999909</v>
      </c>
      <c r="O23" s="2">
        <f>('Kwh Reading'!P24-'Kwh Reading'!P23)*1000</f>
        <v>800.00000000001137</v>
      </c>
      <c r="P23" s="2">
        <f>('Kwh Reading'!G24-'Kwh Reading'!G23)*1000</f>
        <v>960.00000000003638</v>
      </c>
      <c r="Q23" s="2">
        <f>('Kwh Reading'!Q24-'Kwh Reading'!Q23)*1000</f>
        <v>699.99999999998863</v>
      </c>
      <c r="R23" s="2">
        <f>('Kwh Reading'!N24-'Kwh Reading'!N23)*1000</f>
        <v>909.99999999996817</v>
      </c>
      <c r="S23" s="34">
        <f>'Kwh Reading'!E24-'Kwh Reading'!E23</f>
        <v>3012.5499999998137</v>
      </c>
      <c r="T23" s="34">
        <f>'Kwh Reading'!D24-'Kwh Reading'!D23</f>
        <v>2202.6699999999255</v>
      </c>
      <c r="U23" s="27">
        <f>('Kwh Reading'!O24-'Kwh Reading'!O23)*1000</f>
        <v>290.00000000000625</v>
      </c>
      <c r="V23" s="16">
        <f t="shared" si="0"/>
        <v>5382.7800000005373</v>
      </c>
    </row>
    <row r="24" spans="1:22" x14ac:dyDescent="0.25">
      <c r="A24" s="3">
        <f>'Kwh Reading'!A24</f>
        <v>44248</v>
      </c>
      <c r="B24" s="26">
        <f>TOTAL!E22</f>
        <v>21040.000000000648</v>
      </c>
      <c r="C24" s="4">
        <f>('Kwh Reading'!T25-'Kwh Reading'!T24)*1000</f>
        <v>509.99999999999091</v>
      </c>
      <c r="D24" s="2">
        <f>('Kwh Reading'!F25-'Kwh Reading'!F24)*1000000</f>
        <v>2400.0000000001796</v>
      </c>
      <c r="E24" s="2">
        <f>('Kwh Reading'!C25-'Kwh Reading'!C24)*1000</f>
        <v>200.00000000001705</v>
      </c>
      <c r="F24" s="2">
        <f>('Kwh Reading'!J25-'Kwh Reading'!J24)*1000</f>
        <v>270.00000000003865</v>
      </c>
      <c r="G24" s="2">
        <f>('Kwh Reading'!K25-'Kwh Reading'!K24)*1000</f>
        <v>350.00000000002274</v>
      </c>
      <c r="H24" s="2">
        <f>('Kwh Reading'!L25-'Kwh Reading'!L24)*1000</f>
        <v>229.99999999998977</v>
      </c>
      <c r="I24" s="2">
        <f>('Kwh Reading'!R25-'Kwh Reading'!R24)*1000</f>
        <v>189.99999999999773</v>
      </c>
      <c r="J24" s="2">
        <f>('Kwh Reading'!S25-'Kwh Reading'!S24)*1000</f>
        <v>146.0000000000008</v>
      </c>
      <c r="K24" s="2">
        <f>('Kwh Reading'!I25-'Kwh Reading'!I24)*1000</f>
        <v>259.99999999999091</v>
      </c>
      <c r="L24" s="2">
        <f>('Kwh Reading'!B25-'Kwh Reading'!B24)*1000</f>
        <v>1160.0000000000819</v>
      </c>
      <c r="M24" s="2">
        <f>('Kwh Reading'!M25-'Kwh Reading'!M24)*1000</f>
        <v>750</v>
      </c>
      <c r="N24" s="2">
        <f>('Kwh Reading'!H25-'Kwh Reading'!H24)*1000</f>
        <v>730.00000000001819</v>
      </c>
      <c r="O24" s="2">
        <f>('Kwh Reading'!P25-'Kwh Reading'!P24)*1000</f>
        <v>790.00000000002046</v>
      </c>
      <c r="P24" s="2">
        <f>('Kwh Reading'!G25-'Kwh Reading'!G24)*1000</f>
        <v>960.00000000003638</v>
      </c>
      <c r="Q24" s="2">
        <f>('Kwh Reading'!Q25-'Kwh Reading'!Q24)*1000</f>
        <v>730.00000000001819</v>
      </c>
      <c r="R24" s="2">
        <f>('Kwh Reading'!N25-'Kwh Reading'!N24)*1000</f>
        <v>790.00000000002046</v>
      </c>
      <c r="S24" s="2">
        <f>'Kwh Reading'!E25-'Kwh Reading'!E24</f>
        <v>2745.6699999999255</v>
      </c>
      <c r="T24" s="2">
        <f>'Kwh Reading'!D25-'Kwh Reading'!D24</f>
        <v>1915.9600000008941</v>
      </c>
      <c r="U24" s="27">
        <f>('Kwh Reading'!O25-'Kwh Reading'!O24)*1000</f>
        <v>230.00000000000398</v>
      </c>
      <c r="V24" s="16">
        <f t="shared" si="0"/>
        <v>5682.3699999994005</v>
      </c>
    </row>
    <row r="25" spans="1:22" x14ac:dyDescent="0.25">
      <c r="A25" s="3">
        <f>'Kwh Reading'!A25</f>
        <v>44249</v>
      </c>
      <c r="B25" s="26">
        <f>TOTAL!E23</f>
        <v>22699.999999999818</v>
      </c>
      <c r="C25" s="4">
        <f>('Kwh Reading'!T26-'Kwh Reading'!T25)*1000</f>
        <v>550.00000000001137</v>
      </c>
      <c r="D25" s="2">
        <f>('Kwh Reading'!F26-'Kwh Reading'!F25)*1000000</f>
        <v>2499.9999999999468</v>
      </c>
      <c r="E25" s="2">
        <f>('Kwh Reading'!C26-'Kwh Reading'!C25)*1000</f>
        <v>239.99999999998067</v>
      </c>
      <c r="F25" s="2">
        <f>('Kwh Reading'!J26-'Kwh Reading'!J25)*1000</f>
        <v>269.99999999998181</v>
      </c>
      <c r="G25" s="2">
        <f>('Kwh Reading'!K26-'Kwh Reading'!K25)*1000</f>
        <v>419.99999999995907</v>
      </c>
      <c r="H25" s="2">
        <f>('Kwh Reading'!L26-'Kwh Reading'!L25)*1000</f>
        <v>240.00000000000909</v>
      </c>
      <c r="I25" s="2">
        <f>('Kwh Reading'!R26-'Kwh Reading'!R25)*1000</f>
        <v>210.00000000000796</v>
      </c>
      <c r="J25" s="2">
        <f>('Kwh Reading'!S26-'Kwh Reading'!S25)*1000</f>
        <v>134.00000000000034</v>
      </c>
      <c r="K25" s="2">
        <f>('Kwh Reading'!I26-'Kwh Reading'!I25)*1000</f>
        <v>300.00000000001137</v>
      </c>
      <c r="L25" s="2">
        <f>('Kwh Reading'!B26-'Kwh Reading'!B25)*1000</f>
        <v>1179.99999999995</v>
      </c>
      <c r="M25" s="2">
        <f>('Kwh Reading'!M26-'Kwh Reading'!M25)*1000</f>
        <v>769.99999999998181</v>
      </c>
      <c r="N25" s="2">
        <f>('Kwh Reading'!H26-'Kwh Reading'!H25)*1000</f>
        <v>899.99999999997726</v>
      </c>
      <c r="O25" s="2">
        <f>('Kwh Reading'!P26-'Kwh Reading'!P25)*1000</f>
        <v>819.99999999999318</v>
      </c>
      <c r="P25" s="2">
        <f>('Kwh Reading'!G26-'Kwh Reading'!G25)*1000</f>
        <v>949.99999999993179</v>
      </c>
      <c r="Q25" s="2">
        <f>('Kwh Reading'!Q26-'Kwh Reading'!Q25)*1000</f>
        <v>759.99999999999091</v>
      </c>
      <c r="R25" s="2">
        <f>('Kwh Reading'!N26-'Kwh Reading'!N25)*1000</f>
        <v>870.00000000000455</v>
      </c>
      <c r="S25" s="2">
        <f>'Kwh Reading'!E26-'Kwh Reading'!E25</f>
        <v>2803.4000000003725</v>
      </c>
      <c r="T25" s="2">
        <f>'Kwh Reading'!D26-'Kwh Reading'!D25</f>
        <v>2257.8699999991804</v>
      </c>
      <c r="U25" s="27">
        <f>('Kwh Reading'!O26-'Kwh Reading'!O25)*1000</f>
        <v>229.99999999998977</v>
      </c>
      <c r="V25" s="16">
        <f t="shared" si="0"/>
        <v>6294.730000000538</v>
      </c>
    </row>
    <row r="26" spans="1:22" x14ac:dyDescent="0.25">
      <c r="A26" s="3">
        <f>'Kwh Reading'!A26</f>
        <v>44250</v>
      </c>
      <c r="B26" s="26">
        <f>TOTAL!E24</f>
        <v>23669.999999999622</v>
      </c>
      <c r="C26" s="4">
        <f>('Kwh Reading'!T27-'Kwh Reading'!T26)*1000</f>
        <v>529.99999999997272</v>
      </c>
      <c r="D26" s="2">
        <f>('Kwh Reading'!F27-'Kwh Reading'!F26)*1000000</f>
        <v>2699.9999999999245</v>
      </c>
      <c r="E26" s="2">
        <f>('Kwh Reading'!C27-'Kwh Reading'!C26)*1000</f>
        <v>260.00000000001933</v>
      </c>
      <c r="F26" s="2">
        <f>('Kwh Reading'!J27-'Kwh Reading'!J26)*1000</f>
        <v>389.99999999998636</v>
      </c>
      <c r="G26" s="2">
        <f>('Kwh Reading'!K27-'Kwh Reading'!K26)*1000</f>
        <v>460.00000000003638</v>
      </c>
      <c r="H26" s="2">
        <f>('Kwh Reading'!L27-'Kwh Reading'!L26)*1000</f>
        <v>229.99999999998977</v>
      </c>
      <c r="I26" s="2">
        <f>('Kwh Reading'!R27-'Kwh Reading'!R26)*1000</f>
        <v>189.99999999999773</v>
      </c>
      <c r="J26" s="2">
        <f>('Kwh Reading'!S27-'Kwh Reading'!S26)*1000</f>
        <v>158.99999999999181</v>
      </c>
      <c r="K26" s="2">
        <f>('Kwh Reading'!I27-'Kwh Reading'!I26)*1000</f>
        <v>349.99999999999432</v>
      </c>
      <c r="L26" s="2">
        <f>('Kwh Reading'!B27-'Kwh Reading'!B26)*1000</f>
        <v>1310.0000000000591</v>
      </c>
      <c r="M26" s="2">
        <f>('Kwh Reading'!M27-'Kwh Reading'!M26)*1000</f>
        <v>829.99999999998408</v>
      </c>
      <c r="N26" s="2">
        <f>('Kwh Reading'!H27-'Kwh Reading'!H26)*1000</f>
        <v>970.00000000002728</v>
      </c>
      <c r="O26" s="2">
        <f>('Kwh Reading'!P27-'Kwh Reading'!P26)*1000</f>
        <v>959.99999999997954</v>
      </c>
      <c r="P26" s="2">
        <f>('Kwh Reading'!G27-'Kwh Reading'!G26)*1000</f>
        <v>1080.0000000000409</v>
      </c>
      <c r="Q26" s="2">
        <f>('Kwh Reading'!Q27-'Kwh Reading'!Q26)*1000</f>
        <v>860.00000000001364</v>
      </c>
      <c r="R26" s="2">
        <f>('Kwh Reading'!N27-'Kwh Reading'!N26)*1000</f>
        <v>930.00000000000682</v>
      </c>
      <c r="S26" s="2">
        <f>'Kwh Reading'!E27-'Kwh Reading'!E26</f>
        <v>3049.359999999404</v>
      </c>
      <c r="T26" s="2">
        <f>'Kwh Reading'!D27-'Kwh Reading'!D26</f>
        <v>2488.2800000002608</v>
      </c>
      <c r="U26" s="27">
        <f>('Kwh Reading'!O27-'Kwh Reading'!O26)*1000</f>
        <v>270.00000000001023</v>
      </c>
      <c r="V26" s="16">
        <f t="shared" si="0"/>
        <v>5653.3599999999205</v>
      </c>
    </row>
    <row r="27" spans="1:22" x14ac:dyDescent="0.25">
      <c r="A27" s="3">
        <f>'Kwh Reading'!A27</f>
        <v>44251</v>
      </c>
      <c r="B27" s="26">
        <f>TOTAL!E25</f>
        <v>21540.000000000418</v>
      </c>
      <c r="C27" s="4">
        <f>('Kwh Reading'!T28-'Kwh Reading'!T27)*1000</f>
        <v>540.00000000002046</v>
      </c>
      <c r="D27" s="2">
        <f>('Kwh Reading'!F28-'Kwh Reading'!F27)*1000000</f>
        <v>2400.0000000001796</v>
      </c>
      <c r="E27" s="2">
        <f>('Kwh Reading'!C28-'Kwh Reading'!C27)*1000</f>
        <v>219.99999999999886</v>
      </c>
      <c r="F27" s="2">
        <f>('Kwh Reading'!J28-'Kwh Reading'!J27)*1000</f>
        <v>230.00000000001819</v>
      </c>
      <c r="G27" s="2">
        <f>('Kwh Reading'!K28-'Kwh Reading'!K27)*1000</f>
        <v>379.99999999999545</v>
      </c>
      <c r="H27" s="2">
        <f>('Kwh Reading'!L28-'Kwh Reading'!L27)*1000</f>
        <v>280.00000000000114</v>
      </c>
      <c r="I27" s="2">
        <f>('Kwh Reading'!R28-'Kwh Reading'!R27)*1000</f>
        <v>119.99999999999034</v>
      </c>
      <c r="J27" s="2">
        <f>('Kwh Reading'!S28-'Kwh Reading'!S27)*1000</f>
        <v>176.00000000000193</v>
      </c>
      <c r="K27" s="2">
        <f>('Kwh Reading'!I28-'Kwh Reading'!I27)*1000</f>
        <v>289.99999999999204</v>
      </c>
      <c r="L27" s="2">
        <f>('Kwh Reading'!B28-'Kwh Reading'!B27)*1000</f>
        <v>1159.9999999999682</v>
      </c>
      <c r="M27" s="2">
        <f>('Kwh Reading'!M28-'Kwh Reading'!M27)*1000</f>
        <v>740.00000000000909</v>
      </c>
      <c r="N27" s="2">
        <f>('Kwh Reading'!H28-'Kwh Reading'!H27)*1000</f>
        <v>829.99999999992724</v>
      </c>
      <c r="O27" s="2">
        <f>('Kwh Reading'!P28-'Kwh Reading'!P27)*1000</f>
        <v>860.00000000001364</v>
      </c>
      <c r="P27" s="2">
        <f>('Kwh Reading'!G28-'Kwh Reading'!G27)*1000</f>
        <v>929.99999999994998</v>
      </c>
      <c r="Q27" s="2">
        <f>('Kwh Reading'!Q28-'Kwh Reading'!Q27)*1000</f>
        <v>740.00000000000909</v>
      </c>
      <c r="R27" s="2">
        <f>('Kwh Reading'!N28-'Kwh Reading'!N27)*1000</f>
        <v>750</v>
      </c>
      <c r="S27" s="2">
        <f>'Kwh Reading'!E28-'Kwh Reading'!E27</f>
        <v>2704.2000000001863</v>
      </c>
      <c r="T27" s="2">
        <f>'Kwh Reading'!D28-'Kwh Reading'!D27</f>
        <v>2213.7700000004843</v>
      </c>
      <c r="U27" s="27">
        <f>('Kwh Reading'!O28-'Kwh Reading'!O27)*1000</f>
        <v>239.99999999999488</v>
      </c>
      <c r="V27" s="16">
        <f t="shared" si="0"/>
        <v>5736.0299999996787</v>
      </c>
    </row>
    <row r="28" spans="1:22" x14ac:dyDescent="0.25">
      <c r="A28" s="3">
        <f>'Kwh Reading'!A28</f>
        <v>44252</v>
      </c>
      <c r="B28" s="26">
        <f>TOTAL!E26</f>
        <v>22419.999999999847</v>
      </c>
      <c r="C28" s="4">
        <f>('Kwh Reading'!T29-'Kwh Reading'!T28)*1000</f>
        <v>550.00000000001137</v>
      </c>
      <c r="D28" s="2">
        <f>('Kwh Reading'!F29-'Kwh Reading'!F28)*1000000</f>
        <v>2399.9999999997358</v>
      </c>
      <c r="E28" s="2">
        <f>('Kwh Reading'!C29-'Kwh Reading'!C28)*1000</f>
        <v>250</v>
      </c>
      <c r="F28" s="2">
        <f>('Kwh Reading'!J29-'Kwh Reading'!J28)*1000</f>
        <v>290.00000000002046</v>
      </c>
      <c r="G28" s="2">
        <f>('Kwh Reading'!K29-'Kwh Reading'!K28)*1000</f>
        <v>379.99999999999545</v>
      </c>
      <c r="H28" s="2">
        <f>('Kwh Reading'!L29-'Kwh Reading'!L28)*1000</f>
        <v>229.99999999998977</v>
      </c>
      <c r="I28" s="2">
        <f>('Kwh Reading'!R29-'Kwh Reading'!R28)*1000</f>
        <v>120.00000000000455</v>
      </c>
      <c r="J28" s="2">
        <f>('Kwh Reading'!S29-'Kwh Reading'!S28)*1000</f>
        <v>153.0000000000058</v>
      </c>
      <c r="K28" s="2">
        <f>('Kwh Reading'!I29-'Kwh Reading'!I28)*1000</f>
        <v>290.00000000002046</v>
      </c>
      <c r="L28" s="2">
        <f>('Kwh Reading'!B29-'Kwh Reading'!B28)*1000</f>
        <v>1230.0000000000182</v>
      </c>
      <c r="M28" s="2">
        <f>('Kwh Reading'!M29-'Kwh Reading'!M28)*1000</f>
        <v>699.99999999998863</v>
      </c>
      <c r="N28" s="2">
        <f>('Kwh Reading'!H29-'Kwh Reading'!H28)*1000</f>
        <v>850.00000000002274</v>
      </c>
      <c r="O28" s="2">
        <f>('Kwh Reading'!P29-'Kwh Reading'!P28)*1000</f>
        <v>910.00000000002501</v>
      </c>
      <c r="P28" s="2">
        <f>('Kwh Reading'!G29-'Kwh Reading'!G28)*1000</f>
        <v>950.00000000004547</v>
      </c>
      <c r="Q28" s="2">
        <f>('Kwh Reading'!Q29-'Kwh Reading'!Q28)*1000</f>
        <v>759.99999999999091</v>
      </c>
      <c r="R28" s="2">
        <f>('Kwh Reading'!N29-'Kwh Reading'!N28)*1000</f>
        <v>810.00000000000227</v>
      </c>
      <c r="S28" s="2">
        <f>'Kwh Reading'!E29-'Kwh Reading'!E28</f>
        <v>2750.6200000001118</v>
      </c>
      <c r="T28" s="2">
        <f>'Kwh Reading'!D29-'Kwh Reading'!D28</f>
        <v>2182.5999999996275</v>
      </c>
      <c r="U28" s="27">
        <f>('Kwh Reading'!O29-'Kwh Reading'!O28)*1000</f>
        <v>269.99999999999602</v>
      </c>
      <c r="V28" s="16">
        <f t="shared" si="0"/>
        <v>6343.7800000002353</v>
      </c>
    </row>
    <row r="29" spans="1:22" x14ac:dyDescent="0.25">
      <c r="A29" s="3">
        <f>'Kwh Reading'!A29</f>
        <v>44253</v>
      </c>
      <c r="B29" s="26">
        <f>TOTAL!E27</f>
        <v>22959.999999999811</v>
      </c>
      <c r="C29" s="4">
        <f>('Kwh Reading'!T30-'Kwh Reading'!T29)*1000</f>
        <v>259.99999999999091</v>
      </c>
      <c r="D29" s="2">
        <f>('Kwh Reading'!F30-'Kwh Reading'!F29)*1000000</f>
        <v>2500.0000000003906</v>
      </c>
      <c r="E29" s="2">
        <f>('Kwh Reading'!C30-'Kwh Reading'!C29)*1000</f>
        <v>250</v>
      </c>
      <c r="F29" s="2">
        <f>('Kwh Reading'!J30-'Kwh Reading'!J29)*1000</f>
        <v>319.99999999999318</v>
      </c>
      <c r="G29" s="2">
        <f>('Kwh Reading'!K30-'Kwh Reading'!K29)*1000</f>
        <v>379.99999999999545</v>
      </c>
      <c r="H29" s="2">
        <f>('Kwh Reading'!L30-'Kwh Reading'!L29)*1000</f>
        <v>210.00000000000796</v>
      </c>
      <c r="I29" s="2">
        <f>('Kwh Reading'!R30-'Kwh Reading'!R29)*1000</f>
        <v>170.00000000000171</v>
      </c>
      <c r="J29" s="2">
        <f>('Kwh Reading'!S30-'Kwh Reading'!S29)*1000</f>
        <v>141.99999999999591</v>
      </c>
      <c r="K29" s="2">
        <f>('Kwh Reading'!I30-'Kwh Reading'!I29)*1000</f>
        <v>319.99999999999318</v>
      </c>
      <c r="L29" s="2">
        <f>('Kwh Reading'!B30-'Kwh Reading'!B29)*1000</f>
        <v>1189.9999999999409</v>
      </c>
      <c r="M29" s="2">
        <f>('Kwh Reading'!M30-'Kwh Reading'!M29)*1000</f>
        <v>740.00000000000909</v>
      </c>
      <c r="N29" s="2">
        <f>('Kwh Reading'!H30-'Kwh Reading'!H29)*1000</f>
        <v>830.00000000004093</v>
      </c>
      <c r="O29" s="2">
        <f>('Kwh Reading'!P30-'Kwh Reading'!P29)*1000</f>
        <v>939.99999999999773</v>
      </c>
      <c r="P29" s="2">
        <f>('Kwh Reading'!G30-'Kwh Reading'!G29)*1000</f>
        <v>960.00000000003638</v>
      </c>
      <c r="Q29" s="2">
        <f>('Kwh Reading'!Q30-'Kwh Reading'!Q29)*1000</f>
        <v>750</v>
      </c>
      <c r="R29" s="2">
        <f>('Kwh Reading'!N30-'Kwh Reading'!N29)*1000</f>
        <v>789.99999999996362</v>
      </c>
      <c r="S29" s="2">
        <f>'Kwh Reading'!E30-'Kwh Reading'!E29</f>
        <v>2511.3899999996647</v>
      </c>
      <c r="T29" s="2">
        <f>'Kwh Reading'!D30-'Kwh Reading'!D29</f>
        <v>2340.2999999998137</v>
      </c>
      <c r="U29" s="27">
        <f>('Kwh Reading'!O30-'Kwh Reading'!O29)*1000</f>
        <v>299.99999999999716</v>
      </c>
      <c r="V29" s="16">
        <f t="shared" si="0"/>
        <v>7056.3099999999777</v>
      </c>
    </row>
    <row r="30" spans="1:22" x14ac:dyDescent="0.25">
      <c r="A30" s="3">
        <f>'Kwh Reading'!A30</f>
        <v>44254</v>
      </c>
      <c r="B30" s="26">
        <f>TOTAL!E28</f>
        <v>22350.000000000589</v>
      </c>
      <c r="C30" s="4">
        <f>('Kwh Reading'!T31-'Kwh Reading'!T30)*1000</f>
        <v>500</v>
      </c>
      <c r="D30" s="2">
        <f>('Kwh Reading'!F31-'Kwh Reading'!F30)*1000000</f>
        <v>2499.9999999999468</v>
      </c>
      <c r="E30" s="2">
        <f>('Kwh Reading'!C31-'Kwh Reading'!C30)*1000</f>
        <v>250</v>
      </c>
      <c r="F30" s="2">
        <f>('Kwh Reading'!J31-'Kwh Reading'!J30)*1000</f>
        <v>279.99999999997272</v>
      </c>
      <c r="G30" s="2">
        <f>('Kwh Reading'!K31-'Kwh Reading'!K30)*1000</f>
        <v>360.00000000001364</v>
      </c>
      <c r="H30" s="2">
        <f>('Kwh Reading'!L31-'Kwh Reading'!L30)*1000</f>
        <v>219.99999999999886</v>
      </c>
      <c r="I30" s="2">
        <f>('Kwh Reading'!R31-'Kwh Reading'!R30)*1000</f>
        <v>170.00000000000171</v>
      </c>
      <c r="J30" s="2">
        <f>('Kwh Reading'!S31-'Kwh Reading'!S30)*1000</f>
        <v>641.00000000000534</v>
      </c>
      <c r="K30" s="2">
        <f>('Kwh Reading'!I31-'Kwh Reading'!I30)*1000</f>
        <v>289.99999999999204</v>
      </c>
      <c r="L30" s="2">
        <f>('Kwh Reading'!B31-'Kwh Reading'!B30)*1000</f>
        <v>1259.9999999999909</v>
      </c>
      <c r="M30" s="2">
        <f>('Kwh Reading'!M31-'Kwh Reading'!M30)*1000</f>
        <v>689.99999999999773</v>
      </c>
      <c r="N30" s="2">
        <f>('Kwh Reading'!H31-'Kwh Reading'!H30)*1000</f>
        <v>889.99999999998636</v>
      </c>
      <c r="O30" s="2">
        <f>('Kwh Reading'!P31-'Kwh Reading'!P30)*1000</f>
        <v>829.99999999998408</v>
      </c>
      <c r="P30" s="2">
        <f>('Kwh Reading'!G31-'Kwh Reading'!G30)*1000</f>
        <v>919.99999999995907</v>
      </c>
      <c r="Q30" s="2">
        <f>('Kwh Reading'!Q31-'Kwh Reading'!Q30)*1000</f>
        <v>740.00000000000909</v>
      </c>
      <c r="R30" s="2">
        <f>('Kwh Reading'!N31-'Kwh Reading'!N30)*1000</f>
        <v>740.00000000000909</v>
      </c>
      <c r="S30" s="2">
        <f>'Kwh Reading'!E31-'Kwh Reading'!E30</f>
        <v>2855.5800000000745</v>
      </c>
      <c r="T30" s="2">
        <f>'Kwh Reading'!D31-'Kwh Reading'!D30</f>
        <v>2301.2700000004843</v>
      </c>
      <c r="U30" s="27">
        <f>('Kwh Reading'!O31-'Kwh Reading'!O30)*1000</f>
        <v>260.00000000000512</v>
      </c>
      <c r="V30" s="16">
        <f t="shared" si="0"/>
        <v>5652.1500000001579</v>
      </c>
    </row>
    <row r="31" spans="1:22" x14ac:dyDescent="0.25">
      <c r="A31" s="3">
        <f>'Kwh Reading'!A31</f>
        <v>44255</v>
      </c>
      <c r="B31" s="26">
        <f>TOTAL!E29</f>
        <v>0</v>
      </c>
      <c r="C31" s="4">
        <f>('Kwh Reading'!T32-'Kwh Reading'!T31)*1000</f>
        <v>-363630</v>
      </c>
      <c r="D31" s="2">
        <f>('Kwh Reading'!F32-'Kwh Reading'!F31)*1000000</f>
        <v>-2081300.0000000002</v>
      </c>
      <c r="E31" s="2">
        <f>('Kwh Reading'!C32-'Kwh Reading'!C31)*1000</f>
        <v>-201930</v>
      </c>
      <c r="F31" s="2">
        <f>('Kwh Reading'!J32-'Kwh Reading'!J31)*1000</f>
        <v>-289890</v>
      </c>
      <c r="G31" s="2">
        <f>('Kwh Reading'!K32-'Kwh Reading'!K31)*1000</f>
        <v>-304920</v>
      </c>
      <c r="H31" s="2">
        <f>('Kwh Reading'!L32-'Kwh Reading'!L31)*1000</f>
        <v>-208750</v>
      </c>
      <c r="I31" s="2">
        <f>('Kwh Reading'!R32-'Kwh Reading'!R31)*1000</f>
        <v>-123920</v>
      </c>
      <c r="J31" s="2">
        <f>('Kwh Reading'!S32-'Kwh Reading'!S31)*1000</f>
        <v>-99807</v>
      </c>
      <c r="K31" s="2">
        <f>('Kwh Reading'!I32-'Kwh Reading'!I31)*1000</f>
        <v>-196790</v>
      </c>
      <c r="L31" s="2">
        <f>('Kwh Reading'!B32-'Kwh Reading'!B31)*1000</f>
        <v>-821290</v>
      </c>
      <c r="M31" s="2">
        <f>('Kwh Reading'!M32-'Kwh Reading'!M31)*1000</f>
        <v>-426880</v>
      </c>
      <c r="N31" s="2">
        <f>('Kwh Reading'!H32-'Kwh Reading'!H31)*1000</f>
        <v>-531850</v>
      </c>
      <c r="O31" s="2">
        <f>('Kwh Reading'!P32-'Kwh Reading'!P31)*1000</f>
        <v>-494620</v>
      </c>
      <c r="P31" s="2">
        <f>('Kwh Reading'!G32-'Kwh Reading'!G31)*1000</f>
        <v>-633390</v>
      </c>
      <c r="Q31" s="2">
        <f>('Kwh Reading'!Q32-'Kwh Reading'!Q31)*1000</f>
        <v>-369860</v>
      </c>
      <c r="R31" s="2">
        <f>('Kwh Reading'!N32-'Kwh Reading'!N31)*1000</f>
        <v>-375260</v>
      </c>
      <c r="S31" s="2">
        <f>'Kwh Reading'!E32-'Kwh Reading'!E31</f>
        <v>-7807584.1299999999</v>
      </c>
      <c r="T31" s="2">
        <f>'Kwh Reading'!D32-'Kwh Reading'!D31</f>
        <v>-7186612.8200000003</v>
      </c>
      <c r="U31" s="27">
        <f>('Kwh Reading'!O32-'Kwh Reading'!O31)*1000</f>
        <v>-121110</v>
      </c>
      <c r="V31" s="16">
        <f t="shared" si="0"/>
        <v>22639393.949999999</v>
      </c>
    </row>
    <row r="32" spans="1:22" x14ac:dyDescent="0.25">
      <c r="A32" s="3">
        <f>'Kwh Reading'!A32</f>
        <v>0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0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591460.00000000023</v>
      </c>
      <c r="C35" s="75">
        <f t="shared" ref="C35" si="1">SUM(C4:C34)</f>
        <v>-350440</v>
      </c>
      <c r="D35" s="75">
        <f t="shared" ref="D35" si="2">SUM(D4:D34)</f>
        <v>-2013700</v>
      </c>
      <c r="E35" s="75">
        <f t="shared" ref="E35" si="3">SUM(E4:E34)</f>
        <v>-195330</v>
      </c>
      <c r="F35" s="75">
        <f t="shared" ref="F35" si="4">SUM(F4:F34)</f>
        <v>-282310</v>
      </c>
      <c r="G35" s="75">
        <f t="shared" ref="G35:U35" si="5">SUM(G4:G34)</f>
        <v>-295320</v>
      </c>
      <c r="H35" s="75">
        <f t="shared" si="5"/>
        <v>-202650</v>
      </c>
      <c r="I35" s="75">
        <f t="shared" si="5"/>
        <v>-119310</v>
      </c>
      <c r="J35" s="75">
        <f t="shared" si="5"/>
        <v>-95496</v>
      </c>
      <c r="K35" s="75">
        <f t="shared" si="5"/>
        <v>-189120</v>
      </c>
      <c r="L35" s="75">
        <f t="shared" si="5"/>
        <v>-789940.00000000012</v>
      </c>
      <c r="M35" s="75">
        <f t="shared" si="5"/>
        <v>-407780</v>
      </c>
      <c r="N35" s="75">
        <f t="shared" si="5"/>
        <v>-507250</v>
      </c>
      <c r="O35" s="75">
        <f t="shared" si="5"/>
        <v>-471720</v>
      </c>
      <c r="P35" s="75">
        <f t="shared" si="5"/>
        <v>-609180</v>
      </c>
      <c r="Q35" s="75">
        <f t="shared" si="5"/>
        <v>-350860</v>
      </c>
      <c r="R35" s="75">
        <f t="shared" si="5"/>
        <v>-353620</v>
      </c>
      <c r="S35" s="75">
        <f t="shared" si="5"/>
        <v>-7729754.3600000003</v>
      </c>
      <c r="T35" s="75">
        <f t="shared" si="5"/>
        <v>-7127780.3200000003</v>
      </c>
      <c r="U35" s="75">
        <f t="shared" si="5"/>
        <v>-114830</v>
      </c>
      <c r="V35" s="75">
        <f>SUM(V4:V34)</f>
        <v>22797850.68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B22" sqref="B22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44228</v>
      </c>
      <c r="B3" s="83">
        <f>TOTAL!E2</f>
        <v>20559.999999999491</v>
      </c>
      <c r="C3" s="1">
        <f>'Kwh Consumption'!C4</f>
        <v>420.00000000001592</v>
      </c>
      <c r="D3" s="1">
        <f>'Kwh Consumption'!D4</f>
        <v>2399.9999999997358</v>
      </c>
      <c r="E3" s="1">
        <f>'Kwh Consumption'!E4</f>
        <v>259.99999999999091</v>
      </c>
      <c r="F3" s="1">
        <f>('Kwh Consumption'!F4+'Kwh Consumption'!G4+'Kwh Consumption'!H4)</f>
        <v>810.00000000000227</v>
      </c>
      <c r="G3" s="16">
        <f>('Kwh Consumption'!I4+'Kwh Consumption'!J4)</f>
        <v>303.00000000001148</v>
      </c>
      <c r="H3" s="1">
        <f>('Kwh Consumption'!K4+'Kwh Consumption'!L4)</f>
        <v>1409.9999999999682</v>
      </c>
      <c r="I3" s="1">
        <f>('Kwh Consumption'!M4+'Kwh Consumption'!N4+'Kwh Consumption'!O4+'Kwh Consumption'!P4+'Kwh Consumption'!Q4+'Kwh Consumption'!R4)</f>
        <v>4619.9999999999472</v>
      </c>
      <c r="J3" s="1">
        <f>('Kwh Consumption'!S4+'Kwh Consumption'!T4)</f>
        <v>4965.3999999994412</v>
      </c>
      <c r="K3" s="1">
        <f>'Kwh Consumption'!U4</f>
        <v>200.00000000000284</v>
      </c>
      <c r="L3" s="32">
        <f t="shared" ref="L3:L33" si="0">B3-C3-D3-E3-F3-G3-H3-I3-J3-K3</f>
        <v>5171.6000000003796</v>
      </c>
    </row>
    <row r="4" spans="1:12" x14ac:dyDescent="0.25">
      <c r="A4" s="14">
        <f>'Kwh Reading'!A5</f>
        <v>44229</v>
      </c>
      <c r="B4" s="83">
        <f>TOTAL!E3</f>
        <v>24529.999999999294</v>
      </c>
      <c r="C4" s="1">
        <f>'Kwh Consumption'!C5</f>
        <v>560.00000000000227</v>
      </c>
      <c r="D4" s="1">
        <f>'Kwh Consumption'!D5</f>
        <v>2500.0000000003906</v>
      </c>
      <c r="E4" s="1">
        <f>'Kwh Consumption'!E5</f>
        <v>289.99999999999204</v>
      </c>
      <c r="F4" s="1">
        <f>('Kwh Consumption'!F5+'Kwh Consumption'!G5+'Kwh Consumption'!H5)</f>
        <v>970.00000000002728</v>
      </c>
      <c r="G4" s="16">
        <f>('Kwh Consumption'!I5+'Kwh Consumption'!J5)</f>
        <v>379.99999999998124</v>
      </c>
      <c r="H4" s="1">
        <f>('Kwh Consumption'!K5+'Kwh Consumption'!L5)</f>
        <v>1519.9999999999818</v>
      </c>
      <c r="I4" s="1">
        <f>('Kwh Consumption'!M5+'Kwh Consumption'!N5+'Kwh Consumption'!O5+'Kwh Consumption'!P5+'Kwh Consumption'!Q5+'Kwh Consumption'!R5)</f>
        <v>4970.0000000000273</v>
      </c>
      <c r="J4" s="1">
        <f>('Kwh Consumption'!S5+'Kwh Consumption'!T5)</f>
        <v>5884.2099999999627</v>
      </c>
      <c r="K4" s="1">
        <f>'Kwh Consumption'!U5</f>
        <v>200.00000000000284</v>
      </c>
      <c r="L4" s="32">
        <f t="shared" si="0"/>
        <v>7255.7899999989231</v>
      </c>
    </row>
    <row r="5" spans="1:12" x14ac:dyDescent="0.25">
      <c r="A5" s="14">
        <f>'Kwh Reading'!A6</f>
        <v>44230</v>
      </c>
      <c r="B5" s="83">
        <f>TOTAL!E4</f>
        <v>21160.000000000535</v>
      </c>
      <c r="C5" s="1">
        <f>'Kwh Consumption'!C6</f>
        <v>519.99999999998181</v>
      </c>
      <c r="D5" s="1">
        <f>'Kwh Consumption'!D6</f>
        <v>2399.9999999997358</v>
      </c>
      <c r="E5" s="1">
        <f>'Kwh Consumption'!E6</f>
        <v>240.00000000000909</v>
      </c>
      <c r="F5" s="1">
        <f>('Kwh Consumption'!F6+'Kwh Consumption'!G6+'Kwh Consumption'!H6)</f>
        <v>839.99999999994657</v>
      </c>
      <c r="G5" s="16">
        <f>('Kwh Consumption'!I6+'Kwh Consumption'!J6)</f>
        <v>289.00000000001569</v>
      </c>
      <c r="H5" s="1">
        <f>('Kwh Consumption'!K6+'Kwh Consumption'!L6)</f>
        <v>1419.9999999999875</v>
      </c>
      <c r="I5" s="1">
        <f>('Kwh Consumption'!M6+'Kwh Consumption'!N6+'Kwh Consumption'!O6+'Kwh Consumption'!P6+'Kwh Consumption'!Q6+'Kwh Consumption'!R6)</f>
        <v>4730.0000000000182</v>
      </c>
      <c r="J5" s="1">
        <f>('Kwh Consumption'!S6+'Kwh Consumption'!T6)</f>
        <v>5182.2800000002608</v>
      </c>
      <c r="K5" s="1">
        <f>'Kwh Consumption'!U6</f>
        <v>200.00000000000284</v>
      </c>
      <c r="L5" s="32">
        <f t="shared" si="0"/>
        <v>5338.7200000005787</v>
      </c>
    </row>
    <row r="6" spans="1:12" x14ac:dyDescent="0.25">
      <c r="A6" s="14">
        <f>'Kwh Reading'!A7</f>
        <v>44231</v>
      </c>
      <c r="B6" s="83">
        <f>TOTAL!E5</f>
        <v>20480.000000000469</v>
      </c>
      <c r="C6" s="1">
        <f>'Kwh Consumption'!C7</f>
        <v>480.00000000001819</v>
      </c>
      <c r="D6" s="1">
        <f>'Kwh Consumption'!D7</f>
        <v>2499.9999999999468</v>
      </c>
      <c r="E6" s="1">
        <f>'Kwh Consumption'!E7</f>
        <v>250</v>
      </c>
      <c r="F6" s="1">
        <f>('Kwh Consumption'!F7+'Kwh Consumption'!G7+'Kwh Consumption'!H7)</f>
        <v>860.00000000007049</v>
      </c>
      <c r="G6" s="16">
        <f>('Kwh Consumption'!I7+'Kwh Consumption'!J7)</f>
        <v>245.00000000000455</v>
      </c>
      <c r="H6" s="1">
        <f>('Kwh Consumption'!K7+'Kwh Consumption'!L7)</f>
        <v>1439.9999999999693</v>
      </c>
      <c r="I6" s="1">
        <f>('Kwh Consumption'!M7+'Kwh Consumption'!N7+'Kwh Consumption'!O7+'Kwh Consumption'!P7+'Kwh Consumption'!Q7+'Kwh Consumption'!R7)</f>
        <v>4860.0000000001273</v>
      </c>
      <c r="J6" s="1">
        <f>('Kwh Consumption'!S7+'Kwh Consumption'!T7)</f>
        <v>5253.2199999997392</v>
      </c>
      <c r="K6" s="1">
        <f>'Kwh Consumption'!U7</f>
        <v>189.99999999999773</v>
      </c>
      <c r="L6" s="32">
        <f t="shared" si="0"/>
        <v>4401.7800000005991</v>
      </c>
    </row>
    <row r="7" spans="1:12" x14ac:dyDescent="0.25">
      <c r="A7" s="14">
        <f>'Kwh Reading'!A8</f>
        <v>44232</v>
      </c>
      <c r="B7" s="83">
        <f>TOTAL!E6</f>
        <v>20840.000000000146</v>
      </c>
      <c r="C7" s="1">
        <f>'Kwh Consumption'!C8</f>
        <v>279.99999999997272</v>
      </c>
      <c r="D7" s="1">
        <f>'Kwh Consumption'!D8</f>
        <v>2499.9999999999468</v>
      </c>
      <c r="E7" s="1">
        <f>'Kwh Consumption'!E8</f>
        <v>250</v>
      </c>
      <c r="F7" s="1">
        <f>('Kwh Consumption'!F8+'Kwh Consumption'!G8+'Kwh Consumption'!H8)</f>
        <v>829.99999999992724</v>
      </c>
      <c r="G7" s="16">
        <f>('Kwh Consumption'!I8+'Kwh Consumption'!J8)</f>
        <v>317.99999999998363</v>
      </c>
      <c r="H7" s="1">
        <f>('Kwh Consumption'!K8+'Kwh Consumption'!L8)</f>
        <v>280.0000000000864</v>
      </c>
      <c r="I7" s="1">
        <f>('Kwh Consumption'!M8+'Kwh Consumption'!N8+'Kwh Consumption'!O8+'Kwh Consumption'!P8+'Kwh Consumption'!Q8+'Kwh Consumption'!R8)</f>
        <v>4369.9999999999472</v>
      </c>
      <c r="J7" s="1">
        <f>('Kwh Consumption'!S8+'Kwh Consumption'!T8)</f>
        <v>4357.269999999553</v>
      </c>
      <c r="K7" s="1">
        <f>'Kwh Consumption'!U8</f>
        <v>209.99999999999375</v>
      </c>
      <c r="L7" s="32">
        <f t="shared" si="0"/>
        <v>7444.730000000739</v>
      </c>
    </row>
    <row r="8" spans="1:12" x14ac:dyDescent="0.25">
      <c r="A8" s="14">
        <f>'Kwh Reading'!A9</f>
        <v>44233</v>
      </c>
      <c r="B8" s="83">
        <f>TOTAL!E7</f>
        <v>21679.999999998927</v>
      </c>
      <c r="C8" s="1">
        <f>'Kwh Consumption'!C9</f>
        <v>520.00000000003865</v>
      </c>
      <c r="D8" s="1">
        <f>'Kwh Consumption'!D9</f>
        <v>2600.0000000001578</v>
      </c>
      <c r="E8" s="1">
        <f>'Kwh Consumption'!E9</f>
        <v>280.00000000000114</v>
      </c>
      <c r="F8" s="1">
        <f>('Kwh Consumption'!F9+'Kwh Consumption'!G9+'Kwh Consumption'!H9)</f>
        <v>860.00000000001364</v>
      </c>
      <c r="G8" s="16">
        <f>('Kwh Consumption'!I9+'Kwh Consumption'!J9)</f>
        <v>352.00000000000387</v>
      </c>
      <c r="H8" s="1">
        <f>('Kwh Consumption'!K9+'Kwh Consumption'!L9)</f>
        <v>2549.9999999998977</v>
      </c>
      <c r="I8" s="1">
        <f>('Kwh Consumption'!M9+'Kwh Consumption'!N9+'Kwh Consumption'!O9+'Kwh Consumption'!P9+'Kwh Consumption'!Q9+'Kwh Consumption'!R9)</f>
        <v>4870.0000000000045</v>
      </c>
      <c r="J8" s="1">
        <f>('Kwh Consumption'!S9+'Kwh Consumption'!T9)</f>
        <v>5322.8100000005215</v>
      </c>
      <c r="K8" s="1">
        <f>'Kwh Consumption'!U9</f>
        <v>210.00000000000796</v>
      </c>
      <c r="L8" s="32">
        <f t="shared" si="0"/>
        <v>4115.1899999982807</v>
      </c>
    </row>
    <row r="9" spans="1:12" x14ac:dyDescent="0.25">
      <c r="A9" s="14">
        <f>'Kwh Reading'!A10</f>
        <v>44234</v>
      </c>
      <c r="B9" s="83">
        <f>TOTAL!E8</f>
        <v>20130.000000000793</v>
      </c>
      <c r="C9" s="1">
        <f>'Kwh Consumption'!C10</f>
        <v>509.99999999999091</v>
      </c>
      <c r="D9" s="1">
        <f>'Kwh Consumption'!D10</f>
        <v>2299.9999999999686</v>
      </c>
      <c r="E9" s="1">
        <f>'Kwh Consumption'!E10</f>
        <v>189.99999999999773</v>
      </c>
      <c r="F9" s="1">
        <f>('Kwh Consumption'!F10+'Kwh Consumption'!G10+'Kwh Consumption'!H10)</f>
        <v>670.00000000001592</v>
      </c>
      <c r="G9" s="16">
        <f>('Kwh Consumption'!I10+'Kwh Consumption'!J10)</f>
        <v>248.99999999999523</v>
      </c>
      <c r="H9" s="1">
        <f>('Kwh Consumption'!K10+'Kwh Consumption'!L10)</f>
        <v>1300.0000000000966</v>
      </c>
      <c r="I9" s="1">
        <f>('Kwh Consumption'!M10+'Kwh Consumption'!N10+'Kwh Consumption'!O10+'Kwh Consumption'!P10+'Kwh Consumption'!Q10+'Kwh Consumption'!R10)</f>
        <v>4299.9999999999545</v>
      </c>
      <c r="J9" s="1">
        <f>('Kwh Consumption'!S10+'Kwh Consumption'!T10)</f>
        <v>4566.0599999995902</v>
      </c>
      <c r="K9" s="1">
        <f>'Kwh Consumption'!U10</f>
        <v>199.99999999998863</v>
      </c>
      <c r="L9" s="32">
        <f t="shared" si="0"/>
        <v>5844.9400000011974</v>
      </c>
    </row>
    <row r="10" spans="1:12" x14ac:dyDescent="0.25">
      <c r="A10" s="14">
        <f>'Kwh Reading'!A11</f>
        <v>44235</v>
      </c>
      <c r="B10" s="83">
        <f>TOTAL!E9</f>
        <v>21680.000000000065</v>
      </c>
      <c r="C10" s="1">
        <f>'Kwh Consumption'!C11</f>
        <v>509.99999999999091</v>
      </c>
      <c r="D10" s="1">
        <f>'Kwh Consumption'!D11</f>
        <v>2099.9999999999909</v>
      </c>
      <c r="E10" s="1">
        <f>'Kwh Consumption'!E11</f>
        <v>250</v>
      </c>
      <c r="F10" s="1">
        <f>('Kwh Consumption'!F11+'Kwh Consumption'!G11+'Kwh Consumption'!H11)</f>
        <v>870.00000000000455</v>
      </c>
      <c r="G10" s="16">
        <f>('Kwh Consumption'!I11+'Kwh Consumption'!J11)</f>
        <v>338.00000000000807</v>
      </c>
      <c r="H10" s="1">
        <f>('Kwh Consumption'!K11+'Kwh Consumption'!L11)</f>
        <v>1419.9999999999875</v>
      </c>
      <c r="I10" s="1">
        <f>('Kwh Consumption'!M11+'Kwh Consumption'!N11+'Kwh Consumption'!O11+'Kwh Consumption'!P11+'Kwh Consumption'!Q11+'Kwh Consumption'!R11)</f>
        <v>4850.00000000008</v>
      </c>
      <c r="J10" s="1">
        <f>('Kwh Consumption'!S11+'Kwh Consumption'!T11)</f>
        <v>5323.4000000003725</v>
      </c>
      <c r="K10" s="1">
        <f>'Kwh Consumption'!U11</f>
        <v>200.00000000000284</v>
      </c>
      <c r="L10" s="32">
        <f t="shared" si="0"/>
        <v>5818.5999999996266</v>
      </c>
    </row>
    <row r="11" spans="1:12" x14ac:dyDescent="0.25">
      <c r="A11" s="14">
        <f>'Kwh Reading'!A12</f>
        <v>44236</v>
      </c>
      <c r="B11" s="83">
        <f>TOTAL!E10</f>
        <v>20349.999999999454</v>
      </c>
      <c r="C11" s="1">
        <f>'Kwh Consumption'!C12</f>
        <v>500</v>
      </c>
      <c r="D11" s="1">
        <f>'Kwh Consumption'!D12</f>
        <v>2699.9999999999245</v>
      </c>
      <c r="E11" s="1">
        <f>'Kwh Consumption'!E12</f>
        <v>250</v>
      </c>
      <c r="F11" s="1">
        <f>('Kwh Consumption'!F12+'Kwh Consumption'!G12+'Kwh Consumption'!H12)</f>
        <v>739.99999999998067</v>
      </c>
      <c r="G11" s="16">
        <f>('Kwh Consumption'!I12+'Kwh Consumption'!J12)</f>
        <v>325.99999999999341</v>
      </c>
      <c r="H11" s="1">
        <f>('Kwh Consumption'!K12+'Kwh Consumption'!L12)</f>
        <v>1390.0000000000148</v>
      </c>
      <c r="I11" s="1">
        <f>('Kwh Consumption'!M12+'Kwh Consumption'!N12+'Kwh Consumption'!O12+'Kwh Consumption'!P12+'Kwh Consumption'!Q12+'Kwh Consumption'!R12)</f>
        <v>4729.9999999999618</v>
      </c>
      <c r="J11" s="1">
        <f>('Kwh Consumption'!S12+'Kwh Consumption'!T12)</f>
        <v>4819.4699999997392</v>
      </c>
      <c r="K11" s="1">
        <f>'Kwh Consumption'!U12</f>
        <v>219.99999999999886</v>
      </c>
      <c r="L11" s="32">
        <f t="shared" si="0"/>
        <v>4674.5299999998433</v>
      </c>
    </row>
    <row r="12" spans="1:12" x14ac:dyDescent="0.25">
      <c r="A12" s="14">
        <f>'Kwh Reading'!A13</f>
        <v>44237</v>
      </c>
      <c r="B12" s="83">
        <f>TOTAL!E11</f>
        <v>21709.999999999585</v>
      </c>
      <c r="C12" s="1">
        <f>'Kwh Consumption'!C13</f>
        <v>529.99999999997272</v>
      </c>
      <c r="D12" s="1">
        <f>'Kwh Consumption'!D13</f>
        <v>2499.9999999999468</v>
      </c>
      <c r="E12" s="1">
        <f>'Kwh Consumption'!E13</f>
        <v>240.00000000000909</v>
      </c>
      <c r="F12" s="1">
        <f>('Kwh Consumption'!F13+'Kwh Consumption'!G13+'Kwh Consumption'!H13)</f>
        <v>889.99999999998636</v>
      </c>
      <c r="G12" s="16">
        <f>('Kwh Consumption'!I13+'Kwh Consumption'!J13)</f>
        <v>239.99999999999488</v>
      </c>
      <c r="H12" s="1">
        <f>('Kwh Consumption'!K13+'Kwh Consumption'!L13)</f>
        <v>1469.999999999942</v>
      </c>
      <c r="I12" s="1">
        <f>('Kwh Consumption'!M13+'Kwh Consumption'!N13+'Kwh Consumption'!O13+'Kwh Consumption'!P13+'Kwh Consumption'!Q13+'Kwh Consumption'!R13)</f>
        <v>4679.9999999998927</v>
      </c>
      <c r="J12" s="1">
        <f>('Kwh Consumption'!S13+'Kwh Consumption'!T13)</f>
        <v>4741.3500000005588</v>
      </c>
      <c r="K12" s="1">
        <f>'Kwh Consumption'!U13</f>
        <v>200.00000000000284</v>
      </c>
      <c r="L12" s="32">
        <f t="shared" si="0"/>
        <v>6218.6499999992802</v>
      </c>
    </row>
    <row r="13" spans="1:12" x14ac:dyDescent="0.25">
      <c r="A13" s="14">
        <f>'Kwh Reading'!A14</f>
        <v>44238</v>
      </c>
      <c r="B13" s="83">
        <f>TOTAL!E12</f>
        <v>20710.000000001401</v>
      </c>
      <c r="C13" s="1">
        <f>'Kwh Consumption'!C14</f>
        <v>480.00000000001819</v>
      </c>
      <c r="D13" s="1">
        <f>'Kwh Consumption'!D14</f>
        <v>2300.0000000004129</v>
      </c>
      <c r="E13" s="1">
        <f>'Kwh Consumption'!E14</f>
        <v>239.99999999998067</v>
      </c>
      <c r="F13" s="1">
        <f>('Kwh Consumption'!F14+'Kwh Consumption'!G14+'Kwh Consumption'!H14)</f>
        <v>690.00000000002615</v>
      </c>
      <c r="G13" s="16">
        <f>('Kwh Consumption'!I14+'Kwh Consumption'!J14)</f>
        <v>274.00000000001512</v>
      </c>
      <c r="H13" s="1">
        <f>('Kwh Consumption'!K14+'Kwh Consumption'!L14)</f>
        <v>1339.9999999999466</v>
      </c>
      <c r="I13" s="1">
        <f>('Kwh Consumption'!M14+'Kwh Consumption'!N14+'Kwh Consumption'!O14+'Kwh Consumption'!P14+'Kwh Consumption'!Q14+'Kwh Consumption'!R14)</f>
        <v>4290.0000000000773</v>
      </c>
      <c r="J13" s="1">
        <f>('Kwh Consumption'!S14+'Kwh Consumption'!T14)</f>
        <v>4498.6699999989942</v>
      </c>
      <c r="K13" s="1">
        <f>'Kwh Consumption'!U14</f>
        <v>189.99999999999773</v>
      </c>
      <c r="L13" s="32">
        <f t="shared" si="0"/>
        <v>6407.3300000019281</v>
      </c>
    </row>
    <row r="14" spans="1:12" x14ac:dyDescent="0.25">
      <c r="A14" s="14">
        <f>'Kwh Reading'!A15</f>
        <v>44239</v>
      </c>
      <c r="B14" s="83">
        <f>TOTAL!E13</f>
        <v>20599.999999999454</v>
      </c>
      <c r="C14" s="1">
        <f>'Kwh Consumption'!C15</f>
        <v>269.99999999998181</v>
      </c>
      <c r="D14" s="1">
        <f>'Kwh Consumption'!D15</f>
        <v>2499.9999999999468</v>
      </c>
      <c r="E14" s="1">
        <f>'Kwh Consumption'!E15</f>
        <v>230.00000000001819</v>
      </c>
      <c r="F14" s="1">
        <f>('Kwh Consumption'!F15+'Kwh Consumption'!G15+'Kwh Consumption'!H15)</f>
        <v>739.99999999998067</v>
      </c>
      <c r="G14" s="16">
        <f>('Kwh Consumption'!I15+'Kwh Consumption'!J15)</f>
        <v>364.99999999999488</v>
      </c>
      <c r="H14" s="1">
        <f>('Kwh Consumption'!K15+'Kwh Consumption'!L15)</f>
        <v>320.00000000005002</v>
      </c>
      <c r="I14" s="1">
        <f>('Kwh Consumption'!M15+'Kwh Consumption'!N15+'Kwh Consumption'!O15+'Kwh Consumption'!P15+'Kwh Consumption'!Q15+'Kwh Consumption'!R15)</f>
        <v>4490.0000000001228</v>
      </c>
      <c r="J14" s="1">
        <f>('Kwh Consumption'!S15+'Kwh Consumption'!T15)</f>
        <v>4624.070000000298</v>
      </c>
      <c r="K14" s="1">
        <f>'Kwh Consumption'!U15</f>
        <v>189.99999999999773</v>
      </c>
      <c r="L14" s="32">
        <f t="shared" si="0"/>
        <v>6870.9299999990599</v>
      </c>
    </row>
    <row r="15" spans="1:12" x14ac:dyDescent="0.25">
      <c r="A15" s="14">
        <f>'Kwh Reading'!A16</f>
        <v>44240</v>
      </c>
      <c r="B15" s="83">
        <f>TOTAL!E14</f>
        <v>20869.999999999665</v>
      </c>
      <c r="C15" s="1">
        <f>'Kwh Consumption'!C16</f>
        <v>580.00000000004093</v>
      </c>
      <c r="D15" s="1">
        <f>'Kwh Consumption'!D16</f>
        <v>2599.9999999997135</v>
      </c>
      <c r="E15" s="1">
        <f>'Kwh Consumption'!E16</f>
        <v>250</v>
      </c>
      <c r="F15" s="1">
        <f>('Kwh Consumption'!F16+'Kwh Consumption'!G16+'Kwh Consumption'!H16)</f>
        <v>820.0000000000216</v>
      </c>
      <c r="G15" s="16">
        <f>('Kwh Consumption'!I16+'Kwh Consumption'!J16)</f>
        <v>347.99999999999898</v>
      </c>
      <c r="H15" s="1">
        <f>('Kwh Consumption'!K16+'Kwh Consumption'!L16)</f>
        <v>2430.0000000000068</v>
      </c>
      <c r="I15" s="1">
        <f>('Kwh Consumption'!M16+'Kwh Consumption'!N16+'Kwh Consumption'!O16+'Kwh Consumption'!P16+'Kwh Consumption'!Q16+'Kwh Consumption'!R16)</f>
        <v>5089.9999999998618</v>
      </c>
      <c r="J15" s="1">
        <f>('Kwh Consumption'!S16+'Kwh Consumption'!T16)</f>
        <v>5650.1100000003353</v>
      </c>
      <c r="K15" s="1">
        <f>'Kwh Consumption'!U16</f>
        <v>240.00000000000909</v>
      </c>
      <c r="L15" s="32">
        <f t="shared" si="0"/>
        <v>2861.8899999996793</v>
      </c>
    </row>
    <row r="16" spans="1:12" x14ac:dyDescent="0.25">
      <c r="A16" s="14">
        <f>'Kwh Reading'!A17</f>
        <v>44241</v>
      </c>
      <c r="B16" s="83">
        <f>TOTAL!E15</f>
        <v>24040.000000000418</v>
      </c>
      <c r="C16" s="1">
        <f>'Kwh Consumption'!C17</f>
        <v>599.99999999996589</v>
      </c>
      <c r="D16" s="1">
        <f>'Kwh Consumption'!D17</f>
        <v>2499.9999999999468</v>
      </c>
      <c r="E16" s="1">
        <f>'Kwh Consumption'!E17</f>
        <v>239.99999999998067</v>
      </c>
      <c r="F16" s="1">
        <f>('Kwh Consumption'!F17+'Kwh Consumption'!G17+'Kwh Consumption'!H17)</f>
        <v>850.00000000002274</v>
      </c>
      <c r="G16" s="16">
        <f>('Kwh Consumption'!I17+'Kwh Consumption'!J17)</f>
        <v>269.00000000000546</v>
      </c>
      <c r="H16" s="1">
        <f>('Kwh Consumption'!K17+'Kwh Consumption'!L17)</f>
        <v>1170.0000000000159</v>
      </c>
      <c r="I16" s="1">
        <f>('Kwh Consumption'!M17+'Kwh Consumption'!N17+'Kwh Consumption'!O17+'Kwh Consumption'!P17+'Kwh Consumption'!Q17+'Kwh Consumption'!R17)</f>
        <v>4950.0000000000455</v>
      </c>
      <c r="J16" s="1">
        <f>('Kwh Consumption'!S17+'Kwh Consumption'!T17)</f>
        <v>5224.8499999996275</v>
      </c>
      <c r="K16" s="1">
        <f>'Kwh Consumption'!U17</f>
        <v>239.99999999999488</v>
      </c>
      <c r="L16" s="32">
        <f t="shared" si="0"/>
        <v>7996.1500000008127</v>
      </c>
    </row>
    <row r="17" spans="1:12" x14ac:dyDescent="0.25">
      <c r="A17" s="14">
        <f>'Kwh Reading'!A18</f>
        <v>44242</v>
      </c>
      <c r="B17" s="83">
        <f>TOTAL!E16</f>
        <v>22340.000000000146</v>
      </c>
      <c r="C17" s="1">
        <f>'Kwh Consumption'!C18</f>
        <v>540.00000000002046</v>
      </c>
      <c r="D17" s="1">
        <f>'Kwh Consumption'!D18</f>
        <v>2500.0000000003906</v>
      </c>
      <c r="E17" s="1">
        <f>'Kwh Consumption'!E18</f>
        <v>219.99999999999886</v>
      </c>
      <c r="F17" s="1">
        <f>('Kwh Consumption'!F18+'Kwh Consumption'!G18+'Kwh Consumption'!H18)</f>
        <v>689.99999999994088</v>
      </c>
      <c r="G17" s="16">
        <f>('Kwh Consumption'!I18+'Kwh Consumption'!J18)</f>
        <v>274.99999999999147</v>
      </c>
      <c r="H17" s="1">
        <f>('Kwh Consumption'!K18+'Kwh Consumption'!L18)</f>
        <v>1590.0000000000318</v>
      </c>
      <c r="I17" s="1">
        <f>('Kwh Consumption'!M18+'Kwh Consumption'!N18+'Kwh Consumption'!O18+'Kwh Consumption'!P18+'Kwh Consumption'!Q18+'Kwh Consumption'!R18)</f>
        <v>4740.0000000000091</v>
      </c>
      <c r="J17" s="1">
        <f>('Kwh Consumption'!S18+'Kwh Consumption'!T18)</f>
        <v>4851.1700000008568</v>
      </c>
      <c r="K17" s="31">
        <f>'Kwh Consumption'!U18</f>
        <v>260.00000000000512</v>
      </c>
      <c r="L17" s="32">
        <f t="shared" si="0"/>
        <v>6673.8299999988958</v>
      </c>
    </row>
    <row r="18" spans="1:12" x14ac:dyDescent="0.25">
      <c r="A18" s="14">
        <f>'Kwh Reading'!A19</f>
        <v>44243</v>
      </c>
      <c r="B18" s="83">
        <f>TOTAL!E17</f>
        <v>22669.999999999163</v>
      </c>
      <c r="C18" s="1">
        <f>'Kwh Consumption'!C19</f>
        <v>569.99999999999318</v>
      </c>
      <c r="D18" s="1">
        <f>'Kwh Consumption'!D19</f>
        <v>2799.9999999996917</v>
      </c>
      <c r="E18" s="1">
        <f>'Kwh Consumption'!E19</f>
        <v>280.00000000000114</v>
      </c>
      <c r="F18" s="1">
        <f>('Kwh Consumption'!F19+'Kwh Consumption'!G19+'Kwh Consumption'!H19)</f>
        <v>859.99999999998522</v>
      </c>
      <c r="G18" s="16">
        <f>('Kwh Consumption'!I19+'Kwh Consumption'!J19)</f>
        <v>318.00000000001205</v>
      </c>
      <c r="H18" s="1">
        <f>('Kwh Consumption'!K19+'Kwh Consumption'!L19)</f>
        <v>1549.9999999999829</v>
      </c>
      <c r="I18" s="1">
        <f>('Kwh Consumption'!M19+'Kwh Consumption'!N19+'Kwh Consumption'!O19+'Kwh Consumption'!P19+'Kwh Consumption'!Q19+'Kwh Consumption'!R19)</f>
        <v>5419.99999999996</v>
      </c>
      <c r="J18" s="1">
        <f>('Kwh Consumption'!S19+'Kwh Consumption'!T19)</f>
        <v>5504.9699999997392</v>
      </c>
      <c r="K18" s="31">
        <f>'Kwh Consumption'!U19</f>
        <v>239.99999999999488</v>
      </c>
      <c r="L18" s="32">
        <f t="shared" si="0"/>
        <v>5127.029999999806</v>
      </c>
    </row>
    <row r="19" spans="1:12" x14ac:dyDescent="0.25">
      <c r="A19" s="14">
        <f>'Kwh Reading'!A20</f>
        <v>44244</v>
      </c>
      <c r="B19" s="83">
        <f>TOTAL!E18</f>
        <v>22640.000000000327</v>
      </c>
      <c r="C19" s="1">
        <f>'Kwh Consumption'!C20</f>
        <v>579.99999999998408</v>
      </c>
      <c r="D19" s="1">
        <f>'Kwh Consumption'!D20</f>
        <v>2499.9999999999468</v>
      </c>
      <c r="E19" s="1">
        <f>'Kwh Consumption'!E20</f>
        <v>230.00000000001819</v>
      </c>
      <c r="F19" s="1">
        <f>('Kwh Consumption'!F20+'Kwh Consumption'!G20+'Kwh Consumption'!H20)</f>
        <v>910.00000000008185</v>
      </c>
      <c r="G19" s="16">
        <f>('Kwh Consumption'!I20+'Kwh Consumption'!J20)</f>
        <v>314.99999999999773</v>
      </c>
      <c r="H19" s="1">
        <f>('Kwh Consumption'!K20+'Kwh Consumption'!L20)</f>
        <v>1469.999999999942</v>
      </c>
      <c r="I19" s="1">
        <f>('Kwh Consumption'!M20+'Kwh Consumption'!N20+'Kwh Consumption'!O20+'Kwh Consumption'!P20+'Kwh Consumption'!Q20+'Kwh Consumption'!R20)</f>
        <v>5200.0000000001028</v>
      </c>
      <c r="J19" s="1">
        <f>('Kwh Consumption'!S20+'Kwh Consumption'!T20)</f>
        <v>5310.480000000447</v>
      </c>
      <c r="K19" s="1">
        <f>'Kwh Consumption'!U20</f>
        <v>269.99999999999602</v>
      </c>
      <c r="L19" s="32">
        <f t="shared" si="0"/>
        <v>5854.5199999998149</v>
      </c>
    </row>
    <row r="20" spans="1:12" x14ac:dyDescent="0.25">
      <c r="A20" s="14">
        <f>'Kwh Reading'!A21</f>
        <v>44245</v>
      </c>
      <c r="B20" s="83">
        <f>TOTAL!E19</f>
        <v>23229.999999999789</v>
      </c>
      <c r="C20" s="1">
        <f>'Kwh Consumption'!C21</f>
        <v>500</v>
      </c>
      <c r="D20" s="1">
        <f>'Kwh Consumption'!D21</f>
        <v>2499.9999999999468</v>
      </c>
      <c r="E20" s="1">
        <f>'Kwh Consumption'!E21</f>
        <v>239.99999999998067</v>
      </c>
      <c r="F20" s="1">
        <f>('Kwh Consumption'!F21+'Kwh Consumption'!G21+'Kwh Consumption'!H21)</f>
        <v>809.99999999997385</v>
      </c>
      <c r="G20" s="16">
        <f>('Kwh Consumption'!I21+'Kwh Consumption'!J21)</f>
        <v>301.9999999999925</v>
      </c>
      <c r="H20" s="1">
        <f>('Kwh Consumption'!K21+'Kwh Consumption'!L21)</f>
        <v>1400.0000000000057</v>
      </c>
      <c r="I20" s="1">
        <f>('Kwh Consumption'!M21+'Kwh Consumption'!N21+'Kwh Consumption'!O21+'Kwh Consumption'!P21+'Kwh Consumption'!Q21+'Kwh Consumption'!R21)</f>
        <v>4919.999999999789</v>
      </c>
      <c r="J20" s="1">
        <f>('Kwh Consumption'!S21+'Kwh Consumption'!T21)</f>
        <v>5295.2199999997392</v>
      </c>
      <c r="K20" s="1">
        <f>'Kwh Consumption'!U21</f>
        <v>270.00000000001023</v>
      </c>
      <c r="L20" s="32">
        <f t="shared" si="0"/>
        <v>6992.780000000349</v>
      </c>
    </row>
    <row r="21" spans="1:12" x14ac:dyDescent="0.25">
      <c r="A21" s="14">
        <f>'Kwh Reading'!A22</f>
        <v>44246</v>
      </c>
      <c r="B21" s="83">
        <f>TOTAL!E20</f>
        <v>21789.999999999964</v>
      </c>
      <c r="C21" s="1">
        <f>'Kwh Consumption'!C22</f>
        <v>290.00000000002046</v>
      </c>
      <c r="D21" s="1">
        <f>'Kwh Consumption'!D22</f>
        <v>2700.0000000003688</v>
      </c>
      <c r="E21" s="1">
        <f>'Kwh Consumption'!E22</f>
        <v>240.00000000000909</v>
      </c>
      <c r="F21" s="1">
        <f>('Kwh Consumption'!F22+'Kwh Consumption'!G22+'Kwh Consumption'!H22)</f>
        <v>999.99999999997158</v>
      </c>
      <c r="G21" s="16">
        <f>('Kwh Consumption'!I22+'Kwh Consumption'!J22)</f>
        <v>352.00000000000387</v>
      </c>
      <c r="H21" s="1">
        <f>('Kwh Consumption'!K22+'Kwh Consumption'!L22)</f>
        <v>1319.9999999999648</v>
      </c>
      <c r="I21" s="1">
        <f>('Kwh Consumption'!M22+'Kwh Consumption'!N22+'Kwh Consumption'!O22+'Kwh Consumption'!P22+'Kwh Consumption'!Q22+'Kwh Consumption'!R22)</f>
        <v>5090.0000000000891</v>
      </c>
      <c r="J21" s="1">
        <f>('Kwh Consumption'!S22+'Kwh Consumption'!T22)</f>
        <v>4951.769999999553</v>
      </c>
      <c r="K21" s="1">
        <f>'Kwh Consumption'!U22</f>
        <v>259.99999999999091</v>
      </c>
      <c r="L21" s="32">
        <f t="shared" si="0"/>
        <v>5586.2299999999905</v>
      </c>
    </row>
    <row r="22" spans="1:12" x14ac:dyDescent="0.25">
      <c r="A22" s="14">
        <f>'Kwh Reading'!A23</f>
        <v>44247</v>
      </c>
      <c r="B22" s="83">
        <f>TOTAL!E21</f>
        <v>22769.999999999982</v>
      </c>
      <c r="C22" s="1">
        <f>'Kwh Consumption'!C23</f>
        <v>509.99999999999091</v>
      </c>
      <c r="D22" s="1">
        <f>'Kwh Consumption'!D23</f>
        <v>2799.9999999996917</v>
      </c>
      <c r="E22" s="1">
        <f>'Kwh Consumption'!E23</f>
        <v>259.99999999999091</v>
      </c>
      <c r="F22" s="1">
        <f>('Kwh Consumption'!F23+'Kwh Consumption'!G23+'Kwh Consumption'!H23)</f>
        <v>1150.0000000000057</v>
      </c>
      <c r="G22" s="16">
        <f>('Kwh Consumption'!I23+'Kwh Consumption'!J23)</f>
        <v>341.99999999999875</v>
      </c>
      <c r="H22" s="1">
        <f>('Kwh Consumption'!K23+'Kwh Consumption'!L23)</f>
        <v>1640.0000000000148</v>
      </c>
      <c r="I22" s="1">
        <f>('Kwh Consumption'!M23+'Kwh Consumption'!N23+'Kwh Consumption'!O23+'Kwh Consumption'!P23+'Kwh Consumption'!Q23+'Kwh Consumption'!R23)</f>
        <v>5180.0000000000064</v>
      </c>
      <c r="J22" s="1">
        <f>('Kwh Consumption'!S23+'Kwh Consumption'!T23)</f>
        <v>5215.2199999997392</v>
      </c>
      <c r="K22" s="1">
        <f>'Kwh Consumption'!U23</f>
        <v>290.00000000000625</v>
      </c>
      <c r="L22" s="32">
        <f t="shared" si="0"/>
        <v>5382.7800000005382</v>
      </c>
    </row>
    <row r="23" spans="1:12" x14ac:dyDescent="0.25">
      <c r="A23" s="14">
        <f>'Kwh Reading'!A24</f>
        <v>44248</v>
      </c>
      <c r="B23" s="83">
        <f>TOTAL!E22</f>
        <v>21040.000000000648</v>
      </c>
      <c r="C23" s="1">
        <f>'Kwh Consumption'!C24</f>
        <v>509.99999999999091</v>
      </c>
      <c r="D23" s="1">
        <f>'Kwh Consumption'!D24</f>
        <v>2400.0000000001796</v>
      </c>
      <c r="E23" s="1">
        <f>'Kwh Consumption'!E24</f>
        <v>200.00000000001705</v>
      </c>
      <c r="F23" s="1">
        <f>('Kwh Consumption'!F24+'Kwh Consumption'!G24+'Kwh Consumption'!H24)</f>
        <v>850.00000000005116</v>
      </c>
      <c r="G23" s="16">
        <f>('Kwh Consumption'!I24+'Kwh Consumption'!J24)</f>
        <v>335.99999999999852</v>
      </c>
      <c r="H23" s="1">
        <f>('Kwh Consumption'!K24+'Kwh Consumption'!L24)</f>
        <v>1420.0000000000728</v>
      </c>
      <c r="I23" s="1">
        <f>('Kwh Consumption'!M24+'Kwh Consumption'!N24+'Kwh Consumption'!O24+'Kwh Consumption'!P24+'Kwh Consumption'!Q24+'Kwh Consumption'!R24)</f>
        <v>4750.0000000001137</v>
      </c>
      <c r="J23" s="1">
        <f>('Kwh Consumption'!S24+'Kwh Consumption'!T24)</f>
        <v>4661.6300000008196</v>
      </c>
      <c r="K23" s="1">
        <f>'Kwh Consumption'!U24</f>
        <v>230.00000000000398</v>
      </c>
      <c r="L23" s="32">
        <f t="shared" si="0"/>
        <v>5682.3699999993987</v>
      </c>
    </row>
    <row r="24" spans="1:12" x14ac:dyDescent="0.25">
      <c r="A24" s="14">
        <f>'Kwh Reading'!A25</f>
        <v>44249</v>
      </c>
      <c r="B24" s="83">
        <f>TOTAL!E23</f>
        <v>22699.999999999818</v>
      </c>
      <c r="C24" s="1">
        <f>'Kwh Consumption'!C25</f>
        <v>550.00000000001137</v>
      </c>
      <c r="D24" s="1">
        <f>'Kwh Consumption'!D25</f>
        <v>2499.9999999999468</v>
      </c>
      <c r="E24" s="1">
        <f>'Kwh Consumption'!E25</f>
        <v>239.99999999998067</v>
      </c>
      <c r="F24" s="1">
        <f>('Kwh Consumption'!F25+'Kwh Consumption'!G25+'Kwh Consumption'!H25)</f>
        <v>929.99999999994998</v>
      </c>
      <c r="G24" s="16">
        <f>('Kwh Consumption'!I25+'Kwh Consumption'!J25)</f>
        <v>344.0000000000083</v>
      </c>
      <c r="H24" s="1">
        <f>('Kwh Consumption'!K25+'Kwh Consumption'!L25)</f>
        <v>1479.9999999999613</v>
      </c>
      <c r="I24" s="1">
        <f>('Kwh Consumption'!M25+'Kwh Consumption'!N25+'Kwh Consumption'!O25+'Kwh Consumption'!P25+'Kwh Consumption'!Q25+'Kwh Consumption'!R25)</f>
        <v>5069.999999999879</v>
      </c>
      <c r="J24" s="1">
        <f>('Kwh Consumption'!S25+'Kwh Consumption'!T25)</f>
        <v>5061.269999999553</v>
      </c>
      <c r="K24" s="1">
        <f>'Kwh Consumption'!U25</f>
        <v>229.99999999998977</v>
      </c>
      <c r="L24" s="32">
        <f t="shared" si="0"/>
        <v>6294.7300000005407</v>
      </c>
    </row>
    <row r="25" spans="1:12" x14ac:dyDescent="0.25">
      <c r="A25" s="14">
        <f>'Kwh Reading'!A26</f>
        <v>44250</v>
      </c>
      <c r="B25" s="83">
        <f>TOTAL!E24</f>
        <v>23669.999999999622</v>
      </c>
      <c r="C25" s="1">
        <f>'Kwh Consumption'!C26</f>
        <v>529.99999999997272</v>
      </c>
      <c r="D25" s="1">
        <f>'Kwh Consumption'!D26</f>
        <v>2699.9999999999245</v>
      </c>
      <c r="E25" s="1">
        <f>'Kwh Consumption'!E26</f>
        <v>260.00000000001933</v>
      </c>
      <c r="F25" s="1">
        <f>('Kwh Consumption'!F26+'Kwh Consumption'!G26+'Kwh Consumption'!H26)</f>
        <v>1080.0000000000125</v>
      </c>
      <c r="G25" s="16">
        <f>('Kwh Consumption'!I26+'Kwh Consumption'!J26)</f>
        <v>348.99999999998954</v>
      </c>
      <c r="H25" s="1">
        <f>('Kwh Consumption'!K26+'Kwh Consumption'!L26)</f>
        <v>1660.0000000000534</v>
      </c>
      <c r="I25" s="1">
        <f>('Kwh Consumption'!M26+'Kwh Consumption'!N26+'Kwh Consumption'!O26+'Kwh Consumption'!P26+'Kwh Consumption'!Q26+'Kwh Consumption'!R26)</f>
        <v>5630.0000000000528</v>
      </c>
      <c r="J25" s="1">
        <f>('Kwh Consumption'!S26+'Kwh Consumption'!T26)</f>
        <v>5537.6399999996647</v>
      </c>
      <c r="K25" s="1">
        <f>'Kwh Consumption'!U26</f>
        <v>270.00000000001023</v>
      </c>
      <c r="L25" s="32">
        <f t="shared" si="0"/>
        <v>5653.3599999999269</v>
      </c>
    </row>
    <row r="26" spans="1:12" x14ac:dyDescent="0.25">
      <c r="A26" s="14">
        <f>'Kwh Reading'!A27</f>
        <v>44251</v>
      </c>
      <c r="B26" s="83">
        <f>TOTAL!E25</f>
        <v>21540.000000000418</v>
      </c>
      <c r="C26" s="1">
        <f>'Kwh Consumption'!C27</f>
        <v>540.00000000002046</v>
      </c>
      <c r="D26" s="1">
        <f>'Kwh Consumption'!D27</f>
        <v>2400.0000000001796</v>
      </c>
      <c r="E26" s="1">
        <f>'Kwh Consumption'!E27</f>
        <v>219.99999999999886</v>
      </c>
      <c r="F26" s="1">
        <f>('Kwh Consumption'!F27+'Kwh Consumption'!G27+'Kwh Consumption'!H27)</f>
        <v>890.00000000001478</v>
      </c>
      <c r="G26" s="16">
        <f>('Kwh Consumption'!I27+'Kwh Consumption'!J27)</f>
        <v>295.99999999999227</v>
      </c>
      <c r="H26" s="1">
        <f>('Kwh Consumption'!K27+'Kwh Consumption'!L27)</f>
        <v>1449.9999999999602</v>
      </c>
      <c r="I26" s="1">
        <f>('Kwh Consumption'!M27+'Kwh Consumption'!N27+'Kwh Consumption'!O27+'Kwh Consumption'!P27+'Kwh Consumption'!Q27+'Kwh Consumption'!R27)</f>
        <v>4849.9999999999091</v>
      </c>
      <c r="J26" s="1">
        <f>('Kwh Consumption'!S27+'Kwh Consumption'!T27)</f>
        <v>4917.9700000006706</v>
      </c>
      <c r="K26" s="1">
        <f>'Kwh Consumption'!U27</f>
        <v>239.99999999999488</v>
      </c>
      <c r="L26" s="32">
        <f t="shared" si="0"/>
        <v>5736.0299999996769</v>
      </c>
    </row>
    <row r="27" spans="1:12" x14ac:dyDescent="0.25">
      <c r="A27" s="14">
        <f>'Kwh Reading'!A28</f>
        <v>44252</v>
      </c>
      <c r="B27" s="83">
        <f>TOTAL!E26</f>
        <v>22419.999999999847</v>
      </c>
      <c r="C27" s="1">
        <f>'Kwh Consumption'!C28</f>
        <v>550.00000000001137</v>
      </c>
      <c r="D27" s="1">
        <f>'Kwh Consumption'!D28</f>
        <v>2399.9999999997358</v>
      </c>
      <c r="E27" s="1">
        <f>'Kwh Consumption'!E28</f>
        <v>250</v>
      </c>
      <c r="F27" s="1">
        <f>('Kwh Consumption'!F28+'Kwh Consumption'!G28+'Kwh Consumption'!H28)</f>
        <v>900.00000000000568</v>
      </c>
      <c r="G27" s="16">
        <f>('Kwh Consumption'!I28+'Kwh Consumption'!J28)</f>
        <v>273.00000000001035</v>
      </c>
      <c r="H27" s="1">
        <f>('Kwh Consumption'!K28+'Kwh Consumption'!L28)</f>
        <v>1520.0000000000387</v>
      </c>
      <c r="I27" s="1">
        <f>('Kwh Consumption'!M28+'Kwh Consumption'!N28+'Kwh Consumption'!O28+'Kwh Consumption'!P28+'Kwh Consumption'!Q28+'Kwh Consumption'!R28)</f>
        <v>4980.0000000000746</v>
      </c>
      <c r="J27" s="1">
        <f>('Kwh Consumption'!S28+'Kwh Consumption'!T28)</f>
        <v>4933.2199999997392</v>
      </c>
      <c r="K27" s="1">
        <f>'Kwh Consumption'!U28</f>
        <v>269.99999999999602</v>
      </c>
      <c r="L27" s="32">
        <f t="shared" si="0"/>
        <v>6343.7800000002335</v>
      </c>
    </row>
    <row r="28" spans="1:12" x14ac:dyDescent="0.25">
      <c r="A28" s="14">
        <f>'Kwh Reading'!A29</f>
        <v>44253</v>
      </c>
      <c r="B28" s="83">
        <f>TOTAL!E27</f>
        <v>22959.999999999811</v>
      </c>
      <c r="C28" s="1">
        <f>'Kwh Consumption'!C29</f>
        <v>259.99999999999091</v>
      </c>
      <c r="D28" s="1">
        <f>'Kwh Consumption'!D29</f>
        <v>2500.0000000003906</v>
      </c>
      <c r="E28" s="1">
        <f>'Kwh Consumption'!E29</f>
        <v>250</v>
      </c>
      <c r="F28" s="1">
        <f>('Kwh Consumption'!F29+'Kwh Consumption'!G29+'Kwh Consumption'!H29)</f>
        <v>909.99999999999659</v>
      </c>
      <c r="G28" s="16">
        <f>('Kwh Consumption'!I29+'Kwh Consumption'!J29)</f>
        <v>311.99999999999761</v>
      </c>
      <c r="H28" s="1">
        <f>('Kwh Consumption'!K29+'Kwh Consumption'!L29)</f>
        <v>1509.9999999999341</v>
      </c>
      <c r="I28" s="1">
        <f>('Kwh Consumption'!M29+'Kwh Consumption'!N29+'Kwh Consumption'!O29+'Kwh Consumption'!P29+'Kwh Consumption'!Q29+'Kwh Consumption'!R29)</f>
        <v>5010.0000000000473</v>
      </c>
      <c r="J28" s="1">
        <f>('Kwh Consumption'!S29+'Kwh Consumption'!T29)</f>
        <v>4851.6899999994785</v>
      </c>
      <c r="K28" s="1">
        <f>'Kwh Consumption'!U29</f>
        <v>299.99999999999716</v>
      </c>
      <c r="L28" s="32">
        <f t="shared" si="0"/>
        <v>7056.3099999999786</v>
      </c>
    </row>
    <row r="29" spans="1:12" x14ac:dyDescent="0.25">
      <c r="A29" s="14">
        <f>'Kwh Reading'!A30</f>
        <v>44254</v>
      </c>
      <c r="B29" s="83">
        <f>TOTAL!E28</f>
        <v>22350.000000000589</v>
      </c>
      <c r="C29" s="1">
        <f>'Kwh Consumption'!C30</f>
        <v>500</v>
      </c>
      <c r="D29" s="1">
        <f>'Kwh Consumption'!D30</f>
        <v>2499.9999999999468</v>
      </c>
      <c r="E29" s="1">
        <f>'Kwh Consumption'!E30</f>
        <v>250</v>
      </c>
      <c r="F29" s="1">
        <f>('Kwh Consumption'!F30+'Kwh Consumption'!G30+'Kwh Consumption'!H30)</f>
        <v>859.99999999998522</v>
      </c>
      <c r="G29" s="16">
        <f>('Kwh Consumption'!I30+'Kwh Consumption'!J30)</f>
        <v>811.00000000000705</v>
      </c>
      <c r="H29" s="1">
        <f>('Kwh Consumption'!K30+'Kwh Consumption'!L30)</f>
        <v>1549.9999999999829</v>
      </c>
      <c r="I29" s="1">
        <f>('Kwh Consumption'!M30+'Kwh Consumption'!N30+'Kwh Consumption'!O30+'Kwh Consumption'!P30+'Kwh Consumption'!Q30+'Kwh Consumption'!R30)</f>
        <v>4809.9999999999454</v>
      </c>
      <c r="J29" s="1">
        <f>('Kwh Consumption'!S30+'Kwh Consumption'!T30)</f>
        <v>5156.8500000005588</v>
      </c>
      <c r="K29" s="1">
        <f>'Kwh Consumption'!U30</f>
        <v>260.00000000000512</v>
      </c>
      <c r="L29" s="32">
        <f t="shared" si="0"/>
        <v>5652.1500000001579</v>
      </c>
    </row>
    <row r="30" spans="1:12" x14ac:dyDescent="0.25">
      <c r="A30" s="14">
        <f>'Kwh Reading'!A31</f>
        <v>44255</v>
      </c>
      <c r="B30" s="83">
        <f>TOTAL!E29</f>
        <v>0</v>
      </c>
      <c r="C30" s="1">
        <f>'Kwh Consumption'!C31</f>
        <v>-363630</v>
      </c>
      <c r="D30" s="1">
        <f>'Kwh Consumption'!D31</f>
        <v>-2081300.0000000002</v>
      </c>
      <c r="E30" s="1">
        <f>'Kwh Consumption'!E31</f>
        <v>-201930</v>
      </c>
      <c r="F30" s="1">
        <f>('Kwh Consumption'!F31+'Kwh Consumption'!G31+'Kwh Consumption'!H31)</f>
        <v>-803560</v>
      </c>
      <c r="G30" s="16">
        <f>('Kwh Consumption'!I31+'Kwh Consumption'!J31)</f>
        <v>-223727</v>
      </c>
      <c r="H30" s="1">
        <f>('Kwh Consumption'!K31+'Kwh Consumption'!L31)</f>
        <v>-1018080</v>
      </c>
      <c r="I30" s="1">
        <f>('Kwh Consumption'!M31+'Kwh Consumption'!N31+'Kwh Consumption'!O31+'Kwh Consumption'!P31+'Kwh Consumption'!Q31+'Kwh Consumption'!R31)</f>
        <v>-2831860</v>
      </c>
      <c r="J30" s="1">
        <f>('Kwh Consumption'!S31+'Kwh Consumption'!T31)</f>
        <v>-14994196.949999999</v>
      </c>
      <c r="K30" s="1">
        <f>'Kwh Consumption'!U31</f>
        <v>-121110</v>
      </c>
      <c r="L30" s="32">
        <f t="shared" si="0"/>
        <v>22639393.949999999</v>
      </c>
    </row>
    <row r="31" spans="1:12" x14ac:dyDescent="0.25">
      <c r="A31" s="14">
        <f>'Kwh Reading'!A32</f>
        <v>0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0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0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591459.99999999965</v>
      </c>
      <c r="C34" s="75">
        <f>SUM(C3:C33)</f>
        <v>-350440</v>
      </c>
      <c r="D34" s="75">
        <f t="shared" ref="D34:L34" si="1">SUM(D3:D33)</f>
        <v>-2013700</v>
      </c>
      <c r="E34" s="75">
        <f t="shared" si="1"/>
        <v>-195330</v>
      </c>
      <c r="F34" s="75">
        <f t="shared" si="1"/>
        <v>-780280</v>
      </c>
      <c r="G34" s="75">
        <f t="shared" si="1"/>
        <v>-214806</v>
      </c>
      <c r="H34" s="75">
        <f t="shared" si="1"/>
        <v>-979060.00000000012</v>
      </c>
      <c r="I34" s="75">
        <f t="shared" si="1"/>
        <v>-2700410</v>
      </c>
      <c r="J34" s="75">
        <f t="shared" si="1"/>
        <v>-14857534.68</v>
      </c>
      <c r="K34" s="75">
        <f t="shared" si="1"/>
        <v>-114830</v>
      </c>
      <c r="L34" s="75">
        <f t="shared" si="1"/>
        <v>22797850.68</v>
      </c>
      <c r="M34" s="84">
        <f>C34+D34+E34+F34+G34+H34+I34+J34+K34+L34</f>
        <v>591460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-49061.600000000006</v>
      </c>
      <c r="D36" s="75">
        <f>D34*B36</f>
        <v>-281918</v>
      </c>
      <c r="E36" s="75">
        <f>E34*B36</f>
        <v>-27346.200000000004</v>
      </c>
      <c r="F36" s="75">
        <f>F34*B36</f>
        <v>-109239.20000000001</v>
      </c>
      <c r="G36" s="75">
        <f>G34*B36</f>
        <v>-30072.840000000004</v>
      </c>
      <c r="H36" s="75">
        <f>H34*B36</f>
        <v>-137068.40000000002</v>
      </c>
      <c r="I36" s="75">
        <f>I34*B36</f>
        <v>-378057.4</v>
      </c>
      <c r="J36" s="75">
        <f>J34*B36</f>
        <v>-2080054.8552000001</v>
      </c>
      <c r="K36" s="75">
        <f>K34*B36</f>
        <v>-16076.2</v>
      </c>
      <c r="L36" s="75">
        <f>L34*B36</f>
        <v>3191699.0952000003</v>
      </c>
      <c r="M36" s="84">
        <f>C36+D36+E36+F36+G36+H36+I36+J36+K36+L36</f>
        <v>82804.399999999907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12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44228</v>
      </c>
      <c r="B3" s="11">
        <f>TOTAL!F2</f>
        <v>0.14000000000000001</v>
      </c>
      <c r="C3" s="11">
        <f>'Kwh Consumption'!B4*' Kwh area wise $ '!B3</f>
        <v>2878.4</v>
      </c>
      <c r="D3" s="1">
        <f>'Kwh Consumption'!C4*' Kwh area wise $ '!B3</f>
        <v>58.800000000002235</v>
      </c>
      <c r="E3" s="1">
        <f>'Kwh Consumption'!D4*' Kwh area wise $ '!B3</f>
        <v>335.99999999996305</v>
      </c>
      <c r="F3" s="1">
        <f>'Kwh Consumption'!E4*' Kwh area wise $ '!B3</f>
        <v>36.399999999998727</v>
      </c>
      <c r="G3" s="1">
        <f>('Kwh Consumption'!F4+'Kwh Consumption'!G4+'Kwh Consumption'!H4)*' Kwh area wise $ '!B3</f>
        <v>113.40000000000033</v>
      </c>
      <c r="H3" s="16">
        <f>('Kwh Consumption'!I4+'Kwh Consumption'!J4)*' Kwh area wise $ '!B3</f>
        <v>42.420000000001615</v>
      </c>
      <c r="I3" s="1">
        <f>('Kwh Consumption'!K4+'Kwh Consumption'!L4)*' Kwh area wise $ '!B3</f>
        <v>197.39999999999557</v>
      </c>
      <c r="J3" s="1">
        <f>('Kwh Consumption'!M4+'Kwh Consumption'!N4+'Kwh Consumption'!O4+'Kwh Consumption'!P4+'Kwh Consumption'!Q4+'Kwh Consumption'!R4)*' Kwh area wise $ '!B3</f>
        <v>646.79999999999268</v>
      </c>
      <c r="K3" s="1">
        <f>('Kwh Consumption'!S4+'Kwh Consumption'!T4)*' Kwh area wise $ '!B3</f>
        <v>695.15599999992185</v>
      </c>
      <c r="L3" s="1">
        <f>'Kwh Consumption'!U4*' Kwh area wise $ '!B3</f>
        <v>28.000000000000401</v>
      </c>
      <c r="M3" s="1">
        <f>'Kwh Consumption'!V4*' Kwh area wise $ '!B3</f>
        <v>724.02400000012392</v>
      </c>
    </row>
    <row r="4" spans="1:13" x14ac:dyDescent="0.25">
      <c r="A4" s="14">
        <f>'Kwh Reading'!A5</f>
        <v>44229</v>
      </c>
      <c r="B4" s="11">
        <f>TOTAL!F3</f>
        <v>0.14000000000000001</v>
      </c>
      <c r="C4" s="11">
        <f>'Kwh Consumption'!B5*' Kwh area wise $ '!B4</f>
        <v>3434.1999999999016</v>
      </c>
      <c r="D4" s="1">
        <f>'Kwh Consumption'!C5*' Kwh area wise $ '!B4</f>
        <v>78.400000000000333</v>
      </c>
      <c r="E4" s="1">
        <f>'Kwh Consumption'!D5*' Kwh area wise $ '!B4</f>
        <v>350.00000000005474</v>
      </c>
      <c r="F4" s="1">
        <f>'Kwh Consumption'!E5*' Kwh area wise $ '!B4</f>
        <v>40.599999999998893</v>
      </c>
      <c r="G4" s="1">
        <f>('Kwh Consumption'!F5+'Kwh Consumption'!G5+'Kwh Consumption'!H5)*' Kwh area wise $ '!B4</f>
        <v>135.80000000000382</v>
      </c>
      <c r="H4" s="16">
        <f>('Kwh Consumption'!I5+'Kwh Consumption'!J5)*' Kwh area wise $ '!B4</f>
        <v>53.199999999997381</v>
      </c>
      <c r="I4" s="1">
        <f>('Kwh Consumption'!K5+'Kwh Consumption'!L5)*' Kwh area wise $ '!B4</f>
        <v>212.79999999999748</v>
      </c>
      <c r="J4" s="1">
        <f>('Kwh Consumption'!M5+'Kwh Consumption'!N5+'Kwh Consumption'!O5+'Kwh Consumption'!P5+'Kwh Consumption'!Q5+'Kwh Consumption'!R5)*' Kwh area wise $ '!B4</f>
        <v>695.80000000000393</v>
      </c>
      <c r="K4" s="1">
        <f>('Kwh Consumption'!S5+'Kwh Consumption'!T5)*' Kwh area wise $ '!B4</f>
        <v>823.78939999999488</v>
      </c>
      <c r="L4" s="1">
        <f>'Kwh Consumption'!U5*' Kwh area wise $ '!B4</f>
        <v>28.000000000000401</v>
      </c>
      <c r="M4" s="1">
        <f>'Kwh Consumption'!V5*' Kwh area wise $ '!B4</f>
        <v>1015.8105999998489</v>
      </c>
    </row>
    <row r="5" spans="1:13" x14ac:dyDescent="0.25">
      <c r="A5" s="14">
        <f>'Kwh Reading'!A6</f>
        <v>44230</v>
      </c>
      <c r="B5" s="11">
        <f>TOTAL!F4</f>
        <v>0.14000000000000001</v>
      </c>
      <c r="C5" s="11">
        <f>'Kwh Consumption'!B6*' Kwh area wise $ '!B5</f>
        <v>2962.4000000000751</v>
      </c>
      <c r="D5" s="1">
        <f>'Kwh Consumption'!C6*' Kwh area wise $ '!B5</f>
        <v>72.799999999997453</v>
      </c>
      <c r="E5" s="1">
        <f>'Kwh Consumption'!D6*' Kwh area wise $ '!B5</f>
        <v>335.99999999996305</v>
      </c>
      <c r="F5" s="1">
        <f>'Kwh Consumption'!E6*' Kwh area wise $ '!B5</f>
        <v>33.600000000001273</v>
      </c>
      <c r="G5" s="1">
        <f>('Kwh Consumption'!F6+'Kwh Consumption'!G6+'Kwh Consumption'!H6)*' Kwh area wise $ '!B5</f>
        <v>117.59999999999253</v>
      </c>
      <c r="H5" s="16">
        <f>('Kwh Consumption'!I6+'Kwh Consumption'!J6)*' Kwh area wise $ '!B5</f>
        <v>40.460000000002204</v>
      </c>
      <c r="I5" s="1">
        <f>('Kwh Consumption'!K6+'Kwh Consumption'!L6)*' Kwh area wise $ '!B5</f>
        <v>198.79999999999828</v>
      </c>
      <c r="J5" s="1">
        <f>('Kwh Consumption'!M6+'Kwh Consumption'!N6+'Kwh Consumption'!O6+'Kwh Consumption'!P6+'Kwh Consumption'!Q6+'Kwh Consumption'!R6)*' Kwh area wise $ '!B5</f>
        <v>662.20000000000266</v>
      </c>
      <c r="K5" s="1">
        <f>('Kwh Consumption'!S6+'Kwh Consumption'!T6)*' Kwh area wise $ '!B5</f>
        <v>725.51920000003656</v>
      </c>
      <c r="L5" s="1">
        <f>'Kwh Consumption'!U6*' Kwh area wise $ '!B5</f>
        <v>28.000000000000401</v>
      </c>
      <c r="M5" s="1">
        <f>'Kwh Consumption'!V6*' Kwh area wise $ '!B5</f>
        <v>747.4208000000807</v>
      </c>
    </row>
    <row r="6" spans="1:13" x14ac:dyDescent="0.25">
      <c r="A6" s="14">
        <f>'Kwh Reading'!A7</f>
        <v>44231</v>
      </c>
      <c r="B6" s="11">
        <f>TOTAL!F5</f>
        <v>0.14000000000000001</v>
      </c>
      <c r="C6" s="11">
        <f>'Kwh Consumption'!B7*' Kwh area wise $ '!B6</f>
        <v>2867.2000000000658</v>
      </c>
      <c r="D6" s="1">
        <f>'Kwh Consumption'!C7*' Kwh area wise $ '!B6</f>
        <v>67.200000000002547</v>
      </c>
      <c r="E6" s="1">
        <f>'Kwh Consumption'!D7*' Kwh area wise $ '!B6</f>
        <v>349.99999999999261</v>
      </c>
      <c r="F6" s="1">
        <f>'Kwh Consumption'!E7*' Kwh area wise $ '!B6</f>
        <v>35</v>
      </c>
      <c r="G6" s="1">
        <f>('Kwh Consumption'!F7+'Kwh Consumption'!G7+'Kwh Consumption'!H7)*' Kwh area wise $ '!B6</f>
        <v>120.40000000000988</v>
      </c>
      <c r="H6" s="16">
        <f>('Kwh Consumption'!I7+'Kwh Consumption'!J7)*' Kwh area wise $ '!B6</f>
        <v>34.300000000000637</v>
      </c>
      <c r="I6" s="1">
        <f>('Kwh Consumption'!K7+'Kwh Consumption'!L7)*' Kwh area wise $ '!B6</f>
        <v>201.59999999999573</v>
      </c>
      <c r="J6" s="1">
        <f>('Kwh Consumption'!M7+'Kwh Consumption'!N7+'Kwh Consumption'!O7+'Kwh Consumption'!P7+'Kwh Consumption'!Q7+'Kwh Consumption'!R7)*' Kwh area wise $ '!B6</f>
        <v>680.40000000001794</v>
      </c>
      <c r="K6" s="1">
        <f>('Kwh Consumption'!S7+'Kwh Consumption'!T7)*' Kwh area wise $ '!B6</f>
        <v>735.45079999996358</v>
      </c>
      <c r="L6" s="1">
        <f>'Kwh Consumption'!U7*' Kwh area wise $ '!B6</f>
        <v>26.599999999999685</v>
      </c>
      <c r="M6" s="1">
        <f>'Kwh Consumption'!V7*' Kwh area wise $ '!B6</f>
        <v>616.24920000008342</v>
      </c>
    </row>
    <row r="7" spans="1:13" x14ac:dyDescent="0.25">
      <c r="A7" s="14">
        <f>'Kwh Reading'!A8</f>
        <v>44232</v>
      </c>
      <c r="B7" s="11">
        <f>TOTAL!F6</f>
        <v>0.14000000000000001</v>
      </c>
      <c r="C7" s="11">
        <f>'Kwh Consumption'!B8*' Kwh area wise $ '!B7</f>
        <v>2917.6000000000208</v>
      </c>
      <c r="D7" s="1">
        <f>'Kwh Consumption'!C8*' Kwh area wise $ '!B7</f>
        <v>39.199999999996187</v>
      </c>
      <c r="E7" s="1">
        <f>'Kwh Consumption'!D8*' Kwh area wise $ '!B7</f>
        <v>349.99999999999261</v>
      </c>
      <c r="F7" s="1">
        <f>'Kwh Consumption'!E8*' Kwh area wise $ '!B7</f>
        <v>35</v>
      </c>
      <c r="G7" s="1">
        <f>('Kwh Consumption'!F8+'Kwh Consumption'!G8+'Kwh Consumption'!H8)*' Kwh area wise $ '!B7</f>
        <v>116.19999999998983</v>
      </c>
      <c r="H7" s="16">
        <f>('Kwh Consumption'!I8+'Kwh Consumption'!J8)*' Kwh area wise $ '!B7</f>
        <v>44.519999999997715</v>
      </c>
      <c r="I7" s="1">
        <f>('Kwh Consumption'!K8+'Kwh Consumption'!L8)*' Kwh area wise $ '!B7</f>
        <v>39.200000000012103</v>
      </c>
      <c r="J7" s="1">
        <f>('Kwh Consumption'!M8+'Kwh Consumption'!N8+'Kwh Consumption'!O8+'Kwh Consumption'!P8+'Kwh Consumption'!Q8+'Kwh Consumption'!R8)*' Kwh area wise $ '!B7</f>
        <v>611.79999999999268</v>
      </c>
      <c r="K7" s="1">
        <f>('Kwh Consumption'!S8+'Kwh Consumption'!T8)*' Kwh area wise $ '!B7</f>
        <v>610.01779999993744</v>
      </c>
      <c r="L7" s="1">
        <f>'Kwh Consumption'!U8*' Kwh area wise $ '!B7</f>
        <v>29.399999999999128</v>
      </c>
      <c r="M7" s="1">
        <f>'Kwh Consumption'!V8*' Kwh area wise $ '!B7</f>
        <v>1042.2622000001027</v>
      </c>
    </row>
    <row r="8" spans="1:13" x14ac:dyDescent="0.25">
      <c r="A8" s="14">
        <f>'Kwh Reading'!A9</f>
        <v>44233</v>
      </c>
      <c r="B8" s="11">
        <f>TOTAL!F7</f>
        <v>0.14000000000000001</v>
      </c>
      <c r="C8" s="11">
        <f>'Kwh Consumption'!B9*' Kwh area wise $ '!B8</f>
        <v>3035.1999999998502</v>
      </c>
      <c r="D8" s="1">
        <f>'Kwh Consumption'!C9*' Kwh area wise $ '!B8</f>
        <v>72.800000000005411</v>
      </c>
      <c r="E8" s="1">
        <f>'Kwh Consumption'!D9*' Kwh area wise $ '!B8</f>
        <v>364.00000000002211</v>
      </c>
      <c r="F8" s="1">
        <f>'Kwh Consumption'!E9*' Kwh area wise $ '!B8</f>
        <v>39.200000000000166</v>
      </c>
      <c r="G8" s="1">
        <f>('Kwh Consumption'!F9+'Kwh Consumption'!G9+'Kwh Consumption'!H9)*' Kwh area wise $ '!B8</f>
        <v>120.40000000000192</v>
      </c>
      <c r="H8" s="16">
        <f>('Kwh Consumption'!I9+'Kwh Consumption'!J9)*' Kwh area wise $ '!B8</f>
        <v>49.280000000000548</v>
      </c>
      <c r="I8" s="1">
        <f>('Kwh Consumption'!K9+'Kwh Consumption'!L9)*' Kwh area wise $ '!B8</f>
        <v>356.99999999998573</v>
      </c>
      <c r="J8" s="1">
        <f>('Kwh Consumption'!M9+'Kwh Consumption'!N9+'Kwh Consumption'!O9+'Kwh Consumption'!P9+'Kwh Consumption'!Q9+'Kwh Consumption'!R9)*' Kwh area wise $ '!B8</f>
        <v>681.80000000000075</v>
      </c>
      <c r="K8" s="1">
        <f>('Kwh Consumption'!S9+'Kwh Consumption'!T9)*' Kwh area wise $ '!B8</f>
        <v>745.1934000000731</v>
      </c>
      <c r="L8" s="1">
        <f>'Kwh Consumption'!U9*' Kwh area wise $ '!B8</f>
        <v>29.400000000001118</v>
      </c>
      <c r="M8" s="1">
        <f>'Kwh Consumption'!V9*' Kwh area wise $ '!B8</f>
        <v>576.12659999975949</v>
      </c>
    </row>
    <row r="9" spans="1:13" x14ac:dyDescent="0.25">
      <c r="A9" s="14">
        <f>'Kwh Reading'!A10</f>
        <v>44234</v>
      </c>
      <c r="B9" s="11">
        <f>TOTAL!F8</f>
        <v>0.14000000000000001</v>
      </c>
      <c r="C9" s="11">
        <f>'Kwh Consumption'!B10*' Kwh area wise $ '!B9</f>
        <v>2818.2000000001112</v>
      </c>
      <c r="D9" s="1">
        <f>'Kwh Consumption'!C10*' Kwh area wise $ '!B9</f>
        <v>71.399999999998727</v>
      </c>
      <c r="E9" s="1">
        <f>'Kwh Consumption'!D10*' Kwh area wise $ '!B9</f>
        <v>321.99999999999562</v>
      </c>
      <c r="F9" s="1">
        <f>'Kwh Consumption'!E10*' Kwh area wise $ '!B9</f>
        <v>26.599999999999685</v>
      </c>
      <c r="G9" s="1">
        <f>('Kwh Consumption'!F10+'Kwh Consumption'!G10+'Kwh Consumption'!H10)*' Kwh area wise $ '!B9</f>
        <v>93.800000000002242</v>
      </c>
      <c r="H9" s="16">
        <f>('Kwh Consumption'!I10+'Kwh Consumption'!J10)*' Kwh area wise $ '!B9</f>
        <v>34.859999999999332</v>
      </c>
      <c r="I9" s="1">
        <f>('Kwh Consumption'!K10+'Kwh Consumption'!L10)*' Kwh area wise $ '!B9</f>
        <v>182.00000000001356</v>
      </c>
      <c r="J9" s="1">
        <f>('Kwh Consumption'!M10+'Kwh Consumption'!N10+'Kwh Consumption'!O10+'Kwh Consumption'!P10+'Kwh Consumption'!Q10+'Kwh Consumption'!R10)*' Kwh area wise $ '!B9</f>
        <v>601.99999999999375</v>
      </c>
      <c r="K9" s="1">
        <f>('Kwh Consumption'!S10+'Kwh Consumption'!T10)*' Kwh area wise $ '!B9</f>
        <v>639.24839999994265</v>
      </c>
      <c r="L9" s="1">
        <f>'Kwh Consumption'!U10*' Kwh area wise $ '!B9</f>
        <v>27.999999999998412</v>
      </c>
      <c r="M9" s="1">
        <f>'Kwh Consumption'!V10*' Kwh area wise $ '!B9</f>
        <v>818.29160000016725</v>
      </c>
    </row>
    <row r="10" spans="1:13" x14ac:dyDescent="0.25">
      <c r="A10" s="14">
        <f>'Kwh Reading'!A11</f>
        <v>44235</v>
      </c>
      <c r="B10" s="11">
        <f>TOTAL!F9</f>
        <v>0.14000000000000001</v>
      </c>
      <c r="C10" s="11">
        <f>'Kwh Consumption'!B11*' Kwh area wise $ '!B10</f>
        <v>3035.2000000000094</v>
      </c>
      <c r="D10" s="1">
        <f>'Kwh Consumption'!C11*' Kwh area wise $ '!B10</f>
        <v>71.399999999998727</v>
      </c>
      <c r="E10" s="1">
        <f>'Kwh Consumption'!D11*' Kwh area wise $ '!B10</f>
        <v>293.99999999999875</v>
      </c>
      <c r="F10" s="1">
        <f>'Kwh Consumption'!E11*' Kwh area wise $ '!B10</f>
        <v>35</v>
      </c>
      <c r="G10" s="1">
        <f>('Kwh Consumption'!F11+'Kwh Consumption'!G11+'Kwh Consumption'!H11)*' Kwh area wise $ '!B10</f>
        <v>121.80000000000065</v>
      </c>
      <c r="H10" s="16">
        <f>('Kwh Consumption'!I11+'Kwh Consumption'!J11)*' Kwh area wise $ '!B10</f>
        <v>47.320000000001137</v>
      </c>
      <c r="I10" s="1">
        <f>('Kwh Consumption'!K11+'Kwh Consumption'!L11)*' Kwh area wise $ '!B10</f>
        <v>198.79999999999828</v>
      </c>
      <c r="J10" s="1">
        <f>('Kwh Consumption'!M11+'Kwh Consumption'!N11+'Kwh Consumption'!O11+'Kwh Consumption'!P11+'Kwh Consumption'!Q11+'Kwh Consumption'!R11)*' Kwh area wise $ '!B10</f>
        <v>679.00000000001125</v>
      </c>
      <c r="K10" s="1">
        <f>('Kwh Consumption'!S11+'Kwh Consumption'!T11)*' Kwh area wise $ '!B10</f>
        <v>745.27600000005225</v>
      </c>
      <c r="L10" s="1">
        <f>'Kwh Consumption'!U11*' Kwh area wise $ '!B10</f>
        <v>28.000000000000401</v>
      </c>
      <c r="M10" s="1">
        <f>'Kwh Consumption'!V11*' Kwh area wise $ '!B10</f>
        <v>814.60399999994797</v>
      </c>
    </row>
    <row r="11" spans="1:13" x14ac:dyDescent="0.25">
      <c r="A11" s="14">
        <f>'Kwh Reading'!A12</f>
        <v>44236</v>
      </c>
      <c r="B11" s="11">
        <f>TOTAL!F10</f>
        <v>0.14000000000000001</v>
      </c>
      <c r="C11" s="11">
        <f>'Kwh Consumption'!B12*' Kwh area wise $ '!B11</f>
        <v>2848.9999999999241</v>
      </c>
      <c r="D11" s="1">
        <f>'Kwh Consumption'!C12*' Kwh area wise $ '!B11</f>
        <v>70</v>
      </c>
      <c r="E11" s="1">
        <f>'Kwh Consumption'!D12*' Kwh area wise $ '!B11</f>
        <v>377.99999999998948</v>
      </c>
      <c r="F11" s="1">
        <f>'Kwh Consumption'!E12*' Kwh area wise $ '!B11</f>
        <v>35</v>
      </c>
      <c r="G11" s="1">
        <f>('Kwh Consumption'!F12+'Kwh Consumption'!G12+'Kwh Consumption'!H12)*' Kwh area wise $ '!B11</f>
        <v>103.59999999999731</v>
      </c>
      <c r="H11" s="16">
        <f>('Kwh Consumption'!I12+'Kwh Consumption'!J12)*' Kwh area wise $ '!B11</f>
        <v>45.639999999999084</v>
      </c>
      <c r="I11" s="1">
        <f>('Kwh Consumption'!K12+'Kwh Consumption'!L12)*' Kwh area wise $ '!B11</f>
        <v>194.6000000000021</v>
      </c>
      <c r="J11" s="1">
        <f>('Kwh Consumption'!M12+'Kwh Consumption'!N12+'Kwh Consumption'!O12+'Kwh Consumption'!P12+'Kwh Consumption'!Q12+'Kwh Consumption'!R12)*' Kwh area wise $ '!B11</f>
        <v>662.1999999999947</v>
      </c>
      <c r="K11" s="1">
        <f>('Kwh Consumption'!S12+'Kwh Consumption'!T12)*' Kwh area wise $ '!B11</f>
        <v>674.72579999996356</v>
      </c>
      <c r="L11" s="1">
        <f>'Kwh Consumption'!U12*' Kwh area wise $ '!B11</f>
        <v>30.799999999999844</v>
      </c>
      <c r="M11" s="1">
        <f>'Kwh Consumption'!V12*' Kwh area wise $ '!B11</f>
        <v>654.43419999997798</v>
      </c>
    </row>
    <row r="12" spans="1:13" x14ac:dyDescent="0.25">
      <c r="A12" s="14">
        <f>'Kwh Reading'!A13</f>
        <v>44237</v>
      </c>
      <c r="B12" s="11">
        <f>TOTAL!F11</f>
        <v>0.14000000000000001</v>
      </c>
      <c r="C12" s="11">
        <f>'Kwh Consumption'!B13*' Kwh area wise $ '!B12</f>
        <v>3039.3999999999423</v>
      </c>
      <c r="D12" s="1">
        <f>'Kwh Consumption'!C13*' Kwh area wise $ '!B12</f>
        <v>74.19999999999618</v>
      </c>
      <c r="E12" s="1">
        <f>'Kwh Consumption'!D13*' Kwh area wise $ '!B12</f>
        <v>349.99999999999261</v>
      </c>
      <c r="F12" s="1">
        <f>'Kwh Consumption'!E13*' Kwh area wise $ '!B12</f>
        <v>33.600000000001273</v>
      </c>
      <c r="G12" s="1">
        <f>('Kwh Consumption'!F13+'Kwh Consumption'!G13+'Kwh Consumption'!H13)*' Kwh area wise $ '!B12</f>
        <v>124.5999999999981</v>
      </c>
      <c r="H12" s="16">
        <f>('Kwh Consumption'!I13+'Kwh Consumption'!J13)*' Kwh area wise $ '!B12</f>
        <v>33.599999999999284</v>
      </c>
      <c r="I12" s="1">
        <f>('Kwh Consumption'!K13+'Kwh Consumption'!L13)*' Kwh area wise $ '!B12</f>
        <v>205.79999999999191</v>
      </c>
      <c r="J12" s="1">
        <f>('Kwh Consumption'!M13+'Kwh Consumption'!N13+'Kwh Consumption'!O13+'Kwh Consumption'!P13+'Kwh Consumption'!Q13+'Kwh Consumption'!R13)*' Kwh area wise $ '!B12</f>
        <v>655.19999999998504</v>
      </c>
      <c r="K12" s="1">
        <f>('Kwh Consumption'!S13+'Kwh Consumption'!T13)*' Kwh area wise $ '!B12</f>
        <v>663.78900000007832</v>
      </c>
      <c r="L12" s="1">
        <f>'Kwh Consumption'!U13*' Kwh area wise $ '!B12</f>
        <v>28.000000000000401</v>
      </c>
      <c r="M12" s="1">
        <f>'Kwh Consumption'!V13*' Kwh area wise $ '!B12</f>
        <v>870.61099999989915</v>
      </c>
    </row>
    <row r="13" spans="1:13" x14ac:dyDescent="0.25">
      <c r="A13" s="14">
        <f>'Kwh Reading'!A14</f>
        <v>44238</v>
      </c>
      <c r="B13" s="11">
        <f>TOTAL!F12</f>
        <v>0.14000000000000001</v>
      </c>
      <c r="C13" s="11">
        <f>'Kwh Consumption'!B14*' Kwh area wise $ '!B13</f>
        <v>2899.4000000001965</v>
      </c>
      <c r="D13" s="1">
        <f>'Kwh Consumption'!C14*' Kwh area wise $ '!B13</f>
        <v>67.200000000002547</v>
      </c>
      <c r="E13" s="1">
        <f>'Kwh Consumption'!D14*' Kwh area wise $ '!B13</f>
        <v>322.00000000005781</v>
      </c>
      <c r="F13" s="1">
        <f>'Kwh Consumption'!E14*' Kwh area wise $ '!B13</f>
        <v>33.599999999997294</v>
      </c>
      <c r="G13" s="1">
        <f>('Kwh Consumption'!F14+'Kwh Consumption'!G14+'Kwh Consumption'!H14)*' Kwh area wise $ '!B13</f>
        <v>96.600000000003675</v>
      </c>
      <c r="H13" s="16">
        <f>('Kwh Consumption'!I14+'Kwh Consumption'!J14)*' Kwh area wise $ '!B13</f>
        <v>38.360000000002124</v>
      </c>
      <c r="I13" s="1">
        <f>('Kwh Consumption'!K14+'Kwh Consumption'!L14)*' Kwh area wise $ '!B13</f>
        <v>187.59999999999255</v>
      </c>
      <c r="J13" s="1">
        <f>('Kwh Consumption'!M14+'Kwh Consumption'!N14+'Kwh Consumption'!O14+'Kwh Consumption'!P14+'Kwh Consumption'!Q14+'Kwh Consumption'!R14)*' Kwh area wise $ '!B13</f>
        <v>600.60000000001094</v>
      </c>
      <c r="K13" s="1">
        <f>('Kwh Consumption'!S14+'Kwh Consumption'!T14)*' Kwh area wise $ '!B13</f>
        <v>629.81379999985927</v>
      </c>
      <c r="L13" s="1">
        <f>'Kwh Consumption'!U14*' Kwh area wise $ '!B13</f>
        <v>26.599999999999685</v>
      </c>
      <c r="M13" s="1">
        <f>'Kwh Consumption'!V14*' Kwh area wise $ '!B13</f>
        <v>897.02620000027048</v>
      </c>
    </row>
    <row r="14" spans="1:13" x14ac:dyDescent="0.25">
      <c r="A14" s="14">
        <f>'Kwh Reading'!A15</f>
        <v>44239</v>
      </c>
      <c r="B14" s="11">
        <f>TOTAL!F13</f>
        <v>0.14000000000000001</v>
      </c>
      <c r="C14" s="11">
        <f>'Kwh Consumption'!B15*' Kwh area wise $ '!B14</f>
        <v>2883.9999999999241</v>
      </c>
      <c r="D14" s="1">
        <f>'Kwh Consumption'!C15*' Kwh area wise $ '!B14</f>
        <v>37.799999999997461</v>
      </c>
      <c r="E14" s="1">
        <f>'Kwh Consumption'!D15*' Kwh area wise $ '!B14</f>
        <v>349.99999999999261</v>
      </c>
      <c r="F14" s="1">
        <f>'Kwh Consumption'!E15*' Kwh area wise $ '!B14</f>
        <v>32.200000000002547</v>
      </c>
      <c r="G14" s="1">
        <f>('Kwh Consumption'!F15+'Kwh Consumption'!G15+'Kwh Consumption'!H15)*' Kwh area wise $ '!B14</f>
        <v>103.59999999999731</v>
      </c>
      <c r="H14" s="16">
        <f>('Kwh Consumption'!I15+'Kwh Consumption'!J15)*' Kwh area wise $ '!B14</f>
        <v>51.099999999999291</v>
      </c>
      <c r="I14" s="1">
        <f>('Kwh Consumption'!K15+'Kwh Consumption'!L15)*' Kwh area wise $ '!B14</f>
        <v>44.80000000000701</v>
      </c>
      <c r="J14" s="1">
        <f>('Kwh Consumption'!M15+'Kwh Consumption'!N15+'Kwh Consumption'!O15+'Kwh Consumption'!P15+'Kwh Consumption'!Q15+'Kwh Consumption'!R15)*' Kwh area wise $ '!B14</f>
        <v>628.6000000000173</v>
      </c>
      <c r="K14" s="1">
        <f>('Kwh Consumption'!S15+'Kwh Consumption'!T15)*' Kwh area wise $ '!B14</f>
        <v>647.36980000004178</v>
      </c>
      <c r="L14" s="1">
        <f>'Kwh Consumption'!U15*' Kwh area wise $ '!B14</f>
        <v>26.599999999999685</v>
      </c>
      <c r="M14" s="1">
        <f>'Kwh Consumption'!V15*' Kwh area wise $ '!B14</f>
        <v>961.93019999986871</v>
      </c>
    </row>
    <row r="15" spans="1:13" x14ac:dyDescent="0.25">
      <c r="A15" s="14">
        <f>'Kwh Reading'!A16</f>
        <v>44240</v>
      </c>
      <c r="B15" s="11">
        <f>TOTAL!F14</f>
        <v>0.14000000000000001</v>
      </c>
      <c r="C15" s="11">
        <f>'Kwh Consumption'!B16*' Kwh area wise $ '!B15</f>
        <v>2921.7999999999533</v>
      </c>
      <c r="D15" s="1">
        <f>'Kwh Consumption'!C16*' Kwh area wise $ '!B15</f>
        <v>81.200000000005744</v>
      </c>
      <c r="E15" s="1">
        <f>'Kwh Consumption'!D16*' Kwh area wise $ '!B15</f>
        <v>363.99999999995993</v>
      </c>
      <c r="F15" s="1">
        <f>'Kwh Consumption'!E16*' Kwh area wise $ '!B15</f>
        <v>35</v>
      </c>
      <c r="G15" s="1">
        <f>('Kwh Consumption'!F16+'Kwh Consumption'!G16+'Kwh Consumption'!H16)*' Kwh area wise $ '!B15</f>
        <v>114.80000000000304</v>
      </c>
      <c r="H15" s="16">
        <f>('Kwh Consumption'!I16+'Kwh Consumption'!J16)*' Kwh area wise $ '!B15</f>
        <v>48.719999999999864</v>
      </c>
      <c r="I15" s="1">
        <f>('Kwh Consumption'!K16+'Kwh Consumption'!L16)*' Kwh area wise $ '!B15</f>
        <v>340.20000000000101</v>
      </c>
      <c r="J15" s="1">
        <f>('Kwh Consumption'!M16+'Kwh Consumption'!N16+'Kwh Consumption'!O16+'Kwh Consumption'!P16+'Kwh Consumption'!Q16+'Kwh Consumption'!R16)*' Kwh area wise $ '!B15</f>
        <v>712.5999999999807</v>
      </c>
      <c r="K15" s="1">
        <f>('Kwh Consumption'!S16+'Kwh Consumption'!T16)*' Kwh area wise $ '!B15</f>
        <v>791.01540000004707</v>
      </c>
      <c r="L15" s="1">
        <f>'Kwh Consumption'!U16*' Kwh area wise $ '!B15</f>
        <v>33.600000000001273</v>
      </c>
      <c r="M15" s="1">
        <f>'Kwh Consumption'!V16*' Kwh area wise $ '!B15</f>
        <v>400.66459999995516</v>
      </c>
    </row>
    <row r="16" spans="1:13" x14ac:dyDescent="0.25">
      <c r="A16" s="14">
        <f>'Kwh Reading'!A17</f>
        <v>44241</v>
      </c>
      <c r="B16" s="11">
        <f>TOTAL!F15</f>
        <v>0.14000000000000001</v>
      </c>
      <c r="C16" s="11">
        <f>'Kwh Consumption'!B17*' Kwh area wise $ '!B16</f>
        <v>3365.600000000059</v>
      </c>
      <c r="D16" s="1">
        <f>'Kwh Consumption'!C17*' Kwh area wise $ '!B16</f>
        <v>83.999999999995239</v>
      </c>
      <c r="E16" s="1">
        <f>'Kwh Consumption'!D17*' Kwh area wise $ '!B16</f>
        <v>349.99999999999261</v>
      </c>
      <c r="F16" s="1">
        <f>'Kwh Consumption'!E17*' Kwh area wise $ '!B16</f>
        <v>33.599999999997294</v>
      </c>
      <c r="G16" s="1">
        <f>('Kwh Consumption'!F17+'Kwh Consumption'!G17+'Kwh Consumption'!H17)*' Kwh area wise $ '!B16</f>
        <v>119.0000000000032</v>
      </c>
      <c r="H16" s="16">
        <f>('Kwh Consumption'!I17+'Kwh Consumption'!J17)*' Kwh area wise $ '!B16</f>
        <v>37.660000000000771</v>
      </c>
      <c r="I16" s="1">
        <f>('Kwh Consumption'!K17+'Kwh Consumption'!L17)*' Kwh area wise $ '!B16</f>
        <v>163.80000000000226</v>
      </c>
      <c r="J16" s="1">
        <f>('Kwh Consumption'!M17+'Kwh Consumption'!N17+'Kwh Consumption'!O17+'Kwh Consumption'!P17+'Kwh Consumption'!Q17+'Kwh Consumption'!R17)*' Kwh area wise $ '!B16</f>
        <v>693.00000000000648</v>
      </c>
      <c r="K16" s="1">
        <f>('Kwh Consumption'!S17+'Kwh Consumption'!T17)*' Kwh area wise $ '!B16</f>
        <v>731.47899999994786</v>
      </c>
      <c r="L16" s="1">
        <f>'Kwh Consumption'!U17*' Kwh area wise $ '!B16</f>
        <v>33.599999999999284</v>
      </c>
      <c r="M16" s="1">
        <f>'Kwh Consumption'!V17*' Kwh area wise $ '!B16</f>
        <v>1119.4610000001137</v>
      </c>
    </row>
    <row r="17" spans="1:13" x14ac:dyDescent="0.25">
      <c r="A17" s="14">
        <f>'Kwh Reading'!A18</f>
        <v>44242</v>
      </c>
      <c r="B17" s="11">
        <f>TOTAL!F16</f>
        <v>0.14000000000000001</v>
      </c>
      <c r="C17" s="11">
        <f>'Kwh Consumption'!B18*' Kwh area wise $ '!B17</f>
        <v>3127.6000000000208</v>
      </c>
      <c r="D17" s="1">
        <f>'Kwh Consumption'!C18*' Kwh area wise $ '!B17</f>
        <v>75.600000000002879</v>
      </c>
      <c r="E17" s="1">
        <f>'Kwh Consumption'!D18*' Kwh area wise $ '!B17</f>
        <v>350.00000000005474</v>
      </c>
      <c r="F17" s="1">
        <f>'Kwh Consumption'!E18*' Kwh area wise $ '!B17</f>
        <v>30.799999999999844</v>
      </c>
      <c r="G17" s="1">
        <f>('Kwh Consumption'!F18+'Kwh Consumption'!G18+'Kwh Consumption'!H18)*' Kwh area wise $ '!B17</f>
        <v>96.599999999991738</v>
      </c>
      <c r="H17" s="16">
        <f>('Kwh Consumption'!I18+'Kwh Consumption'!J18)*' Kwh area wise $ '!B17</f>
        <v>38.499999999998813</v>
      </c>
      <c r="I17" s="1">
        <f>('Kwh Consumption'!K18+'Kwh Consumption'!L18)*' Kwh area wise $ '!B17</f>
        <v>222.60000000000448</v>
      </c>
      <c r="J17" s="1">
        <f>('Kwh Consumption'!M18+'Kwh Consumption'!N18+'Kwh Consumption'!O18+'Kwh Consumption'!P18+'Kwh Consumption'!Q18+'Kwh Consumption'!R18)*' Kwh area wise $ '!B17</f>
        <v>663.60000000000139</v>
      </c>
      <c r="K17" s="1">
        <f>('Kwh Consumption'!S18+'Kwh Consumption'!T18)*' Kwh area wise $ '!B17</f>
        <v>679.16380000011998</v>
      </c>
      <c r="L17" s="1">
        <f>'Kwh Consumption'!U18*' Kwh area wise $ '!B17</f>
        <v>36.400000000000716</v>
      </c>
      <c r="M17" s="1">
        <f>'Kwh Consumption'!V18*' Kwh area wise $ '!B17</f>
        <v>934.33619999984603</v>
      </c>
    </row>
    <row r="18" spans="1:13" x14ac:dyDescent="0.25">
      <c r="A18" s="14">
        <f>'Kwh Reading'!A19</f>
        <v>44243</v>
      </c>
      <c r="B18" s="11">
        <f>TOTAL!F17</f>
        <v>0.14000000000000001</v>
      </c>
      <c r="C18" s="11">
        <f>'Kwh Consumption'!B19*' Kwh area wise $ '!B18</f>
        <v>3173.7999999998833</v>
      </c>
      <c r="D18" s="1">
        <f>'Kwh Consumption'!C19*' Kwh area wise $ '!B18</f>
        <v>79.799999999999059</v>
      </c>
      <c r="E18" s="1">
        <f>'Kwh Consumption'!D19*' Kwh area wise $ '!B18</f>
        <v>391.99999999995686</v>
      </c>
      <c r="F18" s="1">
        <f>'Kwh Consumption'!E19*' Kwh area wise $ '!B18</f>
        <v>39.200000000000166</v>
      </c>
      <c r="G18" s="1">
        <f>('Kwh Consumption'!F19+'Kwh Consumption'!G19+'Kwh Consumption'!H19)*' Kwh area wise $ '!B18</f>
        <v>120.39999999999795</v>
      </c>
      <c r="H18" s="16">
        <f>('Kwh Consumption'!I19+'Kwh Consumption'!J19)*' Kwh area wise $ '!B18</f>
        <v>44.520000000001694</v>
      </c>
      <c r="I18" s="1">
        <f>('Kwh Consumption'!K19+'Kwh Consumption'!L19)*' Kwh area wise $ '!B18</f>
        <v>216.99999999999764</v>
      </c>
      <c r="J18" s="1">
        <f>('Kwh Consumption'!M19+'Kwh Consumption'!N19+'Kwh Consumption'!O19+'Kwh Consumption'!P19+'Kwh Consumption'!Q19+'Kwh Consumption'!R19)*' Kwh area wise $ '!B18</f>
        <v>758.7999999999945</v>
      </c>
      <c r="K18" s="1">
        <f>('Kwh Consumption'!S19+'Kwh Consumption'!T19)*' Kwh area wise $ '!B18</f>
        <v>770.69579999996358</v>
      </c>
      <c r="L18" s="1">
        <f>'Kwh Consumption'!U19*' Kwh area wise $ '!B18</f>
        <v>33.599999999999284</v>
      </c>
      <c r="M18" s="1">
        <f>'Kwh Consumption'!V19*' Kwh area wise $ '!B18</f>
        <v>717.78419999997243</v>
      </c>
    </row>
    <row r="19" spans="1:13" x14ac:dyDescent="0.25">
      <c r="A19" s="14">
        <f>'Kwh Reading'!A20</f>
        <v>44244</v>
      </c>
      <c r="B19" s="11">
        <f>TOTAL!F18</f>
        <v>0.14000000000000001</v>
      </c>
      <c r="C19" s="11">
        <f>'Kwh Consumption'!B20*' Kwh area wise $ '!B19</f>
        <v>3169.6000000000463</v>
      </c>
      <c r="D19" s="1">
        <f>'Kwh Consumption'!C20*' Kwh area wise $ '!B19</f>
        <v>81.199999999997786</v>
      </c>
      <c r="E19" s="1">
        <f>'Kwh Consumption'!D20*' Kwh area wise $ '!B19</f>
        <v>349.99999999999261</v>
      </c>
      <c r="F19" s="1">
        <f>'Kwh Consumption'!E20*' Kwh area wise $ '!B19</f>
        <v>32.200000000002547</v>
      </c>
      <c r="G19" s="1">
        <f>('Kwh Consumption'!F20+'Kwh Consumption'!G20+'Kwh Consumption'!H20)*' Kwh area wise $ '!B19</f>
        <v>127.40000000001147</v>
      </c>
      <c r="H19" s="16">
        <f>('Kwh Consumption'!I20+'Kwh Consumption'!J20)*' Kwh area wise $ '!B19</f>
        <v>44.099999999999689</v>
      </c>
      <c r="I19" s="1">
        <f>('Kwh Consumption'!K20+'Kwh Consumption'!L20)*' Kwh area wise $ '!B19</f>
        <v>205.79999999999191</v>
      </c>
      <c r="J19" s="1">
        <f>('Kwh Consumption'!M20+'Kwh Consumption'!N20+'Kwh Consumption'!O20+'Kwh Consumption'!P20+'Kwh Consumption'!Q20+'Kwh Consumption'!R20)*' Kwh area wise $ '!B19</f>
        <v>728.00000000001444</v>
      </c>
      <c r="K19" s="1">
        <f>('Kwh Consumption'!S20+'Kwh Consumption'!T20)*' Kwh area wise $ '!B19</f>
        <v>743.46720000006269</v>
      </c>
      <c r="L19" s="1">
        <f>'Kwh Consumption'!U20*' Kwh area wise $ '!B19</f>
        <v>37.79999999999945</v>
      </c>
      <c r="M19" s="1">
        <f>'Kwh Consumption'!V20*' Kwh area wise $ '!B19</f>
        <v>819.6327999999736</v>
      </c>
    </row>
    <row r="20" spans="1:13" x14ac:dyDescent="0.25">
      <c r="A20" s="14">
        <f>'Kwh Reading'!A21</f>
        <v>44245</v>
      </c>
      <c r="B20" s="11">
        <f>TOTAL!F19</f>
        <v>0.14000000000000001</v>
      </c>
      <c r="C20" s="11">
        <f>'Kwh Consumption'!B21*' Kwh area wise $ '!B20</f>
        <v>3252.1999999999707</v>
      </c>
      <c r="D20" s="1">
        <f>'Kwh Consumption'!C21*' Kwh area wise $ '!B20</f>
        <v>70</v>
      </c>
      <c r="E20" s="1">
        <f>'Kwh Consumption'!D21*' Kwh area wise $ '!B20</f>
        <v>349.99999999999261</v>
      </c>
      <c r="F20" s="1">
        <f>'Kwh Consumption'!E21*' Kwh area wise $ '!B20</f>
        <v>33.599999999997294</v>
      </c>
      <c r="G20" s="1">
        <f>('Kwh Consumption'!F21+'Kwh Consumption'!G21+'Kwh Consumption'!H21)*' Kwh area wise $ '!B20</f>
        <v>113.39999999999635</v>
      </c>
      <c r="H20" s="16">
        <f>('Kwh Consumption'!I21+'Kwh Consumption'!J21)*' Kwh area wise $ '!B20</f>
        <v>42.279999999998957</v>
      </c>
      <c r="I20" s="1">
        <f>('Kwh Consumption'!K21+'Kwh Consumption'!L21)*' Kwh area wise $ '!B20</f>
        <v>196.00000000000082</v>
      </c>
      <c r="J20" s="1">
        <f>('Kwh Consumption'!M21+'Kwh Consumption'!N21+'Kwh Consumption'!O21+'Kwh Consumption'!P21+'Kwh Consumption'!Q21+'Kwh Consumption'!R21)*' Kwh area wise $ '!B20</f>
        <v>688.79999999997051</v>
      </c>
      <c r="K20" s="1">
        <f>('Kwh Consumption'!S21+'Kwh Consumption'!T21)*' Kwh area wise $ '!B20</f>
        <v>741.33079999996357</v>
      </c>
      <c r="L20" s="1">
        <f>'Kwh Consumption'!U21*' Kwh area wise $ '!B20</f>
        <v>37.80000000000144</v>
      </c>
      <c r="M20" s="1">
        <f>'Kwh Consumption'!V21*' Kwh area wise $ '!B20</f>
        <v>978.98920000004955</v>
      </c>
    </row>
    <row r="21" spans="1:13" x14ac:dyDescent="0.25">
      <c r="A21" s="14">
        <f>'Kwh Reading'!A22</f>
        <v>44246</v>
      </c>
      <c r="B21" s="11">
        <f>TOTAL!F20</f>
        <v>0.14000000000000001</v>
      </c>
      <c r="C21" s="11">
        <f>'Kwh Consumption'!B22*' Kwh area wise $ '!B21</f>
        <v>3050.5999999999954</v>
      </c>
      <c r="D21" s="1">
        <f>'Kwh Consumption'!C22*' Kwh area wise $ '!B21</f>
        <v>40.600000000002872</v>
      </c>
      <c r="E21" s="1">
        <f>'Kwh Consumption'!D22*' Kwh area wise $ '!B21</f>
        <v>378.00000000005167</v>
      </c>
      <c r="F21" s="1">
        <f>'Kwh Consumption'!E22*' Kwh area wise $ '!B21</f>
        <v>33.600000000001273</v>
      </c>
      <c r="G21" s="1">
        <f>('Kwh Consumption'!F22+'Kwh Consumption'!G22+'Kwh Consumption'!H22)*' Kwh area wise $ '!B21</f>
        <v>139.99999999999602</v>
      </c>
      <c r="H21" s="16">
        <f>('Kwh Consumption'!I22+'Kwh Consumption'!J22)*' Kwh area wise $ '!B21</f>
        <v>49.280000000000548</v>
      </c>
      <c r="I21" s="1">
        <f>('Kwh Consumption'!K22+'Kwh Consumption'!L22)*' Kwh area wise $ '!B21</f>
        <v>184.79999999999509</v>
      </c>
      <c r="J21" s="1">
        <f>('Kwh Consumption'!M22+'Kwh Consumption'!N22+'Kwh Consumption'!O22+'Kwh Consumption'!P22+'Kwh Consumption'!Q22+'Kwh Consumption'!R22)*' Kwh area wise $ '!B21</f>
        <v>712.60000000001253</v>
      </c>
      <c r="K21" s="1">
        <f>('Kwh Consumption'!S22+'Kwh Consumption'!T22)*' Kwh area wise $ '!B21</f>
        <v>693.24779999993746</v>
      </c>
      <c r="L21" s="1">
        <f>'Kwh Consumption'!U22*' Kwh area wise $ '!B21</f>
        <v>36.399999999998727</v>
      </c>
      <c r="M21" s="1">
        <f>'Kwh Consumption'!V22*' Kwh area wise $ '!B21</f>
        <v>782.07219999999904</v>
      </c>
    </row>
    <row r="22" spans="1:13" x14ac:dyDescent="0.25">
      <c r="A22" s="14">
        <f>'Kwh Reading'!A23</f>
        <v>44247</v>
      </c>
      <c r="B22" s="11">
        <f>TOTAL!F21</f>
        <v>0.14000000000000001</v>
      </c>
      <c r="C22" s="11">
        <f>'Kwh Consumption'!B23*' Kwh area wise $ '!B22</f>
        <v>3187.7999999999979</v>
      </c>
      <c r="D22" s="1">
        <f>'Kwh Consumption'!C23*' Kwh area wise $ '!B22</f>
        <v>71.399999999998727</v>
      </c>
      <c r="E22" s="1">
        <f>'Kwh Consumption'!D23*' Kwh area wise $ '!B22</f>
        <v>391.99999999995686</v>
      </c>
      <c r="F22" s="1">
        <f>'Kwh Consumption'!E23*' Kwh area wise $ '!B22</f>
        <v>36.399999999998727</v>
      </c>
      <c r="G22" s="1">
        <f>('Kwh Consumption'!F23+'Kwh Consumption'!G23+'Kwh Consumption'!H23)*' Kwh area wise $ '!B22</f>
        <v>161.00000000000082</v>
      </c>
      <c r="H22" s="16">
        <f>('Kwh Consumption'!I23+'Kwh Consumption'!J23)*' Kwh area wise $ '!B22</f>
        <v>47.879999999999832</v>
      </c>
      <c r="I22" s="1">
        <f>('Kwh Consumption'!K23+'Kwh Consumption'!L23)*' Kwh area wise $ '!B22</f>
        <v>229.6000000000021</v>
      </c>
      <c r="J22" s="1">
        <f>('Kwh Consumption'!M23+'Kwh Consumption'!N23+'Kwh Consumption'!O23+'Kwh Consumption'!P23+'Kwh Consumption'!Q23+'Kwh Consumption'!R23)*' Kwh area wise $ '!B22</f>
        <v>725.20000000000095</v>
      </c>
      <c r="K22" s="1">
        <f>('Kwh Consumption'!S23+'Kwh Consumption'!T23)*' Kwh area wise $ '!B22</f>
        <v>730.13079999996353</v>
      </c>
      <c r="L22" s="1">
        <f>'Kwh Consumption'!U23*' Kwh area wise $ '!B22</f>
        <v>40.600000000000882</v>
      </c>
      <c r="M22" s="1">
        <f>'Kwh Consumption'!V23*' Kwh area wise $ '!B22</f>
        <v>753.58920000007527</v>
      </c>
    </row>
    <row r="23" spans="1:13" x14ac:dyDescent="0.25">
      <c r="A23" s="14">
        <f>'Kwh Reading'!A24</f>
        <v>44248</v>
      </c>
      <c r="B23" s="11">
        <f>TOTAL!F22</f>
        <v>0.14000000000000001</v>
      </c>
      <c r="C23" s="11">
        <f>'Kwh Consumption'!B24*' Kwh area wise $ '!B23</f>
        <v>2945.6000000000909</v>
      </c>
      <c r="D23" s="1">
        <f>'Kwh Consumption'!C24*' Kwh area wise $ '!B23</f>
        <v>71.399999999998727</v>
      </c>
      <c r="E23" s="1">
        <f>'Kwh Consumption'!D24*' Kwh area wise $ '!B23</f>
        <v>336.00000000002518</v>
      </c>
      <c r="F23" s="1">
        <f>'Kwh Consumption'!E24*' Kwh area wise $ '!B23</f>
        <v>28.000000000002391</v>
      </c>
      <c r="G23" s="1">
        <f>('Kwh Consumption'!F24+'Kwh Consumption'!G24+'Kwh Consumption'!H24)*' Kwh area wise $ '!B23</f>
        <v>119.00000000000718</v>
      </c>
      <c r="H23" s="16">
        <f>('Kwh Consumption'!I24+'Kwh Consumption'!J24)*' Kwh area wise $ '!B23</f>
        <v>47.0399999999998</v>
      </c>
      <c r="I23" s="1">
        <f>('Kwh Consumption'!K24+'Kwh Consumption'!L24)*' Kwh area wise $ '!B23</f>
        <v>198.80000000001021</v>
      </c>
      <c r="J23" s="1">
        <f>('Kwh Consumption'!M24+'Kwh Consumption'!N24+'Kwh Consumption'!O24+'Kwh Consumption'!P24+'Kwh Consumption'!Q24+'Kwh Consumption'!R24)*' Kwh area wise $ '!B23</f>
        <v>665.00000000001603</v>
      </c>
      <c r="K23" s="1">
        <f>('Kwh Consumption'!S24+'Kwh Consumption'!T24)*' Kwh area wise $ '!B23</f>
        <v>652.62820000011482</v>
      </c>
      <c r="L23" s="1">
        <f>'Kwh Consumption'!U24*' Kwh area wise $ '!B23</f>
        <v>32.200000000000557</v>
      </c>
      <c r="M23" s="1">
        <f>'Kwh Consumption'!V24*' Kwh area wise $ '!B23</f>
        <v>795.53179999991619</v>
      </c>
    </row>
    <row r="24" spans="1:13" x14ac:dyDescent="0.25">
      <c r="A24" s="14">
        <f>'Kwh Reading'!A25</f>
        <v>44249</v>
      </c>
      <c r="B24" s="11">
        <f>TOTAL!F23</f>
        <v>0.14000000000000001</v>
      </c>
      <c r="C24" s="11">
        <f>'Kwh Consumption'!B25*' Kwh area wise $ '!B24</f>
        <v>3177.999999999975</v>
      </c>
      <c r="D24" s="1">
        <f>'Kwh Consumption'!C25*' Kwh area wise $ '!B24</f>
        <v>77.000000000001606</v>
      </c>
      <c r="E24" s="1">
        <f>'Kwh Consumption'!D25*' Kwh area wise $ '!B24</f>
        <v>349.99999999999261</v>
      </c>
      <c r="F24" s="1">
        <f>'Kwh Consumption'!E25*' Kwh area wise $ '!B24</f>
        <v>33.599999999997294</v>
      </c>
      <c r="G24" s="1">
        <f>('Kwh Consumption'!F25+'Kwh Consumption'!G25+'Kwh Consumption'!H25)*' Kwh area wise $ '!B24</f>
        <v>130.199999999993</v>
      </c>
      <c r="H24" s="16">
        <f>('Kwh Consumption'!I25+'Kwh Consumption'!J25)*' Kwh area wise $ '!B24</f>
        <v>48.160000000001169</v>
      </c>
      <c r="I24" s="1">
        <f>('Kwh Consumption'!K25+'Kwh Consumption'!L25)*' Kwh area wise $ '!B24</f>
        <v>207.19999999999462</v>
      </c>
      <c r="J24" s="1">
        <f>('Kwh Consumption'!M25+'Kwh Consumption'!N25+'Kwh Consumption'!O25+'Kwh Consumption'!P25+'Kwh Consumption'!Q25+'Kwh Consumption'!R25)*' Kwh area wise $ '!B24</f>
        <v>709.79999999998313</v>
      </c>
      <c r="K24" s="1">
        <f>('Kwh Consumption'!S25+'Kwh Consumption'!T25)*' Kwh area wise $ '!B24</f>
        <v>708.5777999999375</v>
      </c>
      <c r="L24" s="1">
        <f>'Kwh Consumption'!U25*' Kwh area wise $ '!B24</f>
        <v>32.199999999998568</v>
      </c>
      <c r="M24" s="1">
        <f>'Kwh Consumption'!V25*' Kwh area wise $ '!B24</f>
        <v>881.26220000007538</v>
      </c>
    </row>
    <row r="25" spans="1:13" x14ac:dyDescent="0.25">
      <c r="A25" s="14">
        <f>'Kwh Reading'!A26</f>
        <v>44250</v>
      </c>
      <c r="B25" s="11">
        <f>TOTAL!F24</f>
        <v>0.14000000000000001</v>
      </c>
      <c r="C25" s="11">
        <f>'Kwh Consumption'!B26*' Kwh area wise $ '!B25</f>
        <v>3313.7999999999474</v>
      </c>
      <c r="D25" s="1">
        <f>'Kwh Consumption'!C26*' Kwh area wise $ '!B25</f>
        <v>74.19999999999618</v>
      </c>
      <c r="E25" s="1">
        <f>'Kwh Consumption'!D26*' Kwh area wise $ '!B25</f>
        <v>377.99999999998948</v>
      </c>
      <c r="F25" s="1">
        <f>'Kwh Consumption'!E26*' Kwh area wise $ '!B25</f>
        <v>36.400000000002706</v>
      </c>
      <c r="G25" s="1">
        <f>('Kwh Consumption'!F26+'Kwh Consumption'!G26+'Kwh Consumption'!H26)*' Kwh area wise $ '!B25</f>
        <v>151.20000000000178</v>
      </c>
      <c r="H25" s="16">
        <f>('Kwh Consumption'!I26+'Kwh Consumption'!J26)*' Kwh area wise $ '!B25</f>
        <v>48.859999999998543</v>
      </c>
      <c r="I25" s="1">
        <f>('Kwh Consumption'!K26+'Kwh Consumption'!L26)*' Kwh area wise $ '!B25</f>
        <v>232.40000000000751</v>
      </c>
      <c r="J25" s="1">
        <f>('Kwh Consumption'!M26+'Kwh Consumption'!N26+'Kwh Consumption'!O26+'Kwh Consumption'!P26+'Kwh Consumption'!Q26+'Kwh Consumption'!R26)*' Kwh area wise $ '!B25</f>
        <v>788.20000000000744</v>
      </c>
      <c r="K25" s="1">
        <f>('Kwh Consumption'!S26+'Kwh Consumption'!T26)*' Kwh area wise $ '!B25</f>
        <v>775.26959999995313</v>
      </c>
      <c r="L25" s="1">
        <f>'Kwh Consumption'!U26*' Kwh area wise $ '!B25</f>
        <v>37.80000000000144</v>
      </c>
      <c r="M25" s="1">
        <f>'Kwh Consumption'!V26*' Kwh area wise $ '!B25</f>
        <v>791.4703999999889</v>
      </c>
    </row>
    <row r="26" spans="1:13" x14ac:dyDescent="0.25">
      <c r="A26" s="14">
        <f>'Kwh Reading'!A27</f>
        <v>44251</v>
      </c>
      <c r="B26" s="11">
        <f>TOTAL!F25</f>
        <v>0.14000000000000001</v>
      </c>
      <c r="C26" s="11">
        <f>'Kwh Consumption'!B27*' Kwh area wise $ '!B26</f>
        <v>3015.600000000059</v>
      </c>
      <c r="D26" s="1">
        <f>'Kwh Consumption'!C27*' Kwh area wise $ '!B26</f>
        <v>75.600000000002879</v>
      </c>
      <c r="E26" s="1">
        <f>'Kwh Consumption'!D27*' Kwh area wise $ '!B26</f>
        <v>336.00000000002518</v>
      </c>
      <c r="F26" s="1">
        <f>'Kwh Consumption'!E27*' Kwh area wise $ '!B26</f>
        <v>30.799999999999844</v>
      </c>
      <c r="G26" s="1">
        <f>('Kwh Consumption'!F27+'Kwh Consumption'!G27+'Kwh Consumption'!H27)*' Kwh area wise $ '!B26</f>
        <v>124.60000000000208</v>
      </c>
      <c r="H26" s="16">
        <f>('Kwh Consumption'!I27+'Kwh Consumption'!J27)*' Kwh area wise $ '!B26</f>
        <v>41.439999999998925</v>
      </c>
      <c r="I26" s="1">
        <f>('Kwh Consumption'!K27+'Kwh Consumption'!L27)*' Kwh area wise $ '!B26</f>
        <v>202.99999999999446</v>
      </c>
      <c r="J26" s="1">
        <f>('Kwh Consumption'!M27+'Kwh Consumption'!N27+'Kwh Consumption'!O27+'Kwh Consumption'!P27+'Kwh Consumption'!Q27+'Kwh Consumption'!R27)*' Kwh area wise $ '!B26</f>
        <v>678.99999999998738</v>
      </c>
      <c r="K26" s="1">
        <f>('Kwh Consumption'!S27+'Kwh Consumption'!T27)*' Kwh area wise $ '!B26</f>
        <v>688.51580000009392</v>
      </c>
      <c r="L26" s="1">
        <f>'Kwh Consumption'!U27*' Kwh area wise $ '!B26</f>
        <v>33.599999999999284</v>
      </c>
      <c r="M26" s="1">
        <f>'Kwh Consumption'!V27*' Kwh area wise $ '!B26</f>
        <v>803.04419999995514</v>
      </c>
    </row>
    <row r="27" spans="1:13" x14ac:dyDescent="0.25">
      <c r="A27" s="14">
        <f>'Kwh Reading'!A28</f>
        <v>44252</v>
      </c>
      <c r="B27" s="11">
        <f>TOTAL!F26</f>
        <v>0.14000000000000001</v>
      </c>
      <c r="C27" s="11">
        <f>'Kwh Consumption'!B28*' Kwh area wise $ '!B27</f>
        <v>3138.7999999999788</v>
      </c>
      <c r="D27" s="1">
        <f>'Kwh Consumption'!C28*' Kwh area wise $ '!B27</f>
        <v>77.000000000001606</v>
      </c>
      <c r="E27" s="1">
        <f>'Kwh Consumption'!D28*' Kwh area wise $ '!B27</f>
        <v>335.99999999996305</v>
      </c>
      <c r="F27" s="1">
        <f>'Kwh Consumption'!E28*' Kwh area wise $ '!B27</f>
        <v>35</v>
      </c>
      <c r="G27" s="1">
        <f>('Kwh Consumption'!F28+'Kwh Consumption'!G28+'Kwh Consumption'!H28)*' Kwh area wise $ '!B27</f>
        <v>126.00000000000081</v>
      </c>
      <c r="H27" s="16">
        <f>('Kwh Consumption'!I28+'Kwh Consumption'!J28)*' Kwh area wise $ '!B27</f>
        <v>38.220000000001455</v>
      </c>
      <c r="I27" s="1">
        <f>('Kwh Consumption'!K28+'Kwh Consumption'!L28)*' Kwh area wise $ '!B27</f>
        <v>212.80000000000544</v>
      </c>
      <c r="J27" s="1">
        <f>('Kwh Consumption'!M28+'Kwh Consumption'!N28+'Kwh Consumption'!O28+'Kwh Consumption'!P28+'Kwh Consumption'!Q28+'Kwh Consumption'!R28)*' Kwh area wise $ '!B27</f>
        <v>697.2000000000105</v>
      </c>
      <c r="K27" s="1">
        <f>('Kwh Consumption'!S28+'Kwh Consumption'!T28)*' Kwh area wise $ '!B27</f>
        <v>690.65079999996351</v>
      </c>
      <c r="L27" s="1">
        <f>'Kwh Consumption'!U28*' Kwh area wise $ '!B27</f>
        <v>37.79999999999945</v>
      </c>
      <c r="M27" s="1">
        <f>'Kwh Consumption'!V28*' Kwh area wise $ '!B27</f>
        <v>888.12920000003305</v>
      </c>
    </row>
    <row r="28" spans="1:13" x14ac:dyDescent="0.25">
      <c r="A28" s="14">
        <f>'Kwh Reading'!A29</f>
        <v>44253</v>
      </c>
      <c r="B28" s="11">
        <f>TOTAL!F27</f>
        <v>0.14000000000000001</v>
      </c>
      <c r="C28" s="11">
        <f>'Kwh Consumption'!B29*' Kwh area wise $ '!B28</f>
        <v>3214.3999999999737</v>
      </c>
      <c r="D28" s="1">
        <f>'Kwh Consumption'!C29*' Kwh area wise $ '!B28</f>
        <v>36.399999999998727</v>
      </c>
      <c r="E28" s="1">
        <f>'Kwh Consumption'!D29*' Kwh area wise $ '!B28</f>
        <v>350.00000000005474</v>
      </c>
      <c r="F28" s="1">
        <f>'Kwh Consumption'!E29*' Kwh area wise $ '!B28</f>
        <v>35</v>
      </c>
      <c r="G28" s="1">
        <f>('Kwh Consumption'!F29+'Kwh Consumption'!G29+'Kwh Consumption'!H29)*' Kwh area wise $ '!B28</f>
        <v>127.39999999999954</v>
      </c>
      <c r="H28" s="16">
        <f>('Kwh Consumption'!I29+'Kwh Consumption'!J29)*' Kwh area wise $ '!B28</f>
        <v>43.679999999999673</v>
      </c>
      <c r="I28" s="1">
        <f>('Kwh Consumption'!K29+'Kwh Consumption'!L29)*' Kwh area wise $ '!B28</f>
        <v>211.3999999999908</v>
      </c>
      <c r="J28" s="1">
        <f>('Kwh Consumption'!M29+'Kwh Consumption'!N29+'Kwh Consumption'!O29+'Kwh Consumption'!P29+'Kwh Consumption'!Q29+'Kwh Consumption'!R29)*' Kwh area wise $ '!B28</f>
        <v>701.40000000000668</v>
      </c>
      <c r="K28" s="1">
        <f>('Kwh Consumption'!S29+'Kwh Consumption'!T29)*' Kwh area wise $ '!B28</f>
        <v>679.23659999992708</v>
      </c>
      <c r="L28" s="1">
        <f>'Kwh Consumption'!U29*' Kwh area wise $ '!B28</f>
        <v>41.999999999999609</v>
      </c>
      <c r="M28" s="1">
        <f>'Kwh Consumption'!V29*' Kwh area wise $ '!B28</f>
        <v>987.88339999999698</v>
      </c>
    </row>
    <row r="29" spans="1:13" x14ac:dyDescent="0.25">
      <c r="A29" s="14">
        <f>'Kwh Reading'!A30</f>
        <v>44254</v>
      </c>
      <c r="B29" s="11">
        <f>TOTAL!F28</f>
        <v>0.14000000000000001</v>
      </c>
      <c r="C29" s="11">
        <f>'Kwh Consumption'!B30*' Kwh area wise $ '!B29</f>
        <v>3129.0000000000828</v>
      </c>
      <c r="D29" s="1">
        <f>'Kwh Consumption'!C30*' Kwh area wise $ '!B29</f>
        <v>70</v>
      </c>
      <c r="E29" s="1">
        <f>'Kwh Consumption'!D30*' Kwh area wise $ '!B29</f>
        <v>349.99999999999261</v>
      </c>
      <c r="F29" s="1">
        <f>'Kwh Consumption'!E30*' Kwh area wise $ '!B29</f>
        <v>35</v>
      </c>
      <c r="G29" s="1">
        <f>('Kwh Consumption'!F30+'Kwh Consumption'!G30+'Kwh Consumption'!H30)*' Kwh area wise $ '!B29</f>
        <v>120.39999999999795</v>
      </c>
      <c r="H29" s="16">
        <f>('Kwh Consumption'!I30+'Kwh Consumption'!J30)*' Kwh area wise $ '!B29</f>
        <v>113.540000000001</v>
      </c>
      <c r="I29" s="1">
        <f>('Kwh Consumption'!K30+'Kwh Consumption'!L30)*' Kwh area wise $ '!B29</f>
        <v>216.99999999999764</v>
      </c>
      <c r="J29" s="1">
        <f>('Kwh Consumption'!M30+'Kwh Consumption'!N30+'Kwh Consumption'!O30+'Kwh Consumption'!P30+'Kwh Consumption'!Q30+'Kwh Consumption'!R30)*' Kwh area wise $ '!B29</f>
        <v>673.39999999999247</v>
      </c>
      <c r="K29" s="1">
        <f>('Kwh Consumption'!S30+'Kwh Consumption'!T30)*' Kwh area wise $ '!B29</f>
        <v>721.95900000007828</v>
      </c>
      <c r="L29" s="1">
        <f>'Kwh Consumption'!U30*' Kwh area wise $ '!B29</f>
        <v>36.400000000000716</v>
      </c>
      <c r="M29" s="1">
        <f>'Kwh Consumption'!V30*' Kwh area wise $ '!B29</f>
        <v>791.30100000002221</v>
      </c>
    </row>
    <row r="30" spans="1:13" x14ac:dyDescent="0.25">
      <c r="A30" s="14">
        <f>'Kwh Reading'!A31</f>
        <v>44255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-50908.200000000004</v>
      </c>
      <c r="E30" s="1">
        <f>'Kwh Consumption'!D31*' Kwh area wise $ '!B30</f>
        <v>-291382.00000000006</v>
      </c>
      <c r="F30" s="1">
        <f>'Kwh Consumption'!E31*' Kwh area wise $ '!B30</f>
        <v>-28270.200000000004</v>
      </c>
      <c r="G30" s="1">
        <f>('Kwh Consumption'!F31+'Kwh Consumption'!G31+'Kwh Consumption'!H31)*' Kwh area wise $ '!B30</f>
        <v>-112498.40000000001</v>
      </c>
      <c r="H30" s="16">
        <f>('Kwh Consumption'!I31+'Kwh Consumption'!J31)*' Kwh area wise $ '!B30</f>
        <v>-31321.780000000002</v>
      </c>
      <c r="I30" s="1">
        <f>('Kwh Consumption'!K31+'Kwh Consumption'!L31)*' Kwh area wise $ '!B30</f>
        <v>-142531.20000000001</v>
      </c>
      <c r="J30" s="1">
        <f>('Kwh Consumption'!M31+'Kwh Consumption'!N31+'Kwh Consumption'!O31+'Kwh Consumption'!P31+'Kwh Consumption'!Q31+'Kwh Consumption'!R31)*' Kwh area wise $ '!B30</f>
        <v>-396460.4</v>
      </c>
      <c r="K30" s="1">
        <f>('Kwh Consumption'!S31+'Kwh Consumption'!T31)*' Kwh area wise $ '!B30</f>
        <v>-2099187.5730000003</v>
      </c>
      <c r="L30" s="1">
        <f>'Kwh Consumption'!U31*' Kwh area wise $ '!B30</f>
        <v>-16955.400000000001</v>
      </c>
      <c r="M30" s="1">
        <f>'Kwh Consumption'!V31*' Kwh area wise $ '!B30</f>
        <v>3169515.1530000004</v>
      </c>
    </row>
    <row r="31" spans="1:13" x14ac:dyDescent="0.25">
      <c r="A31" s="14">
        <f>'Kwh Reading'!A32</f>
        <v>0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0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0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82804.400000000067</v>
      </c>
      <c r="D34" s="75">
        <f t="shared" si="0"/>
        <v>-49061.600000000006</v>
      </c>
      <c r="E34" s="75">
        <f t="shared" si="0"/>
        <v>-281918.00000000006</v>
      </c>
      <c r="F34" s="75">
        <f t="shared" si="0"/>
        <v>-27346.200000000004</v>
      </c>
      <c r="G34" s="75">
        <f t="shared" si="0"/>
        <v>-109239.20000000001</v>
      </c>
      <c r="H34" s="75">
        <f t="shared" si="0"/>
        <v>-30072.84</v>
      </c>
      <c r="I34" s="75">
        <f t="shared" si="0"/>
        <v>-137068.40000000002</v>
      </c>
      <c r="J34" s="75">
        <f t="shared" si="0"/>
        <v>-378057.4</v>
      </c>
      <c r="K34" s="75">
        <f t="shared" si="0"/>
        <v>-2080054.8552000003</v>
      </c>
      <c r="L34" s="75">
        <f t="shared" si="0"/>
        <v>-16076.2</v>
      </c>
      <c r="M34" s="75">
        <f>SUM(M3:M33)</f>
        <v>3191699.0952000003</v>
      </c>
      <c r="N34" s="84">
        <f>D34+E34+F34+G34+H34+I34+J34+K34+L34+M34</f>
        <v>82804.399999999441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15" activePane="bottomRight" state="frozen"/>
      <selection pane="topRight" activeCell="C25" sqref="C25"/>
      <selection pane="bottomLeft" activeCell="C25" sqref="C25"/>
      <selection pane="bottomRight" activeCell="R30" sqref="R30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44228</v>
      </c>
      <c r="B3" s="33">
        <v>142036</v>
      </c>
      <c r="C3" s="33">
        <v>98010</v>
      </c>
      <c r="D3" s="33">
        <v>187883</v>
      </c>
      <c r="E3" s="55">
        <v>238934</v>
      </c>
      <c r="F3" s="33">
        <v>66842</v>
      </c>
      <c r="G3" s="55">
        <v>108776</v>
      </c>
      <c r="H3" s="33">
        <v>45508</v>
      </c>
      <c r="I3" s="56">
        <v>57588</v>
      </c>
      <c r="J3" s="55">
        <v>18332</v>
      </c>
      <c r="K3" s="55">
        <v>1024</v>
      </c>
      <c r="L3" s="55">
        <v>16228</v>
      </c>
      <c r="M3" s="55">
        <v>22024</v>
      </c>
      <c r="N3" s="55">
        <v>6669</v>
      </c>
      <c r="O3" s="55">
        <v>1544</v>
      </c>
      <c r="P3" s="33">
        <v>25830</v>
      </c>
      <c r="Q3" s="55">
        <v>61</v>
      </c>
      <c r="R3" s="55">
        <v>5466</v>
      </c>
    </row>
    <row r="4" spans="1:18" x14ac:dyDescent="0.25">
      <c r="A4" s="54">
        <v>44229</v>
      </c>
      <c r="B4" s="56">
        <v>142215</v>
      </c>
      <c r="C4" s="56">
        <v>98165</v>
      </c>
      <c r="D4" s="55">
        <v>188057</v>
      </c>
      <c r="E4" s="55">
        <v>238991</v>
      </c>
      <c r="F4" s="55">
        <v>66843</v>
      </c>
      <c r="G4" s="55">
        <v>108797</v>
      </c>
      <c r="H4" s="33">
        <v>45543</v>
      </c>
      <c r="I4" s="55">
        <v>57601</v>
      </c>
      <c r="J4" s="55">
        <v>18343</v>
      </c>
      <c r="K4" s="55">
        <v>1024</v>
      </c>
      <c r="L4" s="55">
        <v>16235</v>
      </c>
      <c r="M4" s="55">
        <v>22038</v>
      </c>
      <c r="N4" s="55">
        <v>6671</v>
      </c>
      <c r="O4" s="55">
        <v>1545</v>
      </c>
      <c r="P4" s="55">
        <v>25830</v>
      </c>
      <c r="Q4" s="33">
        <v>61</v>
      </c>
      <c r="R4" s="55">
        <v>5468</v>
      </c>
    </row>
    <row r="5" spans="1:18" x14ac:dyDescent="0.25">
      <c r="A5" s="54">
        <v>44230</v>
      </c>
      <c r="B5" s="55">
        <v>142337</v>
      </c>
      <c r="C5" s="33">
        <v>98346</v>
      </c>
      <c r="D5" s="55">
        <v>188224</v>
      </c>
      <c r="E5" s="55">
        <v>239056</v>
      </c>
      <c r="F5" s="55">
        <v>66843</v>
      </c>
      <c r="G5" s="55">
        <v>108821</v>
      </c>
      <c r="H5" s="33">
        <v>45581</v>
      </c>
      <c r="I5" s="55">
        <v>57614</v>
      </c>
      <c r="J5" s="55">
        <v>18354</v>
      </c>
      <c r="K5" s="55">
        <v>1024</v>
      </c>
      <c r="L5" s="55">
        <v>16242</v>
      </c>
      <c r="M5" s="55">
        <v>22052</v>
      </c>
      <c r="N5" s="55">
        <v>6673</v>
      </c>
      <c r="O5" s="55">
        <v>1546</v>
      </c>
      <c r="P5" s="55">
        <v>25830</v>
      </c>
      <c r="Q5" s="33">
        <v>68</v>
      </c>
      <c r="R5" s="55">
        <v>5476</v>
      </c>
    </row>
    <row r="6" spans="1:18" x14ac:dyDescent="0.25">
      <c r="A6" s="54">
        <v>44231</v>
      </c>
      <c r="B6" s="56">
        <v>142448</v>
      </c>
      <c r="C6" s="56">
        <v>98512</v>
      </c>
      <c r="D6" s="55">
        <v>188332</v>
      </c>
      <c r="E6" s="55">
        <v>239110</v>
      </c>
      <c r="F6" s="55">
        <v>66843</v>
      </c>
      <c r="G6" s="55">
        <v>108840</v>
      </c>
      <c r="H6" s="33">
        <v>45603</v>
      </c>
      <c r="I6" s="55">
        <v>57630</v>
      </c>
      <c r="J6" s="55">
        <v>18365</v>
      </c>
      <c r="K6" s="55">
        <v>1024</v>
      </c>
      <c r="L6" s="55">
        <v>16248</v>
      </c>
      <c r="M6" s="55">
        <v>22067</v>
      </c>
      <c r="N6" s="55">
        <v>6675</v>
      </c>
      <c r="O6" s="55">
        <v>1546</v>
      </c>
      <c r="P6" s="55">
        <v>25830</v>
      </c>
      <c r="Q6" s="33">
        <v>68</v>
      </c>
      <c r="R6" s="55">
        <v>5484</v>
      </c>
    </row>
    <row r="7" spans="1:18" x14ac:dyDescent="0.25">
      <c r="A7" s="54">
        <v>44232</v>
      </c>
      <c r="B7" s="56">
        <v>142553</v>
      </c>
      <c r="C7" s="33">
        <v>98668</v>
      </c>
      <c r="D7" s="55">
        <v>188419</v>
      </c>
      <c r="E7" s="55">
        <v>239170</v>
      </c>
      <c r="F7" s="55">
        <v>66843</v>
      </c>
      <c r="G7" s="55">
        <v>108862</v>
      </c>
      <c r="H7" s="33">
        <v>45633</v>
      </c>
      <c r="I7" s="55">
        <v>57663</v>
      </c>
      <c r="J7" s="55">
        <v>18376</v>
      </c>
      <c r="K7" s="55">
        <v>1024</v>
      </c>
      <c r="L7" s="55">
        <v>16255</v>
      </c>
      <c r="M7" s="55">
        <v>22082</v>
      </c>
      <c r="N7" s="55">
        <v>6677</v>
      </c>
      <c r="O7" s="55">
        <v>1547</v>
      </c>
      <c r="P7" s="55">
        <v>25845</v>
      </c>
      <c r="Q7" s="33">
        <v>78</v>
      </c>
      <c r="R7" s="55">
        <v>5490</v>
      </c>
    </row>
    <row r="8" spans="1:18" x14ac:dyDescent="0.25">
      <c r="A8" s="54">
        <v>44233</v>
      </c>
      <c r="B8" s="33">
        <v>142650</v>
      </c>
      <c r="C8" s="56">
        <v>98813</v>
      </c>
      <c r="D8" s="55">
        <v>188506</v>
      </c>
      <c r="E8" s="55">
        <v>239229</v>
      </c>
      <c r="F8" s="55">
        <v>66844</v>
      </c>
      <c r="G8" s="55">
        <v>108882</v>
      </c>
      <c r="H8" s="33">
        <v>45671</v>
      </c>
      <c r="I8" s="55">
        <v>57681</v>
      </c>
      <c r="J8" s="55">
        <v>18389</v>
      </c>
      <c r="K8" s="55">
        <v>1024</v>
      </c>
      <c r="L8" s="55">
        <v>16264</v>
      </c>
      <c r="M8" s="55">
        <v>22099</v>
      </c>
      <c r="N8" s="55">
        <v>6679</v>
      </c>
      <c r="O8" s="55">
        <v>1548</v>
      </c>
      <c r="P8" s="55">
        <v>25845</v>
      </c>
      <c r="Q8" s="33">
        <v>79</v>
      </c>
      <c r="R8" s="55">
        <v>5492</v>
      </c>
    </row>
    <row r="9" spans="1:18" x14ac:dyDescent="0.25">
      <c r="A9" s="54">
        <v>44234</v>
      </c>
      <c r="B9" s="33">
        <v>142781</v>
      </c>
      <c r="C9" s="33">
        <v>99009</v>
      </c>
      <c r="D9" s="55">
        <v>188674</v>
      </c>
      <c r="E9" s="55">
        <v>239294</v>
      </c>
      <c r="F9" s="55">
        <v>66844</v>
      </c>
      <c r="G9" s="55">
        <v>108902</v>
      </c>
      <c r="H9" s="33">
        <v>45713</v>
      </c>
      <c r="I9" s="55">
        <v>57693</v>
      </c>
      <c r="J9" s="55">
        <v>18400</v>
      </c>
      <c r="K9" s="55">
        <v>1024</v>
      </c>
      <c r="L9" s="55">
        <v>16271</v>
      </c>
      <c r="M9" s="55">
        <v>22112</v>
      </c>
      <c r="N9" s="55">
        <v>6681</v>
      </c>
      <c r="O9" s="55">
        <v>1548</v>
      </c>
      <c r="P9" s="55">
        <v>25845</v>
      </c>
      <c r="Q9" s="33">
        <v>82</v>
      </c>
      <c r="R9" s="55">
        <v>5498</v>
      </c>
    </row>
    <row r="10" spans="1:18" x14ac:dyDescent="0.25">
      <c r="A10" s="54">
        <v>44235</v>
      </c>
      <c r="B10" s="33">
        <v>142886</v>
      </c>
      <c r="C10" s="56">
        <v>99164</v>
      </c>
      <c r="D10" s="55">
        <v>188773</v>
      </c>
      <c r="E10" s="55">
        <v>239344</v>
      </c>
      <c r="F10" s="55">
        <v>66844</v>
      </c>
      <c r="G10" s="55">
        <v>108918</v>
      </c>
      <c r="H10" s="33">
        <v>45755</v>
      </c>
      <c r="I10" s="55">
        <v>57714</v>
      </c>
      <c r="J10" s="55">
        <v>18411</v>
      </c>
      <c r="K10" s="55">
        <v>1024</v>
      </c>
      <c r="L10" s="55">
        <v>16280</v>
      </c>
      <c r="M10" s="55">
        <v>22126</v>
      </c>
      <c r="N10" s="55">
        <v>6683</v>
      </c>
      <c r="O10" s="55">
        <v>1549</v>
      </c>
      <c r="P10" s="55">
        <v>25852</v>
      </c>
      <c r="Q10" s="33">
        <v>87</v>
      </c>
      <c r="R10" s="55">
        <v>5506</v>
      </c>
    </row>
    <row r="11" spans="1:18" x14ac:dyDescent="0.25">
      <c r="A11" s="54">
        <v>44236</v>
      </c>
      <c r="B11" s="33">
        <v>143009</v>
      </c>
      <c r="C11" s="33">
        <v>99348</v>
      </c>
      <c r="D11" s="55">
        <v>188892</v>
      </c>
      <c r="E11" s="55">
        <v>239404</v>
      </c>
      <c r="F11" s="55">
        <v>66844</v>
      </c>
      <c r="G11" s="55">
        <v>108938</v>
      </c>
      <c r="H11" s="33">
        <v>45809</v>
      </c>
      <c r="I11" s="55">
        <v>57746</v>
      </c>
      <c r="J11" s="55">
        <v>18422</v>
      </c>
      <c r="K11" s="55">
        <v>1024</v>
      </c>
      <c r="L11" s="55">
        <v>16287</v>
      </c>
      <c r="M11" s="55">
        <v>22141</v>
      </c>
      <c r="N11" s="55">
        <v>6685</v>
      </c>
      <c r="O11" s="55">
        <v>1550</v>
      </c>
      <c r="P11" s="55">
        <v>25866</v>
      </c>
      <c r="Q11" s="33">
        <v>89</v>
      </c>
      <c r="R11" s="55">
        <v>5511</v>
      </c>
    </row>
    <row r="12" spans="1:18" x14ac:dyDescent="0.25">
      <c r="A12" s="54">
        <v>44237</v>
      </c>
      <c r="B12" s="33">
        <v>143141</v>
      </c>
      <c r="C12" s="56">
        <v>99541</v>
      </c>
      <c r="D12" s="55">
        <v>189048</v>
      </c>
      <c r="E12" s="55">
        <v>239464</v>
      </c>
      <c r="F12" s="55">
        <v>66844</v>
      </c>
      <c r="G12" s="55">
        <v>108958</v>
      </c>
      <c r="H12" s="33">
        <v>45855</v>
      </c>
      <c r="I12" s="55">
        <v>57765</v>
      </c>
      <c r="J12" s="55">
        <v>18433</v>
      </c>
      <c r="K12" s="55">
        <v>1024</v>
      </c>
      <c r="L12" s="55">
        <v>16295</v>
      </c>
      <c r="M12" s="55">
        <v>22154</v>
      </c>
      <c r="N12" s="55">
        <v>6687</v>
      </c>
      <c r="O12" s="55">
        <v>1550</v>
      </c>
      <c r="P12" s="55">
        <v>25866</v>
      </c>
      <c r="Q12" s="33">
        <v>94</v>
      </c>
      <c r="R12" s="55">
        <v>5517</v>
      </c>
    </row>
    <row r="13" spans="1:18" x14ac:dyDescent="0.25">
      <c r="A13" s="54">
        <v>44238</v>
      </c>
      <c r="B13" s="33">
        <v>143278</v>
      </c>
      <c r="C13" s="33">
        <v>99744</v>
      </c>
      <c r="D13" s="55">
        <v>189222</v>
      </c>
      <c r="E13" s="55">
        <v>239523</v>
      </c>
      <c r="F13" s="55">
        <v>66845</v>
      </c>
      <c r="G13" s="55">
        <v>108977</v>
      </c>
      <c r="H13" s="33">
        <v>45888</v>
      </c>
      <c r="I13" s="55">
        <v>57790</v>
      </c>
      <c r="J13" s="55">
        <v>18445</v>
      </c>
      <c r="K13" s="55">
        <v>1024</v>
      </c>
      <c r="L13" s="55">
        <v>16303</v>
      </c>
      <c r="M13" s="55">
        <v>22169</v>
      </c>
      <c r="N13" s="55">
        <v>6689</v>
      </c>
      <c r="O13" s="55">
        <v>1551</v>
      </c>
      <c r="P13" s="55">
        <v>25875</v>
      </c>
      <c r="Q13" s="33">
        <v>95</v>
      </c>
      <c r="R13" s="55">
        <v>5524</v>
      </c>
    </row>
    <row r="14" spans="1:18" x14ac:dyDescent="0.25">
      <c r="A14" s="54">
        <v>44239</v>
      </c>
      <c r="B14" s="33">
        <v>143390</v>
      </c>
      <c r="C14" s="56">
        <v>99910</v>
      </c>
      <c r="D14" s="55">
        <v>189328</v>
      </c>
      <c r="E14" s="55">
        <v>239588</v>
      </c>
      <c r="F14" s="55">
        <v>66845</v>
      </c>
      <c r="G14" s="55">
        <v>108997</v>
      </c>
      <c r="H14" s="33">
        <v>45922</v>
      </c>
      <c r="I14" s="55">
        <v>57823</v>
      </c>
      <c r="J14" s="55">
        <v>18456</v>
      </c>
      <c r="K14" s="55">
        <v>1024</v>
      </c>
      <c r="L14" s="55">
        <v>16311</v>
      </c>
      <c r="M14" s="55">
        <v>22184</v>
      </c>
      <c r="N14" s="55">
        <v>6693</v>
      </c>
      <c r="O14" s="55">
        <v>1552</v>
      </c>
      <c r="P14" s="55">
        <v>25888</v>
      </c>
      <c r="Q14" s="33">
        <v>99</v>
      </c>
      <c r="R14" s="55">
        <v>5529</v>
      </c>
    </row>
    <row r="15" spans="1:18" x14ac:dyDescent="0.25">
      <c r="A15" s="54">
        <v>44240</v>
      </c>
      <c r="B15" s="33">
        <v>143502</v>
      </c>
      <c r="C15" s="33">
        <v>100077</v>
      </c>
      <c r="D15" s="55">
        <v>189436</v>
      </c>
      <c r="E15" s="55">
        <v>239638</v>
      </c>
      <c r="F15" s="55">
        <v>66846</v>
      </c>
      <c r="G15" s="55">
        <v>109015</v>
      </c>
      <c r="H15" s="33">
        <v>45975</v>
      </c>
      <c r="I15" s="55">
        <v>57843</v>
      </c>
      <c r="J15" s="55">
        <v>18467</v>
      </c>
      <c r="K15" s="55">
        <v>1024</v>
      </c>
      <c r="L15" s="55">
        <v>16319</v>
      </c>
      <c r="M15" s="55">
        <v>22199</v>
      </c>
      <c r="N15" s="55">
        <v>6694</v>
      </c>
      <c r="O15" s="55">
        <v>1552</v>
      </c>
      <c r="P15" s="55">
        <v>25888</v>
      </c>
      <c r="Q15" s="33">
        <v>104</v>
      </c>
      <c r="R15" s="55">
        <v>5530</v>
      </c>
    </row>
    <row r="16" spans="1:18" x14ac:dyDescent="0.25">
      <c r="A16" s="54">
        <v>44241</v>
      </c>
      <c r="B16" s="33">
        <v>143636</v>
      </c>
      <c r="C16" s="56">
        <v>100274</v>
      </c>
      <c r="D16" s="55">
        <v>189598</v>
      </c>
      <c r="E16" s="55">
        <v>239696</v>
      </c>
      <c r="F16" s="55">
        <v>66847</v>
      </c>
      <c r="G16" s="55">
        <v>109038</v>
      </c>
      <c r="H16" s="33">
        <v>46023</v>
      </c>
      <c r="I16" s="55">
        <v>57858</v>
      </c>
      <c r="J16" s="55">
        <v>18479</v>
      </c>
      <c r="K16" s="55">
        <v>1024</v>
      </c>
      <c r="L16" s="55">
        <v>16326</v>
      </c>
      <c r="M16" s="55">
        <v>22212</v>
      </c>
      <c r="N16" s="55">
        <v>6697</v>
      </c>
      <c r="O16" s="55">
        <v>1554</v>
      </c>
      <c r="P16" s="55">
        <v>25888</v>
      </c>
      <c r="Q16" s="33">
        <v>106</v>
      </c>
      <c r="R16" s="55">
        <v>5540</v>
      </c>
    </row>
    <row r="17" spans="1:22" x14ac:dyDescent="0.25">
      <c r="A17" s="54">
        <v>44242</v>
      </c>
      <c r="B17" s="33">
        <v>143767</v>
      </c>
      <c r="C17" s="33">
        <v>100467</v>
      </c>
      <c r="D17" s="55">
        <v>189720</v>
      </c>
      <c r="E17" s="55">
        <v>239772</v>
      </c>
      <c r="F17" s="55">
        <v>66848</v>
      </c>
      <c r="G17" s="55">
        <v>109058</v>
      </c>
      <c r="H17" s="33">
        <v>46057</v>
      </c>
      <c r="I17" s="55">
        <v>57893</v>
      </c>
      <c r="J17" s="55">
        <v>18490</v>
      </c>
      <c r="K17" s="55">
        <v>1024</v>
      </c>
      <c r="L17" s="55">
        <v>16333</v>
      </c>
      <c r="M17" s="55">
        <v>22223</v>
      </c>
      <c r="N17" s="55">
        <v>6699</v>
      </c>
      <c r="O17" s="55">
        <v>1555</v>
      </c>
      <c r="P17" s="55">
        <v>25903</v>
      </c>
      <c r="Q17" s="33">
        <v>111</v>
      </c>
      <c r="R17" s="55">
        <v>5551</v>
      </c>
    </row>
    <row r="18" spans="1:22" x14ac:dyDescent="0.25">
      <c r="A18" s="54">
        <v>44243</v>
      </c>
      <c r="B18" s="33">
        <v>143881</v>
      </c>
      <c r="C18" s="56">
        <v>100639</v>
      </c>
      <c r="D18" s="55">
        <v>189860</v>
      </c>
      <c r="E18" s="55">
        <v>239823</v>
      </c>
      <c r="F18" s="55">
        <v>66848</v>
      </c>
      <c r="G18" s="55">
        <v>109078</v>
      </c>
      <c r="H18" s="33">
        <v>46092</v>
      </c>
      <c r="I18" s="55">
        <v>57912</v>
      </c>
      <c r="J18" s="33">
        <v>18502</v>
      </c>
      <c r="K18" s="55">
        <v>1024</v>
      </c>
      <c r="L18" s="55">
        <v>16340</v>
      </c>
      <c r="M18" s="55">
        <v>22238</v>
      </c>
      <c r="N18" s="55">
        <v>6701</v>
      </c>
      <c r="O18" s="55">
        <v>1555</v>
      </c>
      <c r="P18" s="55">
        <v>25903</v>
      </c>
      <c r="Q18" s="33">
        <v>115</v>
      </c>
      <c r="R18" s="55">
        <v>5558</v>
      </c>
    </row>
    <row r="19" spans="1:22" x14ac:dyDescent="0.25">
      <c r="A19" s="54">
        <v>44244</v>
      </c>
      <c r="B19" s="33">
        <v>143998</v>
      </c>
      <c r="C19" s="33">
        <v>100814</v>
      </c>
      <c r="D19" s="55">
        <v>189990</v>
      </c>
      <c r="E19" s="55">
        <v>239878</v>
      </c>
      <c r="F19" s="55">
        <v>66848</v>
      </c>
      <c r="G19" s="55">
        <v>109100</v>
      </c>
      <c r="H19" s="33">
        <v>46130</v>
      </c>
      <c r="I19" s="55">
        <v>57931</v>
      </c>
      <c r="J19" s="55">
        <v>18519</v>
      </c>
      <c r="K19" s="55">
        <v>1024</v>
      </c>
      <c r="L19" s="55">
        <v>16348</v>
      </c>
      <c r="M19" s="55">
        <v>22251</v>
      </c>
      <c r="N19" s="55">
        <v>6704</v>
      </c>
      <c r="O19" s="55">
        <v>1555</v>
      </c>
      <c r="P19" s="55">
        <v>25903</v>
      </c>
      <c r="Q19" s="33">
        <v>116</v>
      </c>
      <c r="R19" s="55">
        <v>5565</v>
      </c>
    </row>
    <row r="20" spans="1:22" x14ac:dyDescent="0.25">
      <c r="A20" s="54">
        <v>44245</v>
      </c>
      <c r="B20" s="33">
        <v>144205</v>
      </c>
      <c r="C20" s="56">
        <v>100964</v>
      </c>
      <c r="D20" s="10">
        <v>190087</v>
      </c>
      <c r="E20" s="55">
        <v>239933</v>
      </c>
      <c r="F20" s="55">
        <v>66849</v>
      </c>
      <c r="G20" s="55">
        <v>109121</v>
      </c>
      <c r="H20" s="33">
        <v>46162</v>
      </c>
      <c r="I20" s="55">
        <v>57952</v>
      </c>
      <c r="J20" s="55">
        <v>18525</v>
      </c>
      <c r="K20" s="55">
        <v>1024</v>
      </c>
      <c r="L20" s="55">
        <v>16355</v>
      </c>
      <c r="M20" s="55">
        <v>22262</v>
      </c>
      <c r="N20" s="55">
        <v>6708</v>
      </c>
      <c r="O20" s="55">
        <v>1556</v>
      </c>
      <c r="P20" s="55">
        <v>25912</v>
      </c>
      <c r="Q20" s="33">
        <v>121</v>
      </c>
      <c r="R20" s="55">
        <v>5574</v>
      </c>
    </row>
    <row r="21" spans="1:22" x14ac:dyDescent="0.25">
      <c r="A21" s="54">
        <v>44246</v>
      </c>
      <c r="B21" s="33">
        <v>144378</v>
      </c>
      <c r="C21" s="33">
        <v>101143</v>
      </c>
      <c r="D21" s="55">
        <v>190218</v>
      </c>
      <c r="E21" s="55">
        <v>239991</v>
      </c>
      <c r="F21" s="55">
        <v>66849</v>
      </c>
      <c r="G21" s="55">
        <v>109143</v>
      </c>
      <c r="H21" s="33">
        <v>46198</v>
      </c>
      <c r="I21" s="55">
        <v>57982</v>
      </c>
      <c r="J21" s="55">
        <v>18536</v>
      </c>
      <c r="K21" s="55">
        <v>1024</v>
      </c>
      <c r="L21" s="55">
        <v>16361</v>
      </c>
      <c r="M21" s="55">
        <v>22280</v>
      </c>
      <c r="N21" s="55">
        <v>6712</v>
      </c>
      <c r="O21" s="55">
        <v>1557</v>
      </c>
      <c r="P21" s="55">
        <v>25912</v>
      </c>
      <c r="Q21" s="33">
        <v>124</v>
      </c>
      <c r="R21" s="55">
        <v>5581</v>
      </c>
    </row>
    <row r="22" spans="1:22" x14ac:dyDescent="0.25">
      <c r="A22" s="54">
        <v>44247</v>
      </c>
      <c r="B22" s="33">
        <v>144494</v>
      </c>
      <c r="C22" s="56">
        <v>101314</v>
      </c>
      <c r="D22" s="55">
        <v>190315</v>
      </c>
      <c r="E22" s="55">
        <v>240051</v>
      </c>
      <c r="F22" s="55">
        <v>66849</v>
      </c>
      <c r="G22" s="55">
        <v>109165</v>
      </c>
      <c r="H22" s="33">
        <v>46245</v>
      </c>
      <c r="I22" s="55">
        <v>58017</v>
      </c>
      <c r="J22" s="55">
        <v>18548</v>
      </c>
      <c r="K22" s="55">
        <v>1024</v>
      </c>
      <c r="L22" s="55">
        <v>16368</v>
      </c>
      <c r="M22" s="55">
        <v>22301</v>
      </c>
      <c r="N22" s="55">
        <v>6715</v>
      </c>
      <c r="O22" s="55">
        <v>1558</v>
      </c>
      <c r="P22" s="55">
        <v>25935</v>
      </c>
      <c r="Q22" s="33">
        <v>126</v>
      </c>
      <c r="R22" s="55">
        <v>5583</v>
      </c>
    </row>
    <row r="23" spans="1:22" x14ac:dyDescent="0.25">
      <c r="A23" s="54">
        <v>44248</v>
      </c>
      <c r="B23" s="33">
        <v>144616</v>
      </c>
      <c r="C23" s="33">
        <v>101499</v>
      </c>
      <c r="D23" s="55">
        <v>190428</v>
      </c>
      <c r="E23" s="55">
        <v>240108</v>
      </c>
      <c r="F23" s="55">
        <v>66850</v>
      </c>
      <c r="G23" s="55">
        <v>109192</v>
      </c>
      <c r="H23" s="33">
        <v>46297</v>
      </c>
      <c r="I23" s="55">
        <v>58051</v>
      </c>
      <c r="J23" s="55">
        <v>18561</v>
      </c>
      <c r="K23" s="55">
        <v>1024</v>
      </c>
      <c r="L23" s="55">
        <v>16375</v>
      </c>
      <c r="M23" s="55">
        <v>22314</v>
      </c>
      <c r="N23" s="55">
        <v>6718</v>
      </c>
      <c r="O23" s="55">
        <v>1560</v>
      </c>
      <c r="P23" s="55">
        <v>25938</v>
      </c>
      <c r="Q23" s="33">
        <v>128</v>
      </c>
      <c r="R23" s="55">
        <v>5590</v>
      </c>
    </row>
    <row r="24" spans="1:22" x14ac:dyDescent="0.25">
      <c r="A24" s="54">
        <v>44249</v>
      </c>
      <c r="B24" s="33">
        <v>144721</v>
      </c>
      <c r="C24" s="56">
        <v>101655</v>
      </c>
      <c r="D24" s="55">
        <v>190528</v>
      </c>
      <c r="E24" s="55">
        <v>240162</v>
      </c>
      <c r="F24" s="55">
        <v>66850</v>
      </c>
      <c r="G24" s="55">
        <v>109216</v>
      </c>
      <c r="H24" s="33">
        <v>46333</v>
      </c>
      <c r="I24" s="55">
        <v>58068</v>
      </c>
      <c r="J24" s="55">
        <v>18572</v>
      </c>
      <c r="K24" s="55">
        <v>1024</v>
      </c>
      <c r="L24" s="55">
        <v>16382</v>
      </c>
      <c r="M24" s="55">
        <v>22332</v>
      </c>
      <c r="N24" s="55">
        <v>6721</v>
      </c>
      <c r="O24" s="55">
        <v>1560</v>
      </c>
      <c r="P24" s="55">
        <v>25938</v>
      </c>
      <c r="Q24" s="33">
        <v>136</v>
      </c>
      <c r="R24" s="55">
        <v>5598</v>
      </c>
    </row>
    <row r="25" spans="1:22" x14ac:dyDescent="0.25">
      <c r="A25" s="54">
        <v>44250</v>
      </c>
      <c r="B25" s="33">
        <v>144843</v>
      </c>
      <c r="C25" s="33">
        <v>101836</v>
      </c>
      <c r="D25" s="55">
        <v>190648</v>
      </c>
      <c r="E25" s="55">
        <v>240224</v>
      </c>
      <c r="F25" s="55">
        <v>66851</v>
      </c>
      <c r="G25" s="55">
        <v>109240</v>
      </c>
      <c r="H25" s="33">
        <v>46369</v>
      </c>
      <c r="I25" s="55">
        <v>58103</v>
      </c>
      <c r="J25" s="55">
        <v>18584</v>
      </c>
      <c r="K25" s="55">
        <v>1024</v>
      </c>
      <c r="L25" s="55">
        <v>16389</v>
      </c>
      <c r="M25" s="55">
        <v>22344</v>
      </c>
      <c r="N25" s="55">
        <v>6724</v>
      </c>
      <c r="O25" s="55">
        <v>1561</v>
      </c>
      <c r="P25" s="55">
        <v>25949</v>
      </c>
      <c r="Q25" s="33">
        <v>138</v>
      </c>
      <c r="R25" s="55">
        <v>5606</v>
      </c>
    </row>
    <row r="26" spans="1:22" x14ac:dyDescent="0.25">
      <c r="A26" s="54">
        <v>44251</v>
      </c>
      <c r="B26" s="33">
        <v>144973</v>
      </c>
      <c r="C26" s="56">
        <v>102023</v>
      </c>
      <c r="D26" s="55">
        <v>190783</v>
      </c>
      <c r="E26" s="55">
        <v>240286</v>
      </c>
      <c r="F26" s="55">
        <v>66851</v>
      </c>
      <c r="G26" s="55">
        <v>109264</v>
      </c>
      <c r="H26" s="33">
        <v>46427</v>
      </c>
      <c r="I26" s="55">
        <v>58127</v>
      </c>
      <c r="J26" s="55">
        <v>18596</v>
      </c>
      <c r="K26" s="55">
        <v>1024</v>
      </c>
      <c r="L26" s="55">
        <v>16397</v>
      </c>
      <c r="M26" s="55">
        <v>22353</v>
      </c>
      <c r="N26" s="55">
        <v>6726</v>
      </c>
      <c r="O26" s="55">
        <v>1561</v>
      </c>
      <c r="P26" s="55">
        <v>25949</v>
      </c>
      <c r="Q26" s="33">
        <v>145</v>
      </c>
      <c r="R26" s="55">
        <v>5613</v>
      </c>
    </row>
    <row r="27" spans="1:22" x14ac:dyDescent="0.25">
      <c r="A27" s="54">
        <v>44252</v>
      </c>
      <c r="B27" s="33">
        <v>145131</v>
      </c>
      <c r="C27" s="33">
        <v>102215</v>
      </c>
      <c r="D27" s="55">
        <v>190902</v>
      </c>
      <c r="E27" s="55">
        <v>240338</v>
      </c>
      <c r="F27" s="55">
        <v>66851</v>
      </c>
      <c r="G27" s="55">
        <v>109289</v>
      </c>
      <c r="H27" s="33">
        <v>46487</v>
      </c>
      <c r="I27" s="55">
        <v>58158</v>
      </c>
      <c r="J27" s="55">
        <v>18609</v>
      </c>
      <c r="K27" s="55">
        <v>1024</v>
      </c>
      <c r="L27" s="55">
        <v>16404</v>
      </c>
      <c r="M27" s="55">
        <v>22362</v>
      </c>
      <c r="N27" s="55">
        <v>6730</v>
      </c>
      <c r="O27" s="55">
        <v>1562</v>
      </c>
      <c r="P27" s="55">
        <v>25959</v>
      </c>
      <c r="Q27" s="33">
        <v>148</v>
      </c>
      <c r="R27" s="55">
        <v>5622</v>
      </c>
    </row>
    <row r="28" spans="1:22" x14ac:dyDescent="0.25">
      <c r="A28" s="54">
        <v>44253</v>
      </c>
      <c r="B28" s="33">
        <v>145290</v>
      </c>
      <c r="C28" s="56">
        <v>102400</v>
      </c>
      <c r="D28" s="55">
        <v>191017</v>
      </c>
      <c r="E28" s="55">
        <v>240391</v>
      </c>
      <c r="F28" s="55">
        <v>66851</v>
      </c>
      <c r="G28" s="55">
        <v>109314</v>
      </c>
      <c r="H28" s="33">
        <v>46549</v>
      </c>
      <c r="I28" s="55">
        <v>58190</v>
      </c>
      <c r="J28" s="55">
        <v>18620</v>
      </c>
      <c r="K28" s="55">
        <v>1024</v>
      </c>
      <c r="L28" s="55">
        <v>16411</v>
      </c>
      <c r="M28" s="55">
        <v>22385</v>
      </c>
      <c r="N28" s="55">
        <v>6734</v>
      </c>
      <c r="O28" s="55">
        <v>1562</v>
      </c>
      <c r="P28" s="55">
        <v>25960</v>
      </c>
      <c r="Q28" s="33">
        <v>152</v>
      </c>
      <c r="R28" s="55">
        <v>5631</v>
      </c>
    </row>
    <row r="29" spans="1:22" x14ac:dyDescent="0.25">
      <c r="A29" s="54">
        <v>44254</v>
      </c>
      <c r="B29" s="33">
        <v>145486</v>
      </c>
      <c r="C29" s="33">
        <v>102577</v>
      </c>
      <c r="D29" s="55">
        <v>191132</v>
      </c>
      <c r="E29" s="55">
        <v>240449</v>
      </c>
      <c r="F29" s="55">
        <v>66852</v>
      </c>
      <c r="G29" s="55">
        <v>109338</v>
      </c>
      <c r="H29" s="33">
        <v>46602</v>
      </c>
      <c r="I29" s="10">
        <v>58214</v>
      </c>
      <c r="J29" s="55">
        <v>18632</v>
      </c>
      <c r="K29" s="55">
        <v>1024</v>
      </c>
      <c r="L29" s="55">
        <v>16419</v>
      </c>
      <c r="M29" s="55">
        <v>22400</v>
      </c>
      <c r="N29" s="55">
        <v>6739</v>
      </c>
      <c r="O29" s="55">
        <v>1562</v>
      </c>
      <c r="P29" s="55">
        <v>25971</v>
      </c>
      <c r="Q29" s="55">
        <v>153</v>
      </c>
      <c r="R29" s="55">
        <v>5632</v>
      </c>
    </row>
    <row r="30" spans="1:22" x14ac:dyDescent="0.25">
      <c r="A30" s="54">
        <v>44255</v>
      </c>
      <c r="B30" s="33">
        <v>145692</v>
      </c>
      <c r="C30" s="56">
        <v>102763</v>
      </c>
      <c r="D30" s="55">
        <v>191278</v>
      </c>
      <c r="E30" s="55">
        <v>240503</v>
      </c>
      <c r="F30" s="55">
        <v>66852</v>
      </c>
      <c r="G30" s="55">
        <v>109360</v>
      </c>
      <c r="H30" s="33">
        <v>46644</v>
      </c>
      <c r="I30" s="55">
        <v>58231</v>
      </c>
      <c r="J30" s="55">
        <v>18644</v>
      </c>
      <c r="K30" s="55">
        <v>1024</v>
      </c>
      <c r="L30" s="55">
        <v>16425</v>
      </c>
      <c r="M30" s="55">
        <v>22414</v>
      </c>
      <c r="N30" s="55">
        <v>6741</v>
      </c>
      <c r="O30" s="55">
        <v>1568</v>
      </c>
      <c r="P30" s="55">
        <v>25971</v>
      </c>
      <c r="Q30" s="55">
        <v>155.69999999999999</v>
      </c>
      <c r="R30" s="55">
        <v>5640</v>
      </c>
    </row>
    <row r="31" spans="1:22" x14ac:dyDescent="0.25">
      <c r="A31" s="54"/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/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/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F1" zoomScale="70" zoomScaleNormal="70" workbookViewId="0">
      <pane ySplit="3" topLeftCell="A7" activePane="bottomLeft" state="frozen"/>
      <selection activeCell="C25" sqref="C25"/>
      <selection pane="bottomLeft" activeCell="Y30" sqref="Y30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2" t="s">
        <v>32</v>
      </c>
      <c r="B2" s="133" t="s">
        <v>109</v>
      </c>
      <c r="C2" s="133" t="s">
        <v>110</v>
      </c>
      <c r="D2" s="133"/>
      <c r="E2" s="134" t="s">
        <v>98</v>
      </c>
      <c r="F2" s="135"/>
      <c r="G2" s="136" t="s">
        <v>113</v>
      </c>
      <c r="H2" s="135"/>
      <c r="I2" s="136" t="s">
        <v>111</v>
      </c>
      <c r="J2" s="135"/>
      <c r="K2" s="136" t="s">
        <v>112</v>
      </c>
      <c r="L2" s="135"/>
      <c r="M2" s="136" t="s">
        <v>108</v>
      </c>
      <c r="N2" s="135"/>
      <c r="O2" s="136" t="s">
        <v>107</v>
      </c>
      <c r="P2" s="135"/>
      <c r="Q2" s="136" t="s">
        <v>114</v>
      </c>
      <c r="R2" s="135"/>
      <c r="S2" s="136" t="s">
        <v>115</v>
      </c>
      <c r="T2" s="135"/>
      <c r="U2" s="136" t="s">
        <v>116</v>
      </c>
      <c r="V2" s="135"/>
      <c r="W2" s="136" t="s">
        <v>100</v>
      </c>
      <c r="X2" s="137"/>
      <c r="Y2" s="138" t="s">
        <v>53</v>
      </c>
      <c r="Z2" s="138"/>
    </row>
    <row r="3" spans="1:26" ht="30" x14ac:dyDescent="0.35">
      <c r="A3" s="132"/>
      <c r="B3" s="133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44228</v>
      </c>
      <c r="B4" s="65">
        <f>TOTAL!I2</f>
        <v>279</v>
      </c>
      <c r="C4" s="66">
        <f>('Water Reading'!B4-'Water Reading'!B3)+('Water Reading'!C4-'Water Reading'!C3)</f>
        <v>334</v>
      </c>
      <c r="D4" s="67">
        <f>C4/B4</f>
        <v>1.1971326164874552</v>
      </c>
      <c r="E4" s="88">
        <f>'Water Reading'!H4-'Water Reading'!H3</f>
        <v>35</v>
      </c>
      <c r="F4" s="89">
        <f>E4/C4</f>
        <v>0.10479041916167664</v>
      </c>
      <c r="G4" s="93">
        <f>('Water Reading'!D4-'Water Reading'!D3)-('Water Reading'!R4-'Water Reading'!R3)-('Water Reading'!Q4-'Water Reading'!Q3)</f>
        <v>172</v>
      </c>
      <c r="H4" s="89">
        <f>G4/C4</f>
        <v>0.51497005988023947</v>
      </c>
      <c r="I4" s="90">
        <f>'Water Reading'!P4-'Water Reading'!P3</f>
        <v>0</v>
      </c>
      <c r="J4" s="68">
        <f>I4/C4</f>
        <v>0</v>
      </c>
      <c r="K4" s="91">
        <f>('Water Reading'!I4-'Water Reading'!I3)</f>
        <v>13</v>
      </c>
      <c r="L4" s="68">
        <f>K4/C4</f>
        <v>3.8922155688622756E-2</v>
      </c>
      <c r="M4" s="90">
        <f>'Water Reading'!R4-'Water Reading'!R3</f>
        <v>2</v>
      </c>
      <c r="N4" s="92">
        <f>M4/C4</f>
        <v>5.9880239520958087E-3</v>
      </c>
      <c r="O4" s="90">
        <f>'Water Reading'!Q4-'Water Reading'!Q3</f>
        <v>0</v>
      </c>
      <c r="P4" s="99">
        <f>O4/C4</f>
        <v>0</v>
      </c>
      <c r="Q4" s="91">
        <f>'Water Reading'!F4-'Water Reading'!F3</f>
        <v>1</v>
      </c>
      <c r="R4" s="100">
        <f>Q4/C4</f>
        <v>2.9940119760479044E-3</v>
      </c>
      <c r="S4" s="90">
        <f>'Water Reading'!E4-'Water Reading'!E3</f>
        <v>57</v>
      </c>
      <c r="T4" s="100">
        <f>S4/C4</f>
        <v>0.17065868263473055</v>
      </c>
      <c r="U4" s="90">
        <f>'Water Reading'!G4-'Water Reading'!G3</f>
        <v>21</v>
      </c>
      <c r="V4" s="100">
        <f>U4/C4</f>
        <v>6.2874251497005984E-2</v>
      </c>
      <c r="W4" s="90">
        <f>'Water Reading'!J4-'Water Reading'!J3</f>
        <v>11</v>
      </c>
      <c r="X4" s="100">
        <f>W4/C4</f>
        <v>3.2934131736526949E-2</v>
      </c>
      <c r="Y4" s="66">
        <f t="shared" ref="Y4:Y34" si="0">E4+I4+K4+M4+O4+G4+Q4+S4+U4+W4</f>
        <v>312</v>
      </c>
      <c r="Z4" s="67">
        <f t="shared" ref="Z4:Z35" si="1">Y4/B4</f>
        <v>1.118279569892473</v>
      </c>
    </row>
    <row r="5" spans="1:26" x14ac:dyDescent="0.25">
      <c r="A5" s="8">
        <f>'Water Reading'!A4</f>
        <v>44229</v>
      </c>
      <c r="B5" s="65">
        <f>TOTAL!I3</f>
        <v>248</v>
      </c>
      <c r="C5" s="66">
        <f>('Water Reading'!B5-'Water Reading'!B4)+('Water Reading'!C5-'Water Reading'!C4)</f>
        <v>303</v>
      </c>
      <c r="D5" s="67">
        <f t="shared" ref="D5:D34" si="2">C5/B5</f>
        <v>1.221774193548387</v>
      </c>
      <c r="E5" s="88">
        <f>'Water Reading'!H5-'Water Reading'!H4</f>
        <v>38</v>
      </c>
      <c r="F5" s="89">
        <f t="shared" ref="F5:F34" si="3">E5/C5</f>
        <v>0.1254125412541254</v>
      </c>
      <c r="G5" s="93">
        <f>('Water Reading'!D5-'Water Reading'!D4)-('Water Reading'!R5-'Water Reading'!R4)-('Water Reading'!Q5-'Water Reading'!Q4)</f>
        <v>152</v>
      </c>
      <c r="H5" s="89">
        <f t="shared" ref="H5:H34" si="4">G5/C5</f>
        <v>0.50165016501650161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13</v>
      </c>
      <c r="L5" s="68">
        <f t="shared" ref="L5:L34" si="6">K5/C5</f>
        <v>4.2904290429042903E-2</v>
      </c>
      <c r="M5" s="90">
        <f>'Water Reading'!R5-'Water Reading'!R4</f>
        <v>8</v>
      </c>
      <c r="N5" s="92">
        <f t="shared" ref="N5:N34" si="7">M5/C5</f>
        <v>2.6402640264026403E-2</v>
      </c>
      <c r="O5" s="90">
        <f>'Water Reading'!Q5-'Water Reading'!Q4</f>
        <v>7</v>
      </c>
      <c r="P5" s="99">
        <f t="shared" ref="P5:P34" si="8">O5/C5</f>
        <v>2.3102310231023101E-2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65</v>
      </c>
      <c r="T5" s="100">
        <f t="shared" ref="T5:T34" si="10">S5/C5</f>
        <v>0.21452145214521451</v>
      </c>
      <c r="U5" s="90">
        <f>'Water Reading'!G5-'Water Reading'!G4</f>
        <v>24</v>
      </c>
      <c r="V5" s="100">
        <f t="shared" ref="V5:V34" si="11">U5/C5</f>
        <v>7.9207920792079209E-2</v>
      </c>
      <c r="W5" s="90">
        <f>'Water Reading'!J5-'Water Reading'!J4</f>
        <v>11</v>
      </c>
      <c r="X5" s="100">
        <f t="shared" ref="X5:X34" si="12">W5/C5</f>
        <v>3.6303630363036306E-2</v>
      </c>
      <c r="Y5" s="66">
        <f t="shared" si="0"/>
        <v>318</v>
      </c>
      <c r="Z5" s="67">
        <f t="shared" si="1"/>
        <v>1.282258064516129</v>
      </c>
    </row>
    <row r="6" spans="1:26" x14ac:dyDescent="0.25">
      <c r="A6" s="8">
        <f>'Water Reading'!A5</f>
        <v>44230</v>
      </c>
      <c r="B6" s="65">
        <f>TOTAL!I4</f>
        <v>241</v>
      </c>
      <c r="C6" s="66">
        <f>('Water Reading'!B6-'Water Reading'!B5)+('Water Reading'!C6-'Water Reading'!C5)</f>
        <v>277</v>
      </c>
      <c r="D6" s="67">
        <f t="shared" si="2"/>
        <v>1.1493775933609958</v>
      </c>
      <c r="E6" s="88">
        <f>'Water Reading'!H6-'Water Reading'!H5</f>
        <v>22</v>
      </c>
      <c r="F6" s="89">
        <f t="shared" si="3"/>
        <v>7.9422382671480149E-2</v>
      </c>
      <c r="G6" s="93">
        <f>('Water Reading'!D6-'Water Reading'!D5)-('Water Reading'!R6-'Water Reading'!R5)-('Water Reading'!Q6-'Water Reading'!Q5)</f>
        <v>100</v>
      </c>
      <c r="H6" s="89">
        <f t="shared" si="4"/>
        <v>0.36101083032490977</v>
      </c>
      <c r="I6" s="90">
        <f>'Water Reading'!P6-'Water Reading'!P5</f>
        <v>0</v>
      </c>
      <c r="J6" s="68">
        <f t="shared" si="5"/>
        <v>0</v>
      </c>
      <c r="K6" s="91">
        <f>('Water Reading'!I6-'Water Reading'!I5)</f>
        <v>16</v>
      </c>
      <c r="L6" s="68">
        <f t="shared" si="6"/>
        <v>5.7761732851985562E-2</v>
      </c>
      <c r="M6" s="90">
        <f>'Water Reading'!R6-'Water Reading'!R5</f>
        <v>8</v>
      </c>
      <c r="N6" s="92">
        <f t="shared" si="7"/>
        <v>2.8880866425992781E-2</v>
      </c>
      <c r="O6" s="90">
        <f>'Water Reading'!Q6-'Water Reading'!Q5</f>
        <v>0</v>
      </c>
      <c r="P6" s="99">
        <f t="shared" si="8"/>
        <v>0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54</v>
      </c>
      <c r="T6" s="100">
        <f t="shared" si="10"/>
        <v>0.19494584837545126</v>
      </c>
      <c r="U6" s="90">
        <f>'Water Reading'!G6-'Water Reading'!G5</f>
        <v>19</v>
      </c>
      <c r="V6" s="100">
        <f t="shared" si="11"/>
        <v>6.8592057761732855E-2</v>
      </c>
      <c r="W6" s="90">
        <f>'Water Reading'!J6-'Water Reading'!J5</f>
        <v>11</v>
      </c>
      <c r="X6" s="100">
        <f t="shared" si="12"/>
        <v>3.9711191335740074E-2</v>
      </c>
      <c r="Y6" s="66">
        <f t="shared" si="0"/>
        <v>230</v>
      </c>
      <c r="Z6" s="67">
        <f t="shared" si="1"/>
        <v>0.9543568464730291</v>
      </c>
    </row>
    <row r="7" spans="1:26" x14ac:dyDescent="0.25">
      <c r="A7" s="8">
        <f>'Water Reading'!A6</f>
        <v>44231</v>
      </c>
      <c r="B7" s="65">
        <f>TOTAL!I5</f>
        <v>216</v>
      </c>
      <c r="C7" s="66">
        <f>('Water Reading'!B7-'Water Reading'!B6)+('Water Reading'!C7-'Water Reading'!C6)</f>
        <v>261</v>
      </c>
      <c r="D7" s="67">
        <f t="shared" si="2"/>
        <v>1.2083333333333333</v>
      </c>
      <c r="E7" s="88">
        <f>'Water Reading'!H7-'Water Reading'!H6</f>
        <v>30</v>
      </c>
      <c r="F7" s="89">
        <f t="shared" si="3"/>
        <v>0.11494252873563218</v>
      </c>
      <c r="G7" s="93">
        <f>('Water Reading'!D7-'Water Reading'!D6)-('Water Reading'!R7-'Water Reading'!R6)-('Water Reading'!Q7-'Water Reading'!Q6)</f>
        <v>71</v>
      </c>
      <c r="H7" s="89">
        <f t="shared" si="4"/>
        <v>0.27203065134099619</v>
      </c>
      <c r="I7" s="90">
        <f>'Water Reading'!P7-'Water Reading'!P6</f>
        <v>15</v>
      </c>
      <c r="J7" s="68">
        <f t="shared" si="5"/>
        <v>5.7471264367816091E-2</v>
      </c>
      <c r="K7" s="91">
        <f>('Water Reading'!I7-'Water Reading'!I6)</f>
        <v>33</v>
      </c>
      <c r="L7" s="68">
        <f t="shared" si="6"/>
        <v>0.12643678160919541</v>
      </c>
      <c r="M7" s="90">
        <f>'Water Reading'!R7-'Water Reading'!R6</f>
        <v>6</v>
      </c>
      <c r="N7" s="92">
        <f t="shared" si="7"/>
        <v>2.2988505747126436E-2</v>
      </c>
      <c r="O7" s="90">
        <f>'Water Reading'!Q7-'Water Reading'!Q6</f>
        <v>10</v>
      </c>
      <c r="P7" s="99">
        <f t="shared" si="8"/>
        <v>3.8314176245210725E-2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60</v>
      </c>
      <c r="T7" s="100">
        <f t="shared" si="10"/>
        <v>0.22988505747126436</v>
      </c>
      <c r="U7" s="90">
        <f>'Water Reading'!G7-'Water Reading'!G6</f>
        <v>22</v>
      </c>
      <c r="V7" s="100">
        <f t="shared" si="11"/>
        <v>8.4291187739463605E-2</v>
      </c>
      <c r="W7" s="90">
        <f>'Water Reading'!J7-'Water Reading'!J6</f>
        <v>11</v>
      </c>
      <c r="X7" s="100">
        <f t="shared" si="12"/>
        <v>4.2145593869731802E-2</v>
      </c>
      <c r="Y7" s="66">
        <f t="shared" si="0"/>
        <v>258</v>
      </c>
      <c r="Z7" s="67">
        <f t="shared" si="1"/>
        <v>1.1944444444444444</v>
      </c>
    </row>
    <row r="8" spans="1:26" x14ac:dyDescent="0.25">
      <c r="A8" s="8">
        <f>'Water Reading'!A7</f>
        <v>44232</v>
      </c>
      <c r="B8" s="65">
        <f>TOTAL!I6</f>
        <v>240</v>
      </c>
      <c r="C8" s="66">
        <f>('Water Reading'!B8-'Water Reading'!B7)+('Water Reading'!C8-'Water Reading'!C7)</f>
        <v>242</v>
      </c>
      <c r="D8" s="67">
        <f t="shared" si="2"/>
        <v>1.0083333333333333</v>
      </c>
      <c r="E8" s="88">
        <f>'Water Reading'!H8-'Water Reading'!H7</f>
        <v>38</v>
      </c>
      <c r="F8" s="89">
        <f t="shared" si="3"/>
        <v>0.15702479338842976</v>
      </c>
      <c r="G8" s="93">
        <f>('Water Reading'!D8-'Water Reading'!D7)-('Water Reading'!R8-'Water Reading'!R7)-('Water Reading'!Q8-'Water Reading'!Q7)</f>
        <v>84</v>
      </c>
      <c r="H8" s="89">
        <f t="shared" si="4"/>
        <v>0.34710743801652894</v>
      </c>
      <c r="I8" s="90">
        <f>'Water Reading'!P8-'Water Reading'!P7</f>
        <v>0</v>
      </c>
      <c r="J8" s="68">
        <f t="shared" si="5"/>
        <v>0</v>
      </c>
      <c r="K8" s="91">
        <f>('Water Reading'!I8-'Water Reading'!I7)</f>
        <v>18</v>
      </c>
      <c r="L8" s="68">
        <f t="shared" si="6"/>
        <v>7.43801652892562E-2</v>
      </c>
      <c r="M8" s="90">
        <f>'Water Reading'!R8-'Water Reading'!R7</f>
        <v>2</v>
      </c>
      <c r="N8" s="92">
        <f t="shared" si="7"/>
        <v>8.2644628099173556E-3</v>
      </c>
      <c r="O8" s="90">
        <f>'Water Reading'!Q8-'Water Reading'!Q7</f>
        <v>1</v>
      </c>
      <c r="P8" s="99">
        <f t="shared" si="8"/>
        <v>4.1322314049586778E-3</v>
      </c>
      <c r="Q8" s="91">
        <f>'Water Reading'!F8-'Water Reading'!F7</f>
        <v>1</v>
      </c>
      <c r="R8" s="100">
        <f t="shared" si="9"/>
        <v>4.1322314049586778E-3</v>
      </c>
      <c r="S8" s="90">
        <f>'Water Reading'!E8-'Water Reading'!E7</f>
        <v>59</v>
      </c>
      <c r="T8" s="100">
        <f t="shared" si="10"/>
        <v>0.24380165289256198</v>
      </c>
      <c r="U8" s="90">
        <f>'Water Reading'!G8-'Water Reading'!G7</f>
        <v>20</v>
      </c>
      <c r="V8" s="100">
        <f t="shared" si="11"/>
        <v>8.2644628099173556E-2</v>
      </c>
      <c r="W8" s="90">
        <f>'Water Reading'!J8-'Water Reading'!J7</f>
        <v>13</v>
      </c>
      <c r="X8" s="100">
        <f t="shared" si="12"/>
        <v>5.3719008264462811E-2</v>
      </c>
      <c r="Y8" s="66">
        <f t="shared" si="0"/>
        <v>236</v>
      </c>
      <c r="Z8" s="67">
        <f t="shared" si="1"/>
        <v>0.98333333333333328</v>
      </c>
    </row>
    <row r="9" spans="1:26" x14ac:dyDescent="0.25">
      <c r="A9" s="8">
        <f>'Water Reading'!A8</f>
        <v>44233</v>
      </c>
      <c r="B9" s="65">
        <f>TOTAL!I7</f>
        <v>231</v>
      </c>
      <c r="C9" s="66">
        <f>('Water Reading'!B9-'Water Reading'!B8)+('Water Reading'!C9-'Water Reading'!C8)</f>
        <v>327</v>
      </c>
      <c r="D9" s="67">
        <f t="shared" si="2"/>
        <v>1.4155844155844155</v>
      </c>
      <c r="E9" s="88">
        <f>'Water Reading'!H9-'Water Reading'!H8</f>
        <v>42</v>
      </c>
      <c r="F9" s="89">
        <f t="shared" si="3"/>
        <v>0.12844036697247707</v>
      </c>
      <c r="G9" s="93">
        <f>('Water Reading'!D9-'Water Reading'!D8)-('Water Reading'!R9-'Water Reading'!R8)-('Water Reading'!Q9-'Water Reading'!Q8)</f>
        <v>159</v>
      </c>
      <c r="H9" s="89">
        <f t="shared" si="4"/>
        <v>0.48623853211009177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12</v>
      </c>
      <c r="L9" s="68">
        <f t="shared" si="6"/>
        <v>3.669724770642202E-2</v>
      </c>
      <c r="M9" s="90">
        <f>'Water Reading'!R9-'Water Reading'!R8</f>
        <v>6</v>
      </c>
      <c r="N9" s="92">
        <f t="shared" si="7"/>
        <v>1.834862385321101E-2</v>
      </c>
      <c r="O9" s="90">
        <f>'Water Reading'!Q9-'Water Reading'!Q8</f>
        <v>3</v>
      </c>
      <c r="P9" s="99">
        <f t="shared" si="8"/>
        <v>9.1743119266055051E-3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65</v>
      </c>
      <c r="T9" s="100">
        <f t="shared" si="10"/>
        <v>0.19877675840978593</v>
      </c>
      <c r="U9" s="90">
        <f>'Water Reading'!G9-'Water Reading'!G8</f>
        <v>20</v>
      </c>
      <c r="V9" s="100">
        <f t="shared" si="11"/>
        <v>6.1162079510703363E-2</v>
      </c>
      <c r="W9" s="90">
        <f>'Water Reading'!J9-'Water Reading'!J8</f>
        <v>11</v>
      </c>
      <c r="X9" s="100">
        <f t="shared" si="12"/>
        <v>3.3639143730886847E-2</v>
      </c>
      <c r="Y9" s="66">
        <f t="shared" si="0"/>
        <v>318</v>
      </c>
      <c r="Z9" s="67">
        <f t="shared" si="1"/>
        <v>1.3766233766233766</v>
      </c>
    </row>
    <row r="10" spans="1:26" x14ac:dyDescent="0.25">
      <c r="A10" s="8">
        <f>'Water Reading'!A9</f>
        <v>44234</v>
      </c>
      <c r="B10" s="65">
        <f>TOTAL!I8</f>
        <v>174</v>
      </c>
      <c r="C10" s="66">
        <f>('Water Reading'!B10-'Water Reading'!B9)+('Water Reading'!C10-'Water Reading'!C9)</f>
        <v>260</v>
      </c>
      <c r="D10" s="67">
        <f t="shared" si="2"/>
        <v>1.4942528735632183</v>
      </c>
      <c r="E10" s="88">
        <f>'Water Reading'!H10-'Water Reading'!H9</f>
        <v>42</v>
      </c>
      <c r="F10" s="89">
        <f t="shared" si="3"/>
        <v>0.16153846153846155</v>
      </c>
      <c r="G10" s="93">
        <f>('Water Reading'!D10-'Water Reading'!D9)-('Water Reading'!R10-'Water Reading'!R9)-('Water Reading'!Q10-'Water Reading'!Q9)</f>
        <v>86</v>
      </c>
      <c r="H10" s="89">
        <f t="shared" si="4"/>
        <v>0.33076923076923076</v>
      </c>
      <c r="I10" s="90">
        <f>'Water Reading'!P10-'Water Reading'!P9</f>
        <v>7</v>
      </c>
      <c r="J10" s="68">
        <f t="shared" si="5"/>
        <v>2.6923076923076925E-2</v>
      </c>
      <c r="K10" s="91">
        <f>('Water Reading'!I10-'Water Reading'!I9)</f>
        <v>21</v>
      </c>
      <c r="L10" s="68">
        <f t="shared" si="6"/>
        <v>8.0769230769230774E-2</v>
      </c>
      <c r="M10" s="90">
        <f>'Water Reading'!R10-'Water Reading'!R9</f>
        <v>8</v>
      </c>
      <c r="N10" s="92">
        <f t="shared" si="7"/>
        <v>3.0769230769230771E-2</v>
      </c>
      <c r="O10" s="90">
        <f>'Water Reading'!Q10-'Water Reading'!Q9</f>
        <v>5</v>
      </c>
      <c r="P10" s="99">
        <f t="shared" si="8"/>
        <v>1.9230769230769232E-2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50</v>
      </c>
      <c r="T10" s="100">
        <f t="shared" si="10"/>
        <v>0.19230769230769232</v>
      </c>
      <c r="U10" s="90">
        <f>'Water Reading'!G10-'Water Reading'!G9</f>
        <v>16</v>
      </c>
      <c r="V10" s="100">
        <f t="shared" si="11"/>
        <v>6.1538461538461542E-2</v>
      </c>
      <c r="W10" s="90">
        <f>'Water Reading'!J10-'Water Reading'!J9</f>
        <v>11</v>
      </c>
      <c r="X10" s="100">
        <f t="shared" si="12"/>
        <v>4.230769230769231E-2</v>
      </c>
      <c r="Y10" s="66">
        <f t="shared" si="0"/>
        <v>246</v>
      </c>
      <c r="Z10" s="67">
        <f t="shared" si="1"/>
        <v>1.4137931034482758</v>
      </c>
    </row>
    <row r="11" spans="1:26" x14ac:dyDescent="0.25">
      <c r="A11" s="8">
        <f>'Water Reading'!A10</f>
        <v>44235</v>
      </c>
      <c r="B11" s="65">
        <f>TOTAL!I9</f>
        <v>305</v>
      </c>
      <c r="C11" s="66">
        <f>('Water Reading'!B11-'Water Reading'!B10)+('Water Reading'!C11-'Water Reading'!C10)</f>
        <v>307</v>
      </c>
      <c r="D11" s="67">
        <f t="shared" si="2"/>
        <v>1.0065573770491802</v>
      </c>
      <c r="E11" s="88">
        <f>'Water Reading'!H11-'Water Reading'!H10</f>
        <v>54</v>
      </c>
      <c r="F11" s="89">
        <f t="shared" si="3"/>
        <v>0.1758957654723127</v>
      </c>
      <c r="G11" s="93">
        <f>('Water Reading'!D11-'Water Reading'!D10)-('Water Reading'!R11-'Water Reading'!R10)-('Water Reading'!Q11-'Water Reading'!Q10)</f>
        <v>112</v>
      </c>
      <c r="H11" s="89">
        <f t="shared" si="4"/>
        <v>0.36482084690553745</v>
      </c>
      <c r="I11" s="90">
        <f>'Water Reading'!P11-'Water Reading'!P10</f>
        <v>14</v>
      </c>
      <c r="J11" s="68">
        <f t="shared" si="5"/>
        <v>4.5602605863192182E-2</v>
      </c>
      <c r="K11" s="91">
        <f>('Water Reading'!I11-'Water Reading'!I10)</f>
        <v>32</v>
      </c>
      <c r="L11" s="68">
        <f t="shared" si="6"/>
        <v>0.10423452768729642</v>
      </c>
      <c r="M11" s="90">
        <f>'Water Reading'!R11-'Water Reading'!R10</f>
        <v>5</v>
      </c>
      <c r="N11" s="92">
        <f t="shared" si="7"/>
        <v>1.6286644951140065E-2</v>
      </c>
      <c r="O11" s="98">
        <f>'Water Reading'!Q11-'Water Reading'!Q10</f>
        <v>2</v>
      </c>
      <c r="P11" s="99">
        <f t="shared" si="8"/>
        <v>6.5146579804560263E-3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60</v>
      </c>
      <c r="T11" s="100">
        <f t="shared" si="10"/>
        <v>0.19543973941368079</v>
      </c>
      <c r="U11" s="90">
        <f>'Water Reading'!G11-'Water Reading'!G10</f>
        <v>20</v>
      </c>
      <c r="V11" s="100">
        <f t="shared" si="11"/>
        <v>6.5146579804560262E-2</v>
      </c>
      <c r="W11" s="90">
        <f>'Water Reading'!J11-'Water Reading'!J10</f>
        <v>11</v>
      </c>
      <c r="X11" s="100">
        <f t="shared" si="12"/>
        <v>3.5830618892508145E-2</v>
      </c>
      <c r="Y11" s="66">
        <f t="shared" si="0"/>
        <v>310</v>
      </c>
      <c r="Z11" s="67">
        <f t="shared" si="1"/>
        <v>1.0163934426229508</v>
      </c>
    </row>
    <row r="12" spans="1:26" x14ac:dyDescent="0.25">
      <c r="A12" s="8">
        <f>'Water Reading'!A11</f>
        <v>44236</v>
      </c>
      <c r="B12" s="65">
        <f>TOTAL!I10</f>
        <v>258</v>
      </c>
      <c r="C12" s="66">
        <f>('Water Reading'!B12-'Water Reading'!B11)+('Water Reading'!C12-'Water Reading'!C11)</f>
        <v>325</v>
      </c>
      <c r="D12" s="67">
        <f t="shared" si="2"/>
        <v>1.2596899224806202</v>
      </c>
      <c r="E12" s="88">
        <f>'Water Reading'!H12-'Water Reading'!H11</f>
        <v>46</v>
      </c>
      <c r="F12" s="89">
        <f t="shared" si="3"/>
        <v>0.14153846153846153</v>
      </c>
      <c r="G12" s="93">
        <f>('Water Reading'!D12-'Water Reading'!D11)-('Water Reading'!R12-'Water Reading'!R11)-('Water Reading'!Q12-'Water Reading'!Q11)</f>
        <v>145</v>
      </c>
      <c r="H12" s="89">
        <f t="shared" si="4"/>
        <v>0.44615384615384618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19</v>
      </c>
      <c r="L12" s="68">
        <f t="shared" si="6"/>
        <v>5.8461538461538461E-2</v>
      </c>
      <c r="M12" s="90">
        <f>'Water Reading'!R12-'Water Reading'!R11</f>
        <v>6</v>
      </c>
      <c r="N12" s="92">
        <f t="shared" si="7"/>
        <v>1.8461538461538463E-2</v>
      </c>
      <c r="O12" s="98">
        <f>'Water Reading'!Q12-'Water Reading'!Q11</f>
        <v>5</v>
      </c>
      <c r="P12" s="99">
        <f t="shared" si="8"/>
        <v>1.5384615384615385E-2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60</v>
      </c>
      <c r="T12" s="100">
        <f t="shared" si="10"/>
        <v>0.18461538461538463</v>
      </c>
      <c r="U12" s="90">
        <f>'Water Reading'!G12-'Water Reading'!G11</f>
        <v>20</v>
      </c>
      <c r="V12" s="100">
        <f t="shared" si="11"/>
        <v>6.1538461538461542E-2</v>
      </c>
      <c r="W12" s="90">
        <f>'Water Reading'!J12-'Water Reading'!J11</f>
        <v>11</v>
      </c>
      <c r="X12" s="100">
        <f t="shared" si="12"/>
        <v>3.3846153846153845E-2</v>
      </c>
      <c r="Y12" s="66">
        <f t="shared" si="0"/>
        <v>312</v>
      </c>
      <c r="Z12" s="67">
        <f t="shared" si="1"/>
        <v>1.2093023255813953</v>
      </c>
    </row>
    <row r="13" spans="1:26" x14ac:dyDescent="0.25">
      <c r="A13" s="8">
        <f>'Water Reading'!A12</f>
        <v>44237</v>
      </c>
      <c r="B13" s="65">
        <f>TOTAL!I11</f>
        <v>280</v>
      </c>
      <c r="C13" s="66">
        <f>('Water Reading'!B13-'Water Reading'!B12)+('Water Reading'!C13-'Water Reading'!C12)</f>
        <v>340</v>
      </c>
      <c r="D13" s="67">
        <f t="shared" si="2"/>
        <v>1.2142857142857142</v>
      </c>
      <c r="E13" s="87">
        <f>'Water Reading'!H13-'Water Reading'!H12</f>
        <v>33</v>
      </c>
      <c r="F13" s="89">
        <f t="shared" si="3"/>
        <v>9.7058823529411767E-2</v>
      </c>
      <c r="G13" s="93">
        <f>('Water Reading'!D13-'Water Reading'!D12)-('Water Reading'!R13-'Water Reading'!R12)-('Water Reading'!Q13-'Water Reading'!Q12)</f>
        <v>166</v>
      </c>
      <c r="H13" s="89">
        <f t="shared" si="4"/>
        <v>0.48823529411764705</v>
      </c>
      <c r="I13" s="90">
        <f>'Water Reading'!P13-'Water Reading'!P12</f>
        <v>9</v>
      </c>
      <c r="J13" s="68">
        <f t="shared" si="5"/>
        <v>2.6470588235294117E-2</v>
      </c>
      <c r="K13" s="91">
        <f>('Water Reading'!I13-'Water Reading'!I12)</f>
        <v>25</v>
      </c>
      <c r="L13" s="68">
        <f t="shared" si="6"/>
        <v>7.3529411764705885E-2</v>
      </c>
      <c r="M13" s="90">
        <f>'Water Reading'!R13-'Water Reading'!R12</f>
        <v>7</v>
      </c>
      <c r="N13" s="92">
        <f t="shared" si="7"/>
        <v>2.0588235294117647E-2</v>
      </c>
      <c r="O13" s="90">
        <f>'Water Reading'!Q13-'Water Reading'!Q12</f>
        <v>1</v>
      </c>
      <c r="P13" s="99">
        <f t="shared" si="8"/>
        <v>2.9411764705882353E-3</v>
      </c>
      <c r="Q13" s="91">
        <f>'Water Reading'!F13-'Water Reading'!F12</f>
        <v>1</v>
      </c>
      <c r="R13" s="100">
        <f t="shared" si="9"/>
        <v>2.9411764705882353E-3</v>
      </c>
      <c r="S13" s="94">
        <f>'Water Reading'!E13-'Water Reading'!E12</f>
        <v>59</v>
      </c>
      <c r="T13" s="100">
        <f t="shared" si="10"/>
        <v>0.17352941176470588</v>
      </c>
      <c r="U13" s="90">
        <f>'Water Reading'!G13-'Water Reading'!G12</f>
        <v>19</v>
      </c>
      <c r="V13" s="100">
        <f t="shared" si="11"/>
        <v>5.5882352941176473E-2</v>
      </c>
      <c r="W13" s="90">
        <f>'Water Reading'!J13-'Water Reading'!J12</f>
        <v>12</v>
      </c>
      <c r="X13" s="100">
        <f t="shared" si="12"/>
        <v>3.5294117647058823E-2</v>
      </c>
      <c r="Y13" s="66">
        <f t="shared" si="0"/>
        <v>332</v>
      </c>
      <c r="Z13" s="67">
        <f t="shared" si="1"/>
        <v>1.1857142857142857</v>
      </c>
    </row>
    <row r="14" spans="1:26" x14ac:dyDescent="0.25">
      <c r="A14" s="8">
        <f>'Water Reading'!A13</f>
        <v>44238</v>
      </c>
      <c r="B14" s="65">
        <f>TOTAL!I12</f>
        <v>240</v>
      </c>
      <c r="C14" s="66">
        <f>('Water Reading'!B14-'Water Reading'!B13)+('Water Reading'!C14-'Water Reading'!C13)</f>
        <v>278</v>
      </c>
      <c r="D14" s="67">
        <f t="shared" si="2"/>
        <v>1.1583333333333334</v>
      </c>
      <c r="E14" s="88">
        <f>'Water Reading'!H14-'Water Reading'!H13</f>
        <v>34</v>
      </c>
      <c r="F14" s="89">
        <f t="shared" si="3"/>
        <v>0.1223021582733813</v>
      </c>
      <c r="G14" s="93">
        <f>('Water Reading'!D14-'Water Reading'!D13)-('Water Reading'!R14-'Water Reading'!R13)-('Water Reading'!Q14-'Water Reading'!Q13)</f>
        <v>97</v>
      </c>
      <c r="H14" s="89">
        <f t="shared" si="4"/>
        <v>0.34892086330935251</v>
      </c>
      <c r="I14" s="90">
        <f>'Water Reading'!P14-'Water Reading'!P13</f>
        <v>13</v>
      </c>
      <c r="J14" s="68">
        <f t="shared" si="5"/>
        <v>4.6762589928057555E-2</v>
      </c>
      <c r="K14" s="91">
        <f>('Water Reading'!I14-'Water Reading'!I13)</f>
        <v>33</v>
      </c>
      <c r="L14" s="68">
        <f t="shared" si="6"/>
        <v>0.11870503597122302</v>
      </c>
      <c r="M14" s="90">
        <f>'Water Reading'!R14-'Water Reading'!R13</f>
        <v>5</v>
      </c>
      <c r="N14" s="92">
        <f t="shared" si="7"/>
        <v>1.7985611510791366E-2</v>
      </c>
      <c r="O14" s="90">
        <f>'Water Reading'!Q14-'Water Reading'!Q13</f>
        <v>4</v>
      </c>
      <c r="P14" s="99">
        <f t="shared" si="8"/>
        <v>1.4388489208633094E-2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65</v>
      </c>
      <c r="T14" s="100">
        <f t="shared" si="10"/>
        <v>0.23381294964028776</v>
      </c>
      <c r="U14" s="90">
        <f>'Water Reading'!G14-'Water Reading'!G13</f>
        <v>20</v>
      </c>
      <c r="V14" s="100">
        <f t="shared" si="11"/>
        <v>7.1942446043165464E-2</v>
      </c>
      <c r="W14" s="90">
        <f>'Water Reading'!J14-'Water Reading'!J13</f>
        <v>11</v>
      </c>
      <c r="X14" s="100">
        <f t="shared" si="12"/>
        <v>3.9568345323741004E-2</v>
      </c>
      <c r="Y14" s="66">
        <f t="shared" si="0"/>
        <v>282</v>
      </c>
      <c r="Z14" s="67">
        <f t="shared" si="1"/>
        <v>1.175</v>
      </c>
    </row>
    <row r="15" spans="1:26" x14ac:dyDescent="0.25">
      <c r="A15" s="8">
        <f>'Water Reading'!A14</f>
        <v>44239</v>
      </c>
      <c r="B15" s="65">
        <f>TOTAL!I13</f>
        <v>257</v>
      </c>
      <c r="C15" s="66">
        <f>('Water Reading'!B15-'Water Reading'!B14)+('Water Reading'!C15-'Water Reading'!C14)</f>
        <v>279</v>
      </c>
      <c r="D15" s="67">
        <f t="shared" si="2"/>
        <v>1.0856031128404668</v>
      </c>
      <c r="E15" s="87">
        <f>'Water Reading'!H15-'Water Reading'!H14</f>
        <v>53</v>
      </c>
      <c r="F15" s="89">
        <f t="shared" si="3"/>
        <v>0.18996415770609318</v>
      </c>
      <c r="G15" s="93">
        <f>('Water Reading'!D15-'Water Reading'!D14)-('Water Reading'!R15-'Water Reading'!R14)-('Water Reading'!Q15-'Water Reading'!Q14)</f>
        <v>102</v>
      </c>
      <c r="H15" s="89">
        <f t="shared" si="4"/>
        <v>0.36559139784946237</v>
      </c>
      <c r="I15" s="90">
        <f>'Water Reading'!P15-'Water Reading'!P14</f>
        <v>0</v>
      </c>
      <c r="J15" s="68">
        <f t="shared" si="5"/>
        <v>0</v>
      </c>
      <c r="K15" s="91">
        <f>('Water Reading'!I15-'Water Reading'!I14)</f>
        <v>20</v>
      </c>
      <c r="L15" s="68">
        <f t="shared" si="6"/>
        <v>7.1684587813620068E-2</v>
      </c>
      <c r="M15" s="90">
        <f>'Water Reading'!R15-'Water Reading'!R14</f>
        <v>1</v>
      </c>
      <c r="N15" s="92">
        <f t="shared" si="7"/>
        <v>3.5842293906810036E-3</v>
      </c>
      <c r="O15" s="90">
        <f>'Water Reading'!Q15-'Water Reading'!Q14</f>
        <v>5</v>
      </c>
      <c r="P15" s="99">
        <f t="shared" si="8"/>
        <v>1.7921146953405017E-2</v>
      </c>
      <c r="Q15" s="91">
        <f>'Water Reading'!F15-'Water Reading'!F14</f>
        <v>1</v>
      </c>
      <c r="R15" s="100">
        <f t="shared" si="9"/>
        <v>3.5842293906810036E-3</v>
      </c>
      <c r="S15" s="94">
        <f>'Water Reading'!E15-'Water Reading'!E14</f>
        <v>50</v>
      </c>
      <c r="T15" s="100">
        <f t="shared" si="10"/>
        <v>0.17921146953405018</v>
      </c>
      <c r="U15" s="90">
        <f>'Water Reading'!G15-'Water Reading'!G14</f>
        <v>18</v>
      </c>
      <c r="V15" s="100">
        <f t="shared" si="11"/>
        <v>6.4516129032258063E-2</v>
      </c>
      <c r="W15" s="90">
        <f>'Water Reading'!J15-'Water Reading'!J14</f>
        <v>11</v>
      </c>
      <c r="X15" s="100">
        <f t="shared" si="12"/>
        <v>3.9426523297491037E-2</v>
      </c>
      <c r="Y15" s="66">
        <f t="shared" si="0"/>
        <v>261</v>
      </c>
      <c r="Z15" s="67">
        <f t="shared" si="1"/>
        <v>1.0155642023346303</v>
      </c>
    </row>
    <row r="16" spans="1:26" x14ac:dyDescent="0.25">
      <c r="A16" s="8">
        <f>'Water Reading'!A15</f>
        <v>44240</v>
      </c>
      <c r="B16" s="65">
        <f>TOTAL!I14</f>
        <v>237</v>
      </c>
      <c r="C16" s="66">
        <f>('Water Reading'!B16-'Water Reading'!B15)+('Water Reading'!C16-'Water Reading'!C15)</f>
        <v>331</v>
      </c>
      <c r="D16" s="67">
        <f t="shared" si="2"/>
        <v>1.3966244725738397</v>
      </c>
      <c r="E16" s="87">
        <f>'Water Reading'!H16-'Water Reading'!H15</f>
        <v>48</v>
      </c>
      <c r="F16" s="89">
        <f t="shared" si="3"/>
        <v>0.14501510574018128</v>
      </c>
      <c r="G16" s="93">
        <f>('Water Reading'!D16-'Water Reading'!D15)-('Water Reading'!R16-'Water Reading'!R15)-('Water Reading'!Q16-'Water Reading'!Q15)</f>
        <v>150</v>
      </c>
      <c r="H16" s="89">
        <f t="shared" si="4"/>
        <v>0.45317220543806647</v>
      </c>
      <c r="I16" s="90">
        <f>'Water Reading'!P16-'Water Reading'!P15</f>
        <v>0</v>
      </c>
      <c r="J16" s="68">
        <f t="shared" si="5"/>
        <v>0</v>
      </c>
      <c r="K16" s="90">
        <f>('Water Reading'!I16-'Water Reading'!I15)-('Water Reading'!P16-'Water Reading'!P15)</f>
        <v>15</v>
      </c>
      <c r="L16" s="68">
        <f t="shared" si="6"/>
        <v>4.5317220543806644E-2</v>
      </c>
      <c r="M16" s="90">
        <f>'Water Reading'!R16-'Water Reading'!R15</f>
        <v>10</v>
      </c>
      <c r="N16" s="92">
        <f t="shared" si="7"/>
        <v>3.0211480362537766E-2</v>
      </c>
      <c r="O16" s="90">
        <f>'Water Reading'!Q16-'Water Reading'!Q15</f>
        <v>2</v>
      </c>
      <c r="P16" s="99">
        <f t="shared" si="8"/>
        <v>6.0422960725075529E-3</v>
      </c>
      <c r="Q16" s="91">
        <f>'Water Reading'!F16-'Water Reading'!F15</f>
        <v>1</v>
      </c>
      <c r="R16" s="100">
        <f t="shared" si="9"/>
        <v>3.0211480362537764E-3</v>
      </c>
      <c r="S16" s="94">
        <f>'Water Reading'!E16-'Water Reading'!E15</f>
        <v>58</v>
      </c>
      <c r="T16" s="100">
        <f t="shared" si="10"/>
        <v>0.17522658610271905</v>
      </c>
      <c r="U16" s="90">
        <f>'Water Reading'!G16-'Water Reading'!G15</f>
        <v>23</v>
      </c>
      <c r="V16" s="100">
        <f t="shared" si="11"/>
        <v>6.9486404833836862E-2</v>
      </c>
      <c r="W16" s="90">
        <f>'Water Reading'!J16-'Water Reading'!J15</f>
        <v>12</v>
      </c>
      <c r="X16" s="100">
        <f t="shared" si="12"/>
        <v>3.6253776435045321E-2</v>
      </c>
      <c r="Y16" s="66">
        <f t="shared" si="0"/>
        <v>319</v>
      </c>
      <c r="Z16" s="67">
        <f t="shared" si="1"/>
        <v>1.3459915611814346</v>
      </c>
    </row>
    <row r="17" spans="1:26" x14ac:dyDescent="0.25">
      <c r="A17" s="8">
        <f>'Water Reading'!A16</f>
        <v>44241</v>
      </c>
      <c r="B17" s="65">
        <f>TOTAL!I15</f>
        <v>240</v>
      </c>
      <c r="C17" s="66">
        <f>('Water Reading'!B17-'Water Reading'!B16)+('Water Reading'!C17-'Water Reading'!C16)</f>
        <v>324</v>
      </c>
      <c r="D17" s="67">
        <f t="shared" si="2"/>
        <v>1.35</v>
      </c>
      <c r="E17" s="87">
        <f>'Water Reading'!H17-'Water Reading'!H16</f>
        <v>34</v>
      </c>
      <c r="F17" s="89">
        <f t="shared" si="3"/>
        <v>0.10493827160493827</v>
      </c>
      <c r="G17" s="93">
        <f>('Water Reading'!D17-'Water Reading'!D16)-('Water Reading'!R17-'Water Reading'!R16)-('Water Reading'!Q17)</f>
        <v>0</v>
      </c>
      <c r="H17" s="89">
        <f t="shared" si="4"/>
        <v>0</v>
      </c>
      <c r="I17" s="90">
        <f>'Water Reading'!P17-'Water Reading'!P16</f>
        <v>15</v>
      </c>
      <c r="J17" s="68">
        <f t="shared" si="5"/>
        <v>4.6296296296296294E-2</v>
      </c>
      <c r="K17" s="90">
        <f>('Water Reading'!I17-'Water Reading'!I16)-('Water Reading'!P17-'Water Reading'!P16)</f>
        <v>20</v>
      </c>
      <c r="L17" s="68">
        <f t="shared" si="6"/>
        <v>6.1728395061728392E-2</v>
      </c>
      <c r="M17" s="90">
        <f>'Water Reading'!R17-'Water Reading'!R16</f>
        <v>11</v>
      </c>
      <c r="N17" s="92">
        <f t="shared" si="7"/>
        <v>3.3950617283950615E-2</v>
      </c>
      <c r="O17" s="90">
        <f>'Water Reading'!Q17</f>
        <v>111</v>
      </c>
      <c r="P17" s="99">
        <f t="shared" si="8"/>
        <v>0.34259259259259262</v>
      </c>
      <c r="Q17" s="91">
        <f>'Water Reading'!F17-'Water Reading'!F16</f>
        <v>1</v>
      </c>
      <c r="R17" s="100">
        <f t="shared" si="9"/>
        <v>3.0864197530864196E-3</v>
      </c>
      <c r="S17" s="94">
        <f>'Water Reading'!E17-'Water Reading'!E16</f>
        <v>76</v>
      </c>
      <c r="T17" s="100">
        <f t="shared" si="10"/>
        <v>0.23456790123456789</v>
      </c>
      <c r="U17" s="90">
        <f>'Water Reading'!G17-'Water Reading'!G16</f>
        <v>20</v>
      </c>
      <c r="V17" s="100">
        <f t="shared" si="11"/>
        <v>6.1728395061728392E-2</v>
      </c>
      <c r="W17" s="90">
        <f>'Water Reading'!J17-'Water Reading'!J16</f>
        <v>11</v>
      </c>
      <c r="X17" s="100">
        <f t="shared" si="12"/>
        <v>3.3950617283950615E-2</v>
      </c>
      <c r="Y17" s="66">
        <f t="shared" si="0"/>
        <v>299</v>
      </c>
      <c r="Z17" s="67">
        <f t="shared" si="1"/>
        <v>1.2458333333333333</v>
      </c>
    </row>
    <row r="18" spans="1:26" x14ac:dyDescent="0.25">
      <c r="A18" s="8">
        <f>'Water Reading'!A17</f>
        <v>44242</v>
      </c>
      <c r="B18" s="65">
        <f>TOTAL!I16</f>
        <v>317</v>
      </c>
      <c r="C18" s="66">
        <f>('Water Reading'!B18-'Water Reading'!B17)+('Water Reading'!C18-'Water Reading'!C17)</f>
        <v>286</v>
      </c>
      <c r="D18" s="67">
        <f t="shared" si="2"/>
        <v>0.90220820189274453</v>
      </c>
      <c r="E18" s="87">
        <f>'Water Reading'!H18-'Water Reading'!H17</f>
        <v>35</v>
      </c>
      <c r="F18" s="89">
        <f t="shared" si="3"/>
        <v>0.12237762237762238</v>
      </c>
      <c r="G18" s="93">
        <f>('Water Reading'!D18-'Water Reading'!D17)-('Water Reading'!R18-'Water Reading'!R17)-('Water Reading'!Q18-'Water Reading'!Q17)</f>
        <v>129</v>
      </c>
      <c r="H18" s="89">
        <f t="shared" si="4"/>
        <v>0.45104895104895104</v>
      </c>
      <c r="I18" s="90">
        <f>'Water Reading'!P18-'Water Reading'!P17</f>
        <v>0</v>
      </c>
      <c r="J18" s="68">
        <f t="shared" si="5"/>
        <v>0</v>
      </c>
      <c r="K18" s="90">
        <f>('Water Reading'!I18-'Water Reading'!I17)-('Water Reading'!P18-'Water Reading'!P17)</f>
        <v>19</v>
      </c>
      <c r="L18" s="68">
        <f t="shared" si="6"/>
        <v>6.6433566433566432E-2</v>
      </c>
      <c r="M18" s="90">
        <f>'Water Reading'!R18-'Water Reading'!R17</f>
        <v>7</v>
      </c>
      <c r="N18" s="92">
        <f t="shared" si="7"/>
        <v>2.4475524475524476E-2</v>
      </c>
      <c r="O18" s="90">
        <f>'Water Reading'!Q18-'Water Reading'!Q17</f>
        <v>4</v>
      </c>
      <c r="P18" s="99">
        <f t="shared" si="8"/>
        <v>1.3986013986013986E-2</v>
      </c>
      <c r="Q18" s="91">
        <f>'Water Reading'!F18-'Water Reading'!F17</f>
        <v>0</v>
      </c>
      <c r="R18" s="100">
        <f t="shared" si="9"/>
        <v>0</v>
      </c>
      <c r="S18" s="94">
        <f>'Water Reading'!E18-'Water Reading'!E17</f>
        <v>51</v>
      </c>
      <c r="T18" s="100">
        <f t="shared" si="10"/>
        <v>0.17832167832167833</v>
      </c>
      <c r="U18" s="90">
        <f>'Water Reading'!G18-'Water Reading'!G17</f>
        <v>20</v>
      </c>
      <c r="V18" s="100">
        <f t="shared" si="11"/>
        <v>6.9930069930069935E-2</v>
      </c>
      <c r="W18" s="90">
        <f>'Water Reading'!J18-'Water Reading'!J17</f>
        <v>12</v>
      </c>
      <c r="X18" s="100">
        <f t="shared" si="12"/>
        <v>4.195804195804196E-2</v>
      </c>
      <c r="Y18" s="66">
        <f t="shared" si="0"/>
        <v>277</v>
      </c>
      <c r="Z18" s="67">
        <f t="shared" si="1"/>
        <v>0.87381703470031546</v>
      </c>
    </row>
    <row r="19" spans="1:26" x14ac:dyDescent="0.25">
      <c r="A19" s="8">
        <f>'Water Reading'!A18</f>
        <v>44243</v>
      </c>
      <c r="B19" s="65">
        <f>TOTAL!I17</f>
        <v>192</v>
      </c>
      <c r="C19" s="66">
        <f>('Water Reading'!B19-'Water Reading'!B18)+('Water Reading'!C19-'Water Reading'!C18)</f>
        <v>292</v>
      </c>
      <c r="D19" s="67">
        <f t="shared" si="2"/>
        <v>1.5208333333333333</v>
      </c>
      <c r="E19" s="87">
        <f>'Water Reading'!H19-'Water Reading'!H18</f>
        <v>38</v>
      </c>
      <c r="F19" s="89">
        <f t="shared" si="3"/>
        <v>0.13013698630136986</v>
      </c>
      <c r="G19" s="93">
        <f>('Water Reading'!D19-'Water Reading'!D18)-('Water Reading'!R19-'Water Reading'!R18)-('Water Reading'!Q19-'Water Reading'!Q18)</f>
        <v>122</v>
      </c>
      <c r="H19" s="89">
        <f t="shared" si="4"/>
        <v>0.4178082191780822</v>
      </c>
      <c r="I19" s="90">
        <f>'Water Reading'!P19-'Water Reading'!P18</f>
        <v>0</v>
      </c>
      <c r="J19" s="68">
        <f t="shared" si="5"/>
        <v>0</v>
      </c>
      <c r="K19" s="90">
        <f>('Water Reading'!I19-'Water Reading'!I18)</f>
        <v>19</v>
      </c>
      <c r="L19" s="68">
        <f t="shared" si="6"/>
        <v>6.5068493150684928E-2</v>
      </c>
      <c r="M19" s="90">
        <f>'Water Reading'!R19-'Water Reading'!R18</f>
        <v>7</v>
      </c>
      <c r="N19" s="92">
        <f t="shared" si="7"/>
        <v>2.3972602739726026E-2</v>
      </c>
      <c r="O19" s="90">
        <f>'Water Reading'!Q19-'Water Reading'!Q18</f>
        <v>1</v>
      </c>
      <c r="P19" s="99">
        <f t="shared" si="8"/>
        <v>3.4246575342465752E-3</v>
      </c>
      <c r="Q19" s="91">
        <f>'Water Reading'!F19-'Water Reading'!F18</f>
        <v>0</v>
      </c>
      <c r="R19" s="100">
        <f t="shared" si="9"/>
        <v>0</v>
      </c>
      <c r="S19" s="94">
        <f>'Water Reading'!E19-'Water Reading'!E18</f>
        <v>55</v>
      </c>
      <c r="T19" s="100">
        <f t="shared" si="10"/>
        <v>0.18835616438356165</v>
      </c>
      <c r="U19" s="90">
        <f>'Water Reading'!G19-'Water Reading'!G18</f>
        <v>22</v>
      </c>
      <c r="V19" s="100">
        <f t="shared" si="11"/>
        <v>7.5342465753424653E-2</v>
      </c>
      <c r="W19" s="90">
        <f>'Water Reading'!J19-'Water Reading'!J18</f>
        <v>17</v>
      </c>
      <c r="X19" s="100">
        <f t="shared" si="12"/>
        <v>5.8219178082191778E-2</v>
      </c>
      <c r="Y19" s="66">
        <f t="shared" si="0"/>
        <v>281</v>
      </c>
      <c r="Z19" s="67">
        <f t="shared" si="1"/>
        <v>1.4635416666666667</v>
      </c>
    </row>
    <row r="20" spans="1:26" x14ac:dyDescent="0.25">
      <c r="A20" s="8">
        <f>'Water Reading'!A19</f>
        <v>44244</v>
      </c>
      <c r="B20" s="65">
        <f>TOTAL!I18</f>
        <v>213</v>
      </c>
      <c r="C20" s="66">
        <f>('Water Reading'!B20-'Water Reading'!B19)+('Water Reading'!C20-'Water Reading'!C19)</f>
        <v>357</v>
      </c>
      <c r="D20" s="67">
        <f t="shared" si="2"/>
        <v>1.676056338028169</v>
      </c>
      <c r="E20" s="87">
        <f>'Water Reading'!H20-'Water Reading'!H19</f>
        <v>32</v>
      </c>
      <c r="F20" s="89">
        <f t="shared" si="3"/>
        <v>8.9635854341736695E-2</v>
      </c>
      <c r="G20" s="93">
        <f>('Water Reading'!D20-'Water Reading'!D19)-('Water Reading'!R20-'Water Reading'!R19)-('Water Reading'!Q20-'Water Reading'!Q19)</f>
        <v>83</v>
      </c>
      <c r="H20" s="89">
        <f t="shared" si="4"/>
        <v>0.23249299719887956</v>
      </c>
      <c r="I20" s="90">
        <f>'Water Reading'!P20-'Water Reading'!P19</f>
        <v>9</v>
      </c>
      <c r="J20" s="68">
        <f t="shared" si="5"/>
        <v>2.5210084033613446E-2</v>
      </c>
      <c r="K20" s="90">
        <f>('Water Reading'!I20-'Water Reading'!I19)</f>
        <v>21</v>
      </c>
      <c r="L20" s="68">
        <f t="shared" si="6"/>
        <v>5.8823529411764705E-2</v>
      </c>
      <c r="M20" s="90">
        <f>'Water Reading'!R20-'Water Reading'!R19</f>
        <v>9</v>
      </c>
      <c r="N20" s="92">
        <f t="shared" si="7"/>
        <v>2.5210084033613446E-2</v>
      </c>
      <c r="O20" s="90">
        <f>'Water Reading'!Q20-'Water Reading'!Q19</f>
        <v>5</v>
      </c>
      <c r="P20" s="99">
        <f t="shared" si="8"/>
        <v>1.4005602240896359E-2</v>
      </c>
      <c r="Q20" s="91">
        <f>'Water Reading'!F20-'Water Reading'!F19</f>
        <v>1</v>
      </c>
      <c r="R20" s="100">
        <f t="shared" si="9"/>
        <v>2.8011204481792717E-3</v>
      </c>
      <c r="S20" s="94">
        <f>'Water Reading'!E20-'Water Reading'!E19</f>
        <v>55</v>
      </c>
      <c r="T20" s="100">
        <f t="shared" si="10"/>
        <v>0.15406162464985995</v>
      </c>
      <c r="U20" s="90">
        <f>'Water Reading'!G20-'Water Reading'!G19</f>
        <v>21</v>
      </c>
      <c r="V20" s="100">
        <f t="shared" si="11"/>
        <v>5.8823529411764705E-2</v>
      </c>
      <c r="W20" s="90">
        <f>'Water Reading'!J20-'Water Reading'!J19</f>
        <v>6</v>
      </c>
      <c r="X20" s="100">
        <f t="shared" si="12"/>
        <v>1.680672268907563E-2</v>
      </c>
      <c r="Y20" s="66">
        <f t="shared" si="0"/>
        <v>242</v>
      </c>
      <c r="Z20" s="67">
        <f t="shared" si="1"/>
        <v>1.136150234741784</v>
      </c>
    </row>
    <row r="21" spans="1:26" x14ac:dyDescent="0.25">
      <c r="A21" s="8">
        <f>'Water Reading'!A20</f>
        <v>44245</v>
      </c>
      <c r="B21" s="65">
        <f>TOTAL!I19</f>
        <v>277</v>
      </c>
      <c r="C21" s="66">
        <f>('Water Reading'!B21-'Water Reading'!B20)+('Water Reading'!C21-'Water Reading'!C20)</f>
        <v>352</v>
      </c>
      <c r="D21" s="67">
        <f t="shared" si="2"/>
        <v>1.2707581227436824</v>
      </c>
      <c r="E21" s="87">
        <f>'Water Reading'!H21-'Water Reading'!H20</f>
        <v>36</v>
      </c>
      <c r="F21" s="89">
        <f t="shared" si="3"/>
        <v>0.10227272727272728</v>
      </c>
      <c r="G21" s="93">
        <f>('Water Reading'!D21-'Water Reading'!D20)-('Water Reading'!R21-'Water Reading'!R20)-('Water Reading'!Q21-'Water Reading'!Q20)</f>
        <v>121</v>
      </c>
      <c r="H21" s="89">
        <f t="shared" si="4"/>
        <v>0.34375</v>
      </c>
      <c r="I21" s="90">
        <f>'Water Reading'!P21-'Water Reading'!P20</f>
        <v>0</v>
      </c>
      <c r="J21" s="68">
        <f t="shared" si="5"/>
        <v>0</v>
      </c>
      <c r="K21" s="90">
        <f>('Water Reading'!I21-'Water Reading'!I20)-('Water Reading'!P21-'Water Reading'!P20)</f>
        <v>30</v>
      </c>
      <c r="L21" s="68">
        <f t="shared" si="6"/>
        <v>8.5227272727272721E-2</v>
      </c>
      <c r="M21" s="90">
        <f>'Water Reading'!R21-'Water Reading'!R20</f>
        <v>7</v>
      </c>
      <c r="N21" s="92">
        <f t="shared" si="7"/>
        <v>1.9886363636363636E-2</v>
      </c>
      <c r="O21" s="90">
        <f>'Water Reading'!Q21-'Water Reading'!Q20</f>
        <v>3</v>
      </c>
      <c r="P21" s="99">
        <f t="shared" si="8"/>
        <v>8.5227272727272721E-3</v>
      </c>
      <c r="Q21" s="91">
        <f>'Water Reading'!F21-'Water Reading'!F20</f>
        <v>0</v>
      </c>
      <c r="R21" s="100">
        <f t="shared" si="9"/>
        <v>0</v>
      </c>
      <c r="S21" s="94">
        <f>'Water Reading'!E21-'Water Reading'!E20</f>
        <v>58</v>
      </c>
      <c r="T21" s="100">
        <f t="shared" si="10"/>
        <v>0.16477272727272727</v>
      </c>
      <c r="U21" s="90">
        <f>'Water Reading'!G21-'Water Reading'!G20</f>
        <v>22</v>
      </c>
      <c r="V21" s="100">
        <f t="shared" si="11"/>
        <v>6.25E-2</v>
      </c>
      <c r="W21" s="90">
        <f>'Water Reading'!J21-'Water Reading'!J20</f>
        <v>11</v>
      </c>
      <c r="X21" s="100">
        <f t="shared" si="12"/>
        <v>3.125E-2</v>
      </c>
      <c r="Y21" s="66">
        <f t="shared" si="0"/>
        <v>288</v>
      </c>
      <c r="Z21" s="67">
        <f t="shared" si="1"/>
        <v>1.03971119133574</v>
      </c>
    </row>
    <row r="22" spans="1:26" x14ac:dyDescent="0.25">
      <c r="A22" s="8">
        <f>'Water Reading'!A21</f>
        <v>44246</v>
      </c>
      <c r="B22" s="65">
        <f>TOTAL!I20</f>
        <v>231</v>
      </c>
      <c r="C22" s="66">
        <f>('Water Reading'!B22-'Water Reading'!B21)+('Water Reading'!C22-'Water Reading'!C21)</f>
        <v>287</v>
      </c>
      <c r="D22" s="67">
        <f t="shared" si="2"/>
        <v>1.2424242424242424</v>
      </c>
      <c r="E22" s="87">
        <f>'Water Reading'!H22-'Water Reading'!H21</f>
        <v>47</v>
      </c>
      <c r="F22" s="89">
        <f t="shared" si="3"/>
        <v>0.16376306620209058</v>
      </c>
      <c r="G22" s="93">
        <f>('Water Reading'!D22-'Water Reading'!D21)-('Water Reading'!R22-'Water Reading'!R21)-('Water Reading'!Q22-'Water Reading'!Q21)</f>
        <v>93</v>
      </c>
      <c r="H22" s="89">
        <f t="shared" si="4"/>
        <v>0.3240418118466899</v>
      </c>
      <c r="I22" s="90">
        <f>'Water Reading'!P22-'Water Reading'!P21</f>
        <v>23</v>
      </c>
      <c r="J22" s="68">
        <f t="shared" si="5"/>
        <v>8.0139372822299645E-2</v>
      </c>
      <c r="K22" s="90">
        <f>('Water Reading'!I22-'Water Reading'!I21)-('Water Reading'!P22-'Water Reading'!P21)</f>
        <v>12</v>
      </c>
      <c r="L22" s="68">
        <f t="shared" si="6"/>
        <v>4.1811846689895474E-2</v>
      </c>
      <c r="M22" s="90">
        <f>'Water Reading'!R22-'Water Reading'!R21</f>
        <v>2</v>
      </c>
      <c r="N22" s="92">
        <f t="shared" si="7"/>
        <v>6.9686411149825784E-3</v>
      </c>
      <c r="O22" s="90">
        <f>'Water Reading'!Q22-'Water Reading'!Q21</f>
        <v>2</v>
      </c>
      <c r="P22" s="99">
        <f t="shared" si="8"/>
        <v>6.9686411149825784E-3</v>
      </c>
      <c r="Q22" s="91">
        <f>'Water Reading'!F22-'Water Reading'!F21</f>
        <v>0</v>
      </c>
      <c r="R22" s="100">
        <f t="shared" si="9"/>
        <v>0</v>
      </c>
      <c r="S22" s="94">
        <f>'Water Reading'!E22-'Water Reading'!E21</f>
        <v>60</v>
      </c>
      <c r="T22" s="100">
        <f t="shared" si="10"/>
        <v>0.20905923344947736</v>
      </c>
      <c r="U22" s="90">
        <f>'Water Reading'!G22-'Water Reading'!G21</f>
        <v>22</v>
      </c>
      <c r="V22" s="100">
        <f t="shared" si="11"/>
        <v>7.6655052264808357E-2</v>
      </c>
      <c r="W22" s="90">
        <f>'Water Reading'!J22-'Water Reading'!J21</f>
        <v>12</v>
      </c>
      <c r="X22" s="100">
        <f t="shared" si="12"/>
        <v>4.1811846689895474E-2</v>
      </c>
      <c r="Y22" s="66">
        <f t="shared" si="0"/>
        <v>273</v>
      </c>
      <c r="Z22" s="67">
        <f t="shared" si="1"/>
        <v>1.1818181818181819</v>
      </c>
    </row>
    <row r="23" spans="1:26" x14ac:dyDescent="0.25">
      <c r="A23" s="8">
        <f>'Water Reading'!A22</f>
        <v>44247</v>
      </c>
      <c r="B23" s="65">
        <f>TOTAL!I21</f>
        <v>262</v>
      </c>
      <c r="C23" s="66">
        <f>('Water Reading'!B23-'Water Reading'!B22)+('Water Reading'!C23-'Water Reading'!C22)</f>
        <v>307</v>
      </c>
      <c r="D23" s="67">
        <f t="shared" si="2"/>
        <v>1.1717557251908397</v>
      </c>
      <c r="E23" s="87">
        <f>'Water Reading'!H23-'Water Reading'!H22</f>
        <v>52</v>
      </c>
      <c r="F23" s="89">
        <f t="shared" si="3"/>
        <v>0.16938110749185667</v>
      </c>
      <c r="G23" s="93">
        <f>('Water Reading'!D23-'Water Reading'!D22)-('Water Reading'!R23-'Water Reading'!R22)-('Water Reading'!Q23-'Water Reading'!Q22)</f>
        <v>104</v>
      </c>
      <c r="H23" s="89">
        <f t="shared" si="4"/>
        <v>0.33876221498371334</v>
      </c>
      <c r="I23" s="90">
        <f>'Water Reading'!P23-'Water Reading'!P22</f>
        <v>3</v>
      </c>
      <c r="J23" s="68">
        <f t="shared" si="5"/>
        <v>9.7719869706840382E-3</v>
      </c>
      <c r="K23" s="90">
        <f>('Water Reading'!I23-'Water Reading'!I22)-('Water Reading'!P23-'Water Reading'!P22)</f>
        <v>31</v>
      </c>
      <c r="L23" s="68">
        <f t="shared" si="6"/>
        <v>0.10097719869706841</v>
      </c>
      <c r="M23" s="90">
        <f>'Water Reading'!R23-'Water Reading'!R22</f>
        <v>7</v>
      </c>
      <c r="N23" s="92">
        <f t="shared" si="7"/>
        <v>2.2801302931596091E-2</v>
      </c>
      <c r="O23" s="90">
        <f>'Water Reading'!Q23-'Water Reading'!Q22</f>
        <v>2</v>
      </c>
      <c r="P23" s="99">
        <f t="shared" si="8"/>
        <v>6.5146579804560263E-3</v>
      </c>
      <c r="Q23" s="91">
        <f>'Water Reading'!F23-'Water Reading'!F22</f>
        <v>1</v>
      </c>
      <c r="R23" s="100">
        <f t="shared" si="9"/>
        <v>3.2573289902280132E-3</v>
      </c>
      <c r="S23" s="94">
        <f>'Water Reading'!E23-'Water Reading'!E22</f>
        <v>57</v>
      </c>
      <c r="T23" s="100">
        <f t="shared" si="10"/>
        <v>0.18566775244299674</v>
      </c>
      <c r="U23" s="90">
        <f>'Water Reading'!G23-'Water Reading'!G22</f>
        <v>27</v>
      </c>
      <c r="V23" s="100">
        <f t="shared" si="11"/>
        <v>8.7947882736156349E-2</v>
      </c>
      <c r="W23" s="90">
        <f>'Water Reading'!J23-'Water Reading'!J22</f>
        <v>13</v>
      </c>
      <c r="X23" s="100">
        <f t="shared" si="12"/>
        <v>4.2345276872964167E-2</v>
      </c>
      <c r="Y23" s="66">
        <f t="shared" si="0"/>
        <v>297</v>
      </c>
      <c r="Z23" s="67">
        <f t="shared" si="1"/>
        <v>1.133587786259542</v>
      </c>
    </row>
    <row r="24" spans="1:26" x14ac:dyDescent="0.25">
      <c r="A24" s="8">
        <f>'Water Reading'!A23</f>
        <v>44248</v>
      </c>
      <c r="B24" s="65">
        <f>TOTAL!I22</f>
        <v>255</v>
      </c>
      <c r="C24" s="66">
        <f>('Water Reading'!B24-'Water Reading'!B23)+('Water Reading'!C24-'Water Reading'!C23)</f>
        <v>261</v>
      </c>
      <c r="D24" s="67">
        <f t="shared" si="2"/>
        <v>1.0235294117647058</v>
      </c>
      <c r="E24" s="87">
        <f>'Water Reading'!H24-'Water Reading'!H23</f>
        <v>36</v>
      </c>
      <c r="F24" s="89">
        <f t="shared" si="3"/>
        <v>0.13793103448275862</v>
      </c>
      <c r="G24" s="93">
        <f>('Water Reading'!D24-'Water Reading'!D23)-('Water Reading'!R24-'Water Reading'!R23)-('Water Reading'!Q24-'Water Reading'!Q23)</f>
        <v>84</v>
      </c>
      <c r="H24" s="89">
        <f t="shared" si="4"/>
        <v>0.32183908045977011</v>
      </c>
      <c r="I24" s="90">
        <f>'Water Reading'!P24-'Water Reading'!P23</f>
        <v>0</v>
      </c>
      <c r="J24" s="68">
        <f t="shared" si="5"/>
        <v>0</v>
      </c>
      <c r="K24" s="90">
        <f>('Water Reading'!I24-'Water Reading'!I23)</f>
        <v>17</v>
      </c>
      <c r="L24" s="68">
        <f t="shared" si="6"/>
        <v>6.5134099616858232E-2</v>
      </c>
      <c r="M24" s="90">
        <f>'Water Reading'!R24-'Water Reading'!R23</f>
        <v>8</v>
      </c>
      <c r="N24" s="92">
        <f t="shared" si="7"/>
        <v>3.0651340996168581E-2</v>
      </c>
      <c r="O24" s="90">
        <f>'Water Reading'!Q24-'Water Reading'!Q23</f>
        <v>8</v>
      </c>
      <c r="P24" s="99">
        <f t="shared" si="8"/>
        <v>3.0651340996168581E-2</v>
      </c>
      <c r="Q24" s="91">
        <f>'Water Reading'!F24-'Water Reading'!F23</f>
        <v>0</v>
      </c>
      <c r="R24" s="100">
        <f t="shared" si="9"/>
        <v>0</v>
      </c>
      <c r="S24" s="94">
        <f>'Water Reading'!E24-'Water Reading'!E23</f>
        <v>54</v>
      </c>
      <c r="T24" s="100">
        <f t="shared" si="10"/>
        <v>0.20689655172413793</v>
      </c>
      <c r="U24" s="90">
        <f>'Water Reading'!G24-'Water Reading'!G23</f>
        <v>24</v>
      </c>
      <c r="V24" s="100">
        <f t="shared" si="11"/>
        <v>9.1954022988505746E-2</v>
      </c>
      <c r="W24" s="90">
        <f>'Water Reading'!J24-'Water Reading'!J23</f>
        <v>11</v>
      </c>
      <c r="X24" s="100">
        <f t="shared" si="12"/>
        <v>4.2145593869731802E-2</v>
      </c>
      <c r="Y24" s="66">
        <f t="shared" si="0"/>
        <v>242</v>
      </c>
      <c r="Z24" s="67">
        <f t="shared" si="1"/>
        <v>0.94901960784313721</v>
      </c>
    </row>
    <row r="25" spans="1:26" x14ac:dyDescent="0.25">
      <c r="A25" s="8">
        <f>'Water Reading'!A24</f>
        <v>44249</v>
      </c>
      <c r="B25" s="65">
        <f>TOTAL!I23</f>
        <v>229</v>
      </c>
      <c r="C25" s="66">
        <f>('Water Reading'!B25-'Water Reading'!B24)+('Water Reading'!C25-'Water Reading'!C24)</f>
        <v>303</v>
      </c>
      <c r="D25" s="67">
        <f t="shared" si="2"/>
        <v>1.3231441048034935</v>
      </c>
      <c r="E25" s="87">
        <f>'Water Reading'!H25-'Water Reading'!H24</f>
        <v>36</v>
      </c>
      <c r="F25" s="89">
        <f t="shared" si="3"/>
        <v>0.11881188118811881</v>
      </c>
      <c r="G25" s="93">
        <f>('Water Reading'!D25-'Water Reading'!D24)-('Water Reading'!R25-'Water Reading'!R24)-('Water Reading'!Q25-'Water Reading'!Q24)</f>
        <v>110</v>
      </c>
      <c r="H25" s="89">
        <f t="shared" si="4"/>
        <v>0.36303630363036304</v>
      </c>
      <c r="I25" s="90">
        <f>'Water Reading'!P25-'Water Reading'!P24</f>
        <v>11</v>
      </c>
      <c r="J25" s="68">
        <f t="shared" si="5"/>
        <v>3.6303630363036306E-2</v>
      </c>
      <c r="K25" s="90">
        <f>('Water Reading'!I25-'Water Reading'!I24)</f>
        <v>35</v>
      </c>
      <c r="L25" s="68">
        <f t="shared" si="6"/>
        <v>0.11551155115511551</v>
      </c>
      <c r="M25" s="90">
        <f>'Water Reading'!R25-'Water Reading'!R24</f>
        <v>8</v>
      </c>
      <c r="N25" s="92">
        <f t="shared" si="7"/>
        <v>2.6402640264026403E-2</v>
      </c>
      <c r="O25" s="90">
        <f>'Water Reading'!Q25-'Water Reading'!Q24</f>
        <v>2</v>
      </c>
      <c r="P25" s="99">
        <f t="shared" si="8"/>
        <v>6.6006600660066007E-3</v>
      </c>
      <c r="Q25" s="91">
        <f>'Water Reading'!F25-'Water Reading'!F24</f>
        <v>1</v>
      </c>
      <c r="R25" s="100">
        <f t="shared" si="9"/>
        <v>3.3003300330033004E-3</v>
      </c>
      <c r="S25" s="94">
        <f>'Water Reading'!E25-'Water Reading'!E24</f>
        <v>62</v>
      </c>
      <c r="T25" s="100">
        <f t="shared" si="10"/>
        <v>0.20462046204620463</v>
      </c>
      <c r="U25" s="90">
        <f>'Water Reading'!G25-'Water Reading'!G24</f>
        <v>24</v>
      </c>
      <c r="V25" s="100">
        <f t="shared" si="11"/>
        <v>7.9207920792079209E-2</v>
      </c>
      <c r="W25" s="90">
        <f>'Water Reading'!J25-'Water Reading'!J24</f>
        <v>12</v>
      </c>
      <c r="X25" s="100">
        <f t="shared" si="12"/>
        <v>3.9603960396039604E-2</v>
      </c>
      <c r="Y25" s="66">
        <f t="shared" si="0"/>
        <v>301</v>
      </c>
      <c r="Z25" s="67">
        <f t="shared" si="1"/>
        <v>1.314410480349345</v>
      </c>
    </row>
    <row r="26" spans="1:26" x14ac:dyDescent="0.25">
      <c r="A26" s="8">
        <f>'Water Reading'!A25</f>
        <v>44250</v>
      </c>
      <c r="B26" s="65">
        <f>TOTAL!I24</f>
        <v>263</v>
      </c>
      <c r="C26" s="66">
        <f>('Water Reading'!B26-'Water Reading'!B25)+('Water Reading'!C26-'Water Reading'!C25)</f>
        <v>317</v>
      </c>
      <c r="D26" s="67">
        <f t="shared" si="2"/>
        <v>1.2053231939163498</v>
      </c>
      <c r="E26" s="87">
        <f>'Water Reading'!H26-'Water Reading'!H25</f>
        <v>58</v>
      </c>
      <c r="F26" s="89">
        <f t="shared" si="3"/>
        <v>0.18296529968454259</v>
      </c>
      <c r="G26" s="93">
        <f>('Water Reading'!D26-'Water Reading'!D25)-('Water Reading'!R26-'Water Reading'!R25)-('Water Reading'!Q26-'Water Reading'!Q25)</f>
        <v>121</v>
      </c>
      <c r="H26" s="89">
        <f t="shared" si="4"/>
        <v>0.38170347003154576</v>
      </c>
      <c r="I26" s="90">
        <f>'Water Reading'!P26-'Water Reading'!P25</f>
        <v>0</v>
      </c>
      <c r="J26" s="68">
        <f t="shared" si="5"/>
        <v>0</v>
      </c>
      <c r="K26" s="90">
        <f>('Water Reading'!I26-'Water Reading'!I25)-('Water Reading'!P26-'Water Reading'!P25)</f>
        <v>24</v>
      </c>
      <c r="L26" s="68">
        <f t="shared" si="6"/>
        <v>7.5709779179810727E-2</v>
      </c>
      <c r="M26" s="90">
        <f>'Water Reading'!R26-'Water Reading'!R25</f>
        <v>7</v>
      </c>
      <c r="N26" s="92">
        <f t="shared" si="7"/>
        <v>2.2082018927444796E-2</v>
      </c>
      <c r="O26" s="90">
        <f>'Water Reading'!Q26-'Water Reading'!Q25</f>
        <v>7</v>
      </c>
      <c r="P26" s="99">
        <f t="shared" si="8"/>
        <v>2.2082018927444796E-2</v>
      </c>
      <c r="Q26" s="91">
        <f>'Water Reading'!F26-'Water Reading'!F25</f>
        <v>0</v>
      </c>
      <c r="R26" s="100">
        <f t="shared" si="9"/>
        <v>0</v>
      </c>
      <c r="S26" s="94">
        <f>'Water Reading'!E26-'Water Reading'!E25</f>
        <v>62</v>
      </c>
      <c r="T26" s="100">
        <f t="shared" si="10"/>
        <v>0.19558359621451105</v>
      </c>
      <c r="U26" s="90">
        <f>'Water Reading'!G26-'Water Reading'!G25</f>
        <v>24</v>
      </c>
      <c r="V26" s="100">
        <f t="shared" si="11"/>
        <v>7.5709779179810727E-2</v>
      </c>
      <c r="W26" s="90">
        <f>'Water Reading'!J26-'Water Reading'!J25</f>
        <v>12</v>
      </c>
      <c r="X26" s="100">
        <f t="shared" si="12"/>
        <v>3.7854889589905363E-2</v>
      </c>
      <c r="Y26" s="66">
        <f t="shared" si="0"/>
        <v>315</v>
      </c>
      <c r="Z26" s="67">
        <f t="shared" si="1"/>
        <v>1.1977186311787071</v>
      </c>
    </row>
    <row r="27" spans="1:26" x14ac:dyDescent="0.25">
      <c r="A27" s="8">
        <f>'Water Reading'!A26</f>
        <v>44251</v>
      </c>
      <c r="B27" s="65">
        <f>TOTAL!I25</f>
        <v>273</v>
      </c>
      <c r="C27" s="66">
        <f>('Water Reading'!B27-'Water Reading'!B26)+('Water Reading'!C27-'Water Reading'!C26)</f>
        <v>350</v>
      </c>
      <c r="D27" s="67">
        <f t="shared" si="2"/>
        <v>1.2820512820512822</v>
      </c>
      <c r="E27" s="87">
        <f>'Water Reading'!H27-'Water Reading'!H26</f>
        <v>60</v>
      </c>
      <c r="F27" s="89">
        <f t="shared" si="3"/>
        <v>0.17142857142857143</v>
      </c>
      <c r="G27" s="93">
        <f>('Water Reading'!D27-'Water Reading'!D26)-('Water Reading'!R27-'Water Reading'!R26)-('Water Reading'!Q27-'Water Reading'!Q26)</f>
        <v>107</v>
      </c>
      <c r="H27" s="89">
        <f t="shared" si="4"/>
        <v>0.30571428571428572</v>
      </c>
      <c r="I27" s="90">
        <f>'Water Reading'!P27-'Water Reading'!P26</f>
        <v>10</v>
      </c>
      <c r="J27" s="68">
        <f t="shared" si="5"/>
        <v>2.8571428571428571E-2</v>
      </c>
      <c r="K27" s="90">
        <f>('Water Reading'!I27-'Water Reading'!I26)-('Water Reading'!P27-'Water Reading'!P26)</f>
        <v>21</v>
      </c>
      <c r="L27" s="68">
        <f t="shared" si="6"/>
        <v>0.06</v>
      </c>
      <c r="M27" s="90">
        <f>'Water Reading'!R27-'Water Reading'!R26</f>
        <v>9</v>
      </c>
      <c r="N27" s="92">
        <f t="shared" si="7"/>
        <v>2.5714285714285714E-2</v>
      </c>
      <c r="O27" s="90">
        <f>'Water Reading'!Q27-'Water Reading'!Q26</f>
        <v>3</v>
      </c>
      <c r="P27" s="99">
        <f t="shared" si="8"/>
        <v>8.5714285714285719E-3</v>
      </c>
      <c r="Q27" s="91">
        <f>'Water Reading'!F27-'Water Reading'!F26</f>
        <v>0</v>
      </c>
      <c r="R27" s="100">
        <f t="shared" si="9"/>
        <v>0</v>
      </c>
      <c r="S27" s="94">
        <f>'Water Reading'!E27-'Water Reading'!E26</f>
        <v>52</v>
      </c>
      <c r="T27" s="100">
        <f t="shared" si="10"/>
        <v>0.14857142857142858</v>
      </c>
      <c r="U27" s="90">
        <f>'Water Reading'!G27-'Water Reading'!G26</f>
        <v>25</v>
      </c>
      <c r="V27" s="100">
        <f t="shared" si="11"/>
        <v>7.1428571428571425E-2</v>
      </c>
      <c r="W27" s="90">
        <f>'Water Reading'!J27-'Water Reading'!J26</f>
        <v>13</v>
      </c>
      <c r="X27" s="100">
        <f t="shared" si="12"/>
        <v>3.7142857142857144E-2</v>
      </c>
      <c r="Y27" s="66">
        <f t="shared" si="0"/>
        <v>300</v>
      </c>
      <c r="Z27" s="67">
        <f t="shared" si="1"/>
        <v>1.098901098901099</v>
      </c>
    </row>
    <row r="28" spans="1:26" x14ac:dyDescent="0.25">
      <c r="A28" s="8">
        <f>'Water Reading'!A27</f>
        <v>44252</v>
      </c>
      <c r="B28" s="65">
        <f>TOTAL!I26</f>
        <v>268</v>
      </c>
      <c r="C28" s="66">
        <f>('Water Reading'!B28-'Water Reading'!B27)+('Water Reading'!C28-'Water Reading'!C27)</f>
        <v>344</v>
      </c>
      <c r="D28" s="67">
        <f t="shared" si="2"/>
        <v>1.2835820895522387</v>
      </c>
      <c r="E28" s="87">
        <f>'Water Reading'!H28-'Water Reading'!H27</f>
        <v>62</v>
      </c>
      <c r="F28" s="89">
        <f t="shared" si="3"/>
        <v>0.18023255813953487</v>
      </c>
      <c r="G28" s="93">
        <f>('Water Reading'!D28-'Water Reading'!D27)-('Water Reading'!R28-'Water Reading'!R27)-('Water Reading'!Q28-'Water Reading'!Q27)</f>
        <v>102</v>
      </c>
      <c r="H28" s="89">
        <f t="shared" si="4"/>
        <v>0.29651162790697677</v>
      </c>
      <c r="I28" s="90">
        <f>'Water Reading'!P28-'Water Reading'!P27</f>
        <v>1</v>
      </c>
      <c r="J28" s="68">
        <f t="shared" si="5"/>
        <v>2.9069767441860465E-3</v>
      </c>
      <c r="K28" s="90">
        <f>('Water Reading'!I28-'Water Reading'!I27)</f>
        <v>32</v>
      </c>
      <c r="L28" s="68">
        <f t="shared" si="6"/>
        <v>9.3023255813953487E-2</v>
      </c>
      <c r="M28" s="90">
        <f>'Water Reading'!R28-'Water Reading'!R27</f>
        <v>9</v>
      </c>
      <c r="N28" s="92">
        <f t="shared" si="7"/>
        <v>2.616279069767442E-2</v>
      </c>
      <c r="O28" s="90">
        <f>'Water Reading'!Q28-'Water Reading'!Q27</f>
        <v>4</v>
      </c>
      <c r="P28" s="99">
        <f t="shared" si="8"/>
        <v>1.1627906976744186E-2</v>
      </c>
      <c r="Q28" s="91">
        <f>'Water Reading'!F28-'Water Reading'!F27</f>
        <v>0</v>
      </c>
      <c r="R28" s="100">
        <f t="shared" si="9"/>
        <v>0</v>
      </c>
      <c r="S28" s="94">
        <f>'Water Reading'!E28-'Water Reading'!E27</f>
        <v>53</v>
      </c>
      <c r="T28" s="100">
        <f t="shared" si="10"/>
        <v>0.15406976744186046</v>
      </c>
      <c r="U28" s="90">
        <f>'Water Reading'!G28-'Water Reading'!G27</f>
        <v>25</v>
      </c>
      <c r="V28" s="100">
        <f t="shared" si="11"/>
        <v>7.2674418604651167E-2</v>
      </c>
      <c r="W28" s="90">
        <f>'Water Reading'!J28-'Water Reading'!J27</f>
        <v>11</v>
      </c>
      <c r="X28" s="100">
        <f t="shared" si="12"/>
        <v>3.1976744186046513E-2</v>
      </c>
      <c r="Y28" s="66">
        <f t="shared" si="0"/>
        <v>299</v>
      </c>
      <c r="Z28" s="67">
        <f t="shared" si="1"/>
        <v>1.1156716417910448</v>
      </c>
    </row>
    <row r="29" spans="1:26" x14ac:dyDescent="0.25">
      <c r="A29" s="8">
        <f>'Water Reading'!A28</f>
        <v>44253</v>
      </c>
      <c r="B29" s="65">
        <f>TOTAL!I27</f>
        <v>252</v>
      </c>
      <c r="C29" s="66">
        <f>('Water Reading'!B29-'Water Reading'!B28)+('Water Reading'!C29-'Water Reading'!C28)</f>
        <v>373</v>
      </c>
      <c r="D29" s="67">
        <f t="shared" si="2"/>
        <v>1.4801587301587302</v>
      </c>
      <c r="E29" s="87">
        <f>'Water Reading'!H29-'Water Reading'!H28</f>
        <v>53</v>
      </c>
      <c r="F29" s="89">
        <f t="shared" si="3"/>
        <v>0.14209115281501342</v>
      </c>
      <c r="G29" s="93">
        <f>('Water Reading'!D29-'Water Reading'!D28)-('Water Reading'!R29-'Water Reading'!R28)-('Water Reading'!Q29-'Water Reading'!Q28)</f>
        <v>113</v>
      </c>
      <c r="H29" s="89">
        <f t="shared" si="4"/>
        <v>0.30294906166219837</v>
      </c>
      <c r="I29" s="90">
        <f>'Water Reading'!P29-'Water Reading'!P28</f>
        <v>11</v>
      </c>
      <c r="J29" s="68">
        <f t="shared" si="5"/>
        <v>2.9490616621983913E-2</v>
      </c>
      <c r="K29" s="90">
        <f>('Water Reading'!I29-'Water Reading'!I28)</f>
        <v>24</v>
      </c>
      <c r="L29" s="68">
        <f t="shared" si="6"/>
        <v>6.4343163538873996E-2</v>
      </c>
      <c r="M29" s="90">
        <f>'Water Reading'!R29-'Water Reading'!R28</f>
        <v>1</v>
      </c>
      <c r="N29" s="92">
        <f t="shared" si="7"/>
        <v>2.6809651474530832E-3</v>
      </c>
      <c r="O29" s="90">
        <f>'Water Reading'!Q29-'Water Reading'!Q28</f>
        <v>1</v>
      </c>
      <c r="P29" s="99">
        <f t="shared" si="8"/>
        <v>2.6809651474530832E-3</v>
      </c>
      <c r="Q29" s="91">
        <f>'Water Reading'!F29-'Water Reading'!F28</f>
        <v>1</v>
      </c>
      <c r="R29" s="100">
        <f t="shared" si="9"/>
        <v>2.6809651474530832E-3</v>
      </c>
      <c r="S29" s="94">
        <f>'Water Reading'!E29-'Water Reading'!E28</f>
        <v>58</v>
      </c>
      <c r="T29" s="100">
        <f t="shared" si="10"/>
        <v>0.15549597855227881</v>
      </c>
      <c r="U29" s="90">
        <f>'Water Reading'!G29-'Water Reading'!G28</f>
        <v>24</v>
      </c>
      <c r="V29" s="100">
        <f t="shared" si="11"/>
        <v>6.4343163538873996E-2</v>
      </c>
      <c r="W29" s="90">
        <f>'Water Reading'!J29-'Water Reading'!J28</f>
        <v>12</v>
      </c>
      <c r="X29" s="100">
        <f t="shared" si="12"/>
        <v>3.2171581769436998E-2</v>
      </c>
      <c r="Y29" s="66">
        <f t="shared" si="0"/>
        <v>298</v>
      </c>
      <c r="Z29" s="67">
        <f t="shared" si="1"/>
        <v>1.1825396825396826</v>
      </c>
    </row>
    <row r="30" spans="1:26" x14ac:dyDescent="0.25">
      <c r="A30" s="8">
        <f>'Water Reading'!A29</f>
        <v>44254</v>
      </c>
      <c r="B30" s="65">
        <f>TOTAL!I28</f>
        <v>268.19999999999709</v>
      </c>
      <c r="C30" s="66">
        <f>('Water Reading'!B30-'Water Reading'!B29)+('Water Reading'!C30-'Water Reading'!C29)</f>
        <v>392</v>
      </c>
      <c r="D30" s="67">
        <f t="shared" si="2"/>
        <v>1.4615958240119473</v>
      </c>
      <c r="E30" s="87">
        <f>'Water Reading'!H30-'Water Reading'!H29</f>
        <v>42</v>
      </c>
      <c r="F30" s="89">
        <f t="shared" si="3"/>
        <v>0.10714285714285714</v>
      </c>
      <c r="G30" s="93">
        <f>('Water Reading'!D30-'Water Reading'!D29)-('Water Reading'!R30-'Water Reading'!R29)-('Water Reading'!Q30-'Water Reading'!Q29)</f>
        <v>135.30000000000001</v>
      </c>
      <c r="H30" s="89">
        <f t="shared" si="4"/>
        <v>0.3451530612244898</v>
      </c>
      <c r="I30" s="90">
        <f>'Water Reading'!P30-'Water Reading'!P29</f>
        <v>0</v>
      </c>
      <c r="J30" s="68">
        <f t="shared" si="5"/>
        <v>0</v>
      </c>
      <c r="K30" s="90">
        <f>('Water Reading'!I30-'Water Reading'!I29)-('Water Reading'!P30-'Water Reading'!P29)</f>
        <v>17</v>
      </c>
      <c r="L30" s="68">
        <f t="shared" si="6"/>
        <v>4.336734693877551E-2</v>
      </c>
      <c r="M30" s="90">
        <f>'Water Reading'!R30-'Water Reading'!R29</f>
        <v>8</v>
      </c>
      <c r="N30" s="92">
        <f t="shared" si="7"/>
        <v>2.0408163265306121E-2</v>
      </c>
      <c r="O30" s="90">
        <f>'Water Reading'!Q30-'Water Reading'!Q29</f>
        <v>2.6999999999999886</v>
      </c>
      <c r="P30" s="99">
        <f t="shared" si="8"/>
        <v>6.887755102040787E-3</v>
      </c>
      <c r="Q30" s="91">
        <f>'Water Reading'!F30-'Water Reading'!F29</f>
        <v>0</v>
      </c>
      <c r="R30" s="100">
        <f t="shared" si="9"/>
        <v>0</v>
      </c>
      <c r="S30" s="94">
        <f>'Water Reading'!E30-'Water Reading'!E29</f>
        <v>54</v>
      </c>
      <c r="T30" s="100">
        <f t="shared" si="10"/>
        <v>0.13775510204081631</v>
      </c>
      <c r="U30" s="90">
        <f>'Water Reading'!G30-'Water Reading'!G29</f>
        <v>22</v>
      </c>
      <c r="V30" s="100">
        <f t="shared" si="11"/>
        <v>5.6122448979591837E-2</v>
      </c>
      <c r="W30" s="90">
        <f>'Water Reading'!J30-'Water Reading'!J29</f>
        <v>12</v>
      </c>
      <c r="X30" s="100">
        <f t="shared" si="12"/>
        <v>3.0612244897959183E-2</v>
      </c>
      <c r="Y30" s="66">
        <f t="shared" si="0"/>
        <v>293</v>
      </c>
      <c r="Z30" s="67">
        <f t="shared" si="1"/>
        <v>1.0924683072334198</v>
      </c>
    </row>
    <row r="31" spans="1:26" x14ac:dyDescent="0.25">
      <c r="A31" s="8">
        <f>'Water Reading'!A30</f>
        <v>44255</v>
      </c>
      <c r="B31" s="65">
        <f>TOTAL!I29</f>
        <v>0</v>
      </c>
      <c r="C31" s="66">
        <f>('Water Reading'!B31-'Water Reading'!B30)+('Water Reading'!C31-'Water Reading'!C30)</f>
        <v>-248455</v>
      </c>
      <c r="D31" s="67" t="e">
        <f t="shared" si="2"/>
        <v>#DIV/0!</v>
      </c>
      <c r="E31" s="87">
        <f>'Water Reading'!H31-'Water Reading'!H30</f>
        <v>-46644</v>
      </c>
      <c r="F31" s="89">
        <f t="shared" si="3"/>
        <v>0.18773620977641828</v>
      </c>
      <c r="G31" s="93">
        <f>('Water Reading'!D31-'Water Reading'!D30)-('Water Reading'!R31-'Water Reading'!R30)-('Water Reading'!Q31-'Water Reading'!Q30)</f>
        <v>-185482.3</v>
      </c>
      <c r="H31" s="89">
        <f t="shared" si="4"/>
        <v>0.74654283471856064</v>
      </c>
      <c r="I31" s="90">
        <f>'Water Reading'!P31-'Water Reading'!P30</f>
        <v>-25971</v>
      </c>
      <c r="J31" s="68">
        <f t="shared" si="5"/>
        <v>0.10452999537139522</v>
      </c>
      <c r="K31" s="90">
        <f>('Water Reading'!I31-'Water Reading'!I30)-('Water Reading'!P31-'Water Reading'!P30)</f>
        <v>-32260</v>
      </c>
      <c r="L31" s="68">
        <f t="shared" si="6"/>
        <v>0.12984242619387817</v>
      </c>
      <c r="M31" s="90">
        <f>'Water Reading'!R31-'Water Reading'!R30</f>
        <v>-5640</v>
      </c>
      <c r="N31" s="92">
        <f t="shared" si="7"/>
        <v>2.270028777847095E-2</v>
      </c>
      <c r="O31" s="90">
        <f>'Water Reading'!Q31-'Water Reading'!Q30</f>
        <v>-155.69999999999999</v>
      </c>
      <c r="P31" s="99">
        <f t="shared" si="8"/>
        <v>6.2667283813970336E-4</v>
      </c>
      <c r="Q31" s="91">
        <f>'Water Reading'!F31-'Water Reading'!F30</f>
        <v>-66852</v>
      </c>
      <c r="R31" s="100">
        <f t="shared" si="9"/>
        <v>0.26907085790183333</v>
      </c>
      <c r="S31" s="94">
        <f>'Water Reading'!E31-'Water Reading'!E30</f>
        <v>-240503</v>
      </c>
      <c r="T31" s="100">
        <f t="shared" si="10"/>
        <v>0.96799420418184379</v>
      </c>
      <c r="U31" s="90">
        <f>'Water Reading'!G31-'Water Reading'!G30</f>
        <v>-109360</v>
      </c>
      <c r="V31" s="100">
        <f t="shared" si="11"/>
        <v>0.44016018997403955</v>
      </c>
      <c r="W31" s="90">
        <f>'Water Reading'!J31-'Water Reading'!J30</f>
        <v>-18644</v>
      </c>
      <c r="X31" s="100">
        <f t="shared" si="12"/>
        <v>7.5039745627980922E-2</v>
      </c>
      <c r="Y31" s="66">
        <f t="shared" si="0"/>
        <v>-731512</v>
      </c>
      <c r="Z31" s="67" t="e">
        <f t="shared" si="1"/>
        <v>#DIV/0!</v>
      </c>
    </row>
    <row r="32" spans="1:26" x14ac:dyDescent="0.25">
      <c r="A32" s="8">
        <f>'Water Reading'!A31</f>
        <v>0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0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0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6746.1999999999971</v>
      </c>
      <c r="C35" s="75">
        <f>SUM(C4:C34)</f>
        <v>-240046</v>
      </c>
      <c r="D35" s="96">
        <f>C35/B35</f>
        <v>-35.582401944798569</v>
      </c>
      <c r="E35" s="7">
        <f>SUM(E4:E34)</f>
        <v>-45508</v>
      </c>
      <c r="F35" s="95">
        <f>E35/C35</f>
        <v>0.18958033043666631</v>
      </c>
      <c r="G35" s="75">
        <f>SUM(G4:G34)</f>
        <v>-182462</v>
      </c>
      <c r="H35" s="95">
        <f>G35/C35</f>
        <v>0.76011264507636034</v>
      </c>
      <c r="I35" s="7">
        <f>SUM(I4:I34)</f>
        <v>-25830</v>
      </c>
      <c r="J35" s="95">
        <f>I35/C35</f>
        <v>0.10760437582796631</v>
      </c>
      <c r="K35" s="7">
        <f>SUM(K4:K34)</f>
        <v>-31668</v>
      </c>
      <c r="L35" s="95">
        <f>K35/C35</f>
        <v>0.1319247144297343</v>
      </c>
      <c r="M35" s="7">
        <f>SUM(M4:M34)</f>
        <v>-5466</v>
      </c>
      <c r="N35" s="95">
        <f>M35/C35</f>
        <v>2.2770635628171266E-2</v>
      </c>
      <c r="O35" s="7">
        <f>SUM(O4:O34)</f>
        <v>45</v>
      </c>
      <c r="P35" s="95">
        <f>O35/C35</f>
        <v>-1.8746406938670087E-4</v>
      </c>
      <c r="Q35" s="7">
        <f>SUM(Q4:Q34)</f>
        <v>-66842</v>
      </c>
      <c r="R35" s="95">
        <f>Q35/C35</f>
        <v>0.27845496279879689</v>
      </c>
      <c r="S35" s="75">
        <f>SUM(S4:S34)</f>
        <v>-238934</v>
      </c>
      <c r="T35" s="95">
        <f>S35/C35</f>
        <v>0.99536755455204418</v>
      </c>
      <c r="U35" s="7">
        <f>SUM(U4:U34)</f>
        <v>-108776</v>
      </c>
      <c r="V35" s="95">
        <f>U35/C35</f>
        <v>0.45314648025795057</v>
      </c>
      <c r="W35" s="7">
        <f>SUM(W4:W34)</f>
        <v>-18332</v>
      </c>
      <c r="X35" s="95">
        <f>W35/C35</f>
        <v>7.6368695999933345E-2</v>
      </c>
      <c r="Y35" s="75">
        <f>SUM(Y4:Y34)</f>
        <v>-723773</v>
      </c>
      <c r="Z35" s="95">
        <f t="shared" si="1"/>
        <v>-107.28602768966238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2021-02-28T06:11:40Z</dcterms:modified>
  <cp:category/>
  <cp:contentStatus/>
</cp:coreProperties>
</file>