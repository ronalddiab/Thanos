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bookViews>
    <workbookView xWindow="0" yWindow="0" windowWidth="28800" windowHeight="12435" tabRatio="433" activeTab="1"/>
  </bookViews>
  <sheets>
    <sheet name="Sheet1" sheetId="1" r:id="rId1"/>
    <sheet name="Jan 2021" sheetId="31" r:id="rId2"/>
  </sheets>
  <calcPr calcId="152511"/>
</workbook>
</file>

<file path=xl/calcChain.xml><?xml version="1.0" encoding="utf-8"?>
<calcChain xmlns="http://schemas.openxmlformats.org/spreadsheetml/2006/main">
  <c r="L35" i="31" l="1"/>
  <c r="L34" i="31"/>
  <c r="L33" i="31"/>
  <c r="L32" i="31"/>
  <c r="L31" i="31"/>
  <c r="L30" i="31"/>
  <c r="L29" i="31"/>
  <c r="L28" i="31"/>
  <c r="L27" i="31"/>
  <c r="L26" i="31"/>
  <c r="L25" i="31"/>
  <c r="L24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G35" i="31"/>
  <c r="G34" i="31"/>
  <c r="G33" i="31"/>
  <c r="G32" i="31"/>
  <c r="G31" i="31"/>
  <c r="G30" i="31"/>
  <c r="G29" i="31"/>
  <c r="G28" i="31"/>
  <c r="G27" i="31"/>
  <c r="G26" i="31"/>
  <c r="G25" i="31"/>
  <c r="G24" i="31"/>
  <c r="L23" i="31" l="1"/>
  <c r="G23" i="31"/>
  <c r="I23" i="31"/>
  <c r="L22" i="31" l="1"/>
  <c r="I22" i="31"/>
  <c r="G22" i="31"/>
  <c r="G21" i="31" l="1"/>
  <c r="L21" i="31"/>
  <c r="I21" i="31"/>
  <c r="L20" i="31" l="1"/>
  <c r="I20" i="31"/>
  <c r="G20" i="31"/>
  <c r="L19" i="31" l="1"/>
  <c r="L18" i="31"/>
  <c r="I18" i="31"/>
  <c r="I19" i="31"/>
  <c r="G18" i="31"/>
  <c r="G19" i="31"/>
  <c r="L17" i="31" l="1"/>
  <c r="I17" i="31"/>
  <c r="G17" i="31"/>
  <c r="G16" i="31"/>
  <c r="L16" i="31"/>
  <c r="I16" i="31"/>
  <c r="L15" i="31" l="1"/>
  <c r="I15" i="31"/>
  <c r="G15" i="31"/>
  <c r="L14" i="31" l="1"/>
  <c r="I14" i="31"/>
  <c r="G14" i="31"/>
  <c r="L13" i="31" l="1"/>
  <c r="G13" i="31"/>
  <c r="I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8" i="31" l="1"/>
  <c r="G8" i="31"/>
  <c r="I8" i="31"/>
  <c r="L7" i="31"/>
  <c r="I7" i="31"/>
  <c r="G7" i="31" l="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<sst xmlns="http://schemas.openxmlformats.org/spreadsheetml/2006/main" count="65" uniqueCount="32">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</sst>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D2" sqref="D2:D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4">
        <f>'Jan 2021'!E5</f>
        <v>32614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4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4">
        <f>'Jan 2021'!E6</f>
        <v>27619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316</v>
      </c>
      <c r="L3" s="10">
        <v>0.75</v>
      </c>
      <c r="M3" s="10">
        <f>'Jan 2021'!L6</f>
        <v>71</v>
      </c>
      <c r="N3" s="10">
        <v>0.56299999999999994</v>
      </c>
      <c r="O3" s="14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4">
        <f>'Jan 2021'!E7</f>
        <v>28659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23000</v>
      </c>
      <c r="J4" s="10">
        <v>3.61E-2</v>
      </c>
      <c r="K4" s="1">
        <f>'Jan 2021'!I7</f>
        <v>246</v>
      </c>
      <c r="L4" s="10">
        <v>0.75</v>
      </c>
      <c r="M4" s="10">
        <f>'Jan 2021'!L7</f>
        <v>107</v>
      </c>
      <c r="N4" s="10">
        <v>0.56299999999999994</v>
      </c>
      <c r="O4" s="14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4">
        <f>'Jan 2021'!E8</f>
        <v>29789</v>
      </c>
      <c r="F5" s="10">
        <v>2.9000000000000001E-2</v>
      </c>
      <c r="G5" s="1">
        <f>'Jan 2021'!J8</f>
        <v>2970</v>
      </c>
      <c r="H5" s="10">
        <v>0.112</v>
      </c>
      <c r="I5" s="1">
        <f>'Jan 2021'!G8*1000</f>
        <v>22000</v>
      </c>
      <c r="J5" s="10">
        <v>3.61E-2</v>
      </c>
      <c r="K5" s="1">
        <f>'Jan 2021'!I8</f>
        <v>280</v>
      </c>
      <c r="L5" s="10">
        <v>0.75</v>
      </c>
      <c r="M5" s="10">
        <f>'Jan 2021'!L8</f>
        <v>74</v>
      </c>
      <c r="N5" s="10">
        <v>0.56299999999999994</v>
      </c>
      <c r="O5" s="14">
        <f>'Jan 2021'!D8</f>
        <v>26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4">
        <f>'Jan 2021'!E9</f>
        <v>29091</v>
      </c>
      <c r="F6" s="10">
        <v>2.9000000000000001E-2</v>
      </c>
      <c r="G6" s="1">
        <f>'Jan 2021'!J9</f>
        <v>2970</v>
      </c>
      <c r="H6" s="10">
        <v>0.112</v>
      </c>
      <c r="I6" s="1">
        <f>'Jan 2021'!G9*1000</f>
        <v>23000</v>
      </c>
      <c r="J6" s="10">
        <v>3.61E-2</v>
      </c>
      <c r="K6" s="1">
        <f>'Jan 2021'!I9</f>
        <v>252</v>
      </c>
      <c r="L6" s="10">
        <v>0.75</v>
      </c>
      <c r="M6" s="10">
        <f>'Jan 2021'!L9</f>
        <v>123</v>
      </c>
      <c r="N6" s="10">
        <v>0.56299999999999994</v>
      </c>
      <c r="O6" s="14">
        <f>'Jan 2021'!D9</f>
        <v>30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4">
        <f>'Jan 2021'!E10</f>
        <v>38041</v>
      </c>
      <c r="F7" s="10">
        <v>2.9000000000000001E-2</v>
      </c>
      <c r="G7" s="1">
        <v>0</v>
      </c>
      <c r="H7" s="10">
        <v>0.112</v>
      </c>
      <c r="I7" s="1">
        <f>'Jan 2021'!G10*1000</f>
        <v>23000</v>
      </c>
      <c r="J7" s="10">
        <v>3.61E-2</v>
      </c>
      <c r="K7" s="1">
        <f>'Jan 2021'!I10</f>
        <v>283</v>
      </c>
      <c r="L7" s="10">
        <v>0.75</v>
      </c>
      <c r="M7" s="10">
        <f>'Jan 2021'!L10</f>
        <v>97</v>
      </c>
      <c r="N7" s="10">
        <v>0.56299999999999994</v>
      </c>
      <c r="O7" s="14">
        <f>'Jan 2021'!D10</f>
        <v>38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4">
        <f>'Jan 2021'!E11</f>
        <v>31021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24000</v>
      </c>
      <c r="J8" s="10">
        <v>3.61E-2</v>
      </c>
      <c r="K8" s="1">
        <f>'Jan 2021'!I11</f>
        <v>289</v>
      </c>
      <c r="L8" s="10">
        <v>0.75</v>
      </c>
      <c r="M8" s="10">
        <f>'Jan 2021'!L11</f>
        <v>87</v>
      </c>
      <c r="N8" s="10">
        <v>0.56299999999999994</v>
      </c>
      <c r="O8" s="14">
        <f>'Jan 2021'!D11</f>
        <v>39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4">
        <f>'Jan 2021'!E12</f>
        <v>29822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23000</v>
      </c>
      <c r="J9" s="10">
        <v>3.61E-2</v>
      </c>
      <c r="K9" s="1">
        <f>'Jan 2021'!I12</f>
        <v>244</v>
      </c>
      <c r="L9" s="10">
        <v>0.75</v>
      </c>
      <c r="M9" s="10">
        <f>'Jan 2021'!L12</f>
        <v>43</v>
      </c>
      <c r="N9" s="10">
        <v>0.56299999999999994</v>
      </c>
      <c r="O9" s="14">
        <f>'Jan 2021'!D12</f>
        <v>41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4">
        <f>'Jan 2021'!E13</f>
        <v>30121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23000</v>
      </c>
      <c r="J10" s="10">
        <v>3.61E-2</v>
      </c>
      <c r="K10" s="1">
        <f>'Jan 2021'!I13</f>
        <v>217</v>
      </c>
      <c r="L10" s="10">
        <v>0.75</v>
      </c>
      <c r="M10" s="10">
        <f>'Jan 2021'!L13</f>
        <v>52</v>
      </c>
      <c r="N10" s="10">
        <v>0.56299999999999994</v>
      </c>
      <c r="O10" s="14">
        <f>'Jan 2021'!D13</f>
        <v>24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4">
        <f>'Jan 2021'!E14</f>
        <v>29255</v>
      </c>
      <c r="F11" s="10">
        <v>2.9000000000000001E-2</v>
      </c>
      <c r="G11" s="1">
        <f>'Jan 2021'!J14</f>
        <v>2970</v>
      </c>
      <c r="H11" s="10">
        <v>0.112</v>
      </c>
      <c r="I11" s="1">
        <f>'Jan 2021'!G14*1000</f>
        <v>22000</v>
      </c>
      <c r="J11" s="10">
        <v>3.61E-2</v>
      </c>
      <c r="K11" s="1">
        <f>'Jan 2021'!I14</f>
        <v>243</v>
      </c>
      <c r="L11" s="10">
        <v>0.75</v>
      </c>
      <c r="M11" s="10">
        <f>'Jan 2021'!L14</f>
        <v>74</v>
      </c>
      <c r="N11" s="10">
        <v>0.56299999999999994</v>
      </c>
      <c r="O11" s="14">
        <f>'Jan 2021'!D14</f>
        <v>22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4">
        <f>'Jan 2021'!E15</f>
        <v>28656</v>
      </c>
      <c r="F12" s="10">
        <v>2.9000000000000001E-2</v>
      </c>
      <c r="G12" s="1">
        <f>'Jan 2021'!J15</f>
        <v>2970</v>
      </c>
      <c r="H12" s="10">
        <v>0.112</v>
      </c>
      <c r="I12" s="1">
        <f>'Jan 2021'!G15*1000</f>
        <v>19000</v>
      </c>
      <c r="J12" s="10">
        <v>3.61E-2</v>
      </c>
      <c r="K12" s="1">
        <f>'Jan 2021'!I15</f>
        <v>223</v>
      </c>
      <c r="L12" s="10">
        <v>0.75</v>
      </c>
      <c r="M12" s="10">
        <f>'Jan 2021'!L15</f>
        <v>73</v>
      </c>
      <c r="N12" s="10">
        <v>0.56299999999999994</v>
      </c>
      <c r="O12" s="14">
        <f>'Jan 2021'!D15</f>
        <v>29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4">
        <f>'Jan 2021'!E16</f>
        <v>26424</v>
      </c>
      <c r="F13" s="10">
        <v>2.9000000000000001E-2</v>
      </c>
      <c r="G13" s="1">
        <f>'Jan 2021'!J16</f>
        <v>2970</v>
      </c>
      <c r="H13" s="10">
        <v>0.112</v>
      </c>
      <c r="I13" s="1">
        <f>'Jan 2021'!G16*1000</f>
        <v>19000</v>
      </c>
      <c r="J13" s="10">
        <v>3.61E-2</v>
      </c>
      <c r="K13" s="1">
        <f>'Jan 2021'!I16</f>
        <v>303</v>
      </c>
      <c r="L13" s="10">
        <v>0.75</v>
      </c>
      <c r="M13" s="10">
        <f>'Jan 2021'!L16</f>
        <v>79</v>
      </c>
      <c r="N13" s="10">
        <v>0.56299999999999994</v>
      </c>
      <c r="O13" s="14">
        <f>'Jan 2021'!D16</f>
        <v>28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4">
        <f>'Jan 2021'!E17</f>
        <v>27793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13000</v>
      </c>
      <c r="J14" s="10">
        <v>3.61E-2</v>
      </c>
      <c r="K14" s="1">
        <f>'Jan 2021'!I17</f>
        <v>238</v>
      </c>
      <c r="L14" s="10">
        <v>0.75</v>
      </c>
      <c r="M14" s="10">
        <f>'Jan 2021'!L17</f>
        <v>42</v>
      </c>
      <c r="N14" s="10">
        <v>0.56299999999999994</v>
      </c>
      <c r="O14" s="14">
        <f>'Jan 2021'!D17</f>
        <v>27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4">
        <f>'Jan 2021'!E18</f>
        <v>28196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5000</v>
      </c>
      <c r="J15" s="10">
        <v>3.61E-2</v>
      </c>
      <c r="K15" s="1">
        <f>'Jan 2021'!I18</f>
        <v>256</v>
      </c>
      <c r="L15" s="10">
        <v>0.75</v>
      </c>
      <c r="M15" s="10">
        <f>'Jan 2021'!L18</f>
        <v>34</v>
      </c>
      <c r="N15" s="10">
        <v>0.56299999999999994</v>
      </c>
      <c r="O15" s="14">
        <f>'Jan 2021'!D18</f>
        <v>30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4">
        <f>'Jan 2021'!E19</f>
        <v>27777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22000</v>
      </c>
      <c r="J16" s="10">
        <v>3.61E-2</v>
      </c>
      <c r="K16" s="1">
        <f>'Jan 2021'!I19</f>
        <v>293</v>
      </c>
      <c r="L16" s="10">
        <v>0.75</v>
      </c>
      <c r="M16" s="10">
        <f>'Jan 2021'!L19</f>
        <v>105</v>
      </c>
      <c r="N16" s="10">
        <v>0.56299999999999994</v>
      </c>
      <c r="O16" s="14">
        <f>'Jan 2021'!D19</f>
        <v>40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4">
        <f>'Jan 2021'!E20</f>
        <v>27198</v>
      </c>
      <c r="F17" s="10">
        <v>2.9000000000000001E-2</v>
      </c>
      <c r="G17" s="1">
        <f>'Jan 2021'!J20</f>
        <v>2970</v>
      </c>
      <c r="H17" s="10">
        <v>0.112</v>
      </c>
      <c r="I17" s="1">
        <f>'Jan 2021'!G20*1000</f>
        <v>41000</v>
      </c>
      <c r="J17" s="10">
        <v>3.61E-2</v>
      </c>
      <c r="K17" s="1">
        <f>'Jan 2021'!I20</f>
        <v>270</v>
      </c>
      <c r="L17" s="10">
        <v>0.75</v>
      </c>
      <c r="M17" s="10">
        <f>'Jan 2021'!L20</f>
        <v>0</v>
      </c>
      <c r="N17" s="10">
        <v>0.56299999999999994</v>
      </c>
      <c r="O17" s="14">
        <f>'Jan 2021'!D20</f>
        <v>21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4">
        <f>'Jan 2021'!E21</f>
        <v>25665</v>
      </c>
      <c r="F18" s="10">
        <v>2.9000000000000001E-2</v>
      </c>
      <c r="G18" s="1">
        <f>'Jan 2021'!J21</f>
        <v>2970</v>
      </c>
      <c r="H18" s="10">
        <v>0.112</v>
      </c>
      <c r="I18" s="1">
        <f>'Jan 2021'!G21*1000</f>
        <v>20000</v>
      </c>
      <c r="J18" s="10">
        <v>3.61E-2</v>
      </c>
      <c r="K18" s="1">
        <f>'Jan 2021'!I21</f>
        <v>210</v>
      </c>
      <c r="L18" s="10">
        <v>0.75</v>
      </c>
      <c r="M18" s="10">
        <f>'Jan 2021'!L21</f>
        <v>47</v>
      </c>
      <c r="N18" s="10">
        <v>0.56299999999999994</v>
      </c>
      <c r="O18" s="14">
        <f>'Jan 2021'!D21</f>
        <v>20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4">
        <f>'Jan 2021'!E22</f>
        <v>26288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19000</v>
      </c>
      <c r="J19" s="10">
        <v>3.61E-2</v>
      </c>
      <c r="K19" s="1">
        <f>'Jan 2021'!I22</f>
        <v>231</v>
      </c>
      <c r="L19" s="10">
        <v>0.75</v>
      </c>
      <c r="M19" s="10">
        <f>'Jan 2021'!L22</f>
        <v>134</v>
      </c>
      <c r="N19" s="10">
        <v>0.56299999999999994</v>
      </c>
      <c r="O19" s="14">
        <f>'Jan 2021'!D22</f>
        <v>25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4">
        <f>'Jan 2021'!E23</f>
        <v>26580</v>
      </c>
      <c r="F20" s="10">
        <v>2.9000000000000001E-2</v>
      </c>
      <c r="G20" s="1">
        <f>'Jan 2021'!J23</f>
        <v>2970</v>
      </c>
      <c r="H20" s="10">
        <v>0.112</v>
      </c>
      <c r="I20" s="1">
        <f>'Jan 2021'!G23*1000</f>
        <v>21000</v>
      </c>
      <c r="J20" s="10">
        <v>3.61E-2</v>
      </c>
      <c r="K20" s="1">
        <f>'Jan 2021'!I23</f>
        <v>235</v>
      </c>
      <c r="L20" s="10">
        <v>0.75</v>
      </c>
      <c r="M20" s="10">
        <f>'Jan 2021'!L23</f>
        <v>75</v>
      </c>
      <c r="N20" s="10">
        <v>0.56299999999999994</v>
      </c>
      <c r="O20" s="14">
        <f>'Jan 2021'!D23</f>
        <v>26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4">
        <f>'Jan 2021'!E24</f>
        <v>26860</v>
      </c>
      <c r="F21" s="10">
        <v>2.9000000000000001E-2</v>
      </c>
      <c r="G21" s="1">
        <f>'Jan 2021'!J24</f>
        <v>2970</v>
      </c>
      <c r="H21" s="10">
        <v>0.112</v>
      </c>
      <c r="I21" s="1">
        <f>'Jan 2021'!G24*1000</f>
        <v>18000</v>
      </c>
      <c r="J21" s="10">
        <v>3.61E-2</v>
      </c>
      <c r="K21" s="1">
        <f>'Jan 2021'!I24</f>
        <v>274</v>
      </c>
      <c r="L21" s="10">
        <v>0.75</v>
      </c>
      <c r="M21" s="10">
        <f>'Jan 2021'!L24</f>
        <v>96</v>
      </c>
      <c r="N21" s="10">
        <v>0.56299999999999994</v>
      </c>
      <c r="O21" s="14">
        <f>'Jan 2021'!D24</f>
        <v>31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4">
        <f>'Jan 2021'!E25</f>
        <v>26410</v>
      </c>
      <c r="F22" s="10">
        <v>2.9000000000000001E-2</v>
      </c>
      <c r="G22" s="1">
        <f>'Jan 2021'!J25</f>
        <v>2970</v>
      </c>
      <c r="H22" s="10">
        <v>0.112</v>
      </c>
      <c r="I22" s="1">
        <f>'Jan 2021'!G25*1000</f>
        <v>16000</v>
      </c>
      <c r="J22" s="10">
        <v>3.61E-2</v>
      </c>
      <c r="K22" s="1">
        <f>'Jan 2021'!I25</f>
        <v>304</v>
      </c>
      <c r="L22" s="10">
        <v>0.75</v>
      </c>
      <c r="M22" s="10">
        <f>'Jan 2021'!L25</f>
        <v>54</v>
      </c>
      <c r="N22" s="10">
        <v>0.56299999999999994</v>
      </c>
      <c r="O22" s="14">
        <f>'Jan 2021'!D25</f>
        <v>43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4">
        <f>'Jan 2021'!E26</f>
        <v>24587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17000</v>
      </c>
      <c r="J23" s="10">
        <v>3.61E-2</v>
      </c>
      <c r="K23" s="1">
        <f>'Jan 2021'!I26</f>
        <v>279</v>
      </c>
      <c r="L23" s="10">
        <v>0.75</v>
      </c>
      <c r="M23" s="10">
        <f>'Jan 2021'!L26</f>
        <v>141</v>
      </c>
      <c r="N23" s="10">
        <v>0.56299999999999994</v>
      </c>
      <c r="O23" s="14">
        <f>'Jan 2021'!D26</f>
        <v>41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4">
        <f>'Jan 2021'!E27</f>
        <v>29351</v>
      </c>
      <c r="F24" s="10">
        <v>2.9000000000000001E-2</v>
      </c>
      <c r="G24" s="1">
        <f>'Jan 2021'!J27</f>
        <v>2970</v>
      </c>
      <c r="H24" s="10">
        <v>0.112</v>
      </c>
      <c r="I24" s="1">
        <f>'Jan 2021'!G27*1000</f>
        <v>16000</v>
      </c>
      <c r="J24" s="10">
        <v>3.61E-2</v>
      </c>
      <c r="K24" s="1">
        <f>'Jan 2021'!I27</f>
        <v>281</v>
      </c>
      <c r="L24" s="10">
        <v>0.75</v>
      </c>
      <c r="M24" s="10">
        <f>'Jan 2021'!L27</f>
        <v>49</v>
      </c>
      <c r="N24" s="10">
        <v>0.56299999999999994</v>
      </c>
      <c r="O24" s="14">
        <f>'Jan 2021'!D27</f>
        <v>33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4">
        <f>'Jan 2021'!E28</f>
        <v>25948</v>
      </c>
      <c r="F25" s="10">
        <v>2.9000000000000001E-2</v>
      </c>
      <c r="G25" s="1">
        <f>'Jan 2021'!J28</f>
        <v>2970</v>
      </c>
      <c r="H25" s="10">
        <v>0.112</v>
      </c>
      <c r="I25" s="1">
        <f>'Jan 2021'!G28*1000</f>
        <v>18000</v>
      </c>
      <c r="J25" s="10">
        <v>3.61E-2</v>
      </c>
      <c r="K25" s="1">
        <f>'Jan 2021'!I28</f>
        <v>261</v>
      </c>
      <c r="L25" s="10">
        <v>0.75</v>
      </c>
      <c r="M25" s="10">
        <f>'Jan 2021'!L28</f>
        <v>104</v>
      </c>
      <c r="N25" s="10">
        <v>0.56299999999999994</v>
      </c>
      <c r="O25" s="14">
        <f>'Jan 2021'!D28</f>
        <v>30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4">
        <f>'Jan 2021'!E29</f>
        <v>25980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19000</v>
      </c>
      <c r="J26" s="10">
        <v>3.61E-2</v>
      </c>
      <c r="K26" s="1">
        <f>'Jan 2021'!I29</f>
        <v>296</v>
      </c>
      <c r="L26" s="10">
        <v>0.75</v>
      </c>
      <c r="M26" s="10">
        <f>'Jan 2021'!L29</f>
        <v>36</v>
      </c>
      <c r="N26" s="10">
        <v>0.56299999999999994</v>
      </c>
      <c r="O26" s="14">
        <f>'Jan 2021'!D29</f>
        <v>33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4">
        <f>'Jan 2021'!E30</f>
        <v>26852</v>
      </c>
      <c r="F27" s="10">
        <v>2.9000000000000001E-2</v>
      </c>
      <c r="G27" s="1">
        <f>'Jan 2021'!J30</f>
        <v>2970</v>
      </c>
      <c r="H27" s="10">
        <v>0.112</v>
      </c>
      <c r="I27" s="1">
        <f>'Jan 2021'!G30*1000</f>
        <v>19000</v>
      </c>
      <c r="J27" s="10">
        <v>3.61E-2</v>
      </c>
      <c r="K27" s="1">
        <f>'Jan 2021'!I30</f>
        <v>213</v>
      </c>
      <c r="L27" s="10">
        <v>0.75</v>
      </c>
      <c r="M27" s="10">
        <f>'Jan 2021'!L30</f>
        <v>88</v>
      </c>
      <c r="N27" s="10">
        <v>0.56299999999999994</v>
      </c>
      <c r="O27" s="14">
        <f>'Jan 2021'!D30</f>
        <v>39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4">
        <f>'Jan 2021'!E31</f>
        <v>26972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18000</v>
      </c>
      <c r="J28" s="10">
        <v>3.61E-2</v>
      </c>
      <c r="K28" s="1">
        <f>'Jan 2021'!I31</f>
        <v>307</v>
      </c>
      <c r="L28" s="10">
        <v>0.75</v>
      </c>
      <c r="M28" s="10">
        <f>'Jan 2021'!L31</f>
        <v>0</v>
      </c>
      <c r="N28" s="10">
        <v>0.56299999999999994</v>
      </c>
      <c r="O28" s="14">
        <f>'Jan 2021'!D31</f>
        <v>34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4">
        <f>'Jan 2021'!E32</f>
        <v>27413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21000</v>
      </c>
      <c r="J29" s="10">
        <v>3.61E-2</v>
      </c>
      <c r="K29" s="1">
        <f>'Jan 2021'!I32</f>
        <v>328</v>
      </c>
      <c r="L29" s="10">
        <v>0.75</v>
      </c>
      <c r="M29" s="10">
        <f>'Jan 2021'!L32</f>
        <v>0</v>
      </c>
      <c r="N29" s="10">
        <v>0.56299999999999994</v>
      </c>
      <c r="O29" s="14">
        <f>'Jan 2021'!D32</f>
        <v>59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4">
        <f>'Jan 2021'!E33</f>
        <v>27700</v>
      </c>
      <c r="F30" s="10">
        <v>2.9000000000000001E-2</v>
      </c>
      <c r="G30" s="1">
        <f>'Jan 2021'!J33</f>
        <v>5940</v>
      </c>
      <c r="H30" s="10">
        <v>0.112</v>
      </c>
      <c r="I30" s="1">
        <f>'Jan 2021'!G33*1000</f>
        <v>21000</v>
      </c>
      <c r="J30" s="10">
        <v>3.61E-2</v>
      </c>
      <c r="K30" s="1">
        <f>'Jan 2021'!I33</f>
        <v>282</v>
      </c>
      <c r="L30" s="10">
        <v>0.75</v>
      </c>
      <c r="M30" s="10">
        <f>'Jan 2021'!L33</f>
        <v>115</v>
      </c>
      <c r="N30" s="10">
        <v>0.56299999999999994</v>
      </c>
      <c r="O30" s="14">
        <f>'Jan 2021'!D33</f>
        <v>59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4">
        <f>'Jan 2021'!E34</f>
        <v>27767</v>
      </c>
      <c r="F31" s="10">
        <v>2.9000000000000001E-2</v>
      </c>
      <c r="G31" s="1">
        <f>'Jan 2021'!J34</f>
        <v>2970</v>
      </c>
      <c r="H31" s="10">
        <v>0.112</v>
      </c>
      <c r="I31" s="1">
        <f>'Jan 2021'!G34*1000</f>
        <v>18000</v>
      </c>
      <c r="J31" s="10">
        <v>3.61E-2</v>
      </c>
      <c r="K31" s="1">
        <f>'Jan 2021'!I34</f>
        <v>264</v>
      </c>
      <c r="L31" s="10">
        <v>0.75</v>
      </c>
      <c r="M31" s="10">
        <f>'Jan 2021'!L34</f>
        <v>0</v>
      </c>
      <c r="N31" s="10">
        <v>0.56299999999999994</v>
      </c>
      <c r="O31" s="14">
        <f>'Jan 2021'!D34</f>
        <v>29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4">
        <f>'Jan 2021'!E35</f>
        <v>26508</v>
      </c>
      <c r="F32" s="10">
        <v>2.9000000000000001E-2</v>
      </c>
      <c r="G32" s="1">
        <f>'Jan 2021'!J35</f>
        <v>5940</v>
      </c>
      <c r="H32" s="10">
        <v>0.112</v>
      </c>
      <c r="I32" s="1">
        <f>'Jan 2021'!G35*1000</f>
        <v>18000</v>
      </c>
      <c r="J32" s="10">
        <v>3.61E-2</v>
      </c>
      <c r="K32" s="1">
        <f>'Jan 2021'!I35</f>
        <v>303</v>
      </c>
      <c r="L32" s="10">
        <v>0.75</v>
      </c>
      <c r="M32" s="10">
        <f>'Jan 2021'!L35</f>
        <v>80</v>
      </c>
      <c r="N32" s="10">
        <v>0.56299999999999994</v>
      </c>
      <c r="O32" s="14">
        <f>'Jan 2021'!D35</f>
        <v>54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topLeftCell="B1" workbookViewId="0">
      <selection activeCell="L36" sqref="L3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32614</v>
      </c>
      <c r="F5" s="30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27619</v>
      </c>
      <c r="F6" s="4">
        <v>183860</v>
      </c>
      <c r="G6" s="8">
        <f>F7-F6</f>
        <v>25</v>
      </c>
      <c r="H6" s="7">
        <v>438283</v>
      </c>
      <c r="I6" s="3">
        <f>H7-H6</f>
        <v>316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>
        <v>28659</v>
      </c>
      <c r="F7" s="4">
        <v>183885</v>
      </c>
      <c r="G7" s="8">
        <f>F8-F7</f>
        <v>23</v>
      </c>
      <c r="H7" s="7">
        <v>438599</v>
      </c>
      <c r="I7" s="3">
        <f>H8-H7</f>
        <v>246</v>
      </c>
      <c r="J7" s="3">
        <v>0</v>
      </c>
      <c r="K7" s="4">
        <v>269390</v>
      </c>
      <c r="L7" s="9">
        <f>K8-K7</f>
        <v>107</v>
      </c>
      <c r="N7" s="1"/>
    </row>
    <row r="8" spans="1:14" x14ac:dyDescent="0.2">
      <c r="B8" s="2">
        <v>4</v>
      </c>
      <c r="C8" s="11">
        <v>44200</v>
      </c>
      <c r="D8" s="7">
        <v>26</v>
      </c>
      <c r="E8" s="12">
        <v>29789</v>
      </c>
      <c r="F8" s="4">
        <v>183908</v>
      </c>
      <c r="G8" s="8">
        <f>F9-F8</f>
        <v>22</v>
      </c>
      <c r="H8" s="16">
        <v>438845</v>
      </c>
      <c r="I8" s="3">
        <f>H9-H8</f>
        <v>280</v>
      </c>
      <c r="J8" s="3">
        <v>2970</v>
      </c>
      <c r="K8" s="4">
        <v>269497</v>
      </c>
      <c r="L8" s="9">
        <f>K9-K8</f>
        <v>74</v>
      </c>
      <c r="N8" s="1"/>
    </row>
    <row r="9" spans="1:14" x14ac:dyDescent="0.2">
      <c r="B9" s="2">
        <v>5</v>
      </c>
      <c r="C9" s="11">
        <v>44201</v>
      </c>
      <c r="D9" s="7">
        <v>30</v>
      </c>
      <c r="E9" s="12">
        <v>29091</v>
      </c>
      <c r="F9" s="4">
        <v>183930</v>
      </c>
      <c r="G9" s="8">
        <f>F10-F9</f>
        <v>23</v>
      </c>
      <c r="H9" s="7">
        <v>439125</v>
      </c>
      <c r="I9" s="3">
        <f>H10-H9</f>
        <v>252</v>
      </c>
      <c r="J9" s="3">
        <v>2970</v>
      </c>
      <c r="K9" s="4">
        <v>269571</v>
      </c>
      <c r="L9" s="9">
        <f>K10-K9</f>
        <v>123</v>
      </c>
      <c r="N9" s="1"/>
    </row>
    <row r="10" spans="1:14" x14ac:dyDescent="0.2">
      <c r="B10" s="2">
        <v>6</v>
      </c>
      <c r="C10" s="11">
        <v>44202</v>
      </c>
      <c r="D10" s="7">
        <v>38</v>
      </c>
      <c r="E10" s="12">
        <v>38041</v>
      </c>
      <c r="F10" s="4">
        <v>183953</v>
      </c>
      <c r="G10" s="8">
        <f t="shared" ref="G10:G23" si="0">F11-F10</f>
        <v>23</v>
      </c>
      <c r="H10" s="7">
        <v>439377</v>
      </c>
      <c r="I10" s="3">
        <f t="shared" ref="I10:I23" si="1">H11-H10</f>
        <v>283</v>
      </c>
      <c r="J10" s="3">
        <v>2970</v>
      </c>
      <c r="K10" s="4">
        <v>269694</v>
      </c>
      <c r="L10" s="9">
        <f t="shared" ref="L10:L23" si="2">K11-K10</f>
        <v>97</v>
      </c>
      <c r="N10" s="1"/>
    </row>
    <row r="11" spans="1:14" x14ac:dyDescent="0.2">
      <c r="B11" s="2">
        <v>7</v>
      </c>
      <c r="C11" s="11">
        <v>44203</v>
      </c>
      <c r="D11" s="7">
        <v>39</v>
      </c>
      <c r="E11" s="12">
        <v>31021</v>
      </c>
      <c r="F11" s="4">
        <v>183976</v>
      </c>
      <c r="G11" s="8">
        <f t="shared" si="0"/>
        <v>24</v>
      </c>
      <c r="H11" s="7">
        <v>439660</v>
      </c>
      <c r="I11" s="3">
        <f t="shared" si="1"/>
        <v>289</v>
      </c>
      <c r="J11" s="3">
        <v>0</v>
      </c>
      <c r="K11" s="4">
        <v>269791</v>
      </c>
      <c r="L11" s="9">
        <f t="shared" si="2"/>
        <v>87</v>
      </c>
      <c r="N11" s="1"/>
    </row>
    <row r="12" spans="1:14" x14ac:dyDescent="0.2">
      <c r="B12" s="2">
        <v>8</v>
      </c>
      <c r="C12" s="11">
        <v>44204</v>
      </c>
      <c r="D12" s="7">
        <v>41</v>
      </c>
      <c r="E12" s="12">
        <v>29822</v>
      </c>
      <c r="F12" s="4">
        <v>184000</v>
      </c>
      <c r="G12" s="8">
        <f t="shared" si="0"/>
        <v>23</v>
      </c>
      <c r="H12" s="7">
        <v>439949</v>
      </c>
      <c r="I12" s="3">
        <f t="shared" si="1"/>
        <v>244</v>
      </c>
      <c r="J12" s="3">
        <v>0</v>
      </c>
      <c r="K12" s="4">
        <v>269878</v>
      </c>
      <c r="L12" s="9">
        <f t="shared" si="2"/>
        <v>43</v>
      </c>
      <c r="N12" s="1"/>
    </row>
    <row r="13" spans="1:14" x14ac:dyDescent="0.2">
      <c r="A13" t="s">
        <v>28</v>
      </c>
      <c r="B13" s="2">
        <v>9</v>
      </c>
      <c r="C13" s="11">
        <v>44205</v>
      </c>
      <c r="D13" s="7">
        <v>24</v>
      </c>
      <c r="E13" s="12">
        <v>30121</v>
      </c>
      <c r="F13" s="30">
        <v>184023</v>
      </c>
      <c r="G13" s="8">
        <f t="shared" si="0"/>
        <v>23</v>
      </c>
      <c r="H13" s="16">
        <v>440193</v>
      </c>
      <c r="I13" s="3">
        <f t="shared" si="1"/>
        <v>217</v>
      </c>
      <c r="J13" s="3">
        <v>0</v>
      </c>
      <c r="K13" s="30">
        <v>269921</v>
      </c>
      <c r="L13" s="9">
        <f t="shared" si="2"/>
        <v>52</v>
      </c>
      <c r="N13" s="1"/>
    </row>
    <row r="14" spans="1:14" x14ac:dyDescent="0.2">
      <c r="B14" s="2">
        <v>10</v>
      </c>
      <c r="C14" s="11">
        <v>44206</v>
      </c>
      <c r="D14" s="7">
        <v>22</v>
      </c>
      <c r="E14" s="12">
        <v>29255</v>
      </c>
      <c r="F14" s="30">
        <v>184046</v>
      </c>
      <c r="G14" s="8">
        <f t="shared" si="0"/>
        <v>22</v>
      </c>
      <c r="H14" s="16">
        <v>440410</v>
      </c>
      <c r="I14" s="3">
        <f t="shared" si="1"/>
        <v>243</v>
      </c>
      <c r="J14" s="3">
        <v>2970</v>
      </c>
      <c r="K14" s="30">
        <v>269973</v>
      </c>
      <c r="L14" s="9">
        <f t="shared" si="2"/>
        <v>74</v>
      </c>
      <c r="N14" s="1"/>
    </row>
    <row r="15" spans="1:14" x14ac:dyDescent="0.2">
      <c r="B15" s="2">
        <v>11</v>
      </c>
      <c r="C15" s="11">
        <v>44207</v>
      </c>
      <c r="D15" s="7">
        <v>29</v>
      </c>
      <c r="E15" s="12">
        <v>28656</v>
      </c>
      <c r="F15" s="4">
        <v>184068</v>
      </c>
      <c r="G15" s="8">
        <f t="shared" si="0"/>
        <v>19</v>
      </c>
      <c r="H15" s="7">
        <v>440653</v>
      </c>
      <c r="I15" s="3">
        <f t="shared" si="1"/>
        <v>223</v>
      </c>
      <c r="J15" s="3">
        <v>2970</v>
      </c>
      <c r="K15" s="4">
        <v>270047</v>
      </c>
      <c r="L15" s="9">
        <f t="shared" si="2"/>
        <v>73</v>
      </c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>
        <v>28</v>
      </c>
      <c r="E16" s="12">
        <v>26424</v>
      </c>
      <c r="F16" s="4">
        <v>184087</v>
      </c>
      <c r="G16" s="8">
        <f t="shared" si="0"/>
        <v>19</v>
      </c>
      <c r="H16" s="7">
        <v>440876</v>
      </c>
      <c r="I16" s="3">
        <f t="shared" si="1"/>
        <v>303</v>
      </c>
      <c r="J16" s="3">
        <v>2970</v>
      </c>
      <c r="K16" s="4">
        <v>270120</v>
      </c>
      <c r="L16" s="9">
        <f t="shared" si="2"/>
        <v>79</v>
      </c>
      <c r="N16" s="1"/>
    </row>
    <row r="17" spans="1:14" x14ac:dyDescent="0.2">
      <c r="B17" s="2">
        <v>13</v>
      </c>
      <c r="C17" s="11">
        <v>44209</v>
      </c>
      <c r="D17" s="7">
        <v>27</v>
      </c>
      <c r="E17" s="12">
        <v>27793</v>
      </c>
      <c r="F17" s="4">
        <v>184106</v>
      </c>
      <c r="G17" s="8">
        <f t="shared" si="0"/>
        <v>13</v>
      </c>
      <c r="H17" s="7">
        <v>441179</v>
      </c>
      <c r="I17" s="3">
        <f t="shared" si="1"/>
        <v>238</v>
      </c>
      <c r="J17" s="3">
        <v>0</v>
      </c>
      <c r="K17" s="4">
        <v>270199</v>
      </c>
      <c r="L17" s="9">
        <f t="shared" si="2"/>
        <v>42</v>
      </c>
      <c r="N17" s="1"/>
    </row>
    <row r="18" spans="1:14" ht="13.5" customHeight="1" x14ac:dyDescent="0.2">
      <c r="B18" s="2">
        <v>14</v>
      </c>
      <c r="C18" s="11">
        <v>44210</v>
      </c>
      <c r="D18" s="7">
        <v>30</v>
      </c>
      <c r="E18" s="33">
        <v>28196</v>
      </c>
      <c r="F18" s="4">
        <v>184119</v>
      </c>
      <c r="G18" s="8">
        <f t="shared" si="0"/>
        <v>5</v>
      </c>
      <c r="H18" s="16">
        <v>441417</v>
      </c>
      <c r="I18" s="3">
        <f t="shared" si="1"/>
        <v>256</v>
      </c>
      <c r="J18" s="3">
        <v>0</v>
      </c>
      <c r="K18" s="4">
        <v>270241</v>
      </c>
      <c r="L18" s="9">
        <f t="shared" si="2"/>
        <v>34</v>
      </c>
      <c r="N18" s="1"/>
    </row>
    <row r="19" spans="1:14" x14ac:dyDescent="0.2">
      <c r="B19" s="2">
        <v>15</v>
      </c>
      <c r="C19" s="11">
        <v>44211</v>
      </c>
      <c r="D19" s="7">
        <v>40</v>
      </c>
      <c r="E19" s="33">
        <v>27777</v>
      </c>
      <c r="F19" s="4">
        <v>184124</v>
      </c>
      <c r="G19" s="8">
        <f t="shared" si="0"/>
        <v>22</v>
      </c>
      <c r="H19" s="4">
        <v>441673</v>
      </c>
      <c r="I19" s="3">
        <f t="shared" si="1"/>
        <v>293</v>
      </c>
      <c r="J19" s="3">
        <v>0</v>
      </c>
      <c r="K19" s="4">
        <v>270275</v>
      </c>
      <c r="L19" s="9">
        <f t="shared" si="2"/>
        <v>105</v>
      </c>
      <c r="N19" s="1"/>
    </row>
    <row r="20" spans="1:14" x14ac:dyDescent="0.2">
      <c r="A20" t="s">
        <v>28</v>
      </c>
      <c r="B20" s="2">
        <v>16</v>
      </c>
      <c r="C20" s="11">
        <v>44212</v>
      </c>
      <c r="D20" s="7">
        <v>21</v>
      </c>
      <c r="E20" s="33">
        <v>27198</v>
      </c>
      <c r="F20" s="4">
        <v>184146</v>
      </c>
      <c r="G20" s="8">
        <f t="shared" si="0"/>
        <v>41</v>
      </c>
      <c r="H20" s="4">
        <v>441966</v>
      </c>
      <c r="I20" s="3">
        <f t="shared" si="1"/>
        <v>270</v>
      </c>
      <c r="J20" s="3">
        <v>2970</v>
      </c>
      <c r="K20" s="4">
        <v>270380</v>
      </c>
      <c r="L20" s="9">
        <f t="shared" si="2"/>
        <v>0</v>
      </c>
      <c r="N20" s="1"/>
    </row>
    <row r="21" spans="1:14" x14ac:dyDescent="0.2">
      <c r="B21" s="2">
        <v>17</v>
      </c>
      <c r="C21" s="11">
        <v>44213</v>
      </c>
      <c r="D21" s="7">
        <v>20</v>
      </c>
      <c r="E21" s="7">
        <v>25665</v>
      </c>
      <c r="F21" s="4">
        <v>184187</v>
      </c>
      <c r="G21" s="8">
        <f t="shared" si="0"/>
        <v>20</v>
      </c>
      <c r="H21" s="4">
        <v>442236</v>
      </c>
      <c r="I21" s="3">
        <f t="shared" si="1"/>
        <v>210</v>
      </c>
      <c r="J21" s="3">
        <v>2970</v>
      </c>
      <c r="K21" s="30">
        <v>270380</v>
      </c>
      <c r="L21" s="9">
        <f t="shared" si="2"/>
        <v>47</v>
      </c>
      <c r="N21" s="1"/>
    </row>
    <row r="22" spans="1:14" x14ac:dyDescent="0.2">
      <c r="B22" s="2">
        <v>18</v>
      </c>
      <c r="C22" s="11">
        <v>44214</v>
      </c>
      <c r="D22" s="7">
        <v>25</v>
      </c>
      <c r="E22" s="7">
        <v>26288</v>
      </c>
      <c r="F22" s="4">
        <v>184207</v>
      </c>
      <c r="G22" s="8">
        <f t="shared" si="0"/>
        <v>19</v>
      </c>
      <c r="H22" s="4">
        <v>442446</v>
      </c>
      <c r="I22" s="3">
        <f t="shared" si="1"/>
        <v>231</v>
      </c>
      <c r="J22" s="3">
        <v>0</v>
      </c>
      <c r="K22" s="4">
        <v>270427</v>
      </c>
      <c r="L22" s="9">
        <f t="shared" si="2"/>
        <v>134</v>
      </c>
      <c r="N22" s="1"/>
    </row>
    <row r="23" spans="1:14" x14ac:dyDescent="0.2">
      <c r="B23" s="2">
        <v>19</v>
      </c>
      <c r="C23" s="11">
        <v>44215</v>
      </c>
      <c r="D23" s="7">
        <v>26</v>
      </c>
      <c r="E23" s="33">
        <v>26580</v>
      </c>
      <c r="F23" s="4">
        <v>184226</v>
      </c>
      <c r="G23" s="8">
        <f t="shared" si="0"/>
        <v>21</v>
      </c>
      <c r="H23" s="30">
        <v>442677</v>
      </c>
      <c r="I23" s="3">
        <f t="shared" si="1"/>
        <v>235</v>
      </c>
      <c r="J23" s="3">
        <v>2970</v>
      </c>
      <c r="K23" s="4">
        <v>270561</v>
      </c>
      <c r="L23" s="9">
        <f t="shared" si="2"/>
        <v>75</v>
      </c>
      <c r="N23" s="1"/>
    </row>
    <row r="24" spans="1:14" ht="12" customHeight="1" x14ac:dyDescent="0.2">
      <c r="B24" s="2">
        <v>20</v>
      </c>
      <c r="C24" s="11">
        <v>44216</v>
      </c>
      <c r="D24" s="7">
        <v>31</v>
      </c>
      <c r="E24" s="33">
        <v>26860</v>
      </c>
      <c r="F24" s="30">
        <v>184247</v>
      </c>
      <c r="G24" s="8">
        <f>F25-F24</f>
        <v>18</v>
      </c>
      <c r="H24" s="30">
        <v>442912</v>
      </c>
      <c r="I24" s="3">
        <f>H25-H24</f>
        <v>274</v>
      </c>
      <c r="J24" s="3">
        <v>2970</v>
      </c>
      <c r="K24" s="30">
        <v>270636</v>
      </c>
      <c r="L24" s="9">
        <f>K25-K24</f>
        <v>96</v>
      </c>
      <c r="N24" s="1"/>
    </row>
    <row r="25" spans="1:14" x14ac:dyDescent="0.2">
      <c r="B25" s="2">
        <v>21</v>
      </c>
      <c r="C25" s="11">
        <v>44217</v>
      </c>
      <c r="D25" s="7">
        <v>43</v>
      </c>
      <c r="E25" s="7">
        <v>26410</v>
      </c>
      <c r="F25" s="30">
        <v>184265</v>
      </c>
      <c r="G25" s="8">
        <f>F26-F25</f>
        <v>16</v>
      </c>
      <c r="H25" s="30">
        <v>443186</v>
      </c>
      <c r="I25" s="3">
        <f>H26-H25</f>
        <v>304</v>
      </c>
      <c r="J25" s="3">
        <v>2970</v>
      </c>
      <c r="K25" s="30">
        <v>270732</v>
      </c>
      <c r="L25" s="9">
        <f>K26-K25</f>
        <v>54</v>
      </c>
      <c r="N25" s="1"/>
    </row>
    <row r="26" spans="1:14" x14ac:dyDescent="0.2">
      <c r="B26" s="2">
        <v>22</v>
      </c>
      <c r="C26" s="11">
        <v>44218</v>
      </c>
      <c r="D26" s="7">
        <v>41</v>
      </c>
      <c r="E26" s="7">
        <v>24587</v>
      </c>
      <c r="F26" s="4">
        <v>184281</v>
      </c>
      <c r="G26" s="8">
        <f>F27-F26</f>
        <v>17</v>
      </c>
      <c r="H26" s="4">
        <v>443490</v>
      </c>
      <c r="I26" s="3">
        <f>H27-H26</f>
        <v>279</v>
      </c>
      <c r="J26" s="3">
        <v>0</v>
      </c>
      <c r="K26" s="4">
        <v>270786</v>
      </c>
      <c r="L26" s="9">
        <f>K27-K26</f>
        <v>141</v>
      </c>
      <c r="N26" s="1"/>
    </row>
    <row r="27" spans="1:14" x14ac:dyDescent="0.2">
      <c r="B27" s="2">
        <v>23</v>
      </c>
      <c r="C27" s="11">
        <v>44219</v>
      </c>
      <c r="D27" s="7">
        <v>33</v>
      </c>
      <c r="E27" s="7">
        <v>29351</v>
      </c>
      <c r="F27" s="4">
        <v>184298</v>
      </c>
      <c r="G27" s="8">
        <f>F28-F27</f>
        <v>16</v>
      </c>
      <c r="H27" s="7">
        <v>443769</v>
      </c>
      <c r="I27" s="3">
        <f>H28-H27</f>
        <v>281</v>
      </c>
      <c r="J27" s="3">
        <v>2970</v>
      </c>
      <c r="K27" s="4">
        <v>270927</v>
      </c>
      <c r="L27" s="9">
        <f>K28-K27</f>
        <v>49</v>
      </c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>
        <v>30</v>
      </c>
      <c r="E28" s="7">
        <v>25948</v>
      </c>
      <c r="F28" s="4">
        <v>184314</v>
      </c>
      <c r="G28" s="8">
        <f>F29-F28</f>
        <v>18</v>
      </c>
      <c r="H28" s="7">
        <v>444050</v>
      </c>
      <c r="I28" s="3">
        <f>H29-H28</f>
        <v>261</v>
      </c>
      <c r="J28" s="3">
        <v>2970</v>
      </c>
      <c r="K28" s="4">
        <v>270976</v>
      </c>
      <c r="L28" s="9">
        <f>K29-K28</f>
        <v>104</v>
      </c>
      <c r="N28" s="1"/>
    </row>
    <row r="29" spans="1:14" x14ac:dyDescent="0.2">
      <c r="A29" t="s">
        <v>30</v>
      </c>
      <c r="B29" s="2">
        <v>25</v>
      </c>
      <c r="C29" s="11">
        <v>44221</v>
      </c>
      <c r="D29" s="7">
        <v>33</v>
      </c>
      <c r="E29" s="7">
        <v>25980</v>
      </c>
      <c r="F29" s="4">
        <v>184332</v>
      </c>
      <c r="G29" s="8">
        <f>F30-F29</f>
        <v>19</v>
      </c>
      <c r="H29" s="7">
        <v>444311</v>
      </c>
      <c r="I29" s="3">
        <f>H30-H29</f>
        <v>296</v>
      </c>
      <c r="J29" s="3">
        <v>0</v>
      </c>
      <c r="K29" s="4">
        <v>271080</v>
      </c>
      <c r="L29" s="9">
        <f>K30-K29</f>
        <v>36</v>
      </c>
      <c r="N29" s="1"/>
    </row>
    <row r="30" spans="1:14" x14ac:dyDescent="0.2">
      <c r="B30" s="2">
        <v>26</v>
      </c>
      <c r="C30" s="11">
        <v>44222</v>
      </c>
      <c r="D30" s="7">
        <v>39</v>
      </c>
      <c r="E30" s="7">
        <v>26852</v>
      </c>
      <c r="F30" s="4">
        <v>184351</v>
      </c>
      <c r="G30" s="8">
        <f>F31-F30</f>
        <v>19</v>
      </c>
      <c r="H30" s="7">
        <v>444607</v>
      </c>
      <c r="I30" s="3">
        <f>H31-H30</f>
        <v>213</v>
      </c>
      <c r="J30" s="3">
        <v>2970</v>
      </c>
      <c r="K30" s="32">
        <v>271116</v>
      </c>
      <c r="L30" s="9">
        <f>K31-K30</f>
        <v>88</v>
      </c>
      <c r="N30" s="1"/>
    </row>
    <row r="31" spans="1:14" x14ac:dyDescent="0.2">
      <c r="A31" t="s">
        <v>29</v>
      </c>
      <c r="B31" s="2">
        <v>27</v>
      </c>
      <c r="C31" s="11">
        <v>44223</v>
      </c>
      <c r="D31" s="7">
        <v>34</v>
      </c>
      <c r="E31" s="7">
        <v>26972</v>
      </c>
      <c r="F31" s="4">
        <v>184370</v>
      </c>
      <c r="G31" s="8">
        <f>F32-F31</f>
        <v>18</v>
      </c>
      <c r="H31" s="7">
        <v>444820</v>
      </c>
      <c r="I31" s="3">
        <f>H32-H31</f>
        <v>307</v>
      </c>
      <c r="J31" s="3">
        <v>0</v>
      </c>
      <c r="K31" s="4">
        <v>271204</v>
      </c>
      <c r="L31" s="9">
        <f>K32-K31</f>
        <v>0</v>
      </c>
      <c r="N31" s="1"/>
    </row>
    <row r="32" spans="1:14" x14ac:dyDescent="0.2">
      <c r="B32" s="2">
        <v>28</v>
      </c>
      <c r="C32" s="11">
        <v>44224</v>
      </c>
      <c r="D32" s="7">
        <v>59</v>
      </c>
      <c r="E32" s="12">
        <v>27413</v>
      </c>
      <c r="F32" s="25">
        <v>184388</v>
      </c>
      <c r="G32" s="8">
        <f>F33-F32</f>
        <v>21</v>
      </c>
      <c r="H32" s="7">
        <v>445127</v>
      </c>
      <c r="I32" s="3">
        <f>H33-H32</f>
        <v>328</v>
      </c>
      <c r="J32" s="3">
        <v>0</v>
      </c>
      <c r="K32" s="4">
        <v>271204</v>
      </c>
      <c r="L32" s="9">
        <f>K33-K32</f>
        <v>0</v>
      </c>
      <c r="N32" s="1"/>
    </row>
    <row r="33" spans="2:14" x14ac:dyDescent="0.2">
      <c r="B33" s="22">
        <v>29</v>
      </c>
      <c r="C33" s="11">
        <v>44225</v>
      </c>
      <c r="D33" s="23">
        <v>59</v>
      </c>
      <c r="E33" s="24">
        <v>27700</v>
      </c>
      <c r="F33" s="30">
        <v>184409</v>
      </c>
      <c r="G33" s="8">
        <f>F34-F33</f>
        <v>21</v>
      </c>
      <c r="H33" s="23">
        <v>445455</v>
      </c>
      <c r="I33" s="3">
        <f>H34-H33</f>
        <v>282</v>
      </c>
      <c r="J33" s="26">
        <v>5940</v>
      </c>
      <c r="K33" s="31">
        <v>271204</v>
      </c>
      <c r="L33" s="9">
        <f>K34-K33</f>
        <v>115</v>
      </c>
      <c r="N33" s="1"/>
    </row>
    <row r="34" spans="2:14" x14ac:dyDescent="0.2">
      <c r="B34" s="22">
        <v>30</v>
      </c>
      <c r="C34" s="11">
        <v>44226</v>
      </c>
      <c r="D34" s="21">
        <v>29</v>
      </c>
      <c r="E34" s="3">
        <v>27767</v>
      </c>
      <c r="F34" s="21">
        <v>184430</v>
      </c>
      <c r="G34" s="8">
        <f>F35-F34</f>
        <v>18</v>
      </c>
      <c r="H34" s="21">
        <v>445737</v>
      </c>
      <c r="I34" s="3">
        <f>H35-H34</f>
        <v>264</v>
      </c>
      <c r="J34" s="3">
        <v>2970</v>
      </c>
      <c r="K34" s="31">
        <v>271319</v>
      </c>
      <c r="L34" s="9">
        <f>K35-K34</f>
        <v>0</v>
      </c>
      <c r="M34" s="15"/>
      <c r="N34" s="1"/>
    </row>
    <row r="35" spans="2:14" ht="13.5" thickBot="1" x14ac:dyDescent="0.25">
      <c r="B35" s="21">
        <v>31</v>
      </c>
      <c r="C35" s="11">
        <v>44227</v>
      </c>
      <c r="D35" s="27">
        <v>54</v>
      </c>
      <c r="E35" s="29">
        <v>26508</v>
      </c>
      <c r="F35" s="27">
        <v>184448</v>
      </c>
      <c r="G35" s="8">
        <f>F36-F35</f>
        <v>18</v>
      </c>
      <c r="H35" s="27">
        <v>446001</v>
      </c>
      <c r="I35" s="3">
        <f>H36-H35</f>
        <v>303</v>
      </c>
      <c r="J35" s="28">
        <v>5940</v>
      </c>
      <c r="K35" s="31">
        <v>271319</v>
      </c>
      <c r="L35" s="9">
        <f>K36-K35</f>
        <v>80</v>
      </c>
      <c r="M35" s="15"/>
      <c r="N35" s="1"/>
    </row>
    <row r="36" spans="2:14" x14ac:dyDescent="0.2">
      <c r="E36" s="1"/>
      <c r="F36" s="30">
        <v>184466</v>
      </c>
      <c r="G36" s="1"/>
      <c r="H36" s="16">
        <v>446304</v>
      </c>
      <c r="I36" s="1"/>
      <c r="K36" s="30">
        <v>271399</v>
      </c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Subin Sudhakaran</cp:lastModifiedBy>
  <dcterms:created xsi:type="dcterms:W3CDTF">2016-09-19T10:41:46Z</dcterms:created>
  <dcterms:modified xsi:type="dcterms:W3CDTF">2021-02-02T18:29:52Z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