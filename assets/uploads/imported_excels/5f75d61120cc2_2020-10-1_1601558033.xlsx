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<sst xmlns="http://schemas.openxmlformats.org/spreadsheetml/2006/main" count="313" uniqueCount="148">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</sst>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4209.9999999999518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18.299999999999955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3620.0000000000414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14.800000000000068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4250.0000000001364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16.299999999999955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3919.9999999993088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3740.0000000004229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15.299999999999955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3760.0000000001828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15.5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4109.9999999999618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15.5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4189.9999999999691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13.5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3629.9999999993665</v>
      </c>
      <c r="F28" s="11">
        <f t="shared" si="1"/>
        <v>0.58765030286592534</v>
      </c>
      <c r="G28" s="12">
        <f>(Submetering!AX28+Submetering!AY28+Submetering!AZ28+Submetering!BA28+Submetering!BB28)</f>
        <v>3.6629999999999998</v>
      </c>
      <c r="H28" s="11">
        <f t="shared" si="2"/>
        <v>0.99</v>
      </c>
      <c r="I28" s="12">
        <f>'FS Desroches Daily'!CM30</f>
        <v>8.2000000000000455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4090.0000000008686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4109.999999999518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11.400000000000091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3970.0000000001173</v>
      </c>
      <c r="F31" s="11">
        <f t="shared" si="1"/>
        <v>0.58765030286592534</v>
      </c>
      <c r="G31" s="12">
        <f>(Submetering!AX31+Submetering!AY31+Submetering!AZ31+Submetering!BA31+Submetering!BB31)</f>
        <v>5.4944999999999995</v>
      </c>
      <c r="H31" s="11">
        <f t="shared" si="2"/>
        <v>0.99</v>
      </c>
      <c r="I31" s="12">
        <f>'FS Desroches Daily'!CM33</f>
        <v>22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1100.000000000101</v>
      </c>
      <c r="F20" s="32">
        <f>'FS Desroches Daily'!F22</f>
        <v>599.99999999993395</v>
      </c>
      <c r="G20" s="31">
        <f>'FS Desroches Daily'!H22</f>
        <v>1599.9999999998238</v>
      </c>
      <c r="H20" s="32">
        <f>'FS Desroches Daily'!J22</f>
        <v>799.99999999991189</v>
      </c>
      <c r="I20" s="31">
        <f>'FS Desroches Daily'!L22</f>
        <v>1799.9999999998017</v>
      </c>
      <c r="J20" s="32">
        <f>'FS Desroches Daily'!N22</f>
        <v>500.00000000016701</v>
      </c>
      <c r="K20" s="13">
        <f>'FS Desroches Daily'!P22</f>
        <v>0</v>
      </c>
      <c r="L20" s="31">
        <f>'FS Desroches Daily'!R22</f>
        <v>3</v>
      </c>
      <c r="M20" s="31">
        <f>'FS Desroches Daily'!T22</f>
        <v>179.19999999995343</v>
      </c>
      <c r="N20" s="31">
        <f>'FS Desroches Daily'!V22</f>
        <v>73.200000000011642</v>
      </c>
      <c r="O20" s="31">
        <f>'FS Desroches Daily'!X22</f>
        <v>79.999999999984084</v>
      </c>
      <c r="P20" s="31">
        <f>'FS Desroches Daily'!Z22</f>
        <v>400.00000000040006</v>
      </c>
      <c r="Q20" s="31">
        <f>'FS Desroches Daily'!AB22</f>
        <v>79.999999999984084</v>
      </c>
      <c r="R20" s="31">
        <f>'FS Desroches Daily'!AD22</f>
        <v>139.99999999998636</v>
      </c>
      <c r="S20" s="31">
        <f>'FS Desroches Daily'!AF22</f>
        <v>160.00000000002501</v>
      </c>
      <c r="T20" s="31">
        <f>'FS Desroches Daily'!AH22</f>
        <v>1.2000000000000455</v>
      </c>
      <c r="U20" s="35">
        <f>'FS Desroches Daily'!AJ22</f>
        <v>269.99999999998181</v>
      </c>
      <c r="V20" s="35">
        <f>'FS Desroches Daily'!AL22</f>
        <v>169.99999999998749</v>
      </c>
      <c r="W20" s="35">
        <f>'FS Desroches Daily'!AN22</f>
        <v>140.00000000001478</v>
      </c>
      <c r="X20" s="35">
        <f>'FS Desroches Daily'!AP22</f>
        <v>99.999999999994316</v>
      </c>
      <c r="Y20" s="35">
        <f>'FS Desroches Daily'!AR22</f>
        <v>39.999999999992042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19.99999999998181</v>
      </c>
      <c r="AC20" s="35">
        <f>'FS Desroches Daily'!AZ22</f>
        <v>20.000000000038654</v>
      </c>
      <c r="AD20" s="35">
        <f>'FS Desroches Daily'!BB22</f>
        <v>19.99999999998181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9.9999999999909051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19.99999999998181</v>
      </c>
      <c r="AK20" s="32">
        <f>'FS Desroches Daily'!BP22</f>
        <v>20.000000000038654</v>
      </c>
      <c r="AL20" s="32">
        <f>'FS Desroches Daily'!BR22</f>
        <v>8</v>
      </c>
      <c r="AM20" s="32">
        <f>'FS Desroches Daily'!BT22</f>
        <v>0</v>
      </c>
      <c r="AN20" s="32">
        <f>'FS Desroches Daily'!BV22</f>
        <v>40</v>
      </c>
      <c r="AO20" s="32">
        <f>'FS Desroches Daily'!BX22</f>
        <v>19.99999999998181</v>
      </c>
      <c r="AP20" s="32">
        <f>'FS Desroches Daily'!BZ22</f>
        <v>29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30</v>
      </c>
      <c r="AU20" s="31">
        <f>'FS Desroches Daily'!CJ22</f>
        <v>207</v>
      </c>
      <c r="AV20" s="31">
        <f>'FS Desroches Daily'!CL22</f>
        <v>389.99999999998636</v>
      </c>
      <c r="AW20" s="31">
        <f>'FS Desroches Daily'!CM22</f>
        <v>18.299999999999955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999.99999999988984</v>
      </c>
      <c r="F21" s="32">
        <f>'FS Desroches Daily'!F23</f>
        <v>499.99999999972289</v>
      </c>
      <c r="G21" s="31">
        <f>'FS Desroches Daily'!H23</f>
        <v>1200.000000000312</v>
      </c>
      <c r="H21" s="32">
        <f>'FS Desroches Daily'!J23</f>
        <v>800.00000000013392</v>
      </c>
      <c r="I21" s="31">
        <f>'FS Desroches Daily'!L23</f>
        <v>1400.0000000002899</v>
      </c>
      <c r="J21" s="32">
        <f>'FS Desroches Daily'!N23</f>
        <v>399.99999999995595</v>
      </c>
      <c r="K21" s="13">
        <f>'FS Desroches Daily'!P23</f>
        <v>1</v>
      </c>
      <c r="L21" s="31">
        <f>'FS Desroches Daily'!R23</f>
        <v>3</v>
      </c>
      <c r="M21" s="31">
        <f>'FS Desroches Daily'!T23</f>
        <v>59.600000000093132</v>
      </c>
      <c r="N21" s="31">
        <f>'FS Desroches Daily'!V23</f>
        <v>37</v>
      </c>
      <c r="O21" s="31">
        <f>'FS Desroches Daily'!X23</f>
        <v>79.999999999984084</v>
      </c>
      <c r="P21" s="31">
        <f>'FS Desroches Daily'!Z23</f>
        <v>399.99999999995595</v>
      </c>
      <c r="Q21" s="31">
        <f>'FS Desroches Daily'!AB23</f>
        <v>69.999999999993179</v>
      </c>
      <c r="R21" s="31">
        <f>'FS Desroches Daily'!AD23</f>
        <v>120.00000000000455</v>
      </c>
      <c r="S21" s="31">
        <f>'FS Desroches Daily'!AF23</f>
        <v>129.99999999999545</v>
      </c>
      <c r="T21" s="31">
        <f>'FS Desroches Daily'!AH23</f>
        <v>1.0999999999999091</v>
      </c>
      <c r="U21" s="35">
        <f>'FS Desroches Daily'!AJ23</f>
        <v>230.00000000001819</v>
      </c>
      <c r="V21" s="35">
        <f>'FS Desroches Daily'!AL23</f>
        <v>170.00000000001592</v>
      </c>
      <c r="W21" s="35">
        <f>'FS Desroches Daily'!AN23</f>
        <v>129.99999999999545</v>
      </c>
      <c r="X21" s="35">
        <f>'FS Desroches Daily'!AP23</f>
        <v>90.000000000003411</v>
      </c>
      <c r="Y21" s="35">
        <f>'FS Desroches Daily'!AR23</f>
        <v>40.000000000020464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30.000000000029559</v>
      </c>
      <c r="AC21" s="35">
        <f>'FS Desroches Daily'!AZ23</f>
        <v>19.99999999998181</v>
      </c>
      <c r="AD21" s="35">
        <f>'FS Desroches Daily'!BB23</f>
        <v>10.000000000047748</v>
      </c>
      <c r="AE21" s="35">
        <f>'FS Desroches Daily'!BD23</f>
        <v>30.000000000001137</v>
      </c>
      <c r="AF21" s="31">
        <f>'FS Desroches Daily'!BF23</f>
        <v>23</v>
      </c>
      <c r="AG21" s="32">
        <f>'FS Desroches Daily'!BH23</f>
        <v>10.000000000019327</v>
      </c>
      <c r="AH21" s="32">
        <f>'FS Desroches Daily'!BJ23</f>
        <v>9.9999999999909051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7</v>
      </c>
      <c r="AM21" s="32">
        <f>'FS Desroches Daily'!BT23</f>
        <v>0</v>
      </c>
      <c r="AN21" s="32">
        <f>'FS Desroches Daily'!BV23</f>
        <v>17</v>
      </c>
      <c r="AO21" s="32">
        <f>'FS Desroches Daily'!BX23</f>
        <v>30.000000000001137</v>
      </c>
      <c r="AP21" s="32">
        <f>'FS Desroches Daily'!BZ23</f>
        <v>28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10.799999999995634</v>
      </c>
      <c r="AU21" s="31">
        <f>'FS Desroches Daily'!CJ23</f>
        <v>177</v>
      </c>
      <c r="AV21" s="31">
        <f>'FS Desroches Daily'!CL23</f>
        <v>279.99999999997272</v>
      </c>
      <c r="AW21" s="31">
        <f>'FS Desroches Daily'!CM23</f>
        <v>14.800000000000068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1000.0000000001119</v>
      </c>
      <c r="F22" s="32">
        <f>'FS Desroches Daily'!F24</f>
        <v>700.00000000014495</v>
      </c>
      <c r="G22" s="31">
        <f>'FS Desroches Daily'!H24</f>
        <v>1500.0000000000568</v>
      </c>
      <c r="H22" s="32">
        <f>'FS Desroches Daily'!J24</f>
        <v>899.99999999990087</v>
      </c>
      <c r="I22" s="31">
        <f>'FS Desroches Daily'!L24</f>
        <v>1599.9999999998238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6</v>
      </c>
      <c r="M22" s="31">
        <f>'FS Desroches Daily'!T24</f>
        <v>158.39999999990687</v>
      </c>
      <c r="N22" s="31">
        <f>'FS Desroches Daily'!V24</f>
        <v>89.100000000034925</v>
      </c>
      <c r="O22" s="31">
        <f>'FS Desroches Daily'!X24</f>
        <v>90.000000000031832</v>
      </c>
      <c r="P22" s="31">
        <f>'FS Desroches Daily'!Z24</f>
        <v>399.99999999995595</v>
      </c>
      <c r="Q22" s="31">
        <f>'FS Desroches Daily'!AB24</f>
        <v>90.000000000031832</v>
      </c>
      <c r="R22" s="31">
        <f>'FS Desroches Daily'!AD24</f>
        <v>99.999999999965894</v>
      </c>
      <c r="S22" s="31">
        <f>'FS Desroches Daily'!AF24</f>
        <v>189.99999999999773</v>
      </c>
      <c r="T22" s="31">
        <f>'FS Desroches Daily'!AH24</f>
        <v>1.2999999999999545</v>
      </c>
      <c r="U22" s="35">
        <f>'FS Desroches Daily'!AJ24</f>
        <v>250</v>
      </c>
      <c r="V22" s="35">
        <f>'FS Desroches Daily'!AL24</f>
        <v>150.00000000000568</v>
      </c>
      <c r="W22" s="35">
        <f>'FS Desroches Daily'!AN24</f>
        <v>129.99999999999545</v>
      </c>
      <c r="X22" s="35">
        <f>'FS Desroches Daily'!AP24</f>
        <v>110.00000000001364</v>
      </c>
      <c r="Y22" s="35">
        <f>'FS Desroches Daily'!AR24</f>
        <v>39.999999999992042</v>
      </c>
      <c r="Z22" s="35">
        <f>'FS Desroches Daily'!AT24</f>
        <v>30.000000000029559</v>
      </c>
      <c r="AA22" s="35">
        <f>'FS Desroches Daily'!AT24</f>
        <v>30.000000000029559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29.999999999972715</v>
      </c>
      <c r="AE22" s="35">
        <f>'FS Desroches Daily'!BD24</f>
        <v>30.000000000001137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10.000000000019327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7</v>
      </c>
      <c r="AM22" s="32">
        <f>'FS Desroches Daily'!BT24</f>
        <v>9.9999999999909051</v>
      </c>
      <c r="AN22" s="32">
        <f>'FS Desroches Daily'!BV24</f>
        <v>32</v>
      </c>
      <c r="AO22" s="32">
        <f>'FS Desroches Daily'!BX24</f>
        <v>30.000000000001137</v>
      </c>
      <c r="AP22" s="32">
        <f>'FS Desroches Daily'!BZ24</f>
        <v>30</v>
      </c>
      <c r="AQ22" s="31">
        <f>'FS Desroches Daily'!CB24</f>
        <v>3.5</v>
      </c>
      <c r="AR22" s="31">
        <f>'FS Desroches Daily'!CD24</f>
        <v>2.5</v>
      </c>
      <c r="AS22" s="31">
        <f>'FS Desroches Daily'!CF24</f>
        <v>0</v>
      </c>
      <c r="AT22" s="31">
        <f>'FS Desroches Daily'!CH24</f>
        <v>21.400000000001455</v>
      </c>
      <c r="AU22" s="31">
        <f>'FS Desroches Daily'!CJ24</f>
        <v>197</v>
      </c>
      <c r="AV22" s="31">
        <f>'FS Desroches Daily'!CL24</f>
        <v>350.00000000002274</v>
      </c>
      <c r="AW22" s="31">
        <f>'FS Desroches Daily'!CM24</f>
        <v>16.299999999999955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999.99999999988984</v>
      </c>
      <c r="F23" s="32">
        <f>'FS Desroches Daily'!F25</f>
        <v>599.99999999993395</v>
      </c>
      <c r="G23" s="31">
        <f>'FS Desroches Daily'!H25</f>
        <v>1499.9999999996128</v>
      </c>
      <c r="H23" s="32">
        <f>'FS Desroches Daily'!J25</f>
        <v>799.99999999991189</v>
      </c>
      <c r="I23" s="31">
        <f>'FS Desroches Daily'!L25</f>
        <v>1599.9999999998238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5</v>
      </c>
      <c r="M23" s="31">
        <f>'FS Desroches Daily'!T25</f>
        <v>178</v>
      </c>
      <c r="N23" s="31">
        <f>'FS Desroches Daily'!V25</f>
        <v>101.79999999998836</v>
      </c>
      <c r="O23" s="31">
        <f>'FS Desroches Daily'!X25</f>
        <v>79.999999999984084</v>
      </c>
      <c r="P23" s="31">
        <f>'FS Desroches Daily'!Z25</f>
        <v>499.99999999972289</v>
      </c>
      <c r="Q23" s="31">
        <f>'FS Desroches Daily'!AB25</f>
        <v>79.999999999984084</v>
      </c>
      <c r="R23" s="31">
        <f>'FS Desroches Daily'!AD25</f>
        <v>110.00000000001364</v>
      </c>
      <c r="S23" s="31">
        <f>'FS Desroches Daily'!AF25</f>
        <v>160.00000000002501</v>
      </c>
      <c r="T23" s="31">
        <f>'FS Desroches Daily'!AH25</f>
        <v>1.2999999999999545</v>
      </c>
      <c r="U23" s="35">
        <f>'FS Desroches Daily'!AJ25</f>
        <v>220.00000000002728</v>
      </c>
      <c r="V23" s="35">
        <f>'FS Desroches Daily'!AL25</f>
        <v>139.99999999998636</v>
      </c>
      <c r="W23" s="35">
        <f>'FS Desroches Daily'!AN25</f>
        <v>129.99999999999545</v>
      </c>
      <c r="X23" s="35">
        <f>'FS Desroches Daily'!AP25</f>
        <v>109.99999999998522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41</v>
      </c>
      <c r="AG23" s="32">
        <f>'FS Desroches Daily'!BH25</f>
        <v>0</v>
      </c>
      <c r="AH23" s="32">
        <f>'FS Desroches Daily'!BJ25</f>
        <v>9.9999999999909051</v>
      </c>
      <c r="AI23" s="32">
        <f>'FS Desroches Daily'!BL25</f>
        <v>9.9999999999909051</v>
      </c>
      <c r="AJ23" s="32">
        <f>'FS Desroches Daily'!BN25</f>
        <v>19.99999999998181</v>
      </c>
      <c r="AK23" s="32">
        <f>'FS Desroches Daily'!BP25</f>
        <v>19.99999999998181</v>
      </c>
      <c r="AL23" s="32">
        <f>'FS Desroches Daily'!BR25</f>
        <v>7</v>
      </c>
      <c r="AM23" s="32">
        <f>'FS Desroches Daily'!BT25</f>
        <v>9.9999999999909051</v>
      </c>
      <c r="AN23" s="32">
        <f>'FS Desroches Daily'!BV25</f>
        <v>29</v>
      </c>
      <c r="AO23" s="32">
        <f>'FS Desroches Daily'!BX25</f>
        <v>30.000000000001137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44.900000000001455</v>
      </c>
      <c r="AU23" s="31">
        <f>'FS Desroches Daily'!CJ25</f>
        <v>193</v>
      </c>
      <c r="AV23" s="31">
        <f>'FS Desroches Daily'!CL25</f>
        <v>379.99999999999545</v>
      </c>
      <c r="AW23" s="31">
        <f>'FS Desroches Daily'!CM25</f>
        <v>13.5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900.0000000001229</v>
      </c>
      <c r="F24" s="32">
        <f>'FS Desroches Daily'!F26</f>
        <v>599.99999999993395</v>
      </c>
      <c r="G24" s="31">
        <f>'FS Desroches Daily'!H26</f>
        <v>1400.0000000002899</v>
      </c>
      <c r="H24" s="32">
        <f>'FS Desroches Daily'!J26</f>
        <v>700.00000000014495</v>
      </c>
      <c r="I24" s="31">
        <f>'FS Desroches Daily'!L26</f>
        <v>1600.0000000002678</v>
      </c>
      <c r="J24" s="32">
        <f>'FS Desroches Daily'!N26</f>
        <v>499.99999999994492</v>
      </c>
      <c r="K24" s="13">
        <f>'FS Desroches Daily'!P26</f>
        <v>0</v>
      </c>
      <c r="L24" s="31">
        <f>'FS Desroches Daily'!R26</f>
        <v>4</v>
      </c>
      <c r="M24" s="31">
        <f>'FS Desroches Daily'!T26</f>
        <v>109.60000000009313</v>
      </c>
      <c r="N24" s="31">
        <f>'FS Desroches Daily'!V26</f>
        <v>58.599999999976717</v>
      </c>
      <c r="O24" s="31">
        <f>'FS Desroches Daily'!X26</f>
        <v>79.999999999984084</v>
      </c>
      <c r="P24" s="31">
        <f>'FS Desroches Daily'!Z26</f>
        <v>399.99999999995595</v>
      </c>
      <c r="Q24" s="31">
        <f>'FS Desroches Daily'!AB26</f>
        <v>69.999999999993179</v>
      </c>
      <c r="R24" s="31">
        <f>'FS Desroches Daily'!AD26</f>
        <v>100.00000000002274</v>
      </c>
      <c r="S24" s="31">
        <f>'FS Desroches Daily'!AF26</f>
        <v>179.99999999994998</v>
      </c>
      <c r="T24" s="31">
        <f>'FS Desroches Daily'!AH26</f>
        <v>0.90000000000009095</v>
      </c>
      <c r="U24" s="35">
        <f>'FS Desroches Daily'!AJ26</f>
        <v>189.99999999999773</v>
      </c>
      <c r="V24" s="35">
        <f>'FS Desroches Daily'!AL26</f>
        <v>120.00000000000455</v>
      </c>
      <c r="W24" s="35">
        <f>'FS Desroches Daily'!AN26</f>
        <v>99.999999999994316</v>
      </c>
      <c r="X24" s="35">
        <f>'FS Desroches Daily'!AP26</f>
        <v>90.000000000003411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10.000000000047748</v>
      </c>
      <c r="AC24" s="35">
        <f>'FS Desroches Daily'!AZ26</f>
        <v>19.99999999998181</v>
      </c>
      <c r="AD24" s="35">
        <f>'FS Desroches Daily'!BB26</f>
        <v>30.000000000029559</v>
      </c>
      <c r="AE24" s="35">
        <f>'FS Desroches Daily'!BD26</f>
        <v>20.000000000010232</v>
      </c>
      <c r="AF24" s="31">
        <f>'FS Desroches Daily'!BF26</f>
        <v>41</v>
      </c>
      <c r="AG24" s="32">
        <f>'FS Desroches Daily'!BH26</f>
        <v>9.9999999999909051</v>
      </c>
      <c r="AH24" s="32">
        <f>'FS Desroches Daily'!BJ26</f>
        <v>10.000000000047748</v>
      </c>
      <c r="AI24" s="32">
        <f>'FS Desroches Daily'!BL26</f>
        <v>0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7</v>
      </c>
      <c r="AM24" s="32">
        <f>'FS Desroches Daily'!BT26</f>
        <v>0</v>
      </c>
      <c r="AN24" s="32">
        <f>'FS Desroches Daily'!BV26</f>
        <v>20</v>
      </c>
      <c r="AO24" s="32">
        <f>'FS Desroches Daily'!BX26</f>
        <v>20.000000000010232</v>
      </c>
      <c r="AP24" s="32">
        <f>'FS Desroches Daily'!BZ26</f>
        <v>23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24.799999999995634</v>
      </c>
      <c r="AU24" s="31">
        <f>'FS Desroches Daily'!CJ26</f>
        <v>215</v>
      </c>
      <c r="AV24" s="31">
        <f>'FS Desroches Daily'!CL26</f>
        <v>360.00000000001364</v>
      </c>
      <c r="AW24" s="31">
        <f>'FS Desroches Daily'!CM26</f>
        <v>15.299999999999955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899.99999999990087</v>
      </c>
      <c r="F25" s="32">
        <f>'FS Desroches Daily'!F27</f>
        <v>600.00000000037801</v>
      </c>
      <c r="G25" s="31">
        <f>'FS Desroches Daily'!H27</f>
        <v>1399.9999999998458</v>
      </c>
      <c r="H25" s="32">
        <f>'FS Desroches Daily'!J27</f>
        <v>799.99999999991189</v>
      </c>
      <c r="I25" s="31">
        <f>'FS Desroches Daily'!L27</f>
        <v>1500.0000000000568</v>
      </c>
      <c r="J25" s="32">
        <f>'FS Desroches Daily'!N27</f>
        <v>400.00000000017798</v>
      </c>
      <c r="K25" s="13">
        <f>'FS Desroches Daily'!P27</f>
        <v>1</v>
      </c>
      <c r="L25" s="31">
        <f>'FS Desroches Daily'!R27</f>
        <v>4</v>
      </c>
      <c r="M25" s="31">
        <f>'FS Desroches Daily'!T27</f>
        <v>153.19999999995343</v>
      </c>
      <c r="N25" s="31">
        <f>'FS Desroches Daily'!V27</f>
        <v>83.5</v>
      </c>
      <c r="O25" s="31">
        <f>'FS Desroches Daily'!X27</f>
        <v>80.000000000040927</v>
      </c>
      <c r="P25" s="31">
        <f>'FS Desroches Daily'!Z27</f>
        <v>400.00000000040006</v>
      </c>
      <c r="Q25" s="31">
        <f>'FS Desroches Daily'!AB27</f>
        <v>69.999999999993179</v>
      </c>
      <c r="R25" s="31">
        <f>'FS Desroches Daily'!AD27</f>
        <v>99.999999999965894</v>
      </c>
      <c r="S25" s="31">
        <f>'FS Desroches Daily'!AF27</f>
        <v>180.00000000000682</v>
      </c>
      <c r="T25" s="31">
        <f>'FS Desroches Daily'!AH27</f>
        <v>1.2000000000000455</v>
      </c>
      <c r="U25" s="35">
        <f>'FS Desroches Daily'!AJ27</f>
        <v>219.99999999997044</v>
      </c>
      <c r="V25" s="35">
        <f>'FS Desroches Daily'!AL27</f>
        <v>120.00000000000455</v>
      </c>
      <c r="W25" s="35">
        <f>'FS Desroches Daily'!AN27</f>
        <v>110.00000000001364</v>
      </c>
      <c r="X25" s="35">
        <f>'FS Desroches Daily'!AP27</f>
        <v>79.999999999984084</v>
      </c>
      <c r="Y25" s="35">
        <f>'FS Desroches Daily'!AR27</f>
        <v>30.000000000001137</v>
      </c>
      <c r="Z25" s="35">
        <f>'FS Desroches Daily'!AT27</f>
        <v>30.000000000029559</v>
      </c>
      <c r="AA25" s="35">
        <f>'FS Desroches Daily'!AT27</f>
        <v>30.000000000029559</v>
      </c>
      <c r="AB25" s="35">
        <f>'FS Desroches Daily'!AV27</f>
        <v>19.99999999998181</v>
      </c>
      <c r="AC25" s="35">
        <f>'FS Desroches Daily'!AZ27</f>
        <v>19.99999999998181</v>
      </c>
      <c r="AD25" s="35">
        <f>'FS Desroches Daily'!BB27</f>
        <v>19.99999999998181</v>
      </c>
      <c r="AE25" s="35">
        <f>'FS Desroches Daily'!BD27</f>
        <v>20.000000000010232</v>
      </c>
      <c r="AF25" s="31">
        <f>'FS Desroches Daily'!BF27</f>
        <v>38</v>
      </c>
      <c r="AG25" s="32">
        <f>'FS Desroches Daily'!BH27</f>
        <v>10.000000000019327</v>
      </c>
      <c r="AH25" s="32">
        <f>'FS Desroches Daily'!BJ27</f>
        <v>0</v>
      </c>
      <c r="AI25" s="32">
        <f>'FS Desroches Daily'!BL27</f>
        <v>9.9999999999909051</v>
      </c>
      <c r="AJ25" s="32">
        <f>'FS Desroches Daily'!BN27</f>
        <v>30.000000000001137</v>
      </c>
      <c r="AK25" s="32">
        <f>'FS Desroches Daily'!BP27</f>
        <v>20.000000000038654</v>
      </c>
      <c r="AL25" s="32">
        <f>'FS Desroches Daily'!BR27</f>
        <v>7</v>
      </c>
      <c r="AM25" s="32">
        <f>'FS Desroches Daily'!BT27</f>
        <v>10.000000000019327</v>
      </c>
      <c r="AN25" s="32">
        <f>'FS Desroches Daily'!BV27</f>
        <v>23</v>
      </c>
      <c r="AO25" s="32">
        <f>'FS Desroches Daily'!BX27</f>
        <v>30.000000000001137</v>
      </c>
      <c r="AP25" s="32">
        <f>'FS Desroches Daily'!BZ27</f>
        <v>26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18.400000000001455</v>
      </c>
      <c r="AU25" s="31">
        <f>'FS Desroches Daily'!CJ27</f>
        <v>223</v>
      </c>
      <c r="AV25" s="31">
        <f>'FS Desroches Daily'!CL27</f>
        <v>340.00000000003183</v>
      </c>
      <c r="AW25" s="31">
        <f>'FS Desroches Daily'!CM27</f>
        <v>15.5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999.99999999988984</v>
      </c>
      <c r="F26" s="32">
        <f>'FS Desroches Daily'!F28</f>
        <v>599.99999999993395</v>
      </c>
      <c r="G26" s="31">
        <f>'FS Desroches Daily'!H28</f>
        <v>1500.0000000000568</v>
      </c>
      <c r="H26" s="32">
        <f>'FS Desroches Daily'!J28</f>
        <v>900.0000000001229</v>
      </c>
      <c r="I26" s="31">
        <f>'FS Desroches Daily'!L28</f>
        <v>1599.9999999998238</v>
      </c>
      <c r="J26" s="32">
        <f>'FS Desroches Daily'!N28</f>
        <v>499.99999999994492</v>
      </c>
      <c r="K26" s="13">
        <f>'FS Desroches Daily'!P28</f>
        <v>0</v>
      </c>
      <c r="L26" s="31">
        <f>'FS Desroches Daily'!R28</f>
        <v>5</v>
      </c>
      <c r="M26" s="31">
        <f>'FS Desroches Daily'!T28</f>
        <v>166</v>
      </c>
      <c r="N26" s="31">
        <f>'FS Desroches Daily'!V28</f>
        <v>83.600000000034925</v>
      </c>
      <c r="O26" s="31">
        <f>'FS Desroches Daily'!X28</f>
        <v>79.999999999984084</v>
      </c>
      <c r="P26" s="31">
        <f>'FS Desroches Daily'!Z28</f>
        <v>399.99999999995595</v>
      </c>
      <c r="Q26" s="31">
        <f>'FS Desroches Daily'!AB28</f>
        <v>79.999999999984084</v>
      </c>
      <c r="R26" s="31">
        <f>'FS Desroches Daily'!AD28</f>
        <v>120.00000000000455</v>
      </c>
      <c r="S26" s="31">
        <f>'FS Desroches Daily'!AF28</f>
        <v>180.00000000000682</v>
      </c>
      <c r="T26" s="31">
        <f>'FS Desroches Daily'!AH28</f>
        <v>1.2000000000000455</v>
      </c>
      <c r="U26" s="35">
        <f>'FS Desroches Daily'!AJ28</f>
        <v>209.99999999997954</v>
      </c>
      <c r="V26" s="35">
        <f>'FS Desroches Daily'!AL28</f>
        <v>150.00000000000568</v>
      </c>
      <c r="W26" s="35">
        <f>'FS Desroches Daily'!AN28</f>
        <v>129.99999999999545</v>
      </c>
      <c r="X26" s="35">
        <f>'FS Desroches Daily'!AP28</f>
        <v>120.00000000000455</v>
      </c>
      <c r="Y26" s="35">
        <f>'FS Desroches Daily'!AR28</f>
        <v>30.000000000001137</v>
      </c>
      <c r="Z26" s="35">
        <f>'FS Desroches Daily'!AT28</f>
        <v>29.999999999972715</v>
      </c>
      <c r="AA26" s="35">
        <f>'FS Desroches Daily'!AT28</f>
        <v>29.999999999972715</v>
      </c>
      <c r="AB26" s="35">
        <f>'FS Desroches Daily'!AV28</f>
        <v>19.99999999998181</v>
      </c>
      <c r="AC26" s="35">
        <f>'FS Desroches Daily'!AZ28</f>
        <v>20.000000000038654</v>
      </c>
      <c r="AD26" s="35">
        <f>'FS Desroches Daily'!BB28</f>
        <v>19.99999999998181</v>
      </c>
      <c r="AE26" s="35">
        <f>'FS Desroches Daily'!BD28</f>
        <v>19.99999999998181</v>
      </c>
      <c r="AF26" s="31">
        <f>'FS Desroches Daily'!BF28</f>
        <v>28</v>
      </c>
      <c r="AG26" s="32">
        <f>'FS Desroches Daily'!BH28</f>
        <v>9.9999999999909051</v>
      </c>
      <c r="AH26" s="32">
        <f>'FS Desroches Daily'!BJ28</f>
        <v>9.9999999999909051</v>
      </c>
      <c r="AI26" s="32">
        <f>'FS Desroches Daily'!BL28</f>
        <v>10.000000000019327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8</v>
      </c>
      <c r="AM26" s="32">
        <f>'FS Desroches Daily'!BT28</f>
        <v>9.9999999999909051</v>
      </c>
      <c r="AN26" s="32">
        <f>'FS Desroches Daily'!BV28</f>
        <v>29</v>
      </c>
      <c r="AO26" s="32">
        <f>'FS Desroches Daily'!BX28</f>
        <v>19.99999999998181</v>
      </c>
      <c r="AP26" s="32">
        <f>'FS Desroches Daily'!BZ28</f>
        <v>30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23.5</v>
      </c>
      <c r="AU26" s="31">
        <f>'FS Desroches Daily'!CJ28</f>
        <v>232</v>
      </c>
      <c r="AV26" s="31">
        <f>'FS Desroches Daily'!CL28</f>
        <v>389.99999999998636</v>
      </c>
      <c r="AW26" s="31">
        <f>'FS Desroches Daily'!CM28</f>
        <v>15.5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1100.000000000101</v>
      </c>
      <c r="F27" s="32">
        <f>'FS Desroches Daily'!F29</f>
        <v>599.99999999993395</v>
      </c>
      <c r="G27" s="31">
        <f>'FS Desroches Daily'!H29</f>
        <v>1500.0000000000568</v>
      </c>
      <c r="H27" s="32">
        <f>'FS Desroches Daily'!J29</f>
        <v>899.99999999990087</v>
      </c>
      <c r="I27" s="31">
        <f>'FS Desroches Daily'!L29</f>
        <v>1700.0000000000348</v>
      </c>
      <c r="J27" s="32">
        <f>'FS Desroches Daily'!N29</f>
        <v>499.99999999994492</v>
      </c>
      <c r="K27" s="13">
        <f>'FS Desroches Daily'!P29</f>
        <v>1</v>
      </c>
      <c r="L27" s="31">
        <f>'FS Desroches Daily'!R29</f>
        <v>5</v>
      </c>
      <c r="M27" s="31">
        <f>'FS Desroches Daily'!T29</f>
        <v>62.199999999953434</v>
      </c>
      <c r="N27" s="31">
        <f>'FS Desroches Daily'!V29</f>
        <v>35.799999999988358</v>
      </c>
      <c r="O27" s="31">
        <f>'FS Desroches Daily'!X29</f>
        <v>79.999999999984084</v>
      </c>
      <c r="P27" s="31">
        <f>'FS Desroches Daily'!Z29</f>
        <v>399.99999999995595</v>
      </c>
      <c r="Q27" s="31">
        <f>'FS Desroches Daily'!AB29</f>
        <v>90.000000000031832</v>
      </c>
      <c r="R27" s="31">
        <f>'FS Desroches Daily'!AD29</f>
        <v>129.99999999999545</v>
      </c>
      <c r="S27" s="31">
        <f>'FS Desroches Daily'!AF29</f>
        <v>170.00000000001592</v>
      </c>
      <c r="T27" s="31">
        <f>'FS Desroches Daily'!AH29</f>
        <v>1.2999999999999545</v>
      </c>
      <c r="U27" s="35">
        <f>'FS Desroches Daily'!AJ29</f>
        <v>270.00000000003865</v>
      </c>
      <c r="V27" s="35">
        <f>'FS Desroches Daily'!AL29</f>
        <v>149.99999999997726</v>
      </c>
      <c r="W27" s="35">
        <f>'FS Desroches Daily'!AN29</f>
        <v>129.99999999999545</v>
      </c>
      <c r="X27" s="35">
        <f>'FS Desroches Daily'!AP29</f>
        <v>120.00000000000455</v>
      </c>
      <c r="Y27" s="35">
        <f>'FS Desroches Daily'!AR29</f>
        <v>39.999999999992042</v>
      </c>
      <c r="Z27" s="35">
        <f>'FS Desroches Daily'!AT29</f>
        <v>30.000000000029559</v>
      </c>
      <c r="AA27" s="35">
        <f>'FS Desroches Daily'!AT29</f>
        <v>30.000000000029559</v>
      </c>
      <c r="AB27" s="35">
        <f>'FS Desroches Daily'!AV29</f>
        <v>20.000000000038654</v>
      </c>
      <c r="AC27" s="35">
        <f>'FS Desroches Daily'!AZ29</f>
        <v>19.99999999998181</v>
      </c>
      <c r="AD27" s="35">
        <f>'FS Desroches Daily'!BB29</f>
        <v>30.000000000029559</v>
      </c>
      <c r="AE27" s="35">
        <f>'FS Desroches Daily'!BD29</f>
        <v>20.000000000010232</v>
      </c>
      <c r="AF27" s="31">
        <f>'FS Desroches Daily'!BF29</f>
        <v>22</v>
      </c>
      <c r="AG27" s="32">
        <f>'FS Desroches Daily'!BH29</f>
        <v>0</v>
      </c>
      <c r="AH27" s="32">
        <f>'FS Desroches Daily'!BJ29</f>
        <v>9.9999999999909051</v>
      </c>
      <c r="AI27" s="32">
        <f>'FS Desroches Daily'!BL29</f>
        <v>9.9999999999909051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4</v>
      </c>
      <c r="AM27" s="32">
        <f>'FS Desroches Daily'!BT29</f>
        <v>9.9999999999909051</v>
      </c>
      <c r="AN27" s="32">
        <f>'FS Desroches Daily'!BV29</f>
        <v>31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21.5</v>
      </c>
      <c r="AU27" s="31">
        <f>'FS Desroches Daily'!CJ29</f>
        <v>208</v>
      </c>
      <c r="AV27" s="31">
        <f>'FS Desroches Daily'!CL29</f>
        <v>409.99999999996817</v>
      </c>
      <c r="AW27" s="31">
        <f>'FS Desroches Daily'!CM29</f>
        <v>13.5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899.99999999990087</v>
      </c>
      <c r="F28" s="32">
        <f>'FS Desroches Daily'!F30</f>
        <v>499.99999999972289</v>
      </c>
      <c r="G28" s="31">
        <f>'FS Desroches Daily'!H30</f>
        <v>1199.9999999998679</v>
      </c>
      <c r="H28" s="32">
        <f>'FS Desroches Daily'!J30</f>
        <v>799.99999999991189</v>
      </c>
      <c r="I28" s="31">
        <f>'FS Desroches Daily'!L30</f>
        <v>1500.0000000000568</v>
      </c>
      <c r="J28" s="32">
        <f>'FS Desroches Daily'!N30</f>
        <v>499.99999999994492</v>
      </c>
      <c r="K28" s="13">
        <f>'FS Desroches Daily'!P30</f>
        <v>0</v>
      </c>
      <c r="L28" s="31">
        <f>'FS Desroches Daily'!R30</f>
        <v>5</v>
      </c>
      <c r="M28" s="31">
        <f>'FS Desroches Daily'!T30</f>
        <v>55.800000000046566</v>
      </c>
      <c r="N28" s="31">
        <f>'FS Desroches Daily'!V30</f>
        <v>37.299999999988358</v>
      </c>
      <c r="O28" s="31">
        <f>'FS Desroches Daily'!X30</f>
        <v>69.999999999993179</v>
      </c>
      <c r="P28" s="31">
        <f>'FS Desroches Daily'!Z30</f>
        <v>399.99999999995595</v>
      </c>
      <c r="Q28" s="31">
        <f>'FS Desroches Daily'!AB30</f>
        <v>69.999999999993179</v>
      </c>
      <c r="R28" s="31">
        <f>'FS Desroches Daily'!AD30</f>
        <v>120.00000000000455</v>
      </c>
      <c r="S28" s="31">
        <f>'FS Desroches Daily'!AF30</f>
        <v>139.99999999998636</v>
      </c>
      <c r="T28" s="31">
        <f>'FS Desroches Daily'!AH30</f>
        <v>1.2000000000000455</v>
      </c>
      <c r="U28" s="35">
        <f>'FS Desroches Daily'!AJ30</f>
        <v>229.99999999996135</v>
      </c>
      <c r="V28" s="35">
        <f>'FS Desroches Daily'!AL30</f>
        <v>150.00000000000568</v>
      </c>
      <c r="W28" s="35">
        <f>'FS Desroches Daily'!AN30</f>
        <v>120.00000000000455</v>
      </c>
      <c r="X28" s="35">
        <f>'FS Desroches Daily'!AP30</f>
        <v>99.999999999994316</v>
      </c>
      <c r="Y28" s="35">
        <f>'FS Desroches Daily'!AR30</f>
        <v>20.000000000010232</v>
      </c>
      <c r="Z28" s="35">
        <f>'FS Desroches Daily'!AT30</f>
        <v>29.999999999972715</v>
      </c>
      <c r="AA28" s="35">
        <f>'FS Desroches Daily'!AT30</f>
        <v>29.999999999972715</v>
      </c>
      <c r="AB28" s="35">
        <f>'FS Desroches Daily'!AV30</f>
        <v>19.99999999998181</v>
      </c>
      <c r="AC28" s="35">
        <f>'FS Desroches Daily'!AZ30</f>
        <v>9.9999999999909051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27</v>
      </c>
      <c r="AG28" s="32">
        <f>'FS Desroches Daily'!BH30</f>
        <v>9.9999999999909051</v>
      </c>
      <c r="AH28" s="32">
        <f>'FS Desroches Daily'!BJ30</f>
        <v>9.9999999999909051</v>
      </c>
      <c r="AI28" s="32">
        <f>'FS Desroches Daily'!BL30</f>
        <v>0</v>
      </c>
      <c r="AJ28" s="32">
        <f>'FS Desroches Daily'!BN30</f>
        <v>30.000000000001137</v>
      </c>
      <c r="AK28" s="32">
        <f>'FS Desroches Daily'!BP30</f>
        <v>20.000000000038654</v>
      </c>
      <c r="AL28" s="32">
        <f>'FS Desroches Daily'!BR30</f>
        <v>4</v>
      </c>
      <c r="AM28" s="32">
        <f>'FS Desroches Daily'!BT30</f>
        <v>10.000000000019327</v>
      </c>
      <c r="AN28" s="32">
        <f>'FS Desroches Daily'!BV30</f>
        <v>30</v>
      </c>
      <c r="AO28" s="32">
        <f>'FS Desroches Daily'!BX30</f>
        <v>30.000000000001137</v>
      </c>
      <c r="AP28" s="32">
        <f>'FS Desroches Daily'!BZ30</f>
        <v>28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13.700000000004366</v>
      </c>
      <c r="AU28" s="31">
        <f>'FS Desroches Daily'!CJ30</f>
        <v>181</v>
      </c>
      <c r="AV28" s="31">
        <f>'FS Desroches Daily'!CL30</f>
        <v>269.99999999998181</v>
      </c>
      <c r="AW28" s="31">
        <f>'FS Desroches Daily'!CM30</f>
        <v>8.2000000000000455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3.6629999999999998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1100.000000000101</v>
      </c>
      <c r="F29" s="32">
        <f>'FS Desroches Daily'!F31</f>
        <v>600.00000000037801</v>
      </c>
      <c r="G29" s="31">
        <f>'FS Desroches Daily'!H31</f>
        <v>1500.0000000000568</v>
      </c>
      <c r="H29" s="32">
        <f>'FS Desroches Daily'!J31</f>
        <v>800.00000000013392</v>
      </c>
      <c r="I29" s="31">
        <f>'FS Desroches Daily'!L31</f>
        <v>1599.9999999998238</v>
      </c>
      <c r="J29" s="32">
        <f>'FS Desroches Daily'!N31</f>
        <v>500.00000000016701</v>
      </c>
      <c r="K29" s="13">
        <f>'FS Desroches Daily'!P31</f>
        <v>1</v>
      </c>
      <c r="L29" s="31">
        <f>'FS Desroches Daily'!R31</f>
        <v>5</v>
      </c>
      <c r="M29" s="31">
        <f>'FS Desroches Daily'!T31</f>
        <v>223</v>
      </c>
      <c r="N29" s="31">
        <f>'FS Desroches Daily'!V31</f>
        <v>139.70000000001164</v>
      </c>
      <c r="O29" s="31">
        <f>'FS Desroches Daily'!X31</f>
        <v>90.000000000031832</v>
      </c>
      <c r="P29" s="31">
        <f>'FS Desroches Daily'!Z31</f>
        <v>399.99999999995595</v>
      </c>
      <c r="Q29" s="31">
        <f>'FS Desroches Daily'!AB31</f>
        <v>69.999999999993179</v>
      </c>
      <c r="R29" s="31">
        <f>'FS Desroches Daily'!AD31</f>
        <v>120.00000000000455</v>
      </c>
      <c r="S29" s="31">
        <f>'FS Desroches Daily'!AF31</f>
        <v>210.00000000003638</v>
      </c>
      <c r="T29" s="31">
        <f>'FS Desroches Daily'!AH31</f>
        <v>1.1999999999998181</v>
      </c>
      <c r="U29" s="35">
        <f>'FS Desroches Daily'!AJ31</f>
        <v>240.00000000000909</v>
      </c>
      <c r="V29" s="35">
        <f>'FS Desroches Daily'!AL31</f>
        <v>140.00000000001478</v>
      </c>
      <c r="W29" s="35">
        <f>'FS Desroches Daily'!AN31</f>
        <v>129.99999999999545</v>
      </c>
      <c r="X29" s="35">
        <f>'FS Desroches Daily'!AP31</f>
        <v>110.00000000001364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19.99999999998181</v>
      </c>
      <c r="AD29" s="35">
        <f>'FS Desroches Daily'!BB31</f>
        <v>20.000000000038654</v>
      </c>
      <c r="AE29" s="35">
        <f>'FS Desroches Daily'!BD31</f>
        <v>19.99999999998181</v>
      </c>
      <c r="AF29" s="31">
        <f>'FS Desroches Daily'!BF31</f>
        <v>31</v>
      </c>
      <c r="AG29" s="32">
        <f>'FS Desroches Daily'!BH31</f>
        <v>9.9999999999909051</v>
      </c>
      <c r="AH29" s="32">
        <f>'FS Desroches Daily'!BJ31</f>
        <v>9.9999999999909051</v>
      </c>
      <c r="AI29" s="32">
        <f>'FS Desroches Daily'!BL31</f>
        <v>9.9999999999909051</v>
      </c>
      <c r="AJ29" s="32">
        <f>'FS Desroches Daily'!BN31</f>
        <v>30.000000000001137</v>
      </c>
      <c r="AK29" s="32">
        <f>'FS Desroches Daily'!BP31</f>
        <v>19.99999999998181</v>
      </c>
      <c r="AL29" s="32">
        <f>'FS Desroches Daily'!BR31</f>
        <v>4</v>
      </c>
      <c r="AM29" s="32">
        <f>'FS Desroches Daily'!BT31</f>
        <v>19.99999999998181</v>
      </c>
      <c r="AN29" s="32">
        <f>'FS Desroches Daily'!BV31</f>
        <v>27</v>
      </c>
      <c r="AO29" s="32">
        <f>'FS Desroches Daily'!BX31</f>
        <v>30.000000000001137</v>
      </c>
      <c r="AP29" s="32">
        <f>'FS Desroches Daily'!BZ31</f>
        <v>29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20.899999999994179</v>
      </c>
      <c r="AU29" s="31">
        <f>'FS Desroches Daily'!CJ31</f>
        <v>190</v>
      </c>
      <c r="AV29" s="31">
        <f>'FS Desroches Daily'!CL31</f>
        <v>409.99999999996817</v>
      </c>
      <c r="AW29" s="31">
        <f>'FS Desroches Daily'!CM31</f>
        <v>31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999.99999999988984</v>
      </c>
      <c r="F30" s="32">
        <f>'FS Desroches Daily'!F32</f>
        <v>699.99999999970089</v>
      </c>
      <c r="G30" s="31">
        <f>'FS Desroches Daily'!H32</f>
        <v>1500.0000000000568</v>
      </c>
      <c r="H30" s="32">
        <f>'FS Desroches Daily'!J32</f>
        <v>799.99999999991189</v>
      </c>
      <c r="I30" s="31">
        <f>'FS Desroches Daily'!L32</f>
        <v>1700.0000000000348</v>
      </c>
      <c r="J30" s="32">
        <f>'FS Desroches Daily'!N32</f>
        <v>499.99999999994492</v>
      </c>
      <c r="K30" s="13">
        <f>'FS Desroches Daily'!P32</f>
        <v>2</v>
      </c>
      <c r="L30" s="31">
        <f>'FS Desroches Daily'!R32</f>
        <v>5</v>
      </c>
      <c r="M30" s="31">
        <f>'FS Desroches Daily'!T32</f>
        <v>163.40000000002328</v>
      </c>
      <c r="N30" s="31">
        <f>'FS Desroches Daily'!V32</f>
        <v>112.59999999997672</v>
      </c>
      <c r="O30" s="31">
        <f>'FS Desroches Daily'!X32</f>
        <v>79.999999999984084</v>
      </c>
      <c r="P30" s="31">
        <f>'FS Desroches Daily'!Z32</f>
        <v>500.00000000016701</v>
      </c>
      <c r="Q30" s="31">
        <f>'FS Desroches Daily'!AB32</f>
        <v>110.00000000001364</v>
      </c>
      <c r="R30" s="31">
        <f>'FS Desroches Daily'!AD32</f>
        <v>120.00000000000455</v>
      </c>
      <c r="S30" s="31">
        <f>'FS Desroches Daily'!AF32</f>
        <v>189.99999999999773</v>
      </c>
      <c r="T30" s="31">
        <f>'FS Desroches Daily'!AH32</f>
        <v>0.90000000000009095</v>
      </c>
      <c r="U30" s="35">
        <f>'FS Desroches Daily'!AJ32</f>
        <v>230.00000000001819</v>
      </c>
      <c r="V30" s="35">
        <f>'FS Desroches Daily'!AL32</f>
        <v>159.99999999999659</v>
      </c>
      <c r="W30" s="35">
        <f>'FS Desroches Daily'!AN32</f>
        <v>120.00000000000455</v>
      </c>
      <c r="X30" s="35">
        <f>'FS Desroches Daily'!AP32</f>
        <v>109.99999999998522</v>
      </c>
      <c r="Y30" s="35">
        <f>'FS Desroches Daily'!AR32</f>
        <v>30.000000000001137</v>
      </c>
      <c r="Z30" s="35">
        <f>'FS Desroches Daily'!AT32</f>
        <v>29.999999999972715</v>
      </c>
      <c r="AA30" s="35">
        <f>'FS Desroches Daily'!AT32</f>
        <v>29.999999999972715</v>
      </c>
      <c r="AB30" s="35">
        <f>'FS Desroches Daily'!AV32</f>
        <v>20.000000000038654</v>
      </c>
      <c r="AC30" s="35">
        <f>'FS Desroches Daily'!AZ32</f>
        <v>30.000000000029559</v>
      </c>
      <c r="AD30" s="35">
        <f>'FS Desroches Daily'!BB32</f>
        <v>29.999999999972715</v>
      </c>
      <c r="AE30" s="35">
        <f>'FS Desroches Daily'!BD32</f>
        <v>20.000000000010232</v>
      </c>
      <c r="AF30" s="31">
        <f>'FS Desroches Daily'!BF32</f>
        <v>21</v>
      </c>
      <c r="AG30" s="32">
        <f>'FS Desroches Daily'!BH32</f>
        <v>10.000000000019327</v>
      </c>
      <c r="AH30" s="32">
        <f>'FS Desroches Daily'!BJ32</f>
        <v>9.9999999999909051</v>
      </c>
      <c r="AI30" s="32">
        <f>'FS Desroches Daily'!BL32</f>
        <v>10.000000000019327</v>
      </c>
      <c r="AJ30" s="32">
        <f>'FS Desroches Daily'!BN32</f>
        <v>30.000000000001137</v>
      </c>
      <c r="AK30" s="32">
        <f>'FS Desroches Daily'!BP32</f>
        <v>29.999999999972715</v>
      </c>
      <c r="AL30" s="32">
        <f>'FS Desroches Daily'!BR32</f>
        <v>4</v>
      </c>
      <c r="AM30" s="32">
        <f>'FS Desroches Daily'!BT32</f>
        <v>10.000000000019327</v>
      </c>
      <c r="AN30" s="32">
        <f>'FS Desroches Daily'!BV32</f>
        <v>31</v>
      </c>
      <c r="AO30" s="32">
        <f>'FS Desroches Daily'!BX32</f>
        <v>30.000000000001137</v>
      </c>
      <c r="AP30" s="32">
        <f>'FS Desroches Daily'!BZ32</f>
        <v>30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19.80000000000291</v>
      </c>
      <c r="AU30" s="31">
        <f>'FS Desroches Daily'!CJ32</f>
        <v>200</v>
      </c>
      <c r="AV30" s="31">
        <f>'FS Desroches Daily'!CL32</f>
        <v>389.99999999998636</v>
      </c>
      <c r="AW30" s="31">
        <f>'FS Desroches Daily'!CM32</f>
        <v>11.400000000000091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1000.0000000001119</v>
      </c>
      <c r="F31" s="32">
        <f>'FS Desroches Daily'!F33</f>
        <v>599.99999999993395</v>
      </c>
      <c r="G31" s="31">
        <f>'FS Desroches Daily'!H33</f>
        <v>1500.0000000000568</v>
      </c>
      <c r="H31" s="32">
        <f>'FS Desroches Daily'!J33</f>
        <v>800.00000000013392</v>
      </c>
      <c r="I31" s="31">
        <f>'FS Desroches Daily'!L33</f>
        <v>1700.0000000000348</v>
      </c>
      <c r="J31" s="32">
        <f>'FS Desroches Daily'!N33</f>
        <v>499.99999999994492</v>
      </c>
      <c r="K31" s="13">
        <f>'FS Desroches Daily'!P33</f>
        <v>2</v>
      </c>
      <c r="L31" s="31">
        <f>'FS Desroches Daily'!R33</f>
        <v>6</v>
      </c>
      <c r="M31" s="31">
        <f>'FS Desroches Daily'!T33</f>
        <v>159.79999999993015</v>
      </c>
      <c r="N31" s="31">
        <f>'FS Desroches Daily'!V33</f>
        <v>107.70000000001164</v>
      </c>
      <c r="O31" s="31">
        <f>'FS Desroches Daily'!X33</f>
        <v>69.999999999993179</v>
      </c>
      <c r="P31" s="31">
        <f>'FS Desroches Daily'!Z33</f>
        <v>399.99999999995595</v>
      </c>
      <c r="Q31" s="31">
        <f>'FS Desroches Daily'!AB33</f>
        <v>79.999999999984084</v>
      </c>
      <c r="R31" s="31">
        <f>'FS Desroches Daily'!AD33</f>
        <v>120.00000000000455</v>
      </c>
      <c r="S31" s="31">
        <f>'FS Desroches Daily'!AF33</f>
        <v>179.99999999994998</v>
      </c>
      <c r="T31" s="31">
        <f>'FS Desroches Daily'!AH33</f>
        <v>1.4000000000000909</v>
      </c>
      <c r="U31" s="35">
        <f>'FS Desroches Daily'!AJ33</f>
        <v>240.00000000000909</v>
      </c>
      <c r="V31" s="35">
        <f>'FS Desroches Daily'!AL33</f>
        <v>129.99999999999545</v>
      </c>
      <c r="W31" s="35">
        <f>'FS Desroches Daily'!AN33</f>
        <v>120.00000000000455</v>
      </c>
      <c r="X31" s="35">
        <f>'FS Desroches Daily'!AP33</f>
        <v>90.000000000003411</v>
      </c>
      <c r="Y31" s="35">
        <f>'FS Desroches Daily'!AR33</f>
        <v>39.999999999992042</v>
      </c>
      <c r="Z31" s="35">
        <f>'FS Desroches Daily'!AT33</f>
        <v>30.000000000029559</v>
      </c>
      <c r="AA31" s="35">
        <f>'FS Desroches Daily'!AT33</f>
        <v>30.000000000029559</v>
      </c>
      <c r="AB31" s="35">
        <f>'FS Desroches Daily'!AV33</f>
        <v>19.99999999998181</v>
      </c>
      <c r="AC31" s="35">
        <f>'FS Desroches Daily'!AZ33</f>
        <v>19.99999999998181</v>
      </c>
      <c r="AD31" s="35">
        <f>'FS Desroches Daily'!BB33</f>
        <v>40.000000000020464</v>
      </c>
      <c r="AE31" s="35">
        <f>'FS Desroches Daily'!BD33</f>
        <v>20.000000000010232</v>
      </c>
      <c r="AF31" s="31">
        <f>'FS Desroches Daily'!BF33</f>
        <v>22</v>
      </c>
      <c r="AG31" s="32">
        <f>'FS Desroches Daily'!BH33</f>
        <v>0</v>
      </c>
      <c r="AH31" s="32">
        <f>'FS Desroches Daily'!BJ33</f>
        <v>10.000000000047748</v>
      </c>
      <c r="AI31" s="32">
        <f>'FS Desroches Daily'!BL33</f>
        <v>9.9999999999909051</v>
      </c>
      <c r="AJ31" s="32">
        <f>'FS Desroches Daily'!BN33</f>
        <v>19.99999999998181</v>
      </c>
      <c r="AK31" s="32">
        <f>'FS Desroches Daily'!BP33</f>
        <v>20.000000000038654</v>
      </c>
      <c r="AL31" s="32">
        <f>'FS Desroches Daily'!BR33</f>
        <v>5</v>
      </c>
      <c r="AM31" s="32">
        <f>'FS Desroches Daily'!BT33</f>
        <v>9.9999999999909051</v>
      </c>
      <c r="AN31" s="32">
        <f>'FS Desroches Daily'!BV33</f>
        <v>26</v>
      </c>
      <c r="AO31" s="32">
        <f>'FS Desroches Daily'!BX33</f>
        <v>20.000000000010232</v>
      </c>
      <c r="AP31" s="32">
        <f>'FS Desroches Daily'!BZ33</f>
        <v>29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18.099999999998545</v>
      </c>
      <c r="AU31" s="31">
        <f>'FS Desroches Daily'!CJ33</f>
        <v>196</v>
      </c>
      <c r="AV31" s="31">
        <f>'FS Desroches Daily'!CL33</f>
        <v>430.00000000006366</v>
      </c>
      <c r="AW31" s="31">
        <f>'FS Desroches Daily'!CM33</f>
        <v>22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5.4944999999999995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36899.999999999942</v>
      </c>
      <c r="F33" s="17">
        <f t="shared" ref="F33:BC33" si="1">SUM(F2:F32)</f>
        <v>17699.999999999611</v>
      </c>
      <c r="G33" s="17">
        <f t="shared" si="1"/>
        <v>45399.999999999905</v>
      </c>
      <c r="H33" s="17">
        <f t="shared" si="1"/>
        <v>24200.000000000011</v>
      </c>
      <c r="I33" s="17">
        <f t="shared" si="1"/>
        <v>47600.000000000109</v>
      </c>
      <c r="J33" s="17">
        <f t="shared" si="1"/>
        <v>13700.000000000049</v>
      </c>
      <c r="K33" s="17">
        <f t="shared" si="1"/>
        <v>23</v>
      </c>
      <c r="L33" s="17">
        <f t="shared" si="1"/>
        <v>101</v>
      </c>
      <c r="M33" s="17">
        <f t="shared" si="1"/>
        <v>6356</v>
      </c>
      <c r="N33" s="17">
        <f t="shared" si="1"/>
        <v>3088.7000000000116</v>
      </c>
      <c r="O33" s="17">
        <f t="shared" si="1"/>
        <v>2590.0000000000318</v>
      </c>
      <c r="P33" s="17">
        <f t="shared" si="1"/>
        <v>12000.000000000018</v>
      </c>
      <c r="Q33" s="17">
        <f t="shared" si="1"/>
        <v>2219.9999999999704</v>
      </c>
      <c r="R33" s="17">
        <f t="shared" si="1"/>
        <v>3290.0000000000205</v>
      </c>
      <c r="S33" s="17">
        <f t="shared" si="1"/>
        <v>4969.99999999997</v>
      </c>
      <c r="T33" s="17">
        <f t="shared" si="1"/>
        <v>38</v>
      </c>
      <c r="U33" s="35">
        <f t="shared" si="1"/>
        <v>14620.000000000005</v>
      </c>
      <c r="V33" s="35">
        <f t="shared" si="1"/>
        <v>4569.9999999999918</v>
      </c>
      <c r="W33" s="35">
        <f t="shared" si="1"/>
        <v>3189.9999999999982</v>
      </c>
      <c r="X33" s="35">
        <f t="shared" si="1"/>
        <v>2739.9999999999809</v>
      </c>
      <c r="Y33" s="35">
        <f t="shared" si="1"/>
        <v>1039.999999999992</v>
      </c>
      <c r="Z33" s="35">
        <f t="shared" si="1"/>
        <v>1027.4200000000478</v>
      </c>
      <c r="AA33" s="35">
        <f t="shared" si="1"/>
        <v>1027.4200000000478</v>
      </c>
      <c r="AB33" s="35">
        <f t="shared" si="1"/>
        <v>600.00000000002274</v>
      </c>
      <c r="AC33" s="35">
        <f t="shared" si="1"/>
        <v>560.00000000000227</v>
      </c>
      <c r="AD33" s="35">
        <f t="shared" si="1"/>
        <v>620.00000000000455</v>
      </c>
      <c r="AE33" s="35">
        <f t="shared" si="1"/>
        <v>540.00000000002046</v>
      </c>
      <c r="AF33" s="17">
        <f t="shared" si="1"/>
        <v>761</v>
      </c>
      <c r="AG33" s="32">
        <f t="shared" si="1"/>
        <v>360.00000000001364</v>
      </c>
      <c r="AH33" s="32">
        <f t="shared" si="1"/>
        <v>330.00000000004093</v>
      </c>
      <c r="AI33" s="32">
        <f t="shared" si="1"/>
        <v>259.99999999999091</v>
      </c>
      <c r="AJ33" s="32">
        <f t="shared" si="1"/>
        <v>560.00000000000227</v>
      </c>
      <c r="AK33" s="32">
        <f t="shared" si="1"/>
        <v>699.99999999998863</v>
      </c>
      <c r="AL33" s="32">
        <f t="shared" si="1"/>
        <v>270</v>
      </c>
      <c r="AM33" s="32">
        <f t="shared" si="1"/>
        <v>419.99999999998749</v>
      </c>
      <c r="AN33" s="32">
        <f t="shared" si="1"/>
        <v>641</v>
      </c>
      <c r="AO33" s="32">
        <f t="shared" si="1"/>
        <v>659.99999999999659</v>
      </c>
      <c r="AP33" s="32">
        <f t="shared" si="1"/>
        <v>772</v>
      </c>
      <c r="AQ33" s="17">
        <f t="shared" si="1"/>
        <v>3.5</v>
      </c>
      <c r="AR33" s="17">
        <f t="shared" si="1"/>
        <v>2.5</v>
      </c>
      <c r="AS33" s="17">
        <f t="shared" si="1"/>
        <v>0</v>
      </c>
      <c r="AT33" s="17">
        <f t="shared" si="1"/>
        <v>844</v>
      </c>
      <c r="AU33" s="17">
        <f t="shared" si="1"/>
        <v>5908</v>
      </c>
      <c r="AV33" s="17">
        <f t="shared" si="1"/>
        <v>11029.999999999969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148.35149999999996</v>
      </c>
      <c r="BC33" s="17">
        <f t="shared" si="1"/>
        <v>16</v>
      </c>
    </row>
    <row r="35" spans="5:55" x14ac:dyDescent="0.25">
      <c r="E35" s="38">
        <f>E33/E37</f>
        <v>0.28596227467877744</v>
      </c>
      <c r="G35" s="29">
        <f>G33-M36</f>
        <v>35955.299999999894</v>
      </c>
      <c r="AE35" s="35">
        <f>SUM(U33:AE33)</f>
        <v>30534.840000000117</v>
      </c>
      <c r="AG35" s="32">
        <f>SUM(AG33:AP33)</f>
        <v>4973.00000000002</v>
      </c>
    </row>
    <row r="36" spans="5:55" x14ac:dyDescent="0.25">
      <c r="G36" s="29">
        <f>G35-633*14</f>
        <v>27093.299999999894</v>
      </c>
      <c r="M36" s="29">
        <f>M33+N33</f>
        <v>9444.7000000000116</v>
      </c>
    </row>
    <row r="37" spans="5:55" x14ac:dyDescent="0.25">
      <c r="E37" s="17">
        <f>E33+F33+G33+H33+J33-633*14</f>
        <v>129037.99999999951</v>
      </c>
      <c r="G37" s="37">
        <f>M36/E37</f>
        <v>7.3193167904028647E-2</v>
      </c>
      <c r="M37" s="35">
        <f>AE35</f>
        <v>30534.840000000117</v>
      </c>
    </row>
    <row r="38" spans="5:55" x14ac:dyDescent="0.25">
      <c r="L38" s="27">
        <f>M38/E37</f>
        <v>3.853903501294223E-2</v>
      </c>
      <c r="M38" s="29">
        <f>AG35</f>
        <v>4973.00000000002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C1" zoomScale="80" zoomScaleNormal="80" workbookViewId="0">
      <pane ySplit="1" topLeftCell="A30" activePane="bottomLeft" state="frozen"/>
      <selection pane="bottomLeft" activeCell="R36" sqref="R3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>
        <v>12652</v>
      </c>
      <c r="P21" s="67">
        <f t="shared" si="44"/>
        <v>0</v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>
        <v>1.8318000000000001</v>
      </c>
      <c r="D22" s="64">
        <f t="shared" si="0"/>
        <v>1100.000000000101</v>
      </c>
      <c r="E22" s="58">
        <v>2.7715000000000001</v>
      </c>
      <c r="F22" s="64">
        <f t="shared" si="1"/>
        <v>599.99999999993395</v>
      </c>
      <c r="G22" s="58">
        <v>2.7233999999999998</v>
      </c>
      <c r="H22" s="64">
        <f t="shared" si="2"/>
        <v>1599.9999999998238</v>
      </c>
      <c r="I22" s="58">
        <v>1.319</v>
      </c>
      <c r="J22" s="64">
        <f t="shared" si="3"/>
        <v>799.99999999991189</v>
      </c>
      <c r="K22" s="58">
        <v>2.0859999999999999</v>
      </c>
      <c r="L22" s="64">
        <f t="shared" si="4"/>
        <v>1799.9999999998017</v>
      </c>
      <c r="M22" s="58">
        <v>1.2490000000000001</v>
      </c>
      <c r="N22" s="64">
        <f t="shared" si="5"/>
        <v>500.00000000016701</v>
      </c>
      <c r="O22" s="58">
        <v>12652</v>
      </c>
      <c r="P22" s="67">
        <f t="shared" si="44"/>
        <v>0</v>
      </c>
      <c r="Q22" s="58">
        <v>5747</v>
      </c>
      <c r="R22" s="67">
        <f t="shared" si="6"/>
        <v>3</v>
      </c>
      <c r="S22" s="58">
        <v>855128.2</v>
      </c>
      <c r="T22" s="67">
        <f t="shared" si="7"/>
        <v>179.19999999995343</v>
      </c>
      <c r="U22" s="58">
        <v>348840.3</v>
      </c>
      <c r="V22" s="67">
        <f t="shared" si="8"/>
        <v>73.200000000011642</v>
      </c>
      <c r="W22" s="58">
        <v>341.44</v>
      </c>
      <c r="X22" s="65">
        <f t="shared" si="9"/>
        <v>79.999999999984084</v>
      </c>
      <c r="Y22" s="58">
        <v>2.4317000000000002</v>
      </c>
      <c r="Z22" s="65">
        <f t="shared" si="10"/>
        <v>400.00000000040006</v>
      </c>
      <c r="AA22" s="58">
        <v>333.44</v>
      </c>
      <c r="AB22" s="65">
        <f t="shared" si="11"/>
        <v>79.999999999984084</v>
      </c>
      <c r="AC22" s="58">
        <v>320.05</v>
      </c>
      <c r="AD22" s="65">
        <f t="shared" si="12"/>
        <v>139.99999999998636</v>
      </c>
      <c r="AE22" s="58">
        <v>500.62</v>
      </c>
      <c r="AF22" s="65">
        <f t="shared" si="13"/>
        <v>160.00000000002501</v>
      </c>
      <c r="AG22" s="58">
        <v>1373.4</v>
      </c>
      <c r="AH22" s="67">
        <f t="shared" si="14"/>
        <v>1.2000000000000455</v>
      </c>
      <c r="AI22" s="58">
        <v>472.27</v>
      </c>
      <c r="AJ22" s="65">
        <f t="shared" si="15"/>
        <v>269.99999999998181</v>
      </c>
      <c r="AK22" s="58">
        <v>161.76</v>
      </c>
      <c r="AL22" s="65">
        <f t="shared" si="15"/>
        <v>169.99999999998749</v>
      </c>
      <c r="AM22" s="58">
        <v>158.74</v>
      </c>
      <c r="AN22" s="65">
        <f t="shared" si="15"/>
        <v>140.00000000001478</v>
      </c>
      <c r="AO22" s="58">
        <v>154.16</v>
      </c>
      <c r="AP22" s="65">
        <f t="shared" si="15"/>
        <v>99.999999999994316</v>
      </c>
      <c r="AQ22" s="58">
        <v>221.2</v>
      </c>
      <c r="AR22" s="65">
        <f t="shared" si="16"/>
        <v>39.999999999992042</v>
      </c>
      <c r="AS22" s="58">
        <v>346.67</v>
      </c>
      <c r="AT22" s="65">
        <f t="shared" si="17"/>
        <v>30.000000000029559</v>
      </c>
      <c r="AU22" s="58">
        <v>267.45999999999998</v>
      </c>
      <c r="AV22" s="65">
        <f t="shared" si="18"/>
        <v>19.99999999998181</v>
      </c>
      <c r="AW22" s="58">
        <v>295.01</v>
      </c>
      <c r="AX22" s="65">
        <f t="shared" si="19"/>
        <v>19.99999999998181</v>
      </c>
      <c r="AY22" s="58">
        <v>346.23</v>
      </c>
      <c r="AZ22" s="65">
        <f t="shared" si="20"/>
        <v>20.000000000038654</v>
      </c>
      <c r="BA22" s="58">
        <v>365.96</v>
      </c>
      <c r="BB22" s="65">
        <f t="shared" si="21"/>
        <v>19.99999999998181</v>
      </c>
      <c r="BC22" s="58">
        <v>232.6</v>
      </c>
      <c r="BD22" s="65">
        <f t="shared" si="22"/>
        <v>19.99999999998181</v>
      </c>
      <c r="BE22" s="59">
        <v>31328</v>
      </c>
      <c r="BF22" s="67">
        <f t="shared" si="39"/>
        <v>19</v>
      </c>
      <c r="BG22" s="60">
        <v>226.07</v>
      </c>
      <c r="BH22" s="65">
        <f t="shared" si="23"/>
        <v>9.9999999999909051</v>
      </c>
      <c r="BI22" s="60">
        <v>284.06</v>
      </c>
      <c r="BJ22" s="65">
        <f t="shared" si="40"/>
        <v>9.9999999999909051</v>
      </c>
      <c r="BK22" s="60">
        <v>231.38</v>
      </c>
      <c r="BL22" s="65">
        <f t="shared" si="24"/>
        <v>0</v>
      </c>
      <c r="BM22" s="60">
        <v>215.23</v>
      </c>
      <c r="BN22" s="65">
        <f t="shared" si="25"/>
        <v>19.99999999998181</v>
      </c>
      <c r="BO22" s="60">
        <v>280.36</v>
      </c>
      <c r="BP22" s="65">
        <f t="shared" si="26"/>
        <v>20.000000000038654</v>
      </c>
      <c r="BQ22" s="60">
        <v>39944</v>
      </c>
      <c r="BR22" s="65">
        <f t="shared" si="27"/>
        <v>8</v>
      </c>
      <c r="BS22" s="60">
        <v>194.18</v>
      </c>
      <c r="BT22" s="65">
        <f t="shared" si="42"/>
        <v>0</v>
      </c>
      <c r="BU22" s="60">
        <v>31644</v>
      </c>
      <c r="BV22" s="65">
        <f t="shared" si="29"/>
        <v>40</v>
      </c>
      <c r="BW22" s="60">
        <v>225.38</v>
      </c>
      <c r="BX22" s="65">
        <f t="shared" si="30"/>
        <v>19.99999999998181</v>
      </c>
      <c r="BY22" s="60">
        <v>50247</v>
      </c>
      <c r="BZ22" s="67">
        <f t="shared" si="31"/>
        <v>29</v>
      </c>
      <c r="CA22" s="60">
        <v>27512.1</v>
      </c>
      <c r="CB22" s="67">
        <f t="shared" si="32"/>
        <v>0</v>
      </c>
      <c r="CC22" s="60">
        <v>11253.1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50107.3</v>
      </c>
      <c r="CH22" s="67">
        <f t="shared" si="35"/>
        <v>30</v>
      </c>
      <c r="CI22" s="60">
        <v>877865</v>
      </c>
      <c r="CJ22" s="67">
        <f t="shared" si="36"/>
        <v>207</v>
      </c>
      <c r="CK22" s="60">
        <v>608.73</v>
      </c>
      <c r="CL22" s="64">
        <f t="shared" si="37"/>
        <v>389.99999999998636</v>
      </c>
      <c r="CM22" s="65">
        <f t="shared" si="41"/>
        <v>18.299999999999955</v>
      </c>
      <c r="CN22" s="62">
        <v>0</v>
      </c>
      <c r="CO22" s="62">
        <v>0</v>
      </c>
      <c r="CP22" s="68">
        <v>994.4</v>
      </c>
      <c r="CQ22" s="67">
        <f t="shared" si="38"/>
        <v>14.299999999999955</v>
      </c>
      <c r="CR22" s="68">
        <v>10477</v>
      </c>
      <c r="CS22" s="67">
        <f t="shared" si="38"/>
        <v>4</v>
      </c>
      <c r="CT22" s="75">
        <v>3006</v>
      </c>
      <c r="CU22" s="67">
        <f t="shared" si="38"/>
        <v>12</v>
      </c>
      <c r="CV22" s="68">
        <v>9112</v>
      </c>
      <c r="CW22" s="67">
        <f t="shared" si="38"/>
        <v>21</v>
      </c>
    </row>
    <row r="23" spans="1:101" ht="25.5" customHeight="1" thickBot="1" x14ac:dyDescent="0.45">
      <c r="A23" s="63">
        <v>44094</v>
      </c>
      <c r="B23" s="44"/>
      <c r="C23" s="58">
        <v>1.8328</v>
      </c>
      <c r="D23" s="64">
        <f t="shared" si="0"/>
        <v>999.99999999988984</v>
      </c>
      <c r="E23" s="58">
        <v>2.7719999999999998</v>
      </c>
      <c r="F23" s="64">
        <f t="shared" si="1"/>
        <v>499.99999999972289</v>
      </c>
      <c r="G23" s="58">
        <v>2.7246000000000001</v>
      </c>
      <c r="H23" s="64">
        <f t="shared" si="2"/>
        <v>1200.000000000312</v>
      </c>
      <c r="I23" s="58">
        <v>1.3198000000000001</v>
      </c>
      <c r="J23" s="64">
        <f t="shared" si="3"/>
        <v>800.00000000013392</v>
      </c>
      <c r="K23" s="58">
        <v>2.0874000000000001</v>
      </c>
      <c r="L23" s="64">
        <f t="shared" si="4"/>
        <v>1400.0000000002899</v>
      </c>
      <c r="M23" s="58">
        <v>1.2494000000000001</v>
      </c>
      <c r="N23" s="64">
        <f t="shared" si="5"/>
        <v>399.99999999995595</v>
      </c>
      <c r="O23" s="58">
        <v>12653</v>
      </c>
      <c r="P23" s="67">
        <f t="shared" si="44"/>
        <v>1</v>
      </c>
      <c r="Q23" s="58">
        <v>5750</v>
      </c>
      <c r="R23" s="67">
        <f t="shared" si="6"/>
        <v>3</v>
      </c>
      <c r="S23" s="58">
        <v>855187.8</v>
      </c>
      <c r="T23" s="67">
        <f t="shared" si="7"/>
        <v>59.600000000093132</v>
      </c>
      <c r="U23" s="58">
        <v>348877.3</v>
      </c>
      <c r="V23" s="67">
        <f t="shared" si="8"/>
        <v>37</v>
      </c>
      <c r="W23" s="58">
        <v>341.52</v>
      </c>
      <c r="X23" s="65">
        <f t="shared" si="9"/>
        <v>79.999999999984084</v>
      </c>
      <c r="Y23" s="58">
        <v>2.4321000000000002</v>
      </c>
      <c r="Z23" s="65">
        <f t="shared" si="10"/>
        <v>399.99999999995595</v>
      </c>
      <c r="AA23" s="58">
        <v>333.51</v>
      </c>
      <c r="AB23" s="65">
        <f t="shared" si="11"/>
        <v>69.999999999993179</v>
      </c>
      <c r="AC23" s="58">
        <v>320.17</v>
      </c>
      <c r="AD23" s="65">
        <f t="shared" si="12"/>
        <v>120.00000000000455</v>
      </c>
      <c r="AE23" s="58">
        <v>500.75</v>
      </c>
      <c r="AF23" s="65">
        <f t="shared" si="13"/>
        <v>129.99999999999545</v>
      </c>
      <c r="AG23" s="58">
        <v>1374.5</v>
      </c>
      <c r="AH23" s="67">
        <f t="shared" si="14"/>
        <v>1.0999999999999091</v>
      </c>
      <c r="AI23" s="58">
        <v>472.5</v>
      </c>
      <c r="AJ23" s="65">
        <f t="shared" si="15"/>
        <v>230.00000000001819</v>
      </c>
      <c r="AK23" s="58">
        <v>161.93</v>
      </c>
      <c r="AL23" s="65">
        <f t="shared" si="15"/>
        <v>170.00000000001592</v>
      </c>
      <c r="AM23" s="58">
        <v>158.87</v>
      </c>
      <c r="AN23" s="65">
        <f t="shared" si="15"/>
        <v>129.99999999999545</v>
      </c>
      <c r="AO23" s="58">
        <v>154.25</v>
      </c>
      <c r="AP23" s="65">
        <f t="shared" si="15"/>
        <v>90.000000000003411</v>
      </c>
      <c r="AQ23" s="58">
        <v>221.24</v>
      </c>
      <c r="AR23" s="65">
        <f t="shared" si="16"/>
        <v>40.000000000020464</v>
      </c>
      <c r="AS23" s="58">
        <v>346.7</v>
      </c>
      <c r="AT23" s="65">
        <f t="shared" si="17"/>
        <v>29.999999999972715</v>
      </c>
      <c r="AU23" s="58">
        <v>267.49</v>
      </c>
      <c r="AV23" s="65">
        <f t="shared" si="18"/>
        <v>30.000000000029559</v>
      </c>
      <c r="AW23" s="58">
        <v>295.02</v>
      </c>
      <c r="AX23" s="65">
        <f t="shared" si="19"/>
        <v>9.9999999999909051</v>
      </c>
      <c r="AY23" s="58">
        <v>346.25</v>
      </c>
      <c r="AZ23" s="65">
        <f t="shared" si="20"/>
        <v>19.99999999998181</v>
      </c>
      <c r="BA23" s="58">
        <v>365.97</v>
      </c>
      <c r="BB23" s="65">
        <f t="shared" si="21"/>
        <v>10.000000000047748</v>
      </c>
      <c r="BC23" s="58">
        <v>232.63</v>
      </c>
      <c r="BD23" s="65">
        <f t="shared" si="22"/>
        <v>30.000000000001137</v>
      </c>
      <c r="BE23" s="59">
        <v>31351</v>
      </c>
      <c r="BF23" s="67">
        <f t="shared" si="39"/>
        <v>23</v>
      </c>
      <c r="BG23" s="60">
        <v>226.08</v>
      </c>
      <c r="BH23" s="65">
        <f t="shared" si="23"/>
        <v>10.000000000019327</v>
      </c>
      <c r="BI23" s="60">
        <v>284.07</v>
      </c>
      <c r="BJ23" s="65">
        <f t="shared" si="40"/>
        <v>9.9999999999909051</v>
      </c>
      <c r="BK23" s="60">
        <v>231.39</v>
      </c>
      <c r="BL23" s="65">
        <f t="shared" si="24"/>
        <v>9.9999999999909051</v>
      </c>
      <c r="BM23" s="60">
        <v>215.25</v>
      </c>
      <c r="BN23" s="65">
        <f t="shared" si="25"/>
        <v>20.000000000010232</v>
      </c>
      <c r="BO23" s="60">
        <v>280.39</v>
      </c>
      <c r="BP23" s="65">
        <f t="shared" si="26"/>
        <v>29.999999999972715</v>
      </c>
      <c r="BQ23" s="60">
        <v>39951</v>
      </c>
      <c r="BR23" s="65">
        <f t="shared" si="27"/>
        <v>7</v>
      </c>
      <c r="BS23" s="60">
        <v>194.18</v>
      </c>
      <c r="BT23" s="65">
        <f t="shared" si="42"/>
        <v>0</v>
      </c>
      <c r="BU23" s="60">
        <v>31661</v>
      </c>
      <c r="BV23" s="65">
        <f t="shared" si="29"/>
        <v>17</v>
      </c>
      <c r="BW23" s="60">
        <v>225.41</v>
      </c>
      <c r="BX23" s="65">
        <f t="shared" si="30"/>
        <v>30.000000000001137</v>
      </c>
      <c r="BY23" s="60">
        <v>50275</v>
      </c>
      <c r="BZ23" s="67">
        <f t="shared" si="31"/>
        <v>28</v>
      </c>
      <c r="CA23" s="60">
        <v>27512.1</v>
      </c>
      <c r="CB23" s="67">
        <f t="shared" si="32"/>
        <v>0</v>
      </c>
      <c r="CC23" s="60">
        <v>11253.1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50118.1</v>
      </c>
      <c r="CH23" s="67">
        <f t="shared" si="35"/>
        <v>10.799999999995634</v>
      </c>
      <c r="CI23" s="60">
        <v>878042</v>
      </c>
      <c r="CJ23" s="67">
        <f t="shared" si="36"/>
        <v>177</v>
      </c>
      <c r="CK23" s="60">
        <v>609.01</v>
      </c>
      <c r="CL23" s="64">
        <f t="shared" si="37"/>
        <v>279.99999999997272</v>
      </c>
      <c r="CM23" s="65">
        <f t="shared" si="41"/>
        <v>14.800000000000068</v>
      </c>
      <c r="CN23" s="62">
        <v>0</v>
      </c>
      <c r="CO23" s="62">
        <v>0</v>
      </c>
      <c r="CP23" s="68">
        <v>999.2</v>
      </c>
      <c r="CQ23" s="67">
        <f t="shared" si="38"/>
        <v>4.8000000000000682</v>
      </c>
      <c r="CR23" s="68">
        <v>10487</v>
      </c>
      <c r="CS23" s="67">
        <f t="shared" si="38"/>
        <v>10</v>
      </c>
      <c r="CT23" s="75">
        <v>3018</v>
      </c>
      <c r="CU23" s="67">
        <f t="shared" si="38"/>
        <v>12</v>
      </c>
      <c r="CV23" s="68">
        <v>9139</v>
      </c>
      <c r="CW23" s="67">
        <f t="shared" si="38"/>
        <v>27</v>
      </c>
    </row>
    <row r="24" spans="1:101" ht="25.5" customHeight="1" thickBot="1" x14ac:dyDescent="0.45">
      <c r="A24" s="63">
        <v>44095</v>
      </c>
      <c r="B24" s="44"/>
      <c r="C24" s="58">
        <v>1.8338000000000001</v>
      </c>
      <c r="D24" s="64">
        <f t="shared" si="0"/>
        <v>1000.0000000001119</v>
      </c>
      <c r="E24" s="58">
        <v>2.7726999999999999</v>
      </c>
      <c r="F24" s="64">
        <f t="shared" si="1"/>
        <v>700.00000000014495</v>
      </c>
      <c r="G24" s="58">
        <v>2.7261000000000002</v>
      </c>
      <c r="H24" s="64">
        <f t="shared" si="2"/>
        <v>1500.0000000000568</v>
      </c>
      <c r="I24" s="58">
        <v>1.3207</v>
      </c>
      <c r="J24" s="64">
        <f t="shared" si="3"/>
        <v>899.99999999990087</v>
      </c>
      <c r="K24" s="58">
        <v>2.089</v>
      </c>
      <c r="L24" s="64">
        <f t="shared" si="4"/>
        <v>1599.9999999998238</v>
      </c>
      <c r="M24" s="58">
        <v>1.2499</v>
      </c>
      <c r="N24" s="64">
        <f t="shared" si="5"/>
        <v>499.99999999994492</v>
      </c>
      <c r="O24" s="58">
        <v>12653</v>
      </c>
      <c r="P24" s="67">
        <f t="shared" si="44"/>
        <v>0</v>
      </c>
      <c r="Q24" s="58">
        <v>5756</v>
      </c>
      <c r="R24" s="67">
        <f t="shared" si="6"/>
        <v>6</v>
      </c>
      <c r="S24" s="58">
        <v>855346.2</v>
      </c>
      <c r="T24" s="67">
        <f t="shared" si="7"/>
        <v>158.39999999990687</v>
      </c>
      <c r="U24" s="58">
        <v>348966.40000000002</v>
      </c>
      <c r="V24" s="67">
        <f t="shared" si="8"/>
        <v>89.100000000034925</v>
      </c>
      <c r="W24" s="58">
        <v>341.61</v>
      </c>
      <c r="X24" s="65">
        <f t="shared" si="9"/>
        <v>90.000000000031832</v>
      </c>
      <c r="Y24" s="58">
        <v>2.4325000000000001</v>
      </c>
      <c r="Z24" s="65">
        <f t="shared" si="10"/>
        <v>399.99999999995595</v>
      </c>
      <c r="AA24" s="58">
        <v>333.6</v>
      </c>
      <c r="AB24" s="65">
        <f t="shared" si="11"/>
        <v>90.000000000031832</v>
      </c>
      <c r="AC24" s="58">
        <v>320.27</v>
      </c>
      <c r="AD24" s="65">
        <f t="shared" si="12"/>
        <v>99.999999999965894</v>
      </c>
      <c r="AE24" s="58">
        <v>500.94</v>
      </c>
      <c r="AF24" s="65">
        <f t="shared" si="13"/>
        <v>189.99999999999773</v>
      </c>
      <c r="AG24" s="58">
        <v>1375.8</v>
      </c>
      <c r="AH24" s="67">
        <f t="shared" si="14"/>
        <v>1.2999999999999545</v>
      </c>
      <c r="AI24" s="58">
        <v>472.75</v>
      </c>
      <c r="AJ24" s="65">
        <f t="shared" si="15"/>
        <v>250</v>
      </c>
      <c r="AK24" s="58">
        <v>162.08000000000001</v>
      </c>
      <c r="AL24" s="65">
        <f t="shared" si="15"/>
        <v>150.00000000000568</v>
      </c>
      <c r="AM24" s="58">
        <v>159</v>
      </c>
      <c r="AN24" s="65">
        <f t="shared" si="15"/>
        <v>129.99999999999545</v>
      </c>
      <c r="AO24" s="58">
        <v>154.36000000000001</v>
      </c>
      <c r="AP24" s="65">
        <f t="shared" si="15"/>
        <v>110.00000000001364</v>
      </c>
      <c r="AQ24" s="58">
        <v>221.28</v>
      </c>
      <c r="AR24" s="65">
        <f t="shared" si="16"/>
        <v>39.999999999992042</v>
      </c>
      <c r="AS24" s="58">
        <v>346.73</v>
      </c>
      <c r="AT24" s="65">
        <f t="shared" si="17"/>
        <v>30.000000000029559</v>
      </c>
      <c r="AU24" s="58">
        <v>267.51</v>
      </c>
      <c r="AV24" s="65">
        <f t="shared" si="18"/>
        <v>19.99999999998181</v>
      </c>
      <c r="AW24" s="58">
        <v>295.04000000000002</v>
      </c>
      <c r="AX24" s="65">
        <f t="shared" si="19"/>
        <v>20.000000000038654</v>
      </c>
      <c r="AY24" s="58">
        <v>346.27</v>
      </c>
      <c r="AZ24" s="65">
        <f t="shared" si="20"/>
        <v>19.99999999998181</v>
      </c>
      <c r="BA24" s="58">
        <v>366</v>
      </c>
      <c r="BB24" s="65">
        <f t="shared" si="21"/>
        <v>29.999999999972715</v>
      </c>
      <c r="BC24" s="58">
        <v>232.66</v>
      </c>
      <c r="BD24" s="65">
        <f t="shared" si="22"/>
        <v>30.000000000001137</v>
      </c>
      <c r="BE24" s="59">
        <v>31372</v>
      </c>
      <c r="BF24" s="67">
        <f t="shared" si="39"/>
        <v>21</v>
      </c>
      <c r="BG24" s="60">
        <v>226.09</v>
      </c>
      <c r="BH24" s="65">
        <f t="shared" si="23"/>
        <v>9.9999999999909051</v>
      </c>
      <c r="BI24" s="60">
        <v>284.08</v>
      </c>
      <c r="BJ24" s="65">
        <f t="shared" si="40"/>
        <v>9.9999999999909051</v>
      </c>
      <c r="BK24" s="60">
        <v>231.4</v>
      </c>
      <c r="BL24" s="65">
        <f t="shared" si="24"/>
        <v>10.000000000019327</v>
      </c>
      <c r="BM24" s="60">
        <v>215.27</v>
      </c>
      <c r="BN24" s="65">
        <f t="shared" si="25"/>
        <v>20.000000000010232</v>
      </c>
      <c r="BO24" s="60">
        <v>280.41000000000003</v>
      </c>
      <c r="BP24" s="65">
        <f t="shared" si="26"/>
        <v>20.000000000038654</v>
      </c>
      <c r="BQ24" s="60">
        <v>39958</v>
      </c>
      <c r="BR24" s="65">
        <f t="shared" si="27"/>
        <v>7</v>
      </c>
      <c r="BS24" s="60">
        <v>194.19</v>
      </c>
      <c r="BT24" s="65">
        <f t="shared" si="42"/>
        <v>9.9999999999909051</v>
      </c>
      <c r="BU24" s="60">
        <v>31693</v>
      </c>
      <c r="BV24" s="65">
        <f t="shared" si="29"/>
        <v>32</v>
      </c>
      <c r="BW24" s="60">
        <v>225.44</v>
      </c>
      <c r="BX24" s="65">
        <f t="shared" si="30"/>
        <v>30.000000000001137</v>
      </c>
      <c r="BY24" s="60">
        <v>50305</v>
      </c>
      <c r="BZ24" s="67">
        <f t="shared" si="31"/>
        <v>30</v>
      </c>
      <c r="CA24" s="60">
        <v>27515.599999999999</v>
      </c>
      <c r="CB24" s="67">
        <f t="shared" si="32"/>
        <v>3.5</v>
      </c>
      <c r="CC24" s="60">
        <v>11255.6</v>
      </c>
      <c r="CD24" s="67">
        <f t="shared" si="33"/>
        <v>2.5</v>
      </c>
      <c r="CE24" s="60">
        <v>5489.7</v>
      </c>
      <c r="CF24" s="67">
        <f t="shared" si="34"/>
        <v>0</v>
      </c>
      <c r="CG24" s="60">
        <v>50139.5</v>
      </c>
      <c r="CH24" s="67">
        <f t="shared" si="35"/>
        <v>21.400000000001455</v>
      </c>
      <c r="CI24" s="60">
        <v>878239</v>
      </c>
      <c r="CJ24" s="67">
        <f t="shared" si="36"/>
        <v>197</v>
      </c>
      <c r="CK24" s="60">
        <v>609.36</v>
      </c>
      <c r="CL24" s="64">
        <f t="shared" si="37"/>
        <v>350.00000000002274</v>
      </c>
      <c r="CM24" s="65">
        <f t="shared" si="41"/>
        <v>16.299999999999955</v>
      </c>
      <c r="CN24" s="62">
        <v>0</v>
      </c>
      <c r="CO24" s="62">
        <v>0</v>
      </c>
      <c r="CP24" s="68">
        <v>1010.5</v>
      </c>
      <c r="CQ24" s="67">
        <f t="shared" si="38"/>
        <v>11.299999999999955</v>
      </c>
      <c r="CR24" s="68">
        <v>10492</v>
      </c>
      <c r="CS24" s="67">
        <f t="shared" si="38"/>
        <v>5</v>
      </c>
      <c r="CT24" s="75">
        <v>3030</v>
      </c>
      <c r="CU24" s="67">
        <f t="shared" si="38"/>
        <v>12</v>
      </c>
      <c r="CV24" s="68">
        <v>9153</v>
      </c>
      <c r="CW24" s="67">
        <f t="shared" si="38"/>
        <v>14</v>
      </c>
    </row>
    <row r="25" spans="1:101" ht="25.5" customHeight="1" thickBot="1" x14ac:dyDescent="0.45">
      <c r="A25" s="63">
        <v>44096</v>
      </c>
      <c r="B25" s="44"/>
      <c r="C25" s="58">
        <v>1.8348</v>
      </c>
      <c r="D25" s="64">
        <f t="shared" si="0"/>
        <v>999.99999999988984</v>
      </c>
      <c r="E25" s="58">
        <v>2.7732999999999999</v>
      </c>
      <c r="F25" s="64">
        <f t="shared" si="1"/>
        <v>599.99999999993395</v>
      </c>
      <c r="G25" s="58">
        <v>2.7275999999999998</v>
      </c>
      <c r="H25" s="64">
        <f t="shared" si="2"/>
        <v>1499.9999999996128</v>
      </c>
      <c r="I25" s="58">
        <v>1.3214999999999999</v>
      </c>
      <c r="J25" s="64">
        <f t="shared" si="3"/>
        <v>799.99999999991189</v>
      </c>
      <c r="K25" s="58">
        <v>2.0905999999999998</v>
      </c>
      <c r="L25" s="64">
        <f t="shared" si="4"/>
        <v>1599.9999999998238</v>
      </c>
      <c r="M25" s="58">
        <v>1.2503</v>
      </c>
      <c r="N25" s="64">
        <f t="shared" si="5"/>
        <v>399.99999999995595</v>
      </c>
      <c r="O25" s="58">
        <v>12654</v>
      </c>
      <c r="P25" s="67">
        <f t="shared" si="44"/>
        <v>1</v>
      </c>
      <c r="Q25" s="58">
        <v>5761</v>
      </c>
      <c r="R25" s="67">
        <f t="shared" si="6"/>
        <v>5</v>
      </c>
      <c r="S25" s="58">
        <v>855524.2</v>
      </c>
      <c r="T25" s="67">
        <f t="shared" si="7"/>
        <v>178</v>
      </c>
      <c r="U25" s="58">
        <v>349068.2</v>
      </c>
      <c r="V25" s="67">
        <f t="shared" si="8"/>
        <v>101.79999999998836</v>
      </c>
      <c r="W25" s="58">
        <v>341.69</v>
      </c>
      <c r="X25" s="65">
        <f t="shared" si="9"/>
        <v>79.999999999984084</v>
      </c>
      <c r="Y25" s="58">
        <v>2.4329999999999998</v>
      </c>
      <c r="Z25" s="65">
        <f t="shared" si="10"/>
        <v>499.99999999972289</v>
      </c>
      <c r="AA25" s="58">
        <v>333.68</v>
      </c>
      <c r="AB25" s="65">
        <f t="shared" si="11"/>
        <v>79.999999999984084</v>
      </c>
      <c r="AC25" s="58">
        <v>320.38</v>
      </c>
      <c r="AD25" s="65">
        <f t="shared" si="12"/>
        <v>110.00000000001364</v>
      </c>
      <c r="AE25" s="58">
        <v>501.1</v>
      </c>
      <c r="AF25" s="65">
        <f t="shared" si="13"/>
        <v>160.00000000002501</v>
      </c>
      <c r="AG25" s="58">
        <v>1377.1</v>
      </c>
      <c r="AH25" s="67">
        <f t="shared" si="14"/>
        <v>1.2999999999999545</v>
      </c>
      <c r="AI25" s="58">
        <v>472.97</v>
      </c>
      <c r="AJ25" s="65">
        <f t="shared" si="15"/>
        <v>220.00000000002728</v>
      </c>
      <c r="AK25" s="58">
        <v>162.22</v>
      </c>
      <c r="AL25" s="65">
        <f t="shared" si="15"/>
        <v>139.99999999998636</v>
      </c>
      <c r="AM25" s="58">
        <v>159.13</v>
      </c>
      <c r="AN25" s="65">
        <f t="shared" si="15"/>
        <v>129.99999999999545</v>
      </c>
      <c r="AO25" s="58">
        <v>154.47</v>
      </c>
      <c r="AP25" s="65">
        <f t="shared" si="15"/>
        <v>109.99999999998522</v>
      </c>
      <c r="AQ25" s="58">
        <v>221.32</v>
      </c>
      <c r="AR25" s="65">
        <f t="shared" si="16"/>
        <v>39.999999999992042</v>
      </c>
      <c r="AS25" s="58">
        <v>346.76</v>
      </c>
      <c r="AT25" s="65">
        <f t="shared" si="17"/>
        <v>29.999999999972715</v>
      </c>
      <c r="AU25" s="58">
        <v>267.52999999999997</v>
      </c>
      <c r="AV25" s="65">
        <f t="shared" si="18"/>
        <v>19.99999999998181</v>
      </c>
      <c r="AW25" s="58">
        <v>295.06</v>
      </c>
      <c r="AX25" s="65">
        <f t="shared" si="19"/>
        <v>19.99999999998181</v>
      </c>
      <c r="AY25" s="58">
        <v>346.29</v>
      </c>
      <c r="AZ25" s="65">
        <f t="shared" si="20"/>
        <v>20.000000000038654</v>
      </c>
      <c r="BA25" s="58">
        <v>366.02</v>
      </c>
      <c r="BB25" s="65">
        <f t="shared" si="21"/>
        <v>19.99999999998181</v>
      </c>
      <c r="BC25" s="58">
        <v>232.67</v>
      </c>
      <c r="BD25" s="65">
        <f t="shared" si="22"/>
        <v>9.9999999999909051</v>
      </c>
      <c r="BE25" s="59">
        <v>31413</v>
      </c>
      <c r="BF25" s="67">
        <f t="shared" si="39"/>
        <v>41</v>
      </c>
      <c r="BG25" s="60">
        <v>226.09</v>
      </c>
      <c r="BH25" s="65">
        <f t="shared" si="23"/>
        <v>0</v>
      </c>
      <c r="BI25" s="60">
        <v>284.08999999999997</v>
      </c>
      <c r="BJ25" s="65">
        <f t="shared" si="40"/>
        <v>9.9999999999909051</v>
      </c>
      <c r="BK25" s="60">
        <v>231.41</v>
      </c>
      <c r="BL25" s="65">
        <f t="shared" si="24"/>
        <v>9.9999999999909051</v>
      </c>
      <c r="BM25" s="60">
        <v>215.29</v>
      </c>
      <c r="BN25" s="65">
        <f t="shared" si="25"/>
        <v>19.99999999998181</v>
      </c>
      <c r="BO25" s="60">
        <v>280.43</v>
      </c>
      <c r="BP25" s="65">
        <f t="shared" si="26"/>
        <v>19.99999999998181</v>
      </c>
      <c r="BQ25" s="60">
        <v>39965</v>
      </c>
      <c r="BR25" s="65">
        <f t="shared" si="27"/>
        <v>7</v>
      </c>
      <c r="BS25" s="60">
        <v>194.2</v>
      </c>
      <c r="BT25" s="65">
        <f t="shared" si="42"/>
        <v>9.9999999999909051</v>
      </c>
      <c r="BU25" s="60">
        <v>31722</v>
      </c>
      <c r="BV25" s="65">
        <f t="shared" si="29"/>
        <v>29</v>
      </c>
      <c r="BW25" s="60">
        <v>225.47</v>
      </c>
      <c r="BX25" s="65">
        <f t="shared" si="30"/>
        <v>30.000000000001137</v>
      </c>
      <c r="BY25" s="60">
        <v>50332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50184.4</v>
      </c>
      <c r="CH25" s="67">
        <f t="shared" si="35"/>
        <v>44.900000000001455</v>
      </c>
      <c r="CI25" s="60">
        <v>878432</v>
      </c>
      <c r="CJ25" s="67">
        <f t="shared" si="36"/>
        <v>193</v>
      </c>
      <c r="CK25" s="60">
        <v>609.74</v>
      </c>
      <c r="CL25" s="64">
        <f t="shared" si="37"/>
        <v>379.99999999999545</v>
      </c>
      <c r="CM25" s="65">
        <f t="shared" si="41"/>
        <v>13.5</v>
      </c>
      <c r="CN25" s="62">
        <v>0</v>
      </c>
      <c r="CO25" s="62">
        <v>0</v>
      </c>
      <c r="CP25" s="68">
        <v>1020</v>
      </c>
      <c r="CQ25" s="67">
        <f t="shared" si="38"/>
        <v>9.5</v>
      </c>
      <c r="CR25" s="68">
        <v>10496</v>
      </c>
      <c r="CS25" s="67">
        <f t="shared" si="38"/>
        <v>4</v>
      </c>
      <c r="CT25" s="75">
        <v>3041</v>
      </c>
      <c r="CU25" s="67">
        <f t="shared" si="38"/>
        <v>11</v>
      </c>
      <c r="CV25" s="68">
        <v>9168</v>
      </c>
      <c r="CW25" s="67">
        <f t="shared" si="38"/>
        <v>15</v>
      </c>
    </row>
    <row r="26" spans="1:101" ht="25.5" customHeight="1" thickBot="1" x14ac:dyDescent="0.45">
      <c r="A26" s="63">
        <v>44097</v>
      </c>
      <c r="B26" s="44"/>
      <c r="C26" s="58">
        <v>1.8357000000000001</v>
      </c>
      <c r="D26" s="64">
        <f t="shared" si="0"/>
        <v>900.0000000001229</v>
      </c>
      <c r="E26" s="58">
        <v>2.7738999999999998</v>
      </c>
      <c r="F26" s="64">
        <f t="shared" si="1"/>
        <v>599.99999999993395</v>
      </c>
      <c r="G26" s="58">
        <v>2.7290000000000001</v>
      </c>
      <c r="H26" s="64">
        <f t="shared" si="2"/>
        <v>1400.0000000002899</v>
      </c>
      <c r="I26" s="58">
        <v>1.3222</v>
      </c>
      <c r="J26" s="64">
        <f t="shared" si="3"/>
        <v>700.00000000014495</v>
      </c>
      <c r="K26" s="58">
        <v>2.0922000000000001</v>
      </c>
      <c r="L26" s="64">
        <f t="shared" si="4"/>
        <v>1600.0000000002678</v>
      </c>
      <c r="M26" s="58">
        <v>1.2507999999999999</v>
      </c>
      <c r="N26" s="64">
        <f t="shared" si="5"/>
        <v>499.99999999994492</v>
      </c>
      <c r="O26" s="58">
        <v>12654</v>
      </c>
      <c r="P26" s="67">
        <f t="shared" si="44"/>
        <v>0</v>
      </c>
      <c r="Q26" s="58">
        <v>5765</v>
      </c>
      <c r="R26" s="67">
        <f t="shared" si="6"/>
        <v>4</v>
      </c>
      <c r="S26" s="58">
        <v>855633.8</v>
      </c>
      <c r="T26" s="67">
        <f t="shared" si="7"/>
        <v>109.60000000009313</v>
      </c>
      <c r="U26" s="58">
        <v>349126.8</v>
      </c>
      <c r="V26" s="67">
        <f t="shared" si="8"/>
        <v>58.599999999976717</v>
      </c>
      <c r="W26" s="58">
        <v>341.77</v>
      </c>
      <c r="X26" s="65">
        <f t="shared" si="9"/>
        <v>79.999999999984084</v>
      </c>
      <c r="Y26" s="58">
        <v>2.4333999999999998</v>
      </c>
      <c r="Z26" s="65">
        <f t="shared" si="10"/>
        <v>399.99999999995595</v>
      </c>
      <c r="AA26" s="58">
        <v>333.75</v>
      </c>
      <c r="AB26" s="65">
        <f t="shared" si="11"/>
        <v>69.999999999993179</v>
      </c>
      <c r="AC26" s="58">
        <v>320.48</v>
      </c>
      <c r="AD26" s="65">
        <f t="shared" si="12"/>
        <v>100.00000000002274</v>
      </c>
      <c r="AE26" s="58">
        <v>501.28</v>
      </c>
      <c r="AF26" s="65">
        <f t="shared" si="13"/>
        <v>179.99999999994998</v>
      </c>
      <c r="AG26" s="58">
        <v>1378</v>
      </c>
      <c r="AH26" s="67">
        <f t="shared" si="14"/>
        <v>0.90000000000009095</v>
      </c>
      <c r="AI26" s="58">
        <v>473.16</v>
      </c>
      <c r="AJ26" s="65">
        <f t="shared" si="15"/>
        <v>189.99999999999773</v>
      </c>
      <c r="AK26" s="58">
        <v>162.34</v>
      </c>
      <c r="AL26" s="65">
        <f t="shared" si="15"/>
        <v>120.00000000000455</v>
      </c>
      <c r="AM26" s="58">
        <v>159.22999999999999</v>
      </c>
      <c r="AN26" s="65">
        <f t="shared" si="15"/>
        <v>99.999999999994316</v>
      </c>
      <c r="AO26" s="58">
        <v>154.56</v>
      </c>
      <c r="AP26" s="65">
        <f t="shared" si="15"/>
        <v>90.000000000003411</v>
      </c>
      <c r="AQ26" s="58">
        <v>221.35</v>
      </c>
      <c r="AR26" s="65">
        <f t="shared" si="16"/>
        <v>30.000000000001137</v>
      </c>
      <c r="AS26" s="58">
        <v>346.78</v>
      </c>
      <c r="AT26" s="65">
        <f t="shared" si="17"/>
        <v>19.99999999998181</v>
      </c>
      <c r="AU26" s="58">
        <v>267.54000000000002</v>
      </c>
      <c r="AV26" s="65">
        <f t="shared" si="18"/>
        <v>10.000000000047748</v>
      </c>
      <c r="AW26" s="58">
        <v>295.08</v>
      </c>
      <c r="AX26" s="65">
        <f t="shared" si="19"/>
        <v>19.99999999998181</v>
      </c>
      <c r="AY26" s="58">
        <v>346.31</v>
      </c>
      <c r="AZ26" s="65">
        <f t="shared" si="20"/>
        <v>19.99999999998181</v>
      </c>
      <c r="BA26" s="58">
        <v>366.05</v>
      </c>
      <c r="BB26" s="65">
        <f t="shared" si="21"/>
        <v>30.000000000029559</v>
      </c>
      <c r="BC26" s="58">
        <v>232.69</v>
      </c>
      <c r="BD26" s="65">
        <f t="shared" si="22"/>
        <v>20.000000000010232</v>
      </c>
      <c r="BE26" s="59">
        <v>31454</v>
      </c>
      <c r="BF26" s="67">
        <f t="shared" si="39"/>
        <v>41</v>
      </c>
      <c r="BG26" s="60">
        <v>226.1</v>
      </c>
      <c r="BH26" s="65">
        <f t="shared" si="23"/>
        <v>9.9999999999909051</v>
      </c>
      <c r="BI26" s="60">
        <v>284.10000000000002</v>
      </c>
      <c r="BJ26" s="65">
        <f t="shared" si="40"/>
        <v>10.000000000047748</v>
      </c>
      <c r="BK26" s="60">
        <v>231.41</v>
      </c>
      <c r="BL26" s="65">
        <f t="shared" si="24"/>
        <v>0</v>
      </c>
      <c r="BM26" s="60">
        <v>215.31</v>
      </c>
      <c r="BN26" s="65">
        <f t="shared" si="25"/>
        <v>20.000000000010232</v>
      </c>
      <c r="BO26" s="60">
        <v>280.45</v>
      </c>
      <c r="BP26" s="65">
        <f t="shared" si="26"/>
        <v>19.99999999998181</v>
      </c>
      <c r="BQ26" s="60">
        <v>39972</v>
      </c>
      <c r="BR26" s="65">
        <f t="shared" si="27"/>
        <v>7</v>
      </c>
      <c r="BS26" s="60">
        <v>194.2</v>
      </c>
      <c r="BT26" s="65">
        <f t="shared" si="42"/>
        <v>0</v>
      </c>
      <c r="BU26" s="60">
        <v>31742</v>
      </c>
      <c r="BV26" s="65">
        <f t="shared" si="29"/>
        <v>20</v>
      </c>
      <c r="BW26" s="60">
        <v>225.49</v>
      </c>
      <c r="BX26" s="65">
        <f t="shared" si="30"/>
        <v>20.000000000010232</v>
      </c>
      <c r="BY26" s="60">
        <v>50355</v>
      </c>
      <c r="BZ26" s="67">
        <f t="shared" si="31"/>
        <v>23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50209.2</v>
      </c>
      <c r="CH26" s="67">
        <f t="shared" si="35"/>
        <v>24.799999999995634</v>
      </c>
      <c r="CI26" s="60">
        <v>878647</v>
      </c>
      <c r="CJ26" s="67">
        <f t="shared" si="36"/>
        <v>215</v>
      </c>
      <c r="CK26" s="60">
        <v>610.1</v>
      </c>
      <c r="CL26" s="64">
        <f t="shared" si="37"/>
        <v>360.00000000001364</v>
      </c>
      <c r="CM26" s="65">
        <f t="shared" si="41"/>
        <v>15.299999999999955</v>
      </c>
      <c r="CN26" s="62">
        <v>0</v>
      </c>
      <c r="CO26" s="62">
        <v>0</v>
      </c>
      <c r="CP26" s="68">
        <v>1028.3</v>
      </c>
      <c r="CQ26" s="67">
        <f t="shared" si="38"/>
        <v>8.2999999999999545</v>
      </c>
      <c r="CR26" s="68">
        <v>10503</v>
      </c>
      <c r="CS26" s="67">
        <f t="shared" si="38"/>
        <v>7</v>
      </c>
      <c r="CT26" s="75">
        <v>3053</v>
      </c>
      <c r="CU26" s="67">
        <f t="shared" si="38"/>
        <v>12</v>
      </c>
      <c r="CV26" s="68">
        <v>9183</v>
      </c>
      <c r="CW26" s="67">
        <f t="shared" si="38"/>
        <v>15</v>
      </c>
    </row>
    <row r="27" spans="1:101" ht="25.5" customHeight="1" thickBot="1" x14ac:dyDescent="0.45">
      <c r="A27" s="63">
        <v>44098</v>
      </c>
      <c r="B27" s="44"/>
      <c r="C27" s="58">
        <v>1.8366</v>
      </c>
      <c r="D27" s="64">
        <f t="shared" si="0"/>
        <v>899.99999999990087</v>
      </c>
      <c r="E27" s="58">
        <v>2.7745000000000002</v>
      </c>
      <c r="F27" s="64">
        <f t="shared" si="1"/>
        <v>600.00000000037801</v>
      </c>
      <c r="G27" s="58">
        <v>2.7303999999999999</v>
      </c>
      <c r="H27" s="64">
        <f t="shared" si="2"/>
        <v>1399.9999999998458</v>
      </c>
      <c r="I27" s="58">
        <v>1.323</v>
      </c>
      <c r="J27" s="64">
        <f t="shared" si="3"/>
        <v>799.99999999991189</v>
      </c>
      <c r="K27" s="58">
        <v>2.0937000000000001</v>
      </c>
      <c r="L27" s="64">
        <f t="shared" si="4"/>
        <v>1500.0000000000568</v>
      </c>
      <c r="M27" s="58">
        <v>1.2512000000000001</v>
      </c>
      <c r="N27" s="64">
        <f t="shared" si="5"/>
        <v>400.00000000017798</v>
      </c>
      <c r="O27" s="58">
        <v>12655</v>
      </c>
      <c r="P27" s="67">
        <f t="shared" si="44"/>
        <v>1</v>
      </c>
      <c r="Q27" s="58">
        <v>5769</v>
      </c>
      <c r="R27" s="67">
        <f t="shared" si="6"/>
        <v>4</v>
      </c>
      <c r="S27" s="58">
        <v>855787</v>
      </c>
      <c r="T27" s="67">
        <f t="shared" si="7"/>
        <v>153.19999999995343</v>
      </c>
      <c r="U27" s="58">
        <v>349210.3</v>
      </c>
      <c r="V27" s="67">
        <f t="shared" si="8"/>
        <v>83.5</v>
      </c>
      <c r="W27" s="58">
        <v>341.85</v>
      </c>
      <c r="X27" s="65">
        <f t="shared" si="9"/>
        <v>80.000000000040927</v>
      </c>
      <c r="Y27" s="58">
        <v>2.4338000000000002</v>
      </c>
      <c r="Z27" s="65">
        <f t="shared" si="10"/>
        <v>400.00000000040006</v>
      </c>
      <c r="AA27" s="58">
        <v>333.82</v>
      </c>
      <c r="AB27" s="65">
        <f t="shared" si="11"/>
        <v>69.999999999993179</v>
      </c>
      <c r="AC27" s="58">
        <v>320.58</v>
      </c>
      <c r="AD27" s="65">
        <f t="shared" si="12"/>
        <v>99.999999999965894</v>
      </c>
      <c r="AE27" s="58">
        <v>501.46</v>
      </c>
      <c r="AF27" s="65">
        <f t="shared" si="13"/>
        <v>180.00000000000682</v>
      </c>
      <c r="AG27" s="58">
        <v>1379.2</v>
      </c>
      <c r="AH27" s="67">
        <f t="shared" si="14"/>
        <v>1.2000000000000455</v>
      </c>
      <c r="AI27" s="58">
        <v>473.38</v>
      </c>
      <c r="AJ27" s="65">
        <f t="shared" si="15"/>
        <v>219.99999999997044</v>
      </c>
      <c r="AK27" s="58">
        <v>162.46</v>
      </c>
      <c r="AL27" s="65">
        <f t="shared" si="15"/>
        <v>120.00000000000455</v>
      </c>
      <c r="AM27" s="58">
        <v>159.34</v>
      </c>
      <c r="AN27" s="65">
        <f t="shared" si="15"/>
        <v>110.00000000001364</v>
      </c>
      <c r="AO27" s="58">
        <v>154.63999999999999</v>
      </c>
      <c r="AP27" s="65">
        <f t="shared" si="15"/>
        <v>79.999999999984084</v>
      </c>
      <c r="AQ27" s="58">
        <v>221.38</v>
      </c>
      <c r="AR27" s="65">
        <f t="shared" si="16"/>
        <v>30.000000000001137</v>
      </c>
      <c r="AS27" s="58">
        <v>346.81</v>
      </c>
      <c r="AT27" s="65">
        <f t="shared" si="17"/>
        <v>30.000000000029559</v>
      </c>
      <c r="AU27" s="58">
        <v>267.56</v>
      </c>
      <c r="AV27" s="65">
        <f t="shared" si="18"/>
        <v>19.99999999998181</v>
      </c>
      <c r="AW27" s="58">
        <v>295.10000000000002</v>
      </c>
      <c r="AX27" s="65">
        <f t="shared" si="19"/>
        <v>20.000000000038654</v>
      </c>
      <c r="AY27" s="58">
        <v>346.33</v>
      </c>
      <c r="AZ27" s="65">
        <f t="shared" si="20"/>
        <v>19.99999999998181</v>
      </c>
      <c r="BA27" s="58">
        <v>366.07</v>
      </c>
      <c r="BB27" s="65">
        <f t="shared" si="21"/>
        <v>19.99999999998181</v>
      </c>
      <c r="BC27" s="58">
        <v>232.71</v>
      </c>
      <c r="BD27" s="65">
        <f t="shared" si="22"/>
        <v>20.000000000010232</v>
      </c>
      <c r="BE27" s="59">
        <v>31492</v>
      </c>
      <c r="BF27" s="67">
        <f t="shared" si="39"/>
        <v>38</v>
      </c>
      <c r="BG27" s="60">
        <v>226.11</v>
      </c>
      <c r="BH27" s="65">
        <f t="shared" si="23"/>
        <v>10.000000000019327</v>
      </c>
      <c r="BI27" s="60">
        <v>284.10000000000002</v>
      </c>
      <c r="BJ27" s="65">
        <f t="shared" si="40"/>
        <v>0</v>
      </c>
      <c r="BK27" s="60">
        <v>231.42</v>
      </c>
      <c r="BL27" s="65">
        <f t="shared" si="24"/>
        <v>9.9999999999909051</v>
      </c>
      <c r="BM27" s="60">
        <v>215.34</v>
      </c>
      <c r="BN27" s="65">
        <f t="shared" si="25"/>
        <v>30.000000000001137</v>
      </c>
      <c r="BO27" s="60">
        <v>280.47000000000003</v>
      </c>
      <c r="BP27" s="65">
        <f t="shared" si="26"/>
        <v>20.000000000038654</v>
      </c>
      <c r="BQ27" s="60">
        <v>39979</v>
      </c>
      <c r="BR27" s="65">
        <f t="shared" si="27"/>
        <v>7</v>
      </c>
      <c r="BS27" s="60">
        <v>194.21</v>
      </c>
      <c r="BT27" s="65">
        <f t="shared" si="42"/>
        <v>10.000000000019327</v>
      </c>
      <c r="BU27" s="60">
        <v>31765</v>
      </c>
      <c r="BV27" s="65">
        <f t="shared" si="29"/>
        <v>23</v>
      </c>
      <c r="BW27" s="60">
        <v>225.52</v>
      </c>
      <c r="BX27" s="65">
        <f t="shared" si="30"/>
        <v>30.000000000001137</v>
      </c>
      <c r="BY27" s="60">
        <v>50381</v>
      </c>
      <c r="BZ27" s="67">
        <f t="shared" si="31"/>
        <v>26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50227.6</v>
      </c>
      <c r="CH27" s="67">
        <f t="shared" si="35"/>
        <v>18.400000000001455</v>
      </c>
      <c r="CI27" s="60">
        <v>878870</v>
      </c>
      <c r="CJ27" s="67">
        <f t="shared" si="36"/>
        <v>223</v>
      </c>
      <c r="CK27" s="60">
        <v>610.44000000000005</v>
      </c>
      <c r="CL27" s="64">
        <f t="shared" si="37"/>
        <v>340.00000000003183</v>
      </c>
      <c r="CM27" s="65">
        <f t="shared" si="41"/>
        <v>15.5</v>
      </c>
      <c r="CN27" s="62">
        <v>0</v>
      </c>
      <c r="CO27" s="62">
        <v>0</v>
      </c>
      <c r="CP27" s="68">
        <v>1039.8</v>
      </c>
      <c r="CQ27" s="67">
        <f t="shared" si="38"/>
        <v>11.5</v>
      </c>
      <c r="CR27" s="68">
        <v>10507</v>
      </c>
      <c r="CS27" s="67">
        <f t="shared" si="38"/>
        <v>4</v>
      </c>
      <c r="CT27" s="75">
        <v>3064</v>
      </c>
      <c r="CU27" s="67">
        <f t="shared" si="38"/>
        <v>11</v>
      </c>
      <c r="CV27" s="68">
        <v>9203</v>
      </c>
      <c r="CW27" s="67">
        <f t="shared" si="38"/>
        <v>20</v>
      </c>
    </row>
    <row r="28" spans="1:101" ht="25.5" customHeight="1" thickBot="1" x14ac:dyDescent="0.45">
      <c r="A28" s="63">
        <v>44099</v>
      </c>
      <c r="B28" s="44"/>
      <c r="C28" s="58">
        <v>1.8375999999999999</v>
      </c>
      <c r="D28" s="64">
        <f t="shared" si="0"/>
        <v>999.99999999988984</v>
      </c>
      <c r="E28" s="58">
        <v>2.7751000000000001</v>
      </c>
      <c r="F28" s="64">
        <f t="shared" si="1"/>
        <v>599.99999999993395</v>
      </c>
      <c r="G28" s="58">
        <v>2.7319</v>
      </c>
      <c r="H28" s="64">
        <f t="shared" si="2"/>
        <v>1500.0000000000568</v>
      </c>
      <c r="I28" s="58">
        <v>1.3239000000000001</v>
      </c>
      <c r="J28" s="64">
        <f t="shared" si="3"/>
        <v>900.0000000001229</v>
      </c>
      <c r="K28" s="58">
        <v>2.0952999999999999</v>
      </c>
      <c r="L28" s="64">
        <f t="shared" si="4"/>
        <v>1599.9999999998238</v>
      </c>
      <c r="M28" s="58">
        <v>1.2517</v>
      </c>
      <c r="N28" s="64">
        <f t="shared" si="5"/>
        <v>499.99999999994492</v>
      </c>
      <c r="O28" s="58">
        <v>12655</v>
      </c>
      <c r="P28" s="67">
        <f t="shared" si="44"/>
        <v>0</v>
      </c>
      <c r="Q28" s="58">
        <v>5774</v>
      </c>
      <c r="R28" s="67">
        <f t="shared" si="6"/>
        <v>5</v>
      </c>
      <c r="S28" s="58">
        <v>855953</v>
      </c>
      <c r="T28" s="67">
        <f t="shared" si="7"/>
        <v>166</v>
      </c>
      <c r="U28" s="58">
        <v>349293.9</v>
      </c>
      <c r="V28" s="67">
        <f t="shared" si="8"/>
        <v>83.600000000034925</v>
      </c>
      <c r="W28" s="58">
        <v>341.93</v>
      </c>
      <c r="X28" s="65">
        <f t="shared" si="9"/>
        <v>79.999999999984084</v>
      </c>
      <c r="Y28" s="58">
        <v>2.4342000000000001</v>
      </c>
      <c r="Z28" s="65">
        <f t="shared" si="10"/>
        <v>399.99999999995595</v>
      </c>
      <c r="AA28" s="58">
        <v>333.9</v>
      </c>
      <c r="AB28" s="65">
        <f t="shared" si="11"/>
        <v>79.999999999984084</v>
      </c>
      <c r="AC28" s="58">
        <v>320.7</v>
      </c>
      <c r="AD28" s="65">
        <f t="shared" si="12"/>
        <v>120.00000000000455</v>
      </c>
      <c r="AE28" s="58">
        <v>501.64</v>
      </c>
      <c r="AF28" s="65">
        <f t="shared" si="13"/>
        <v>180.00000000000682</v>
      </c>
      <c r="AG28" s="58">
        <v>1380.4</v>
      </c>
      <c r="AH28" s="67">
        <f t="shared" si="14"/>
        <v>1.2000000000000455</v>
      </c>
      <c r="AI28" s="58">
        <v>473.59</v>
      </c>
      <c r="AJ28" s="65">
        <f t="shared" si="15"/>
        <v>209.99999999997954</v>
      </c>
      <c r="AK28" s="58">
        <v>162.61000000000001</v>
      </c>
      <c r="AL28" s="65">
        <f t="shared" si="15"/>
        <v>150.00000000000568</v>
      </c>
      <c r="AM28" s="58">
        <v>159.47</v>
      </c>
      <c r="AN28" s="65">
        <f t="shared" si="15"/>
        <v>129.99999999999545</v>
      </c>
      <c r="AO28" s="58">
        <v>154.76</v>
      </c>
      <c r="AP28" s="65">
        <f t="shared" si="15"/>
        <v>120.00000000000455</v>
      </c>
      <c r="AQ28" s="58">
        <v>221.41</v>
      </c>
      <c r="AR28" s="65">
        <f t="shared" si="16"/>
        <v>30.000000000001137</v>
      </c>
      <c r="AS28" s="58">
        <v>346.84</v>
      </c>
      <c r="AT28" s="65">
        <f t="shared" si="17"/>
        <v>29.999999999972715</v>
      </c>
      <c r="AU28" s="58">
        <v>267.58</v>
      </c>
      <c r="AV28" s="65">
        <f t="shared" si="18"/>
        <v>19.99999999998181</v>
      </c>
      <c r="AW28" s="58">
        <v>295.12</v>
      </c>
      <c r="AX28" s="65">
        <f t="shared" si="19"/>
        <v>19.99999999998181</v>
      </c>
      <c r="AY28" s="58">
        <v>346.35</v>
      </c>
      <c r="AZ28" s="65">
        <f t="shared" si="20"/>
        <v>20.000000000038654</v>
      </c>
      <c r="BA28" s="58">
        <v>366.09</v>
      </c>
      <c r="BB28" s="65">
        <f t="shared" si="21"/>
        <v>19.99999999998181</v>
      </c>
      <c r="BC28" s="58">
        <v>232.73</v>
      </c>
      <c r="BD28" s="65">
        <f t="shared" si="22"/>
        <v>19.99999999998181</v>
      </c>
      <c r="BE28" s="59">
        <v>31520</v>
      </c>
      <c r="BF28" s="67">
        <f t="shared" si="39"/>
        <v>28</v>
      </c>
      <c r="BG28" s="60">
        <v>226.12</v>
      </c>
      <c r="BH28" s="65">
        <f t="shared" si="23"/>
        <v>9.9999999999909051</v>
      </c>
      <c r="BI28" s="60">
        <v>284.11</v>
      </c>
      <c r="BJ28" s="65">
        <f t="shared" si="40"/>
        <v>9.9999999999909051</v>
      </c>
      <c r="BK28" s="60">
        <v>231.43</v>
      </c>
      <c r="BL28" s="65">
        <f t="shared" si="24"/>
        <v>10.000000000019327</v>
      </c>
      <c r="BM28" s="60">
        <v>215.37</v>
      </c>
      <c r="BN28" s="65">
        <f t="shared" si="25"/>
        <v>30.000000000001137</v>
      </c>
      <c r="BO28" s="60">
        <v>280.49</v>
      </c>
      <c r="BP28" s="65">
        <f t="shared" si="26"/>
        <v>19.99999999998181</v>
      </c>
      <c r="BQ28" s="60">
        <v>39987</v>
      </c>
      <c r="BR28" s="65">
        <f t="shared" si="27"/>
        <v>8</v>
      </c>
      <c r="BS28" s="60">
        <v>194.22</v>
      </c>
      <c r="BT28" s="65">
        <f t="shared" si="42"/>
        <v>9.9999999999909051</v>
      </c>
      <c r="BU28" s="60">
        <v>31794</v>
      </c>
      <c r="BV28" s="65">
        <f t="shared" si="29"/>
        <v>29</v>
      </c>
      <c r="BW28" s="60">
        <v>225.54</v>
      </c>
      <c r="BX28" s="65">
        <f t="shared" si="30"/>
        <v>19.99999999998181</v>
      </c>
      <c r="BY28" s="60">
        <v>50411</v>
      </c>
      <c r="BZ28" s="67">
        <f t="shared" si="31"/>
        <v>30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5489.7</v>
      </c>
      <c r="CF28" s="67">
        <f t="shared" si="34"/>
        <v>0</v>
      </c>
      <c r="CG28" s="60">
        <v>50251.1</v>
      </c>
      <c r="CH28" s="67">
        <f t="shared" si="35"/>
        <v>23.5</v>
      </c>
      <c r="CI28" s="60">
        <v>879102</v>
      </c>
      <c r="CJ28" s="67">
        <f t="shared" si="36"/>
        <v>232</v>
      </c>
      <c r="CK28" s="60">
        <v>610.83000000000004</v>
      </c>
      <c r="CL28" s="64">
        <f t="shared" si="37"/>
        <v>389.99999999998636</v>
      </c>
      <c r="CM28" s="65">
        <f t="shared" si="41"/>
        <v>15.5</v>
      </c>
      <c r="CN28" s="62">
        <v>0</v>
      </c>
      <c r="CO28" s="62">
        <v>0</v>
      </c>
      <c r="CP28" s="68">
        <v>1049.3</v>
      </c>
      <c r="CQ28" s="67">
        <f t="shared" si="38"/>
        <v>9.5</v>
      </c>
      <c r="CR28" s="68">
        <v>10513</v>
      </c>
      <c r="CS28" s="67">
        <f t="shared" si="38"/>
        <v>6</v>
      </c>
      <c r="CT28" s="75">
        <v>3076</v>
      </c>
      <c r="CU28" s="67">
        <f t="shared" si="38"/>
        <v>12</v>
      </c>
      <c r="CV28" s="68">
        <v>9223</v>
      </c>
      <c r="CW28" s="67">
        <f t="shared" si="38"/>
        <v>20</v>
      </c>
    </row>
    <row r="29" spans="1:101" ht="25.5" customHeight="1" thickBot="1" x14ac:dyDescent="0.45">
      <c r="A29" s="63">
        <v>44100</v>
      </c>
      <c r="B29" s="44"/>
      <c r="C29" s="58">
        <v>1.8387</v>
      </c>
      <c r="D29" s="64">
        <f t="shared" si="0"/>
        <v>1100.000000000101</v>
      </c>
      <c r="E29" s="58">
        <v>2.7757000000000001</v>
      </c>
      <c r="F29" s="64">
        <f t="shared" si="1"/>
        <v>599.99999999993395</v>
      </c>
      <c r="G29" s="58">
        <v>2.7334000000000001</v>
      </c>
      <c r="H29" s="64">
        <f t="shared" si="2"/>
        <v>1500.0000000000568</v>
      </c>
      <c r="I29" s="58">
        <v>1.3248</v>
      </c>
      <c r="J29" s="64">
        <f t="shared" si="3"/>
        <v>899.99999999990087</v>
      </c>
      <c r="K29" s="58">
        <v>2.097</v>
      </c>
      <c r="L29" s="64">
        <f t="shared" si="4"/>
        <v>1700.0000000000348</v>
      </c>
      <c r="M29" s="58">
        <v>1.2522</v>
      </c>
      <c r="N29" s="64">
        <f t="shared" si="5"/>
        <v>499.99999999994492</v>
      </c>
      <c r="O29" s="58">
        <v>12656</v>
      </c>
      <c r="P29" s="67">
        <f t="shared" si="44"/>
        <v>1</v>
      </c>
      <c r="Q29" s="58">
        <v>5779</v>
      </c>
      <c r="R29" s="67">
        <f t="shared" si="6"/>
        <v>5</v>
      </c>
      <c r="S29" s="58">
        <v>856015.2</v>
      </c>
      <c r="T29" s="67">
        <f t="shared" si="7"/>
        <v>62.199999999953434</v>
      </c>
      <c r="U29" s="58">
        <v>349329.7</v>
      </c>
      <c r="V29" s="67">
        <f t="shared" si="8"/>
        <v>35.799999999988358</v>
      </c>
      <c r="W29" s="58">
        <v>342.01</v>
      </c>
      <c r="X29" s="65">
        <f t="shared" si="9"/>
        <v>79.999999999984084</v>
      </c>
      <c r="Y29" s="58">
        <v>2.4346000000000001</v>
      </c>
      <c r="Z29" s="65">
        <f t="shared" si="10"/>
        <v>399.99999999995595</v>
      </c>
      <c r="AA29" s="58">
        <v>333.99</v>
      </c>
      <c r="AB29" s="65">
        <f t="shared" si="11"/>
        <v>90.000000000031832</v>
      </c>
      <c r="AC29" s="58">
        <v>320.83</v>
      </c>
      <c r="AD29" s="65">
        <f t="shared" si="12"/>
        <v>129.99999999999545</v>
      </c>
      <c r="AE29" s="58">
        <v>501.81</v>
      </c>
      <c r="AF29" s="65">
        <f t="shared" si="13"/>
        <v>170.00000000001592</v>
      </c>
      <c r="AG29" s="58">
        <v>1381.7</v>
      </c>
      <c r="AH29" s="67">
        <f t="shared" si="14"/>
        <v>1.2999999999999545</v>
      </c>
      <c r="AI29" s="58">
        <v>473.86</v>
      </c>
      <c r="AJ29" s="65">
        <f t="shared" si="15"/>
        <v>270.00000000003865</v>
      </c>
      <c r="AK29" s="58">
        <v>162.76</v>
      </c>
      <c r="AL29" s="65">
        <f t="shared" si="15"/>
        <v>149.99999999997726</v>
      </c>
      <c r="AM29" s="58">
        <v>159.6</v>
      </c>
      <c r="AN29" s="65">
        <f t="shared" si="15"/>
        <v>129.99999999999545</v>
      </c>
      <c r="AO29" s="58">
        <v>154.88</v>
      </c>
      <c r="AP29" s="65">
        <f t="shared" si="15"/>
        <v>120.00000000000455</v>
      </c>
      <c r="AQ29" s="58">
        <v>221.45</v>
      </c>
      <c r="AR29" s="65">
        <f t="shared" si="16"/>
        <v>39.999999999992042</v>
      </c>
      <c r="AS29" s="58">
        <v>346.87</v>
      </c>
      <c r="AT29" s="65">
        <f t="shared" si="17"/>
        <v>30.000000000029559</v>
      </c>
      <c r="AU29" s="58">
        <v>267.60000000000002</v>
      </c>
      <c r="AV29" s="65">
        <f t="shared" si="18"/>
        <v>20.000000000038654</v>
      </c>
      <c r="AW29" s="58">
        <v>295.14</v>
      </c>
      <c r="AX29" s="65">
        <f t="shared" si="19"/>
        <v>19.99999999998181</v>
      </c>
      <c r="AY29" s="58">
        <v>346.37</v>
      </c>
      <c r="AZ29" s="65">
        <f t="shared" si="20"/>
        <v>19.99999999998181</v>
      </c>
      <c r="BA29" s="58">
        <v>366.12</v>
      </c>
      <c r="BB29" s="65">
        <f t="shared" si="21"/>
        <v>30.000000000029559</v>
      </c>
      <c r="BC29" s="58">
        <v>232.75</v>
      </c>
      <c r="BD29" s="65">
        <f t="shared" si="22"/>
        <v>20.000000000010232</v>
      </c>
      <c r="BE29" s="59">
        <v>31542</v>
      </c>
      <c r="BF29" s="67">
        <f t="shared" si="39"/>
        <v>22</v>
      </c>
      <c r="BG29" s="60">
        <v>226.12</v>
      </c>
      <c r="BH29" s="65">
        <f t="shared" si="23"/>
        <v>0</v>
      </c>
      <c r="BI29" s="60">
        <v>284.12</v>
      </c>
      <c r="BJ29" s="65">
        <f t="shared" si="40"/>
        <v>9.9999999999909051</v>
      </c>
      <c r="BK29" s="60">
        <v>231.44</v>
      </c>
      <c r="BL29" s="65">
        <f t="shared" si="24"/>
        <v>9.9999999999909051</v>
      </c>
      <c r="BM29" s="60">
        <v>215.4</v>
      </c>
      <c r="BN29" s="65">
        <f t="shared" si="25"/>
        <v>30.000000000001137</v>
      </c>
      <c r="BO29" s="60">
        <v>280.52</v>
      </c>
      <c r="BP29" s="65">
        <f t="shared" si="26"/>
        <v>29.999999999972715</v>
      </c>
      <c r="BQ29" s="60">
        <v>39991</v>
      </c>
      <c r="BR29" s="65">
        <f t="shared" si="27"/>
        <v>4</v>
      </c>
      <c r="BS29" s="60">
        <v>194.23</v>
      </c>
      <c r="BT29" s="65">
        <f t="shared" si="42"/>
        <v>9.9999999999909051</v>
      </c>
      <c r="BU29" s="60">
        <v>31825</v>
      </c>
      <c r="BV29" s="65">
        <f t="shared" si="29"/>
        <v>31</v>
      </c>
      <c r="BW29" s="60">
        <v>225.57</v>
      </c>
      <c r="BX29" s="65">
        <f t="shared" si="30"/>
        <v>30.000000000001137</v>
      </c>
      <c r="BY29" s="60">
        <v>50442</v>
      </c>
      <c r="BZ29" s="67">
        <f t="shared" si="31"/>
        <v>31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50272.6</v>
      </c>
      <c r="CH29" s="67">
        <f t="shared" si="35"/>
        <v>21.5</v>
      </c>
      <c r="CI29" s="60">
        <v>879310</v>
      </c>
      <c r="CJ29" s="67">
        <f t="shared" si="36"/>
        <v>208</v>
      </c>
      <c r="CK29" s="60">
        <v>611.24</v>
      </c>
      <c r="CL29" s="64">
        <f t="shared" si="37"/>
        <v>409.99999999996817</v>
      </c>
      <c r="CM29" s="65">
        <f t="shared" si="41"/>
        <v>13.5</v>
      </c>
      <c r="CN29" s="62">
        <v>0</v>
      </c>
      <c r="CO29" s="62">
        <v>0</v>
      </c>
      <c r="CP29" s="68">
        <v>1056.8</v>
      </c>
      <c r="CQ29" s="67">
        <f t="shared" si="38"/>
        <v>7.5</v>
      </c>
      <c r="CR29" s="68">
        <v>10519</v>
      </c>
      <c r="CS29" s="67">
        <f t="shared" si="38"/>
        <v>6</v>
      </c>
      <c r="CT29" s="75">
        <v>3090</v>
      </c>
      <c r="CU29" s="67">
        <f t="shared" si="38"/>
        <v>14</v>
      </c>
      <c r="CV29" s="68">
        <v>9244</v>
      </c>
      <c r="CW29" s="67">
        <f t="shared" si="38"/>
        <v>21</v>
      </c>
    </row>
    <row r="30" spans="1:101" ht="25.5" customHeight="1" thickBot="1" x14ac:dyDescent="0.45">
      <c r="A30" s="63">
        <v>44101</v>
      </c>
      <c r="B30" s="44"/>
      <c r="C30" s="58">
        <v>1.8395999999999999</v>
      </c>
      <c r="D30" s="64">
        <f t="shared" si="0"/>
        <v>899.99999999990087</v>
      </c>
      <c r="E30" s="58">
        <v>2.7761999999999998</v>
      </c>
      <c r="F30" s="64">
        <f t="shared" si="1"/>
        <v>499.99999999972289</v>
      </c>
      <c r="G30" s="58">
        <v>2.7345999999999999</v>
      </c>
      <c r="H30" s="64">
        <f t="shared" si="2"/>
        <v>1199.9999999998679</v>
      </c>
      <c r="I30" s="58">
        <v>1.3255999999999999</v>
      </c>
      <c r="J30" s="64">
        <f t="shared" si="3"/>
        <v>799.99999999991189</v>
      </c>
      <c r="K30" s="58">
        <v>2.0985</v>
      </c>
      <c r="L30" s="64">
        <f t="shared" si="4"/>
        <v>1500.0000000000568</v>
      </c>
      <c r="M30" s="58">
        <v>1.2526999999999999</v>
      </c>
      <c r="N30" s="64">
        <f t="shared" si="5"/>
        <v>499.99999999994492</v>
      </c>
      <c r="O30" s="58">
        <v>12656</v>
      </c>
      <c r="P30" s="67">
        <f t="shared" si="44"/>
        <v>0</v>
      </c>
      <c r="Q30" s="58">
        <v>5784</v>
      </c>
      <c r="R30" s="67">
        <f t="shared" si="6"/>
        <v>5</v>
      </c>
      <c r="S30" s="58">
        <v>856071</v>
      </c>
      <c r="T30" s="67">
        <f t="shared" si="7"/>
        <v>55.800000000046566</v>
      </c>
      <c r="U30" s="58">
        <v>349367</v>
      </c>
      <c r="V30" s="67">
        <f t="shared" si="8"/>
        <v>37.299999999988358</v>
      </c>
      <c r="W30" s="58">
        <v>342.08</v>
      </c>
      <c r="X30" s="65">
        <f t="shared" si="9"/>
        <v>69.999999999993179</v>
      </c>
      <c r="Y30" s="58">
        <v>2.4350000000000001</v>
      </c>
      <c r="Z30" s="65">
        <f t="shared" si="10"/>
        <v>399.99999999995595</v>
      </c>
      <c r="AA30" s="58">
        <v>334.06</v>
      </c>
      <c r="AB30" s="65">
        <f t="shared" si="11"/>
        <v>69.999999999993179</v>
      </c>
      <c r="AC30" s="58">
        <v>320.95</v>
      </c>
      <c r="AD30" s="65">
        <f t="shared" si="12"/>
        <v>120.00000000000455</v>
      </c>
      <c r="AE30" s="58">
        <v>501.95</v>
      </c>
      <c r="AF30" s="65">
        <f t="shared" si="13"/>
        <v>139.99999999998636</v>
      </c>
      <c r="AG30" s="58">
        <v>1382.9</v>
      </c>
      <c r="AH30" s="67">
        <f t="shared" si="14"/>
        <v>1.2000000000000455</v>
      </c>
      <c r="AI30" s="58">
        <v>474.09</v>
      </c>
      <c r="AJ30" s="65">
        <f t="shared" si="15"/>
        <v>229.99999999996135</v>
      </c>
      <c r="AK30" s="58">
        <v>162.91</v>
      </c>
      <c r="AL30" s="65">
        <f t="shared" si="15"/>
        <v>150.00000000000568</v>
      </c>
      <c r="AM30" s="58">
        <v>159.72</v>
      </c>
      <c r="AN30" s="65">
        <f t="shared" si="15"/>
        <v>120.00000000000455</v>
      </c>
      <c r="AO30" s="58">
        <v>154.97999999999999</v>
      </c>
      <c r="AP30" s="65">
        <f t="shared" si="15"/>
        <v>99.999999999994316</v>
      </c>
      <c r="AQ30" s="58">
        <v>221.47</v>
      </c>
      <c r="AR30" s="65">
        <f t="shared" si="16"/>
        <v>20.000000000010232</v>
      </c>
      <c r="AS30" s="58">
        <v>346.9</v>
      </c>
      <c r="AT30" s="65">
        <f t="shared" si="17"/>
        <v>29.999999999972715</v>
      </c>
      <c r="AU30" s="58">
        <v>267.62</v>
      </c>
      <c r="AV30" s="65">
        <f t="shared" si="18"/>
        <v>19.99999999998181</v>
      </c>
      <c r="AW30" s="58">
        <v>295.16000000000003</v>
      </c>
      <c r="AX30" s="65">
        <f t="shared" si="19"/>
        <v>20.000000000038654</v>
      </c>
      <c r="AY30" s="58">
        <v>346.38</v>
      </c>
      <c r="AZ30" s="65">
        <f t="shared" si="20"/>
        <v>9.9999999999909051</v>
      </c>
      <c r="BA30" s="58">
        <v>366.14</v>
      </c>
      <c r="BB30" s="65">
        <f t="shared" si="21"/>
        <v>19.99999999998181</v>
      </c>
      <c r="BC30" s="58">
        <v>232.77</v>
      </c>
      <c r="BD30" s="65">
        <f t="shared" si="22"/>
        <v>20.000000000010232</v>
      </c>
      <c r="BE30" s="59">
        <v>31569</v>
      </c>
      <c r="BF30" s="67">
        <f t="shared" si="39"/>
        <v>27</v>
      </c>
      <c r="BG30" s="60">
        <v>226.13</v>
      </c>
      <c r="BH30" s="65">
        <f t="shared" si="23"/>
        <v>9.9999999999909051</v>
      </c>
      <c r="BI30" s="60">
        <v>284.13</v>
      </c>
      <c r="BJ30" s="65">
        <f t="shared" si="40"/>
        <v>9.9999999999909051</v>
      </c>
      <c r="BK30" s="60">
        <v>231.44</v>
      </c>
      <c r="BL30" s="65">
        <f t="shared" si="24"/>
        <v>0</v>
      </c>
      <c r="BM30" s="60">
        <v>215.43</v>
      </c>
      <c r="BN30" s="65">
        <f t="shared" si="25"/>
        <v>30.000000000001137</v>
      </c>
      <c r="BO30" s="60">
        <v>280.54000000000002</v>
      </c>
      <c r="BP30" s="65">
        <f t="shared" si="26"/>
        <v>20.000000000038654</v>
      </c>
      <c r="BQ30" s="60">
        <v>39995</v>
      </c>
      <c r="BR30" s="65">
        <f t="shared" si="27"/>
        <v>4</v>
      </c>
      <c r="BS30" s="60">
        <v>194.24</v>
      </c>
      <c r="BT30" s="65">
        <f t="shared" si="42"/>
        <v>10.000000000019327</v>
      </c>
      <c r="BU30" s="60">
        <v>31855</v>
      </c>
      <c r="BV30" s="65">
        <f t="shared" si="29"/>
        <v>30</v>
      </c>
      <c r="BW30" s="60">
        <v>225.6</v>
      </c>
      <c r="BX30" s="65">
        <f t="shared" si="30"/>
        <v>30.000000000001137</v>
      </c>
      <c r="BY30" s="60">
        <v>50470</v>
      </c>
      <c r="BZ30" s="67">
        <f t="shared" si="31"/>
        <v>28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50286.3</v>
      </c>
      <c r="CH30" s="67">
        <f t="shared" si="35"/>
        <v>13.700000000004366</v>
      </c>
      <c r="CI30" s="60">
        <v>879491</v>
      </c>
      <c r="CJ30" s="67">
        <f t="shared" si="36"/>
        <v>181</v>
      </c>
      <c r="CK30" s="60">
        <v>611.51</v>
      </c>
      <c r="CL30" s="64">
        <f t="shared" si="37"/>
        <v>269.99999999998181</v>
      </c>
      <c r="CM30" s="65">
        <f t="shared" si="41"/>
        <v>8.2000000000000455</v>
      </c>
      <c r="CN30" s="62">
        <v>0</v>
      </c>
      <c r="CO30" s="62">
        <v>0</v>
      </c>
      <c r="CP30" s="68">
        <v>1060</v>
      </c>
      <c r="CQ30" s="67">
        <f t="shared" si="38"/>
        <v>3.2000000000000455</v>
      </c>
      <c r="CR30" s="68">
        <v>10524</v>
      </c>
      <c r="CS30" s="67">
        <f t="shared" si="38"/>
        <v>5</v>
      </c>
      <c r="CT30" s="75">
        <v>3101</v>
      </c>
      <c r="CU30" s="67">
        <f t="shared" si="38"/>
        <v>11</v>
      </c>
      <c r="CV30" s="68">
        <v>9264</v>
      </c>
      <c r="CW30" s="67">
        <f t="shared" si="38"/>
        <v>20</v>
      </c>
    </row>
    <row r="31" spans="1:101" ht="25.5" customHeight="1" thickBot="1" x14ac:dyDescent="0.45">
      <c r="A31" s="63">
        <v>44102</v>
      </c>
      <c r="B31" s="66"/>
      <c r="C31" s="58">
        <v>1.8407</v>
      </c>
      <c r="D31" s="64">
        <f t="shared" si="0"/>
        <v>1100.000000000101</v>
      </c>
      <c r="E31" s="58">
        <v>2.7768000000000002</v>
      </c>
      <c r="F31" s="64">
        <f t="shared" si="1"/>
        <v>600.00000000037801</v>
      </c>
      <c r="G31" s="58">
        <v>2.7361</v>
      </c>
      <c r="H31" s="64">
        <f t="shared" si="2"/>
        <v>1500.0000000000568</v>
      </c>
      <c r="I31" s="58">
        <v>1.3264</v>
      </c>
      <c r="J31" s="64">
        <f t="shared" si="3"/>
        <v>800.00000000013392</v>
      </c>
      <c r="K31" s="58">
        <v>2.1000999999999999</v>
      </c>
      <c r="L31" s="64">
        <f t="shared" si="4"/>
        <v>1599.9999999998238</v>
      </c>
      <c r="M31" s="58">
        <v>1.2532000000000001</v>
      </c>
      <c r="N31" s="64">
        <f t="shared" si="5"/>
        <v>500.00000000016701</v>
      </c>
      <c r="O31" s="58">
        <v>12657</v>
      </c>
      <c r="P31" s="67">
        <f t="shared" si="44"/>
        <v>1</v>
      </c>
      <c r="Q31" s="58">
        <v>5789</v>
      </c>
      <c r="R31" s="67">
        <f t="shared" si="6"/>
        <v>5</v>
      </c>
      <c r="S31" s="58">
        <v>856294</v>
      </c>
      <c r="T31" s="67">
        <f t="shared" si="7"/>
        <v>223</v>
      </c>
      <c r="U31" s="58">
        <v>349506.7</v>
      </c>
      <c r="V31" s="67">
        <f t="shared" si="8"/>
        <v>139.70000000001164</v>
      </c>
      <c r="W31" s="58">
        <v>342.17</v>
      </c>
      <c r="X31" s="65">
        <f t="shared" si="9"/>
        <v>90.000000000031832</v>
      </c>
      <c r="Y31" s="58">
        <v>2.4354</v>
      </c>
      <c r="Z31" s="65">
        <f t="shared" si="10"/>
        <v>399.99999999995595</v>
      </c>
      <c r="AA31" s="58">
        <v>334.13</v>
      </c>
      <c r="AB31" s="65">
        <f t="shared" si="11"/>
        <v>69.999999999993179</v>
      </c>
      <c r="AC31" s="58">
        <v>321.07</v>
      </c>
      <c r="AD31" s="65">
        <f t="shared" si="12"/>
        <v>120.00000000000455</v>
      </c>
      <c r="AE31" s="58">
        <v>502.16</v>
      </c>
      <c r="AF31" s="65">
        <f t="shared" si="13"/>
        <v>210.00000000003638</v>
      </c>
      <c r="AG31" s="58">
        <v>1384.1</v>
      </c>
      <c r="AH31" s="67">
        <f t="shared" si="14"/>
        <v>1.1999999999998181</v>
      </c>
      <c r="AI31" s="58">
        <v>474.33</v>
      </c>
      <c r="AJ31" s="65">
        <f t="shared" si="15"/>
        <v>240.00000000000909</v>
      </c>
      <c r="AK31" s="58">
        <v>163.05000000000001</v>
      </c>
      <c r="AL31" s="65">
        <f t="shared" si="15"/>
        <v>140.00000000001478</v>
      </c>
      <c r="AM31" s="58">
        <v>159.85</v>
      </c>
      <c r="AN31" s="65">
        <f t="shared" si="15"/>
        <v>129.99999999999545</v>
      </c>
      <c r="AO31" s="58">
        <v>155.09</v>
      </c>
      <c r="AP31" s="65">
        <f t="shared" si="15"/>
        <v>110.00000000001364</v>
      </c>
      <c r="AQ31" s="58">
        <v>221.5</v>
      </c>
      <c r="AR31" s="65">
        <f t="shared" si="16"/>
        <v>30.000000000001137</v>
      </c>
      <c r="AS31" s="58">
        <v>346.92</v>
      </c>
      <c r="AT31" s="65">
        <f t="shared" si="17"/>
        <v>20.000000000038654</v>
      </c>
      <c r="AU31" s="58">
        <v>267.64</v>
      </c>
      <c r="AV31" s="65">
        <f t="shared" si="18"/>
        <v>19.99999999998181</v>
      </c>
      <c r="AW31" s="58">
        <v>295.18</v>
      </c>
      <c r="AX31" s="65">
        <f t="shared" si="19"/>
        <v>19.99999999998181</v>
      </c>
      <c r="AY31" s="58">
        <v>346.4</v>
      </c>
      <c r="AZ31" s="65">
        <f t="shared" si="20"/>
        <v>19.99999999998181</v>
      </c>
      <c r="BA31" s="58">
        <v>366.16</v>
      </c>
      <c r="BB31" s="65">
        <f t="shared" si="21"/>
        <v>20.000000000038654</v>
      </c>
      <c r="BC31" s="58">
        <v>232.79</v>
      </c>
      <c r="BD31" s="65">
        <f t="shared" si="22"/>
        <v>19.99999999998181</v>
      </c>
      <c r="BE31" s="59">
        <v>31600</v>
      </c>
      <c r="BF31" s="67">
        <f t="shared" si="39"/>
        <v>31</v>
      </c>
      <c r="BG31" s="60">
        <v>226.14</v>
      </c>
      <c r="BH31" s="65">
        <f t="shared" si="23"/>
        <v>9.9999999999909051</v>
      </c>
      <c r="BI31" s="60">
        <v>284.14</v>
      </c>
      <c r="BJ31" s="65">
        <f t="shared" si="40"/>
        <v>9.9999999999909051</v>
      </c>
      <c r="BK31" s="60">
        <v>231.45</v>
      </c>
      <c r="BL31" s="65">
        <f t="shared" si="24"/>
        <v>9.9999999999909051</v>
      </c>
      <c r="BM31" s="60">
        <v>215.46</v>
      </c>
      <c r="BN31" s="65">
        <f t="shared" si="25"/>
        <v>30.000000000001137</v>
      </c>
      <c r="BO31" s="60">
        <v>280.56</v>
      </c>
      <c r="BP31" s="65">
        <f t="shared" si="26"/>
        <v>19.99999999998181</v>
      </c>
      <c r="BQ31" s="60">
        <v>39999</v>
      </c>
      <c r="BR31" s="65">
        <f t="shared" si="27"/>
        <v>4</v>
      </c>
      <c r="BS31" s="60">
        <v>194.26</v>
      </c>
      <c r="BT31" s="65">
        <f t="shared" si="42"/>
        <v>19.99999999998181</v>
      </c>
      <c r="BU31" s="60">
        <v>31882</v>
      </c>
      <c r="BV31" s="65">
        <f t="shared" si="29"/>
        <v>27</v>
      </c>
      <c r="BW31" s="60">
        <v>225.63</v>
      </c>
      <c r="BX31" s="65">
        <f t="shared" si="30"/>
        <v>30.000000000001137</v>
      </c>
      <c r="BY31" s="60">
        <v>50499</v>
      </c>
      <c r="BZ31" s="67">
        <f t="shared" si="31"/>
        <v>29</v>
      </c>
      <c r="CA31" s="60">
        <v>27515.599999999999</v>
      </c>
      <c r="CB31" s="67">
        <f t="shared" si="32"/>
        <v>0</v>
      </c>
      <c r="CC31" s="60">
        <v>11255.6</v>
      </c>
      <c r="CD31" s="67">
        <f t="shared" si="33"/>
        <v>0</v>
      </c>
      <c r="CE31" s="60">
        <v>5489.7</v>
      </c>
      <c r="CF31" s="67">
        <f t="shared" si="34"/>
        <v>0</v>
      </c>
      <c r="CG31" s="60">
        <v>50307.199999999997</v>
      </c>
      <c r="CH31" s="67">
        <f t="shared" si="35"/>
        <v>20.899999999994179</v>
      </c>
      <c r="CI31" s="60">
        <v>879681</v>
      </c>
      <c r="CJ31" s="67">
        <f t="shared" si="36"/>
        <v>190</v>
      </c>
      <c r="CK31" s="60">
        <v>611.91999999999996</v>
      </c>
      <c r="CL31" s="64">
        <f t="shared" si="37"/>
        <v>409.99999999996817</v>
      </c>
      <c r="CM31" s="65">
        <f t="shared" si="41"/>
        <v>31</v>
      </c>
      <c r="CN31" s="62">
        <v>0</v>
      </c>
      <c r="CO31" s="62">
        <v>0</v>
      </c>
      <c r="CP31" s="68">
        <v>1075</v>
      </c>
      <c r="CQ31" s="67">
        <f t="shared" si="38"/>
        <v>15</v>
      </c>
      <c r="CR31" s="68">
        <v>10540</v>
      </c>
      <c r="CS31" s="67">
        <f t="shared" si="38"/>
        <v>16</v>
      </c>
      <c r="CT31" s="75">
        <v>3112</v>
      </c>
      <c r="CU31" s="67">
        <f t="shared" si="38"/>
        <v>11</v>
      </c>
      <c r="CV31" s="68">
        <v>9279</v>
      </c>
      <c r="CW31" s="67">
        <f t="shared" si="38"/>
        <v>15</v>
      </c>
    </row>
    <row r="32" spans="1:101" ht="25.5" customHeight="1" thickBot="1" x14ac:dyDescent="0.45">
      <c r="A32" s="63">
        <v>44103</v>
      </c>
      <c r="B32" s="68"/>
      <c r="C32" s="58">
        <v>1.8416999999999999</v>
      </c>
      <c r="D32" s="64">
        <f t="shared" si="0"/>
        <v>999.99999999988984</v>
      </c>
      <c r="E32" s="58">
        <v>2.7774999999999999</v>
      </c>
      <c r="F32" s="64">
        <f t="shared" si="1"/>
        <v>699.99999999970089</v>
      </c>
      <c r="G32" s="58">
        <v>2.7376</v>
      </c>
      <c r="H32" s="64">
        <f t="shared" si="2"/>
        <v>1500.0000000000568</v>
      </c>
      <c r="I32" s="58">
        <v>1.3271999999999999</v>
      </c>
      <c r="J32" s="64">
        <f t="shared" si="3"/>
        <v>799.99999999991189</v>
      </c>
      <c r="K32" s="58">
        <v>2.1017999999999999</v>
      </c>
      <c r="L32" s="64">
        <f t="shared" si="4"/>
        <v>1700.0000000000348</v>
      </c>
      <c r="M32" s="58">
        <v>1.2537</v>
      </c>
      <c r="N32" s="64">
        <f t="shared" si="5"/>
        <v>499.99999999994492</v>
      </c>
      <c r="O32" s="58">
        <v>12659</v>
      </c>
      <c r="P32" s="67">
        <f t="shared" si="44"/>
        <v>2</v>
      </c>
      <c r="Q32" s="58">
        <v>5794</v>
      </c>
      <c r="R32" s="67">
        <f t="shared" si="6"/>
        <v>5</v>
      </c>
      <c r="S32" s="58">
        <v>856457.4</v>
      </c>
      <c r="T32" s="67">
        <f t="shared" si="7"/>
        <v>163.40000000002328</v>
      </c>
      <c r="U32" s="58">
        <v>349619.3</v>
      </c>
      <c r="V32" s="67">
        <f t="shared" si="8"/>
        <v>112.59999999997672</v>
      </c>
      <c r="W32" s="58">
        <v>342.25</v>
      </c>
      <c r="X32" s="65">
        <f t="shared" si="9"/>
        <v>79.999999999984084</v>
      </c>
      <c r="Y32" s="58">
        <v>2.4359000000000002</v>
      </c>
      <c r="Z32" s="65">
        <f t="shared" si="10"/>
        <v>500.00000000016701</v>
      </c>
      <c r="AA32" s="58">
        <v>334.24</v>
      </c>
      <c r="AB32" s="65">
        <f t="shared" si="11"/>
        <v>110.00000000001364</v>
      </c>
      <c r="AC32" s="58">
        <v>321.19</v>
      </c>
      <c r="AD32" s="65">
        <f t="shared" si="12"/>
        <v>120.00000000000455</v>
      </c>
      <c r="AE32" s="58">
        <v>502.35</v>
      </c>
      <c r="AF32" s="65">
        <f t="shared" si="13"/>
        <v>189.99999999999773</v>
      </c>
      <c r="AG32" s="58">
        <v>1385</v>
      </c>
      <c r="AH32" s="67">
        <f t="shared" si="14"/>
        <v>0.90000000000009095</v>
      </c>
      <c r="AI32" s="58">
        <v>474.56</v>
      </c>
      <c r="AJ32" s="65">
        <f t="shared" si="15"/>
        <v>230.00000000001819</v>
      </c>
      <c r="AK32" s="58">
        <v>163.21</v>
      </c>
      <c r="AL32" s="65">
        <f t="shared" si="15"/>
        <v>159.99999999999659</v>
      </c>
      <c r="AM32" s="58">
        <v>159.97</v>
      </c>
      <c r="AN32" s="65">
        <f t="shared" si="15"/>
        <v>120.00000000000455</v>
      </c>
      <c r="AO32" s="58">
        <v>155.19999999999999</v>
      </c>
      <c r="AP32" s="65">
        <f t="shared" si="15"/>
        <v>109.99999999998522</v>
      </c>
      <c r="AQ32" s="58">
        <v>221.53</v>
      </c>
      <c r="AR32" s="65">
        <f t="shared" si="16"/>
        <v>30.000000000001137</v>
      </c>
      <c r="AS32" s="58">
        <v>346.95</v>
      </c>
      <c r="AT32" s="65">
        <f t="shared" si="17"/>
        <v>29.999999999972715</v>
      </c>
      <c r="AU32" s="58">
        <v>267.66000000000003</v>
      </c>
      <c r="AV32" s="65">
        <f t="shared" si="18"/>
        <v>20.000000000038654</v>
      </c>
      <c r="AW32" s="58">
        <v>295.2</v>
      </c>
      <c r="AX32" s="65">
        <f t="shared" si="19"/>
        <v>19.99999999998181</v>
      </c>
      <c r="AY32" s="58">
        <v>346.43</v>
      </c>
      <c r="AZ32" s="65">
        <f t="shared" si="20"/>
        <v>30.000000000029559</v>
      </c>
      <c r="BA32" s="58">
        <v>366.19</v>
      </c>
      <c r="BB32" s="65">
        <f t="shared" si="21"/>
        <v>29.999999999972715</v>
      </c>
      <c r="BC32" s="58">
        <v>232.81</v>
      </c>
      <c r="BD32" s="65">
        <f t="shared" si="22"/>
        <v>20.000000000010232</v>
      </c>
      <c r="BE32" s="59">
        <v>31621</v>
      </c>
      <c r="BF32" s="67">
        <f t="shared" si="39"/>
        <v>21</v>
      </c>
      <c r="BG32" s="60">
        <v>226.15</v>
      </c>
      <c r="BH32" s="65">
        <f t="shared" si="23"/>
        <v>10.000000000019327</v>
      </c>
      <c r="BI32" s="60">
        <v>284.14999999999998</v>
      </c>
      <c r="BJ32" s="65">
        <f t="shared" si="40"/>
        <v>9.9999999999909051</v>
      </c>
      <c r="BK32" s="60">
        <v>231.46</v>
      </c>
      <c r="BL32" s="65">
        <f t="shared" si="24"/>
        <v>10.000000000019327</v>
      </c>
      <c r="BM32" s="60">
        <v>215.49</v>
      </c>
      <c r="BN32" s="65">
        <f t="shared" si="25"/>
        <v>30.000000000001137</v>
      </c>
      <c r="BO32" s="60">
        <v>280.58999999999997</v>
      </c>
      <c r="BP32" s="65">
        <f t="shared" si="26"/>
        <v>29.999999999972715</v>
      </c>
      <c r="BQ32" s="60">
        <v>40003</v>
      </c>
      <c r="BR32" s="65">
        <f t="shared" si="27"/>
        <v>4</v>
      </c>
      <c r="BS32" s="60">
        <v>194.27</v>
      </c>
      <c r="BT32" s="65">
        <f t="shared" si="42"/>
        <v>10.000000000019327</v>
      </c>
      <c r="BU32" s="60">
        <v>31913</v>
      </c>
      <c r="BV32" s="65">
        <f t="shared" si="29"/>
        <v>31</v>
      </c>
      <c r="BW32" s="60">
        <v>225.66</v>
      </c>
      <c r="BX32" s="65">
        <f t="shared" si="30"/>
        <v>30.000000000001137</v>
      </c>
      <c r="BY32" s="60">
        <v>50529</v>
      </c>
      <c r="BZ32" s="67">
        <f t="shared" si="31"/>
        <v>30</v>
      </c>
      <c r="CA32" s="60">
        <v>27515.599999999999</v>
      </c>
      <c r="CB32" s="67">
        <f t="shared" si="32"/>
        <v>0</v>
      </c>
      <c r="CC32" s="60">
        <v>11255.6</v>
      </c>
      <c r="CD32" s="67">
        <f t="shared" si="33"/>
        <v>0</v>
      </c>
      <c r="CE32" s="60">
        <v>5489.7</v>
      </c>
      <c r="CF32" s="67">
        <f t="shared" si="34"/>
        <v>0</v>
      </c>
      <c r="CG32" s="60">
        <v>50327</v>
      </c>
      <c r="CH32" s="67">
        <f t="shared" si="35"/>
        <v>19.80000000000291</v>
      </c>
      <c r="CI32" s="60">
        <v>879881</v>
      </c>
      <c r="CJ32" s="67">
        <f t="shared" si="36"/>
        <v>200</v>
      </c>
      <c r="CK32" s="60">
        <v>612.30999999999995</v>
      </c>
      <c r="CL32" s="64">
        <f t="shared" si="37"/>
        <v>389.99999999998636</v>
      </c>
      <c r="CM32" s="65">
        <f t="shared" si="41"/>
        <v>11.400000000000091</v>
      </c>
      <c r="CN32" s="62">
        <v>0</v>
      </c>
      <c r="CO32" s="62">
        <v>0</v>
      </c>
      <c r="CP32" s="68">
        <v>1082.4000000000001</v>
      </c>
      <c r="CQ32" s="67">
        <f t="shared" si="38"/>
        <v>7.4000000000000909</v>
      </c>
      <c r="CR32" s="68">
        <v>10544</v>
      </c>
      <c r="CS32" s="67">
        <f t="shared" si="38"/>
        <v>4</v>
      </c>
      <c r="CT32" s="75">
        <v>3123</v>
      </c>
      <c r="CU32" s="67">
        <f t="shared" si="38"/>
        <v>11</v>
      </c>
      <c r="CV32" s="68">
        <v>9297</v>
      </c>
      <c r="CW32" s="67">
        <f t="shared" si="38"/>
        <v>18</v>
      </c>
    </row>
    <row r="33" spans="1:101" ht="25.5" customHeight="1" thickBot="1" x14ac:dyDescent="0.45">
      <c r="A33" s="63">
        <v>44104</v>
      </c>
      <c r="B33" s="68"/>
      <c r="C33" s="58">
        <v>1.8427</v>
      </c>
      <c r="D33" s="64">
        <f t="shared" si="0"/>
        <v>1000.0000000001119</v>
      </c>
      <c r="E33" s="58">
        <v>2.7780999999999998</v>
      </c>
      <c r="F33" s="64">
        <f t="shared" si="1"/>
        <v>599.99999999993395</v>
      </c>
      <c r="G33" s="58">
        <v>2.7391000000000001</v>
      </c>
      <c r="H33" s="64">
        <f t="shared" si="2"/>
        <v>1500.0000000000568</v>
      </c>
      <c r="I33" s="58">
        <v>1.3280000000000001</v>
      </c>
      <c r="J33" s="64">
        <f t="shared" si="3"/>
        <v>800.00000000013392</v>
      </c>
      <c r="K33" s="58">
        <v>2.1034999999999999</v>
      </c>
      <c r="L33" s="64">
        <f t="shared" si="4"/>
        <v>1700.0000000000348</v>
      </c>
      <c r="M33" s="58">
        <v>1.2542</v>
      </c>
      <c r="N33" s="64">
        <f t="shared" si="5"/>
        <v>499.99999999994492</v>
      </c>
      <c r="O33" s="58">
        <v>12661</v>
      </c>
      <c r="P33" s="67">
        <f t="shared" si="44"/>
        <v>2</v>
      </c>
      <c r="Q33" s="58">
        <v>5800</v>
      </c>
      <c r="R33" s="67">
        <f t="shared" si="6"/>
        <v>6</v>
      </c>
      <c r="S33" s="58">
        <v>856617.2</v>
      </c>
      <c r="T33" s="67">
        <f t="shared" si="7"/>
        <v>159.79999999993015</v>
      </c>
      <c r="U33" s="58">
        <v>349727</v>
      </c>
      <c r="V33" s="67">
        <f t="shared" si="8"/>
        <v>107.70000000001164</v>
      </c>
      <c r="W33" s="58">
        <v>342.32</v>
      </c>
      <c r="X33" s="65">
        <f t="shared" si="9"/>
        <v>69.999999999993179</v>
      </c>
      <c r="Y33" s="58">
        <v>2.4363000000000001</v>
      </c>
      <c r="Z33" s="65">
        <f t="shared" si="10"/>
        <v>399.99999999995595</v>
      </c>
      <c r="AA33" s="58">
        <v>334.32</v>
      </c>
      <c r="AB33" s="65">
        <f t="shared" si="11"/>
        <v>79.999999999984084</v>
      </c>
      <c r="AC33" s="58">
        <v>321.31</v>
      </c>
      <c r="AD33" s="65">
        <f t="shared" si="12"/>
        <v>120.00000000000455</v>
      </c>
      <c r="AE33" s="58">
        <v>502.53</v>
      </c>
      <c r="AF33" s="65">
        <f t="shared" si="13"/>
        <v>179.99999999994998</v>
      </c>
      <c r="AG33" s="58">
        <v>1386.4</v>
      </c>
      <c r="AH33" s="67">
        <f t="shared" si="14"/>
        <v>1.4000000000000909</v>
      </c>
      <c r="AI33" s="58">
        <v>474.8</v>
      </c>
      <c r="AJ33" s="65">
        <f t="shared" si="15"/>
        <v>240.00000000000909</v>
      </c>
      <c r="AK33" s="58">
        <v>163.34</v>
      </c>
      <c r="AL33" s="65">
        <f t="shared" si="15"/>
        <v>129.99999999999545</v>
      </c>
      <c r="AM33" s="58">
        <v>160.09</v>
      </c>
      <c r="AN33" s="65">
        <f t="shared" si="15"/>
        <v>120.00000000000455</v>
      </c>
      <c r="AO33" s="58">
        <v>155.29</v>
      </c>
      <c r="AP33" s="65">
        <f t="shared" si="15"/>
        <v>90.000000000003411</v>
      </c>
      <c r="AQ33" s="58">
        <v>221.57</v>
      </c>
      <c r="AR33" s="65">
        <f t="shared" si="16"/>
        <v>39.999999999992042</v>
      </c>
      <c r="AS33" s="58">
        <v>346.98</v>
      </c>
      <c r="AT33" s="65">
        <f t="shared" si="17"/>
        <v>30.000000000029559</v>
      </c>
      <c r="AU33" s="58">
        <v>267.68</v>
      </c>
      <c r="AV33" s="65">
        <f t="shared" si="18"/>
        <v>19.99999999998181</v>
      </c>
      <c r="AW33" s="58">
        <v>295.22000000000003</v>
      </c>
      <c r="AX33" s="65">
        <f t="shared" si="19"/>
        <v>20.000000000038654</v>
      </c>
      <c r="AY33" s="58">
        <v>346.45</v>
      </c>
      <c r="AZ33" s="65">
        <f t="shared" si="20"/>
        <v>19.99999999998181</v>
      </c>
      <c r="BA33" s="58">
        <v>366.23</v>
      </c>
      <c r="BB33" s="65">
        <f t="shared" si="21"/>
        <v>40.000000000020464</v>
      </c>
      <c r="BC33" s="58">
        <v>232.83</v>
      </c>
      <c r="BD33" s="65">
        <f t="shared" si="22"/>
        <v>20.000000000010232</v>
      </c>
      <c r="BE33" s="59">
        <v>31643</v>
      </c>
      <c r="BF33" s="67">
        <f t="shared" si="39"/>
        <v>22</v>
      </c>
      <c r="BG33" s="60">
        <v>226.15</v>
      </c>
      <c r="BH33" s="65">
        <f t="shared" si="23"/>
        <v>0</v>
      </c>
      <c r="BI33" s="60">
        <v>284.16000000000003</v>
      </c>
      <c r="BJ33" s="65">
        <f t="shared" si="40"/>
        <v>10.000000000047748</v>
      </c>
      <c r="BK33" s="60">
        <v>231.47</v>
      </c>
      <c r="BL33" s="65">
        <f t="shared" si="24"/>
        <v>9.9999999999909051</v>
      </c>
      <c r="BM33" s="60">
        <v>215.51</v>
      </c>
      <c r="BN33" s="65">
        <f t="shared" si="25"/>
        <v>19.99999999998181</v>
      </c>
      <c r="BO33" s="60">
        <v>280.61</v>
      </c>
      <c r="BP33" s="65">
        <f t="shared" si="26"/>
        <v>20.000000000038654</v>
      </c>
      <c r="BQ33" s="60">
        <v>40008</v>
      </c>
      <c r="BR33" s="65">
        <f t="shared" si="27"/>
        <v>5</v>
      </c>
      <c r="BS33" s="60">
        <v>194.28</v>
      </c>
      <c r="BT33" s="65">
        <f t="shared" si="42"/>
        <v>9.9999999999909051</v>
      </c>
      <c r="BU33" s="60">
        <v>31939</v>
      </c>
      <c r="BV33" s="65">
        <f t="shared" si="29"/>
        <v>26</v>
      </c>
      <c r="BW33" s="60">
        <v>225.68</v>
      </c>
      <c r="BX33" s="65">
        <f t="shared" si="30"/>
        <v>20.000000000010232</v>
      </c>
      <c r="BY33" s="60">
        <v>50558</v>
      </c>
      <c r="BZ33" s="67">
        <f t="shared" si="31"/>
        <v>29</v>
      </c>
      <c r="CA33" s="60">
        <v>27515.599999999999</v>
      </c>
      <c r="CB33" s="67">
        <f t="shared" si="32"/>
        <v>0</v>
      </c>
      <c r="CC33" s="60">
        <v>11255.6</v>
      </c>
      <c r="CD33" s="67">
        <f t="shared" si="33"/>
        <v>0</v>
      </c>
      <c r="CE33" s="60">
        <v>5489.7</v>
      </c>
      <c r="CF33" s="67">
        <f t="shared" si="34"/>
        <v>0</v>
      </c>
      <c r="CG33" s="60">
        <v>50345.1</v>
      </c>
      <c r="CH33" s="67">
        <f t="shared" si="35"/>
        <v>18.099999999998545</v>
      </c>
      <c r="CI33" s="60">
        <v>880077</v>
      </c>
      <c r="CJ33" s="67">
        <f t="shared" si="36"/>
        <v>196</v>
      </c>
      <c r="CK33" s="60">
        <v>612.74</v>
      </c>
      <c r="CL33" s="64">
        <f t="shared" si="37"/>
        <v>430.00000000006366</v>
      </c>
      <c r="CM33" s="65">
        <f t="shared" si="41"/>
        <v>22</v>
      </c>
      <c r="CN33" s="62">
        <v>0</v>
      </c>
      <c r="CO33" s="62">
        <v>0</v>
      </c>
      <c r="CP33" s="68">
        <v>1100.4000000000001</v>
      </c>
      <c r="CQ33" s="67">
        <f t="shared" si="38"/>
        <v>18</v>
      </c>
      <c r="CR33" s="68">
        <v>10548</v>
      </c>
      <c r="CS33" s="67">
        <f t="shared" si="38"/>
        <v>4</v>
      </c>
      <c r="CT33" s="75">
        <v>3136</v>
      </c>
      <c r="CU33" s="67">
        <f t="shared" si="38"/>
        <v>13</v>
      </c>
      <c r="CV33" s="68">
        <v>9314</v>
      </c>
      <c r="CW33" s="67">
        <f t="shared" si="38"/>
        <v>17</v>
      </c>
    </row>
    <row r="34" spans="1:101" ht="25.5" customHeight="1" thickBot="1" x14ac:dyDescent="0.45">
      <c r="A34" s="63">
        <v>44105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S39" sqref="S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2</v>
      </c>
      <c r="P27" s="39">
        <v>1</v>
      </c>
      <c r="Q27" s="39">
        <v>2842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83</v>
      </c>
      <c r="O28" s="39">
        <v>1</v>
      </c>
      <c r="P28" s="39">
        <v>1</v>
      </c>
      <c r="Q28" s="39">
        <v>2844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81</v>
      </c>
      <c r="O29" s="39">
        <v>1</v>
      </c>
      <c r="P29" s="39">
        <v>1</v>
      </c>
      <c r="Q29" s="39">
        <v>2846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77</v>
      </c>
      <c r="O30" s="39">
        <v>1</v>
      </c>
      <c r="P30" s="39">
        <v>1</v>
      </c>
      <c r="Q30" s="39">
        <v>2849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75</v>
      </c>
      <c r="O31" s="39">
        <v>1</v>
      </c>
      <c r="P31" s="39">
        <v>1</v>
      </c>
      <c r="Q31" s="39">
        <v>2852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69</v>
      </c>
      <c r="O32" s="39">
        <v>1</v>
      </c>
      <c r="P32" s="39">
        <v>1</v>
      </c>
      <c r="Q32" s="39">
        <v>2856</v>
      </c>
      <c r="R32" s="78">
        <v>20</v>
      </c>
      <c r="S32" s="78">
        <v>196</v>
      </c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65</v>
      </c>
      <c r="O33" s="39">
        <v>1</v>
      </c>
      <c r="P33" s="39">
        <v>1</v>
      </c>
      <c r="Q33" s="39">
        <v>2858</v>
      </c>
      <c r="R33" s="78">
        <v>20</v>
      </c>
      <c r="S33" s="78">
        <v>196</v>
      </c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62</v>
      </c>
      <c r="O34" s="39">
        <v>1</v>
      </c>
      <c r="P34" s="39">
        <v>1</v>
      </c>
      <c r="Q34" s="39">
        <v>2861</v>
      </c>
      <c r="R34" s="78">
        <v>20</v>
      </c>
      <c r="S34" s="78">
        <v>196</v>
      </c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61</v>
      </c>
      <c r="O35" s="39">
        <v>1</v>
      </c>
      <c r="P35" s="39">
        <v>1</v>
      </c>
      <c r="Q35" s="39">
        <v>2863</v>
      </c>
      <c r="R35" s="78">
        <v>20</v>
      </c>
      <c r="S35" s="78">
        <v>196</v>
      </c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59</v>
      </c>
      <c r="O36" s="39">
        <v>1</v>
      </c>
      <c r="P36" s="39">
        <v>1</v>
      </c>
      <c r="Q36" s="39">
        <v>2865</v>
      </c>
      <c r="R36" s="78">
        <v>20</v>
      </c>
      <c r="S36" s="78">
        <v>196</v>
      </c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55</v>
      </c>
      <c r="O37" s="39">
        <v>1</v>
      </c>
      <c r="P37" s="39">
        <v>1</v>
      </c>
      <c r="Q37" s="39">
        <v>2868</v>
      </c>
      <c r="R37" s="78">
        <v>20</v>
      </c>
      <c r="S37" s="78">
        <v>196</v>
      </c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50</v>
      </c>
      <c r="O38" s="39">
        <v>1</v>
      </c>
      <c r="P38" s="39">
        <v>1</v>
      </c>
      <c r="Q38" s="39">
        <v>2871</v>
      </c>
      <c r="R38" s="78">
        <v>20</v>
      </c>
      <c r="S38" s="78">
        <v>196</v>
      </c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-196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2020-10-01T13:02:21Z</dcterms:modified>
</cp:coreProperties>
</file>