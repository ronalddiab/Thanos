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2\Sept\"/>
    </mc:Choice>
  </mc:AlternateContent>
  <bookViews>
    <workbookView xWindow="-105" yWindow="-105" windowWidth="19425" windowHeight="10425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AZ18" i="7"/>
  <c r="BA18" i="7" s="1"/>
  <c r="AZ19" i="7"/>
  <c r="BA19" i="7" s="1"/>
  <c r="AZ20" i="7"/>
  <c r="BA20" i="7" s="1"/>
  <c r="AZ21" i="7"/>
  <c r="BA21" i="7" s="1"/>
  <c r="AZ22" i="7"/>
  <c r="BA22" i="7" s="1"/>
  <c r="AZ23" i="7"/>
  <c r="BA23" i="7" s="1"/>
  <c r="AZ24" i="7"/>
  <c r="BA24" i="7" s="1"/>
  <c r="AZ25" i="7"/>
  <c r="BA25" i="7" s="1"/>
  <c r="AZ26" i="7"/>
  <c r="BA26" i="7" s="1"/>
  <c r="AZ27" i="7"/>
  <c r="BA27" i="7" s="1"/>
  <c r="AZ28" i="7"/>
  <c r="BA28" i="7" s="1"/>
  <c r="AZ29" i="7"/>
  <c r="BA29" i="7" s="1"/>
  <c r="AZ30" i="7"/>
  <c r="BA30" i="7" s="1"/>
  <c r="AZ31" i="7"/>
  <c r="BA31" i="7" s="1"/>
  <c r="AZ32" i="7"/>
  <c r="BA32" i="7" s="1"/>
  <c r="AZ33" i="7"/>
  <c r="BA33" i="7" s="1"/>
  <c r="AZ34" i="7"/>
  <c r="BA34" i="7" s="1"/>
  <c r="AZ35" i="7"/>
  <c r="BA35" i="7" s="1"/>
  <c r="AZ36" i="7"/>
  <c r="BA36" i="7" s="1"/>
  <c r="AZ37" i="7"/>
  <c r="BA37" i="7" s="1"/>
  <c r="AZ38" i="7"/>
  <c r="AZ7" i="7"/>
  <c r="BA7" i="7" s="1"/>
  <c r="S21" i="9" l="1"/>
  <c r="BB26" i="7"/>
  <c r="S13" i="9"/>
  <c r="BB18" i="7"/>
  <c r="S31" i="9"/>
  <c r="BB36" i="7"/>
  <c r="S27" i="9"/>
  <c r="BB32" i="7"/>
  <c r="S23" i="9"/>
  <c r="BB28" i="7"/>
  <c r="S19" i="9"/>
  <c r="BB24" i="7"/>
  <c r="S15" i="9"/>
  <c r="BB20" i="7"/>
  <c r="S11" i="9"/>
  <c r="BB16" i="7"/>
  <c r="S7" i="9"/>
  <c r="BB12" i="7"/>
  <c r="S3" i="9"/>
  <c r="BB8" i="7"/>
  <c r="S2" i="9"/>
  <c r="BA38" i="7"/>
  <c r="BB38" i="7" s="1"/>
  <c r="BB7" i="7"/>
  <c r="S30" i="9"/>
  <c r="BB35" i="7"/>
  <c r="S26" i="9"/>
  <c r="BB31" i="7"/>
  <c r="S22" i="9"/>
  <c r="BB27" i="7"/>
  <c r="S18" i="9"/>
  <c r="BB23" i="7"/>
  <c r="S14" i="9"/>
  <c r="BB19" i="7"/>
  <c r="S10" i="9"/>
  <c r="BB15" i="7"/>
  <c r="S6" i="9"/>
  <c r="BB11" i="7"/>
  <c r="S29" i="9"/>
  <c r="BB34" i="7"/>
  <c r="S25" i="9"/>
  <c r="BB30" i="7"/>
  <c r="S17" i="9"/>
  <c r="BB22" i="7"/>
  <c r="S9" i="9"/>
  <c r="BB14" i="7"/>
  <c r="S5" i="9"/>
  <c r="BB10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<sst xmlns="http://schemas.openxmlformats.org/spreadsheetml/2006/main" count="139" uniqueCount="59">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</sst>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6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0" fillId="5" borderId="2" xfId="0" quotePrefix="1" applyNumberFormat="1" applyFont="1" applyFill="1" applyBorder="1" applyAlignment="1">
      <alignment horizontal="right"/>
    </xf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Submetering!S2</f>
        <v>665.30100000000004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105</v>
      </c>
    </row>
    <row r="3" spans="1:11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Submetering!S3</f>
        <v>766.31100000000004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103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Submetering!S4</f>
        <v>632.54100000000005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88</v>
      </c>
    </row>
    <row r="5" spans="1:11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Submetering!S5</f>
        <v>585.85800000000006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87</v>
      </c>
    </row>
    <row r="6" spans="1:11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Submetering!S6</f>
        <v>576.57600000000002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90</v>
      </c>
    </row>
    <row r="7" spans="1:11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Submetering!S7</f>
        <v>528.52800000000002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89</v>
      </c>
    </row>
    <row r="8" spans="1:11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Submetering!S8</f>
        <v>565.65599999999995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94</v>
      </c>
    </row>
    <row r="9" spans="1:11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Submetering!S9</f>
        <v>618.89100000000008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82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Submetering!S10</f>
        <v>606.33299999999997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111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Submetering!S11</f>
        <v>517.88099999999997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91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Submetering!S12</f>
        <v>664.20900000000006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110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Submetering!S13</f>
        <v>745.56299999999999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116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Submetering!S14</f>
        <v>576.84900000000005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71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Submetering!S15</f>
        <v>703.52100000000007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76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Submetering!S16</f>
        <v>664.20900000000006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101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57080</v>
      </c>
      <c r="F17" s="11">
        <v>5.0000000000000001E-3</v>
      </c>
      <c r="G17" s="12">
        <f>Submetering!S17</f>
        <v>603.05700000000002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139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65889</v>
      </c>
      <c r="F18" s="11">
        <v>5.0000000000000001E-3</v>
      </c>
      <c r="G18" s="12">
        <f>Submetering!S18</f>
        <v>624.89700000000005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74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63541</v>
      </c>
      <c r="F19" s="11">
        <v>5.0000000000000001E-3</v>
      </c>
      <c r="G19" s="12">
        <f>Submetering!S19</f>
        <v>622.98599999999999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86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61430</v>
      </c>
      <c r="F20" s="11">
        <v>5.0000000000000001E-3</v>
      </c>
      <c r="G20" s="12">
        <f>Submetering!S20</f>
        <v>25.662000000000003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105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65060</v>
      </c>
      <c r="F21" s="11">
        <v>5.0000000000000001E-3</v>
      </c>
      <c r="G21" s="12">
        <f>Submetering!S21</f>
        <v>1116.8430000000001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112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66810</v>
      </c>
      <c r="F22" s="11">
        <v>5.0000000000000001E-3</v>
      </c>
      <c r="G22" s="12">
        <f>Submetering!S22</f>
        <v>600.05399999999997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135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65580</v>
      </c>
      <c r="F23" s="11">
        <v>5.0000000000000001E-3</v>
      </c>
      <c r="G23" s="12">
        <f>Submetering!S23</f>
        <v>669.12300000000005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155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66220</v>
      </c>
      <c r="F24" s="11">
        <v>5.0000000000000001E-3</v>
      </c>
      <c r="G24" s="12">
        <f>Submetering!S24</f>
        <v>568.93200000000002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176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69020</v>
      </c>
      <c r="F25" s="11">
        <v>5.0000000000000001E-3</v>
      </c>
      <c r="G25" s="12">
        <f>Submetering!S25</f>
        <v>486.48599999999999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98</v>
      </c>
    </row>
    <row r="26" spans="1:11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65620</v>
      </c>
      <c r="F26" s="11">
        <v>5.0000000000000001E-3</v>
      </c>
      <c r="G26" s="12">
        <f>Submetering!S26</f>
        <v>405.95100000000002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121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64510</v>
      </c>
      <c r="F27" s="11">
        <v>5.0000000000000001E-3</v>
      </c>
      <c r="G27" s="12">
        <f>Submetering!S27</f>
        <v>544.90800000000002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107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62530</v>
      </c>
      <c r="F28" s="11">
        <v>5.0000000000000001E-3</v>
      </c>
      <c r="G28" s="12">
        <f>Submetering!S28</f>
        <v>574.66500000000008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123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66040</v>
      </c>
      <c r="F29" s="11">
        <v>5.0000000000000001E-3</v>
      </c>
      <c r="G29" s="12">
        <f>Submetering!S29</f>
        <v>585.58500000000004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117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64110</v>
      </c>
      <c r="F30" s="11">
        <v>5.0000000000000001E-3</v>
      </c>
      <c r="G30" s="12">
        <f>Submetering!S30</f>
        <v>529.62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111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67150</v>
      </c>
      <c r="F31" s="11">
        <v>5.0000000000000001E-3</v>
      </c>
      <c r="G31" s="12">
        <f>Submetering!S31</f>
        <v>527.98199999999997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123</v>
      </c>
    </row>
    <row r="32" spans="1:1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Hotel!AT7</f>
        <v>0</v>
      </c>
      <c r="S2" s="4">
        <f>Hotel!BA7</f>
        <v>665.30100000000004</v>
      </c>
      <c r="T2" s="4">
        <f>Hotel!AX7</f>
        <v>0</v>
      </c>
      <c r="U2" s="4">
        <f>Hotel!B7</f>
        <v>105</v>
      </c>
    </row>
    <row r="3" spans="1:21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Hotel!AT8</f>
        <v>0</v>
      </c>
      <c r="S3" s="4">
        <f>Hotel!BA8</f>
        <v>766.31100000000004</v>
      </c>
      <c r="T3" s="4">
        <f>Hotel!AX8</f>
        <v>0</v>
      </c>
      <c r="U3" s="4">
        <f>Hotel!B8</f>
        <v>103</v>
      </c>
    </row>
    <row r="4" spans="1:21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Hotel!AT9</f>
        <v>0</v>
      </c>
      <c r="S4" s="4">
        <f>Hotel!BA9</f>
        <v>632.54100000000005</v>
      </c>
      <c r="T4" s="4">
        <f>Hotel!AX9</f>
        <v>0</v>
      </c>
      <c r="U4" s="4">
        <f>Hotel!B9</f>
        <v>88</v>
      </c>
    </row>
    <row r="5" spans="1:21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Hotel!AT10</f>
        <v>0</v>
      </c>
      <c r="S5" s="4">
        <f>Hotel!BA10</f>
        <v>585.85800000000006</v>
      </c>
      <c r="T5" s="4">
        <f>Hotel!AX10</f>
        <v>0</v>
      </c>
      <c r="U5" s="4">
        <f>Hotel!B10</f>
        <v>87</v>
      </c>
    </row>
    <row r="6" spans="1:21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Hotel!AT11</f>
        <v>0</v>
      </c>
      <c r="S6" s="4">
        <f>Hotel!BA11</f>
        <v>576.57600000000002</v>
      </c>
      <c r="T6" s="4">
        <f>Hotel!AX11</f>
        <v>0</v>
      </c>
      <c r="U6" s="4">
        <f>Hotel!B11</f>
        <v>90</v>
      </c>
    </row>
    <row r="7" spans="1:21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Hotel!AT12</f>
        <v>0</v>
      </c>
      <c r="S7" s="4">
        <f>Hotel!BA12</f>
        <v>528.52800000000002</v>
      </c>
      <c r="T7" s="4">
        <f>Hotel!AX12</f>
        <v>0</v>
      </c>
      <c r="U7" s="4">
        <f>Hotel!B12</f>
        <v>89</v>
      </c>
    </row>
    <row r="8" spans="1:21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Hotel!AT13</f>
        <v>0</v>
      </c>
      <c r="S8" s="4">
        <f>Hotel!BA13</f>
        <v>565.65599999999995</v>
      </c>
      <c r="T8" s="4">
        <f>Hotel!AX13</f>
        <v>0</v>
      </c>
      <c r="U8" s="4">
        <f>Hotel!B13</f>
        <v>94</v>
      </c>
    </row>
    <row r="9" spans="1:21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Hotel!AT14</f>
        <v>0</v>
      </c>
      <c r="S9" s="4">
        <f>Hotel!BA14</f>
        <v>618.89100000000008</v>
      </c>
      <c r="T9" s="4">
        <f>Hotel!AX14</f>
        <v>0</v>
      </c>
      <c r="U9" s="4">
        <f>Hotel!B14</f>
        <v>82</v>
      </c>
    </row>
    <row r="10" spans="1:21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Hotel!AT15</f>
        <v>0</v>
      </c>
      <c r="S10" s="4">
        <f>Hotel!BA15</f>
        <v>606.33299999999997</v>
      </c>
      <c r="T10" s="4">
        <f>Hotel!AX15</f>
        <v>0</v>
      </c>
      <c r="U10" s="4">
        <f>Hotel!B15</f>
        <v>111</v>
      </c>
    </row>
    <row r="11" spans="1:21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Hotel!AT16</f>
        <v>0</v>
      </c>
      <c r="S11" s="4">
        <f>Hotel!BA16</f>
        <v>517.88099999999997</v>
      </c>
      <c r="T11" s="4">
        <f>Hotel!AX16</f>
        <v>0</v>
      </c>
      <c r="U11" s="4">
        <f>Hotel!B16</f>
        <v>91</v>
      </c>
    </row>
    <row r="12" spans="1:21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Hotel!AT17</f>
        <v>0</v>
      </c>
      <c r="S12" s="4">
        <f>Hotel!BA17</f>
        <v>664.20900000000006</v>
      </c>
      <c r="T12" s="4">
        <f>Hotel!AX17</f>
        <v>0</v>
      </c>
      <c r="U12" s="4">
        <f>Hotel!B17</f>
        <v>110</v>
      </c>
    </row>
    <row r="13" spans="1:21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Hotel!AT18</f>
        <v>0</v>
      </c>
      <c r="S13" s="4">
        <f>Hotel!BA18</f>
        <v>745.56299999999999</v>
      </c>
      <c r="T13" s="4">
        <f>Hotel!AX18</f>
        <v>0</v>
      </c>
      <c r="U13" s="4">
        <f>Hotel!B18</f>
        <v>116</v>
      </c>
    </row>
    <row r="14" spans="1:21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Hotel!AT19</f>
        <v>0</v>
      </c>
      <c r="S14" s="4">
        <f>Hotel!BA19</f>
        <v>576.84900000000005</v>
      </c>
      <c r="T14" s="4">
        <f>Hotel!AX19</f>
        <v>0</v>
      </c>
      <c r="U14" s="4">
        <f>Hotel!B19</f>
        <v>71</v>
      </c>
    </row>
    <row r="15" spans="1:21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Hotel!AT20</f>
        <v>0</v>
      </c>
      <c r="S15" s="4">
        <f>Hotel!BA20</f>
        <v>703.52100000000007</v>
      </c>
      <c r="T15" s="4">
        <f>Hotel!AX20</f>
        <v>0</v>
      </c>
      <c r="U15" s="4">
        <f>Hotel!B20</f>
        <v>76</v>
      </c>
    </row>
    <row r="16" spans="1:21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Hotel!AT21</f>
        <v>0</v>
      </c>
      <c r="S16" s="4">
        <f>Hotel!BA21</f>
        <v>664.20900000000006</v>
      </c>
      <c r="T16" s="4">
        <f>Hotel!AX21</f>
        <v>0</v>
      </c>
      <c r="U16" s="4">
        <f>Hotel!B21</f>
        <v>101</v>
      </c>
    </row>
    <row r="17" spans="1:21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840</v>
      </c>
      <c r="F17" s="4">
        <f>Hotel!R22</f>
        <v>11560</v>
      </c>
      <c r="G17" s="4">
        <f>Hotel!S22</f>
        <v>2970</v>
      </c>
      <c r="H17" s="4">
        <f>Hotel!T22</f>
        <v>1410</v>
      </c>
      <c r="I17" s="4">
        <f>Hotel!U22</f>
        <v>3870</v>
      </c>
      <c r="J17" s="4">
        <f>Hotel!V22</f>
        <v>3680</v>
      </c>
      <c r="K17" s="4">
        <f>Hotel!W22</f>
        <v>2920</v>
      </c>
      <c r="L17" s="4">
        <f>Hotel!X22</f>
        <v>4000</v>
      </c>
      <c r="M17" s="4">
        <f>Hotel!Y22</f>
        <v>5040</v>
      </c>
      <c r="N17" s="4">
        <f>Hotel!Z22</f>
        <v>2210</v>
      </c>
      <c r="O17" s="4">
        <f>Hotel!AA22</f>
        <v>2660</v>
      </c>
      <c r="P17" s="4">
        <f>Hotel!AB22</f>
        <v>5980</v>
      </c>
      <c r="Q17" s="4">
        <f>Hotel!AC22</f>
        <v>9940</v>
      </c>
      <c r="R17" s="4">
        <f>Hotel!AT22</f>
        <v>0</v>
      </c>
      <c r="S17" s="4">
        <f>Hotel!BA22</f>
        <v>603.05700000000002</v>
      </c>
      <c r="T17" s="4">
        <f>Hotel!AX22</f>
        <v>0</v>
      </c>
      <c r="U17" s="4">
        <f>Hotel!B22</f>
        <v>139</v>
      </c>
    </row>
    <row r="18" spans="1:21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999</v>
      </c>
      <c r="F18" s="4">
        <f>Hotel!R23</f>
        <v>13220</v>
      </c>
      <c r="G18" s="4">
        <f>Hotel!S23</f>
        <v>3360</v>
      </c>
      <c r="H18" s="4">
        <f>Hotel!T23</f>
        <v>1610</v>
      </c>
      <c r="I18" s="4">
        <f>Hotel!U23</f>
        <v>4400</v>
      </c>
      <c r="J18" s="4">
        <f>Hotel!V23</f>
        <v>4160</v>
      </c>
      <c r="K18" s="4">
        <f>Hotel!W23</f>
        <v>3820</v>
      </c>
      <c r="L18" s="4">
        <f>Hotel!X23</f>
        <v>4570</v>
      </c>
      <c r="M18" s="4">
        <f>Hotel!Y23</f>
        <v>5690</v>
      </c>
      <c r="N18" s="4">
        <f>Hotel!Z23</f>
        <v>2470</v>
      </c>
      <c r="O18" s="4">
        <f>Hotel!AA23</f>
        <v>2930</v>
      </c>
      <c r="P18" s="4">
        <f>Hotel!AB23</f>
        <v>6960</v>
      </c>
      <c r="Q18" s="4">
        <f>Hotel!AC23</f>
        <v>11700</v>
      </c>
      <c r="R18" s="4">
        <f>Hotel!AT23</f>
        <v>0</v>
      </c>
      <c r="S18" s="4">
        <f>Hotel!BA23</f>
        <v>624.89700000000005</v>
      </c>
      <c r="T18" s="4">
        <f>Hotel!AX23</f>
        <v>0</v>
      </c>
      <c r="U18" s="4">
        <f>Hotel!B23</f>
        <v>74</v>
      </c>
    </row>
    <row r="19" spans="1:21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1001</v>
      </c>
      <c r="F19" s="4">
        <f>Hotel!R24</f>
        <v>13260</v>
      </c>
      <c r="G19" s="4">
        <f>Hotel!S24</f>
        <v>3330</v>
      </c>
      <c r="H19" s="4">
        <f>Hotel!T24</f>
        <v>1630</v>
      </c>
      <c r="I19" s="4">
        <f>Hotel!U24</f>
        <v>4270</v>
      </c>
      <c r="J19" s="4">
        <f>Hotel!V24</f>
        <v>4250</v>
      </c>
      <c r="K19" s="4">
        <f>Hotel!W24</f>
        <v>3170</v>
      </c>
      <c r="L19" s="4">
        <f>Hotel!X24</f>
        <v>4300</v>
      </c>
      <c r="M19" s="4">
        <f>Hotel!Y24</f>
        <v>5320</v>
      </c>
      <c r="N19" s="4">
        <f>Hotel!Z24</f>
        <v>2500</v>
      </c>
      <c r="O19" s="4">
        <f>Hotel!AA24</f>
        <v>2740</v>
      </c>
      <c r="P19" s="4">
        <f>Hotel!AB24</f>
        <v>7040</v>
      </c>
      <c r="Q19" s="4">
        <f>Hotel!AC24</f>
        <v>10730</v>
      </c>
      <c r="R19" s="4">
        <f>Hotel!AT24</f>
        <v>0</v>
      </c>
      <c r="S19" s="4">
        <f>Hotel!BA24</f>
        <v>622.98599999999999</v>
      </c>
      <c r="T19" s="4">
        <f>Hotel!AX24</f>
        <v>0</v>
      </c>
      <c r="U19" s="4">
        <f>Hotel!B24</f>
        <v>86</v>
      </c>
    </row>
    <row r="20" spans="1:21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980</v>
      </c>
      <c r="F20" s="4">
        <f>Hotel!R25</f>
        <v>12910</v>
      </c>
      <c r="G20" s="4">
        <f>Hotel!S25</f>
        <v>3240</v>
      </c>
      <c r="H20" s="4">
        <f>Hotel!T25</f>
        <v>1600</v>
      </c>
      <c r="I20" s="4">
        <f>Hotel!U25</f>
        <v>4140</v>
      </c>
      <c r="J20" s="4">
        <f>Hotel!V25</f>
        <v>4020</v>
      </c>
      <c r="K20" s="4">
        <f>Hotel!W25</f>
        <v>2980</v>
      </c>
      <c r="L20" s="4">
        <f>Hotel!X25</f>
        <v>4420</v>
      </c>
      <c r="M20" s="4">
        <f>Hotel!Y25</f>
        <v>5490</v>
      </c>
      <c r="N20" s="4">
        <f>Hotel!Z25</f>
        <v>2380</v>
      </c>
      <c r="O20" s="4">
        <f>Hotel!AA25</f>
        <v>2820</v>
      </c>
      <c r="P20" s="4">
        <f>Hotel!AB25</f>
        <v>6780</v>
      </c>
      <c r="Q20" s="4">
        <f>Hotel!AC25</f>
        <v>9670</v>
      </c>
      <c r="R20" s="4">
        <f>Hotel!AT25</f>
        <v>0</v>
      </c>
      <c r="S20" s="4">
        <f>Hotel!BA25</f>
        <v>25.662000000000003</v>
      </c>
      <c r="T20" s="4">
        <f>Hotel!AX25</f>
        <v>0</v>
      </c>
      <c r="U20" s="4">
        <f>Hotel!B25</f>
        <v>105</v>
      </c>
    </row>
    <row r="21" spans="1:21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1060</v>
      </c>
      <c r="F21" s="4">
        <f>Hotel!R26</f>
        <v>14890</v>
      </c>
      <c r="G21" s="4">
        <f>Hotel!S26</f>
        <v>3920</v>
      </c>
      <c r="H21" s="4">
        <f>Hotel!T26</f>
        <v>1680</v>
      </c>
      <c r="I21" s="4">
        <f>Hotel!U26</f>
        <v>4370</v>
      </c>
      <c r="J21" s="4">
        <f>Hotel!V26</f>
        <v>4260</v>
      </c>
      <c r="K21" s="4">
        <f>Hotel!W26</f>
        <v>3390</v>
      </c>
      <c r="L21" s="4">
        <f>Hotel!X26</f>
        <v>4510</v>
      </c>
      <c r="M21" s="4">
        <f>Hotel!Y26</f>
        <v>5490</v>
      </c>
      <c r="N21" s="4">
        <f>Hotel!Z26</f>
        <v>2580</v>
      </c>
      <c r="O21" s="4">
        <f>Hotel!AA26</f>
        <v>2880</v>
      </c>
      <c r="P21" s="4">
        <f>Hotel!AB26</f>
        <v>6880</v>
      </c>
      <c r="Q21" s="4">
        <f>Hotel!AC26</f>
        <v>9150</v>
      </c>
      <c r="R21" s="4">
        <f>Hotel!AT26</f>
        <v>0</v>
      </c>
      <c r="S21" s="4">
        <f>Hotel!BA26</f>
        <v>1116.8430000000001</v>
      </c>
      <c r="T21" s="4">
        <f>Hotel!AX26</f>
        <v>0</v>
      </c>
      <c r="U21" s="4">
        <f>Hotel!B26</f>
        <v>112</v>
      </c>
    </row>
    <row r="22" spans="1:21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2650</v>
      </c>
      <c r="F22" s="4">
        <f>Hotel!R27</f>
        <v>15530</v>
      </c>
      <c r="G22" s="4">
        <f>Hotel!S27</f>
        <v>4120</v>
      </c>
      <c r="H22" s="4">
        <f>Hotel!T27</f>
        <v>1650</v>
      </c>
      <c r="I22" s="4">
        <f>Hotel!U27</f>
        <v>4460</v>
      </c>
      <c r="J22" s="4">
        <f>Hotel!V27</f>
        <v>4260</v>
      </c>
      <c r="K22" s="4">
        <f>Hotel!W27</f>
        <v>3400</v>
      </c>
      <c r="L22" s="4">
        <f>Hotel!X27</f>
        <v>4610</v>
      </c>
      <c r="M22" s="4">
        <f>Hotel!Y27</f>
        <v>5510</v>
      </c>
      <c r="N22" s="4">
        <f>Hotel!Z27</f>
        <v>2510</v>
      </c>
      <c r="O22" s="4">
        <f>Hotel!AA27</f>
        <v>2830</v>
      </c>
      <c r="P22" s="4">
        <f>Hotel!AB27</f>
        <v>6810</v>
      </c>
      <c r="Q22" s="4">
        <f>Hotel!AC27</f>
        <v>8470</v>
      </c>
      <c r="R22" s="4">
        <f>Hotel!AT27</f>
        <v>0</v>
      </c>
      <c r="S22" s="4">
        <f>Hotel!BA27</f>
        <v>600.05399999999997</v>
      </c>
      <c r="T22" s="4">
        <f>Hotel!AX27</f>
        <v>0</v>
      </c>
      <c r="U22" s="4">
        <f>Hotel!B27</f>
        <v>135</v>
      </c>
    </row>
    <row r="23" spans="1:21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990</v>
      </c>
      <c r="F23" s="4">
        <f>Hotel!R28</f>
        <v>14350</v>
      </c>
      <c r="G23" s="4">
        <f>Hotel!S28</f>
        <v>3750</v>
      </c>
      <c r="H23" s="4">
        <f>Hotel!T28</f>
        <v>1650</v>
      </c>
      <c r="I23" s="4">
        <f>Hotel!U28</f>
        <v>4620</v>
      </c>
      <c r="J23" s="4">
        <f>Hotel!V28</f>
        <v>4280</v>
      </c>
      <c r="K23" s="4">
        <f>Hotel!W28</f>
        <v>3500</v>
      </c>
      <c r="L23" s="4">
        <f>Hotel!X28</f>
        <v>4620</v>
      </c>
      <c r="M23" s="4">
        <f>Hotel!Y28</f>
        <v>5650</v>
      </c>
      <c r="N23" s="4">
        <f>Hotel!Z28</f>
        <v>2660</v>
      </c>
      <c r="O23" s="4">
        <f>Hotel!AA28</f>
        <v>3030</v>
      </c>
      <c r="P23" s="4">
        <f>Hotel!AB28</f>
        <v>7100</v>
      </c>
      <c r="Q23" s="4">
        <f>Hotel!AC28</f>
        <v>9380</v>
      </c>
      <c r="R23" s="4">
        <f>Hotel!AT28</f>
        <v>0</v>
      </c>
      <c r="S23" s="4">
        <f>Hotel!BA28</f>
        <v>669.12300000000005</v>
      </c>
      <c r="T23" s="4">
        <f>Hotel!AX28</f>
        <v>0</v>
      </c>
      <c r="U23" s="4">
        <f>Hotel!B28</f>
        <v>155</v>
      </c>
    </row>
    <row r="24" spans="1:21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1150</v>
      </c>
      <c r="F24" s="4">
        <f>Hotel!R29</f>
        <v>15080</v>
      </c>
      <c r="G24" s="4">
        <f>Hotel!S29</f>
        <v>4080</v>
      </c>
      <c r="H24" s="4">
        <f>Hotel!T29</f>
        <v>1640</v>
      </c>
      <c r="I24" s="4">
        <f>Hotel!U29</f>
        <v>4580</v>
      </c>
      <c r="J24" s="4">
        <f>Hotel!V29</f>
        <v>4160</v>
      </c>
      <c r="K24" s="4">
        <f>Hotel!W29</f>
        <v>3580</v>
      </c>
      <c r="L24" s="4">
        <f>Hotel!X29</f>
        <v>4350</v>
      </c>
      <c r="M24" s="4">
        <f>Hotel!Y29</f>
        <v>5620</v>
      </c>
      <c r="N24" s="4">
        <f>Hotel!Z29</f>
        <v>2750</v>
      </c>
      <c r="O24" s="4">
        <f>Hotel!AA29</f>
        <v>3060</v>
      </c>
      <c r="P24" s="4">
        <f>Hotel!AB29</f>
        <v>7000</v>
      </c>
      <c r="Q24" s="4">
        <f>Hotel!AC29</f>
        <v>9170</v>
      </c>
      <c r="R24" s="4">
        <f>Hotel!AT29</f>
        <v>0</v>
      </c>
      <c r="S24" s="4">
        <f>Hotel!BA29</f>
        <v>568.93200000000002</v>
      </c>
      <c r="T24" s="4">
        <f>Hotel!AX29</f>
        <v>0</v>
      </c>
      <c r="U24" s="4">
        <f>Hotel!B29</f>
        <v>176</v>
      </c>
    </row>
    <row r="25" spans="1:21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1010</v>
      </c>
      <c r="F25" s="4">
        <f>Hotel!R30</f>
        <v>13760</v>
      </c>
      <c r="G25" s="4">
        <f>Hotel!S30</f>
        <v>3440</v>
      </c>
      <c r="H25" s="4">
        <f>Hotel!T30</f>
        <v>1690</v>
      </c>
      <c r="I25" s="4">
        <f>Hotel!U30</f>
        <v>4790</v>
      </c>
      <c r="J25" s="4">
        <f>Hotel!V30</f>
        <v>4330</v>
      </c>
      <c r="K25" s="4">
        <f>Hotel!W30</f>
        <v>3420</v>
      </c>
      <c r="L25" s="4">
        <f>Hotel!X30</f>
        <v>4680</v>
      </c>
      <c r="M25" s="4">
        <f>Hotel!Y30</f>
        <v>5960</v>
      </c>
      <c r="N25" s="4">
        <f>Hotel!Z30</f>
        <v>2710</v>
      </c>
      <c r="O25" s="4">
        <f>Hotel!AA30</f>
        <v>3160</v>
      </c>
      <c r="P25" s="4">
        <f>Hotel!AB30</f>
        <v>7220</v>
      </c>
      <c r="Q25" s="4">
        <f>Hotel!AC30</f>
        <v>12850</v>
      </c>
      <c r="R25" s="4">
        <f>Hotel!AT30</f>
        <v>0</v>
      </c>
      <c r="S25" s="4">
        <f>Hotel!BA30</f>
        <v>486.48599999999999</v>
      </c>
      <c r="T25" s="4">
        <f>Hotel!AX30</f>
        <v>0</v>
      </c>
      <c r="U25" s="4">
        <f>Hotel!B30</f>
        <v>98</v>
      </c>
    </row>
    <row r="26" spans="1:21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1000</v>
      </c>
      <c r="F26" s="4">
        <f>Hotel!R31</f>
        <v>13150</v>
      </c>
      <c r="G26" s="4">
        <f>Hotel!S31</f>
        <v>3280</v>
      </c>
      <c r="H26" s="4">
        <f>Hotel!T31</f>
        <v>1640</v>
      </c>
      <c r="I26" s="4">
        <f>Hotel!U31</f>
        <v>4580</v>
      </c>
      <c r="J26" s="4">
        <f>Hotel!V31</f>
        <v>4080</v>
      </c>
      <c r="K26" s="4">
        <f>Hotel!W31</f>
        <v>3230</v>
      </c>
      <c r="L26" s="4">
        <f>Hotel!X31</f>
        <v>4240</v>
      </c>
      <c r="M26" s="4">
        <f>Hotel!Y31</f>
        <v>5360</v>
      </c>
      <c r="N26" s="4">
        <f>Hotel!Z31</f>
        <v>2540</v>
      </c>
      <c r="O26" s="4">
        <f>Hotel!AA31</f>
        <v>2950</v>
      </c>
      <c r="P26" s="4">
        <f>Hotel!AB31</f>
        <v>6890</v>
      </c>
      <c r="Q26" s="4">
        <f>Hotel!AC31</f>
        <v>12680</v>
      </c>
      <c r="R26" s="4">
        <f>Hotel!AT31</f>
        <v>0</v>
      </c>
      <c r="S26" s="4">
        <f>Hotel!BA31</f>
        <v>405.95100000000002</v>
      </c>
      <c r="T26" s="4">
        <f>Hotel!AX31</f>
        <v>0</v>
      </c>
      <c r="U26" s="4">
        <f>Hotel!B31</f>
        <v>121</v>
      </c>
    </row>
    <row r="27" spans="1:21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980</v>
      </c>
      <c r="F27" s="4">
        <f>Hotel!R32</f>
        <v>12310</v>
      </c>
      <c r="G27" s="4">
        <f>Hotel!S32</f>
        <v>3010</v>
      </c>
      <c r="H27" s="4">
        <f>Hotel!T32</f>
        <v>1570</v>
      </c>
      <c r="I27" s="4">
        <f>Hotel!U32</f>
        <v>4370</v>
      </c>
      <c r="J27" s="4">
        <f>Hotel!V32</f>
        <v>4010</v>
      </c>
      <c r="K27" s="4">
        <f>Hotel!W32</f>
        <v>3400</v>
      </c>
      <c r="L27" s="4">
        <f>Hotel!X32</f>
        <v>4620</v>
      </c>
      <c r="M27" s="4">
        <f>Hotel!Y32</f>
        <v>5260</v>
      </c>
      <c r="N27" s="4">
        <f>Hotel!Z32</f>
        <v>2400</v>
      </c>
      <c r="O27" s="4">
        <f>Hotel!AA32</f>
        <v>2840</v>
      </c>
      <c r="P27" s="4">
        <f>Hotel!AB32</f>
        <v>6840</v>
      </c>
      <c r="Q27" s="4">
        <f>Hotel!AC32</f>
        <v>12900</v>
      </c>
      <c r="R27" s="4">
        <f>Hotel!AT32</f>
        <v>0</v>
      </c>
      <c r="S27" s="4">
        <f>Hotel!BA32</f>
        <v>544.90800000000002</v>
      </c>
      <c r="T27" s="4">
        <f>Hotel!AX32</f>
        <v>0</v>
      </c>
      <c r="U27" s="4">
        <f>Hotel!B32</f>
        <v>107</v>
      </c>
    </row>
    <row r="28" spans="1:21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970</v>
      </c>
      <c r="F28" s="4">
        <f>Hotel!R33</f>
        <v>11200</v>
      </c>
      <c r="G28" s="4">
        <f>Hotel!S33</f>
        <v>3040</v>
      </c>
      <c r="H28" s="4">
        <f>Hotel!T33</f>
        <v>1540</v>
      </c>
      <c r="I28" s="4">
        <f>Hotel!U33</f>
        <v>4470</v>
      </c>
      <c r="J28" s="4">
        <f>Hotel!V33</f>
        <v>4100</v>
      </c>
      <c r="K28" s="4">
        <f>Hotel!W33</f>
        <v>3340</v>
      </c>
      <c r="L28" s="4">
        <f>Hotel!X33</f>
        <v>4730</v>
      </c>
      <c r="M28" s="4">
        <f>Hotel!Y33</f>
        <v>5350</v>
      </c>
      <c r="N28" s="4">
        <f>Hotel!Z33</f>
        <v>2500</v>
      </c>
      <c r="O28" s="4">
        <f>Hotel!AA33</f>
        <v>2890</v>
      </c>
      <c r="P28" s="4">
        <f>Hotel!AB33</f>
        <v>6830</v>
      </c>
      <c r="Q28" s="4">
        <f>Hotel!AC33</f>
        <v>11570</v>
      </c>
      <c r="R28" s="4">
        <f>Hotel!AT33</f>
        <v>0</v>
      </c>
      <c r="S28" s="4">
        <f>Hotel!BA33</f>
        <v>574.66500000000008</v>
      </c>
      <c r="T28" s="4">
        <f>Hotel!AX33</f>
        <v>0</v>
      </c>
      <c r="U28" s="4">
        <f>Hotel!B33</f>
        <v>123</v>
      </c>
    </row>
    <row r="29" spans="1:21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1060</v>
      </c>
      <c r="F29" s="4">
        <f>Hotel!R34</f>
        <v>14250</v>
      </c>
      <c r="G29" s="4">
        <f>Hotel!S34</f>
        <v>2000</v>
      </c>
      <c r="H29" s="4">
        <f>Hotel!T34</f>
        <v>1600</v>
      </c>
      <c r="I29" s="4">
        <f>Hotel!U34</f>
        <v>4790</v>
      </c>
      <c r="J29" s="4">
        <f>Hotel!V34</f>
        <v>4100</v>
      </c>
      <c r="K29" s="4">
        <f>Hotel!W34</f>
        <v>3360</v>
      </c>
      <c r="L29" s="4">
        <f>Hotel!X34</f>
        <v>4850</v>
      </c>
      <c r="M29" s="4">
        <f>Hotel!Y34</f>
        <v>5500</v>
      </c>
      <c r="N29" s="4">
        <f>Hotel!Z34</f>
        <v>2610</v>
      </c>
      <c r="O29" s="4">
        <f>Hotel!AA34</f>
        <v>3160</v>
      </c>
      <c r="P29" s="4">
        <f>Hotel!AB34</f>
        <v>7150</v>
      </c>
      <c r="Q29" s="4">
        <f>Hotel!AC34</f>
        <v>11610</v>
      </c>
      <c r="R29" s="4">
        <f>Hotel!AT34</f>
        <v>0</v>
      </c>
      <c r="S29" s="4">
        <f>Hotel!BA34</f>
        <v>585.58500000000004</v>
      </c>
      <c r="T29" s="4">
        <f>Hotel!AX34</f>
        <v>0</v>
      </c>
      <c r="U29" s="4">
        <f>Hotel!B34</f>
        <v>117</v>
      </c>
    </row>
    <row r="30" spans="1:21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920</v>
      </c>
      <c r="F30" s="4">
        <f>Hotel!R35</f>
        <v>12900</v>
      </c>
      <c r="G30" s="4">
        <f>Hotel!S35</f>
        <v>2290</v>
      </c>
      <c r="H30" s="4">
        <f>Hotel!T35</f>
        <v>1520</v>
      </c>
      <c r="I30" s="4">
        <f>Hotel!U35</f>
        <v>4720</v>
      </c>
      <c r="J30" s="4">
        <f>Hotel!V35</f>
        <v>4280</v>
      </c>
      <c r="K30" s="4">
        <f>Hotel!W35</f>
        <v>3270</v>
      </c>
      <c r="L30" s="4">
        <f>Hotel!X35</f>
        <v>4760</v>
      </c>
      <c r="M30" s="4">
        <f>Hotel!Y35</f>
        <v>5520</v>
      </c>
      <c r="N30" s="4">
        <f>Hotel!Z35</f>
        <v>2630</v>
      </c>
      <c r="O30" s="4">
        <f>Hotel!AA35</f>
        <v>3100</v>
      </c>
      <c r="P30" s="4">
        <f>Hotel!AB35</f>
        <v>7020</v>
      </c>
      <c r="Q30" s="4">
        <f>Hotel!AC35</f>
        <v>11180</v>
      </c>
      <c r="R30" s="4">
        <f>Hotel!AT35</f>
        <v>0</v>
      </c>
      <c r="S30" s="4">
        <f>Hotel!BA35</f>
        <v>529.62</v>
      </c>
      <c r="T30" s="4">
        <f>Hotel!AX35</f>
        <v>0</v>
      </c>
      <c r="U30" s="4">
        <f>Hotel!B35</f>
        <v>111</v>
      </c>
    </row>
    <row r="31" spans="1:21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1030</v>
      </c>
      <c r="F31" s="4">
        <f>Hotel!R36</f>
        <v>12950</v>
      </c>
      <c r="G31" s="4">
        <f>Hotel!S36</f>
        <v>3150</v>
      </c>
      <c r="H31" s="4">
        <f>Hotel!T36</f>
        <v>1580</v>
      </c>
      <c r="I31" s="4">
        <f>Hotel!U36</f>
        <v>4910</v>
      </c>
      <c r="J31" s="4">
        <f>Hotel!V36</f>
        <v>4340</v>
      </c>
      <c r="K31" s="4">
        <f>Hotel!W36</f>
        <v>3730</v>
      </c>
      <c r="L31" s="4">
        <f>Hotel!X36</f>
        <v>4790</v>
      </c>
      <c r="M31" s="4">
        <f>Hotel!Y36</f>
        <v>5730</v>
      </c>
      <c r="N31" s="4">
        <f>Hotel!Z36</f>
        <v>2750</v>
      </c>
      <c r="O31" s="4">
        <f>Hotel!AA36</f>
        <v>3330</v>
      </c>
      <c r="P31" s="4">
        <f>Hotel!AB36</f>
        <v>7290</v>
      </c>
      <c r="Q31" s="4">
        <f>Hotel!AC36</f>
        <v>11570</v>
      </c>
      <c r="R31" s="4">
        <f>Hotel!AT36</f>
        <v>0</v>
      </c>
      <c r="S31" s="4">
        <f>Hotel!BA36</f>
        <v>527.98199999999997</v>
      </c>
      <c r="T31" s="4">
        <f>Hotel!AX36</f>
        <v>0</v>
      </c>
      <c r="U31" s="4">
        <f>Hotel!B36</f>
        <v>123</v>
      </c>
    </row>
    <row r="32" spans="1:21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Hotel!AT37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zoomScale="93" zoomScaleNormal="93" workbookViewId="0">
      <selection activeCell="C4" sqref="C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60" customWidth="1"/>
    <col min="47" max="47" width="7.28515625" customWidth="1"/>
    <col min="48" max="50" width="11.85546875" style="63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44804</v>
      </c>
      <c r="B2" s="40">
        <v>105</v>
      </c>
      <c r="C2" s="51">
        <v>8408970</v>
      </c>
      <c r="D2" s="51">
        <v>20178550</v>
      </c>
      <c r="E2" s="51">
        <v>3529170</v>
      </c>
      <c r="F2" s="51">
        <v>4230550</v>
      </c>
      <c r="G2" s="51">
        <v>12475530</v>
      </c>
      <c r="H2" s="51">
        <v>7286630</v>
      </c>
      <c r="I2" s="51">
        <v>6331940</v>
      </c>
      <c r="J2" s="51">
        <v>7862680</v>
      </c>
      <c r="K2" s="51">
        <v>11501880</v>
      </c>
      <c r="L2" s="51">
        <v>5005660</v>
      </c>
      <c r="M2" s="51">
        <v>9294450</v>
      </c>
      <c r="N2" s="51">
        <v>15241450</v>
      </c>
      <c r="O2" s="51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64">
        <v>298912</v>
      </c>
      <c r="AW2" s="64"/>
      <c r="AX2" s="64">
        <v>298912</v>
      </c>
      <c r="AY2" s="54">
        <v>175395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71" t="s">
        <v>23</v>
      </c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Q4" s="73" t="s">
        <v>24</v>
      </c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5"/>
      <c r="AD4" s="28" t="s">
        <v>25</v>
      </c>
      <c r="AF4" s="76" t="s">
        <v>26</v>
      </c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29" t="s">
        <v>27</v>
      </c>
      <c r="AT4" s="77" t="s">
        <v>51</v>
      </c>
      <c r="AV4" s="78" t="s">
        <v>53</v>
      </c>
      <c r="AW4" s="78" t="s">
        <v>55</v>
      </c>
      <c r="AX4" s="78" t="s">
        <v>56</v>
      </c>
      <c r="AY4" s="67" t="s">
        <v>28</v>
      </c>
      <c r="AZ4" s="68" t="s">
        <v>29</v>
      </c>
      <c r="BA4" s="68" t="s">
        <v>48</v>
      </c>
      <c r="BB4" s="70" t="s">
        <v>30</v>
      </c>
    </row>
    <row r="5" spans="1:54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7"/>
      <c r="AV5" s="78"/>
      <c r="AW5" s="78"/>
      <c r="AX5" s="78"/>
      <c r="AY5" s="67"/>
      <c r="AZ5" s="69"/>
      <c r="BA5" s="69"/>
      <c r="BB5" s="70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64">
        <v>298912</v>
      </c>
      <c r="AW6" s="64"/>
      <c r="AX6" s="64" t="s">
        <v>57</v>
      </c>
      <c r="AY6" s="54">
        <v>175395</v>
      </c>
    </row>
    <row r="7" spans="1:54" x14ac:dyDescent="0.25">
      <c r="A7" s="23">
        <v>44805</v>
      </c>
      <c r="B7" s="40">
        <v>105</v>
      </c>
      <c r="C7" s="50">
        <v>8409960</v>
      </c>
      <c r="D7" s="50">
        <v>20192600</v>
      </c>
      <c r="E7" s="50">
        <v>3532910</v>
      </c>
      <c r="F7" s="50">
        <v>4232220</v>
      </c>
      <c r="G7" s="50">
        <v>12479930</v>
      </c>
      <c r="H7" s="50">
        <v>7291070</v>
      </c>
      <c r="I7" s="50">
        <v>6335400</v>
      </c>
      <c r="J7" s="50">
        <v>7867180</v>
      </c>
      <c r="K7" s="50">
        <v>11507740</v>
      </c>
      <c r="L7" s="50">
        <v>5008120</v>
      </c>
      <c r="M7" s="50">
        <v>9297260</v>
      </c>
      <c r="N7" s="50">
        <v>15248530</v>
      </c>
      <c r="O7" s="50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T7" s="61"/>
      <c r="AV7" s="65">
        <v>0</v>
      </c>
      <c r="AW7" s="64">
        <f t="shared" ref="AW7:AW39" si="14">(AV8-AV7)*1000</f>
        <v>0</v>
      </c>
      <c r="AX7" s="66">
        <f>AW7*$AX$44</f>
        <v>0</v>
      </c>
      <c r="AY7" s="53">
        <v>177832</v>
      </c>
      <c r="AZ7" s="37">
        <f>(IF((AY7-AY6&lt;0),"0",AY7-AY6))*100</f>
        <v>243700</v>
      </c>
      <c r="BA7" s="37">
        <f>AZ7*$AZ$44*60%</f>
        <v>665.30100000000004</v>
      </c>
      <c r="BB7" s="59">
        <f>BA7*0.4444</f>
        <v>295.65976440000003</v>
      </c>
    </row>
    <row r="8" spans="1:54" x14ac:dyDescent="0.25">
      <c r="A8" s="23">
        <v>44806</v>
      </c>
      <c r="B8" s="40">
        <v>103</v>
      </c>
      <c r="C8" s="79">
        <v>8410970</v>
      </c>
      <c r="D8" s="79">
        <v>20206910</v>
      </c>
      <c r="E8" s="79">
        <v>3536720</v>
      </c>
      <c r="F8" s="79">
        <v>4233910</v>
      </c>
      <c r="G8" s="79">
        <v>12484460</v>
      </c>
      <c r="H8" s="79">
        <v>7295390</v>
      </c>
      <c r="I8" s="79">
        <v>6338610</v>
      </c>
      <c r="J8" s="79">
        <v>7871790</v>
      </c>
      <c r="K8" s="79">
        <v>11513560</v>
      </c>
      <c r="L8" s="79">
        <v>5010740</v>
      </c>
      <c r="M8" s="79">
        <v>9300230</v>
      </c>
      <c r="N8" s="79">
        <v>15255780</v>
      </c>
      <c r="O8" s="79">
        <v>21330340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T8" s="61"/>
      <c r="AV8" s="65">
        <v>0</v>
      </c>
      <c r="AW8" s="64">
        <f t="shared" si="14"/>
        <v>0</v>
      </c>
      <c r="AX8" s="66">
        <f t="shared" ref="AX8:AX39" si="17">AW8*$AX$44</f>
        <v>0</v>
      </c>
      <c r="AY8" s="55">
        <v>180639</v>
      </c>
      <c r="AZ8" s="37">
        <f t="shared" ref="AZ8:AZ38" si="18">(IF((AY8-AY7&lt;0),"0",AY8-AY7))*100</f>
        <v>280700</v>
      </c>
      <c r="BA8" s="37">
        <f t="shared" ref="BA8:BA39" si="19">AZ8*$AZ$44*60%</f>
        <v>766.31100000000004</v>
      </c>
      <c r="BB8" s="59">
        <f t="shared" ref="BB8:BB38" si="20">BA8*0.4444</f>
        <v>340.54860840000003</v>
      </c>
    </row>
    <row r="9" spans="1:54" x14ac:dyDescent="0.25">
      <c r="A9" s="23">
        <v>44807</v>
      </c>
      <c r="B9" s="40">
        <v>88</v>
      </c>
      <c r="C9" s="50">
        <v>8411940</v>
      </c>
      <c r="D9" s="50">
        <v>20220130</v>
      </c>
      <c r="E9" s="50">
        <v>3540180</v>
      </c>
      <c r="F9" s="50">
        <v>4235530</v>
      </c>
      <c r="G9" s="50">
        <v>12488850</v>
      </c>
      <c r="H9" s="50">
        <v>7299530</v>
      </c>
      <c r="I9" s="50">
        <v>6341550</v>
      </c>
      <c r="J9" s="50">
        <v>7876360</v>
      </c>
      <c r="K9" s="50">
        <v>11518960</v>
      </c>
      <c r="L9" s="50">
        <v>5013190</v>
      </c>
      <c r="M9" s="50">
        <v>9303210</v>
      </c>
      <c r="N9" s="50">
        <v>15262680</v>
      </c>
      <c r="O9" s="50">
        <v>21339410</v>
      </c>
      <c r="Q9" s="37">
        <f t="shared" ref="Q9:Q30" si="21">IF((C9-C8&lt;0), "0",C9-C8)</f>
        <v>970</v>
      </c>
      <c r="R9" s="37">
        <f t="shared" ref="R9:R37" si="22">IF((D9-D8&lt;0), "0",D9-D8)</f>
        <v>13220</v>
      </c>
      <c r="S9" s="37">
        <f t="shared" si="16"/>
        <v>3460</v>
      </c>
      <c r="T9" s="37">
        <f t="shared" ref="T9:T35" si="23">IF((F9-F8&lt;0), "0",F9-F8)</f>
        <v>1620</v>
      </c>
      <c r="U9" s="37">
        <f t="shared" ref="U9:U35" si="24">IF((G9-G8&lt;0), "0",G9-G8)</f>
        <v>4390</v>
      </c>
      <c r="V9" s="37">
        <f t="shared" ref="V9:V35" si="25">IF((H9-H8&lt;0), "0",H9-H8)</f>
        <v>4140</v>
      </c>
      <c r="W9" s="37">
        <f t="shared" ref="W9:W35" si="26">IF((I9-I8&lt;0), "0",I9-I8)</f>
        <v>2940</v>
      </c>
      <c r="X9" s="37">
        <f t="shared" ref="X9:X37" si="27">IF((J9-J8&lt;0), "0",J9-J8)</f>
        <v>4570</v>
      </c>
      <c r="Y9" s="37">
        <f t="shared" ref="Y9:Y35" si="28">IF((K9-K8&lt;0), "0",K9-K8)</f>
        <v>5400</v>
      </c>
      <c r="Z9" s="37">
        <f t="shared" ref="Z9:Z35" si="29">IF((L9-L8&lt;0), "0",L9-L8)</f>
        <v>2450</v>
      </c>
      <c r="AA9" s="37">
        <f t="shared" ref="AA9:AA35" si="30">IF((M9-M8&lt;0), "0",M9-M8)</f>
        <v>2980</v>
      </c>
      <c r="AB9" s="37">
        <f t="shared" ref="AB9:AB37" si="31">IF((N9-N8&lt;0), "0",N9-N8)</f>
        <v>6900</v>
      </c>
      <c r="AC9" s="37">
        <f t="shared" ref="AC9:AC37" si="32">IF((O9-O8&lt;0), "0",O9-O8)</f>
        <v>9070</v>
      </c>
      <c r="AD9" s="35">
        <f t="shared" ref="AD9:AD37" si="33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4">SUM(AF9:AR9)</f>
        <v>310.54999999999995</v>
      </c>
      <c r="AT9" s="61"/>
      <c r="AV9" s="65">
        <v>0</v>
      </c>
      <c r="AW9" s="64">
        <f t="shared" si="14"/>
        <v>0</v>
      </c>
      <c r="AX9" s="66">
        <f t="shared" si="17"/>
        <v>0</v>
      </c>
      <c r="AY9" s="53">
        <v>182956</v>
      </c>
      <c r="AZ9" s="37">
        <f t="shared" si="18"/>
        <v>231700</v>
      </c>
      <c r="BA9" s="37">
        <f t="shared" si="19"/>
        <v>632.54100000000005</v>
      </c>
      <c r="BB9" s="59">
        <f t="shared" si="20"/>
        <v>281.10122040000005</v>
      </c>
    </row>
    <row r="10" spans="1:54" x14ac:dyDescent="0.25">
      <c r="A10" s="23">
        <v>44808</v>
      </c>
      <c r="B10" s="40">
        <v>87</v>
      </c>
      <c r="C10" s="51">
        <v>8412900</v>
      </c>
      <c r="D10" s="51">
        <v>20233460</v>
      </c>
      <c r="E10" s="51">
        <v>3543710</v>
      </c>
      <c r="F10" s="51">
        <v>4237140</v>
      </c>
      <c r="G10" s="51">
        <v>12493080</v>
      </c>
      <c r="H10" s="51">
        <v>7303660</v>
      </c>
      <c r="I10" s="51">
        <v>6344780</v>
      </c>
      <c r="J10" s="51">
        <v>7880610</v>
      </c>
      <c r="K10" s="51">
        <v>11524220</v>
      </c>
      <c r="L10" s="51">
        <v>5015590</v>
      </c>
      <c r="M10" s="51">
        <v>9306100</v>
      </c>
      <c r="N10" s="51">
        <v>15269520</v>
      </c>
      <c r="O10" s="51">
        <v>21348660</v>
      </c>
      <c r="Q10" s="37">
        <f t="shared" si="21"/>
        <v>960</v>
      </c>
      <c r="R10" s="37">
        <f t="shared" si="22"/>
        <v>13330</v>
      </c>
      <c r="S10" s="37">
        <f t="shared" si="16"/>
        <v>3530</v>
      </c>
      <c r="T10" s="37">
        <f t="shared" si="23"/>
        <v>1610</v>
      </c>
      <c r="U10" s="37">
        <f t="shared" si="24"/>
        <v>4230</v>
      </c>
      <c r="V10" s="37">
        <f t="shared" si="25"/>
        <v>4130</v>
      </c>
      <c r="W10" s="37">
        <f t="shared" si="26"/>
        <v>3230</v>
      </c>
      <c r="X10" s="37">
        <f t="shared" si="27"/>
        <v>4250</v>
      </c>
      <c r="Y10" s="37">
        <f t="shared" si="28"/>
        <v>5260</v>
      </c>
      <c r="Z10" s="37">
        <f t="shared" si="29"/>
        <v>2400</v>
      </c>
      <c r="AA10" s="37">
        <f t="shared" si="30"/>
        <v>2890</v>
      </c>
      <c r="AB10" s="37">
        <f t="shared" si="31"/>
        <v>6840</v>
      </c>
      <c r="AC10" s="37">
        <f t="shared" si="32"/>
        <v>9250</v>
      </c>
      <c r="AD10" s="35">
        <f t="shared" si="33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4"/>
        <v>309.55</v>
      </c>
      <c r="AT10" s="61"/>
      <c r="AV10" s="65">
        <v>0</v>
      </c>
      <c r="AW10" s="64">
        <f t="shared" si="14"/>
        <v>0</v>
      </c>
      <c r="AX10" s="66">
        <f t="shared" si="17"/>
        <v>0</v>
      </c>
      <c r="AY10" s="54">
        <v>185102</v>
      </c>
      <c r="AZ10" s="37">
        <f t="shared" si="18"/>
        <v>214600</v>
      </c>
      <c r="BA10" s="37">
        <f t="shared" si="19"/>
        <v>585.85800000000006</v>
      </c>
      <c r="BB10" s="59">
        <f t="shared" si="20"/>
        <v>260.35529520000006</v>
      </c>
    </row>
    <row r="11" spans="1:54" x14ac:dyDescent="0.25">
      <c r="A11" s="23">
        <v>44809</v>
      </c>
      <c r="B11" s="40">
        <v>90</v>
      </c>
      <c r="C11" s="50">
        <v>8413920</v>
      </c>
      <c r="D11" s="50">
        <v>20247440</v>
      </c>
      <c r="E11" s="50">
        <v>3547420</v>
      </c>
      <c r="F11" s="50">
        <v>4238830</v>
      </c>
      <c r="G11" s="50">
        <v>12497590</v>
      </c>
      <c r="H11" s="50">
        <v>7308010</v>
      </c>
      <c r="I11" s="50">
        <v>6348090</v>
      </c>
      <c r="J11" s="50">
        <v>7885120</v>
      </c>
      <c r="K11" s="50">
        <v>11529810</v>
      </c>
      <c r="L11" s="50">
        <v>5018080</v>
      </c>
      <c r="M11" s="50">
        <v>9309090</v>
      </c>
      <c r="N11" s="50">
        <v>15276790</v>
      </c>
      <c r="O11" s="50">
        <v>21359030</v>
      </c>
      <c r="Q11" s="37">
        <f t="shared" si="21"/>
        <v>1020</v>
      </c>
      <c r="R11" s="37">
        <f t="shared" si="22"/>
        <v>13980</v>
      </c>
      <c r="S11" s="37">
        <f t="shared" si="16"/>
        <v>3710</v>
      </c>
      <c r="T11" s="37">
        <f t="shared" si="23"/>
        <v>1690</v>
      </c>
      <c r="U11" s="37">
        <f t="shared" si="24"/>
        <v>4510</v>
      </c>
      <c r="V11" s="37">
        <f t="shared" si="25"/>
        <v>4350</v>
      </c>
      <c r="W11" s="37">
        <f t="shared" si="26"/>
        <v>3310</v>
      </c>
      <c r="X11" s="37">
        <f t="shared" si="27"/>
        <v>4510</v>
      </c>
      <c r="Y11" s="37">
        <f t="shared" si="28"/>
        <v>5590</v>
      </c>
      <c r="Z11" s="37">
        <f t="shared" si="29"/>
        <v>2490</v>
      </c>
      <c r="AA11" s="37">
        <f t="shared" si="30"/>
        <v>2990</v>
      </c>
      <c r="AB11" s="37">
        <f t="shared" si="31"/>
        <v>7270</v>
      </c>
      <c r="AC11" s="37">
        <f t="shared" si="32"/>
        <v>10370</v>
      </c>
      <c r="AD11" s="35">
        <f t="shared" si="33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4"/>
        <v>328.95000000000005</v>
      </c>
      <c r="AT11" s="61"/>
      <c r="AV11" s="65">
        <v>0</v>
      </c>
      <c r="AW11" s="64">
        <f t="shared" si="14"/>
        <v>0</v>
      </c>
      <c r="AX11" s="66">
        <f t="shared" si="17"/>
        <v>0</v>
      </c>
      <c r="AY11" s="56">
        <v>187214</v>
      </c>
      <c r="AZ11" s="37">
        <f t="shared" si="18"/>
        <v>211200</v>
      </c>
      <c r="BA11" s="37">
        <f t="shared" si="19"/>
        <v>576.57600000000002</v>
      </c>
      <c r="BB11" s="59">
        <f t="shared" si="20"/>
        <v>256.23037440000002</v>
      </c>
    </row>
    <row r="12" spans="1:54" x14ac:dyDescent="0.25">
      <c r="A12" s="23">
        <v>44810</v>
      </c>
      <c r="B12" s="40">
        <v>89</v>
      </c>
      <c r="C12" s="51">
        <v>8418340</v>
      </c>
      <c r="D12" s="51">
        <v>20262780</v>
      </c>
      <c r="E12" s="51">
        <v>3551470</v>
      </c>
      <c r="F12" s="51">
        <v>4240560</v>
      </c>
      <c r="G12" s="51">
        <v>12502030</v>
      </c>
      <c r="H12" s="51">
        <v>7312200</v>
      </c>
      <c r="I12" s="51">
        <v>6351110</v>
      </c>
      <c r="J12" s="51">
        <v>7889130</v>
      </c>
      <c r="K12" s="51">
        <v>11535470</v>
      </c>
      <c r="L12" s="51">
        <v>5020560</v>
      </c>
      <c r="M12" s="51">
        <v>9311930</v>
      </c>
      <c r="N12" s="51">
        <v>15284010</v>
      </c>
      <c r="O12" s="51">
        <v>21368530</v>
      </c>
      <c r="Q12" s="37">
        <f t="shared" si="21"/>
        <v>4420</v>
      </c>
      <c r="R12" s="37">
        <f t="shared" si="22"/>
        <v>15340</v>
      </c>
      <c r="S12" s="37">
        <f t="shared" si="16"/>
        <v>4050</v>
      </c>
      <c r="T12" s="37">
        <f t="shared" ref="T12:W14" si="35">IF((F12-F11&lt;0), "0",F12-F11)</f>
        <v>1730</v>
      </c>
      <c r="U12" s="37">
        <f t="shared" si="35"/>
        <v>4440</v>
      </c>
      <c r="V12" s="37">
        <f t="shared" si="35"/>
        <v>4190</v>
      </c>
      <c r="W12" s="37">
        <f t="shared" si="35"/>
        <v>3020</v>
      </c>
      <c r="X12" s="37">
        <f t="shared" si="27"/>
        <v>4010</v>
      </c>
      <c r="Y12" s="37">
        <f t="shared" si="28"/>
        <v>5660</v>
      </c>
      <c r="Z12" s="37">
        <f>IF((L12-L11&lt;0), "0",L12-L11)</f>
        <v>2480</v>
      </c>
      <c r="AA12" s="37">
        <f t="shared" si="30"/>
        <v>2840</v>
      </c>
      <c r="AB12" s="37">
        <f t="shared" si="31"/>
        <v>7220</v>
      </c>
      <c r="AC12" s="37">
        <f t="shared" si="32"/>
        <v>9500</v>
      </c>
      <c r="AD12" s="35">
        <f t="shared" si="33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4"/>
        <v>344.50000000000006</v>
      </c>
      <c r="AT12" s="61"/>
      <c r="AV12" s="65">
        <v>0</v>
      </c>
      <c r="AW12" s="64">
        <f t="shared" si="14"/>
        <v>0</v>
      </c>
      <c r="AX12" s="66">
        <f t="shared" si="17"/>
        <v>0</v>
      </c>
      <c r="AY12" s="54">
        <v>189150</v>
      </c>
      <c r="AZ12" s="37">
        <f t="shared" si="18"/>
        <v>193600</v>
      </c>
      <c r="BA12" s="37">
        <f t="shared" si="19"/>
        <v>528.52800000000002</v>
      </c>
      <c r="BB12" s="59">
        <f t="shared" si="20"/>
        <v>234.87784320000003</v>
      </c>
    </row>
    <row r="13" spans="1:54" x14ac:dyDescent="0.25">
      <c r="A13" s="23">
        <v>44811</v>
      </c>
      <c r="B13" s="40">
        <v>94</v>
      </c>
      <c r="C13" s="50">
        <v>8429010</v>
      </c>
      <c r="D13" s="50">
        <v>20278420</v>
      </c>
      <c r="E13" s="50">
        <v>3555670</v>
      </c>
      <c r="F13" s="50">
        <v>4242250</v>
      </c>
      <c r="G13" s="50">
        <v>12506280</v>
      </c>
      <c r="H13" s="50">
        <v>7316180</v>
      </c>
      <c r="I13" s="50">
        <v>6353920</v>
      </c>
      <c r="J13" s="50">
        <v>7892330</v>
      </c>
      <c r="K13" s="50">
        <v>11540880</v>
      </c>
      <c r="L13" s="50">
        <v>5022960</v>
      </c>
      <c r="M13" s="50">
        <v>9314580</v>
      </c>
      <c r="N13" s="50">
        <v>15290770</v>
      </c>
      <c r="O13" s="50">
        <v>21377140</v>
      </c>
      <c r="Q13" s="37">
        <f t="shared" si="21"/>
        <v>10670</v>
      </c>
      <c r="R13" s="37">
        <f t="shared" si="22"/>
        <v>15640</v>
      </c>
      <c r="S13" s="37">
        <f t="shared" si="16"/>
        <v>4200</v>
      </c>
      <c r="T13" s="37">
        <f t="shared" si="35"/>
        <v>1690</v>
      </c>
      <c r="U13" s="37">
        <f t="shared" si="35"/>
        <v>4250</v>
      </c>
      <c r="V13" s="37">
        <f t="shared" si="35"/>
        <v>3980</v>
      </c>
      <c r="W13" s="37">
        <f t="shared" si="35"/>
        <v>2810</v>
      </c>
      <c r="X13" s="37">
        <f t="shared" si="27"/>
        <v>3200</v>
      </c>
      <c r="Y13" s="37">
        <f t="shared" si="28"/>
        <v>5410</v>
      </c>
      <c r="Z13" s="37">
        <f>IF((L13-L12&lt;0), "0",L13-L12)</f>
        <v>2400</v>
      </c>
      <c r="AA13" s="37">
        <f t="shared" si="30"/>
        <v>2650</v>
      </c>
      <c r="AB13" s="37">
        <f t="shared" si="31"/>
        <v>6760</v>
      </c>
      <c r="AC13" s="37">
        <f t="shared" si="32"/>
        <v>8610</v>
      </c>
      <c r="AD13" s="35">
        <f t="shared" si="33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4"/>
        <v>361.35</v>
      </c>
      <c r="AT13" s="61"/>
      <c r="AV13" s="65">
        <v>0</v>
      </c>
      <c r="AW13" s="64">
        <f t="shared" si="14"/>
        <v>0</v>
      </c>
      <c r="AX13" s="66">
        <f t="shared" si="17"/>
        <v>0</v>
      </c>
      <c r="AY13" s="56">
        <v>191222</v>
      </c>
      <c r="AZ13" s="37">
        <f t="shared" si="18"/>
        <v>207200</v>
      </c>
      <c r="BA13" s="37">
        <f t="shared" si="19"/>
        <v>565.65599999999995</v>
      </c>
      <c r="BB13" s="59">
        <f t="shared" si="20"/>
        <v>251.37752639999999</v>
      </c>
    </row>
    <row r="14" spans="1:54" x14ac:dyDescent="0.25">
      <c r="A14" s="23">
        <v>44812</v>
      </c>
      <c r="B14" s="40">
        <v>82</v>
      </c>
      <c r="C14" s="51">
        <v>8440860</v>
      </c>
      <c r="D14" s="51">
        <v>20294740</v>
      </c>
      <c r="E14" s="51">
        <v>3559960</v>
      </c>
      <c r="F14" s="51">
        <v>4244000</v>
      </c>
      <c r="G14" s="51">
        <v>12510790</v>
      </c>
      <c r="H14" s="51">
        <v>7320330</v>
      </c>
      <c r="I14" s="51">
        <v>6357330</v>
      </c>
      <c r="J14" s="51">
        <v>7897160</v>
      </c>
      <c r="K14" s="51">
        <v>11546650</v>
      </c>
      <c r="L14" s="51">
        <v>5025330</v>
      </c>
      <c r="M14" s="51">
        <v>9317360</v>
      </c>
      <c r="N14" s="51">
        <v>15297900</v>
      </c>
      <c r="O14" s="51">
        <v>21385820</v>
      </c>
      <c r="P14" s="49"/>
      <c r="Q14" s="37">
        <f t="shared" si="21"/>
        <v>11850</v>
      </c>
      <c r="R14" s="37">
        <f t="shared" si="22"/>
        <v>16320</v>
      </c>
      <c r="S14" s="37">
        <f t="shared" si="16"/>
        <v>4290</v>
      </c>
      <c r="T14" s="37">
        <f t="shared" si="35"/>
        <v>1750</v>
      </c>
      <c r="U14" s="37">
        <f t="shared" si="35"/>
        <v>4510</v>
      </c>
      <c r="V14" s="37">
        <f t="shared" si="35"/>
        <v>4150</v>
      </c>
      <c r="W14" s="37">
        <f t="shared" si="35"/>
        <v>3410</v>
      </c>
      <c r="X14" s="37">
        <f t="shared" si="27"/>
        <v>4830</v>
      </c>
      <c r="Y14" s="37">
        <f t="shared" si="28"/>
        <v>5770</v>
      </c>
      <c r="Z14" s="37">
        <f>IF((L14-L13&lt;0), "0",L14-L13)</f>
        <v>2370</v>
      </c>
      <c r="AA14" s="37">
        <f t="shared" si="30"/>
        <v>2780</v>
      </c>
      <c r="AB14" s="37">
        <f t="shared" si="31"/>
        <v>7130</v>
      </c>
      <c r="AC14" s="37">
        <f t="shared" si="32"/>
        <v>8680</v>
      </c>
      <c r="AD14" s="35">
        <f t="shared" si="33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4"/>
        <v>389.2</v>
      </c>
      <c r="AT14" s="61"/>
      <c r="AV14" s="65">
        <v>0</v>
      </c>
      <c r="AW14" s="64">
        <f t="shared" si="14"/>
        <v>0</v>
      </c>
      <c r="AX14" s="66">
        <f t="shared" si="17"/>
        <v>0</v>
      </c>
      <c r="AY14" s="54">
        <v>193489</v>
      </c>
      <c r="AZ14" s="37">
        <f t="shared" si="18"/>
        <v>226700</v>
      </c>
      <c r="BA14" s="37">
        <f t="shared" si="19"/>
        <v>618.89100000000008</v>
      </c>
      <c r="BB14" s="59">
        <f t="shared" si="20"/>
        <v>275.03516040000005</v>
      </c>
    </row>
    <row r="15" spans="1:54" x14ac:dyDescent="0.25">
      <c r="A15" s="23">
        <v>44813</v>
      </c>
      <c r="B15" s="40">
        <v>111</v>
      </c>
      <c r="C15" s="50">
        <v>8450390</v>
      </c>
      <c r="D15" s="50">
        <v>20309650</v>
      </c>
      <c r="E15" s="50">
        <v>3563820</v>
      </c>
      <c r="F15" s="50">
        <v>4245650</v>
      </c>
      <c r="G15" s="50">
        <v>12515070</v>
      </c>
      <c r="H15" s="50">
        <v>7324320</v>
      </c>
      <c r="I15" s="50">
        <v>6360580</v>
      </c>
      <c r="J15" s="50">
        <v>7901300</v>
      </c>
      <c r="K15" s="50">
        <v>11551870</v>
      </c>
      <c r="L15" s="50">
        <v>5027630</v>
      </c>
      <c r="M15" s="50">
        <v>9320110</v>
      </c>
      <c r="N15" s="50">
        <v>15304680</v>
      </c>
      <c r="O15" s="50">
        <v>21394040</v>
      </c>
      <c r="Q15" s="37">
        <f t="shared" si="21"/>
        <v>9530</v>
      </c>
      <c r="R15" s="37">
        <f t="shared" si="22"/>
        <v>14910</v>
      </c>
      <c r="S15" s="37">
        <f t="shared" si="16"/>
        <v>3860</v>
      </c>
      <c r="T15" s="37">
        <f t="shared" si="23"/>
        <v>1650</v>
      </c>
      <c r="U15" s="37">
        <f t="shared" si="24"/>
        <v>4280</v>
      </c>
      <c r="V15" s="37">
        <f t="shared" si="25"/>
        <v>3990</v>
      </c>
      <c r="W15" s="37">
        <f t="shared" si="26"/>
        <v>3250</v>
      </c>
      <c r="X15" s="37">
        <f t="shared" si="27"/>
        <v>4140</v>
      </c>
      <c r="Y15" s="37">
        <f t="shared" si="28"/>
        <v>5220</v>
      </c>
      <c r="Z15" s="37">
        <f t="shared" si="29"/>
        <v>2300</v>
      </c>
      <c r="AA15" s="37">
        <f t="shared" si="30"/>
        <v>2750</v>
      </c>
      <c r="AB15" s="37">
        <f t="shared" si="31"/>
        <v>6780</v>
      </c>
      <c r="AC15" s="37">
        <f t="shared" si="32"/>
        <v>8220</v>
      </c>
      <c r="AD15" s="35">
        <f t="shared" si="33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4"/>
        <v>354.4</v>
      </c>
      <c r="AT15" s="61"/>
      <c r="AV15" s="65">
        <v>0</v>
      </c>
      <c r="AW15" s="64">
        <f t="shared" si="14"/>
        <v>0</v>
      </c>
      <c r="AX15" s="66">
        <f t="shared" si="17"/>
        <v>0</v>
      </c>
      <c r="AY15" s="53">
        <v>195710</v>
      </c>
      <c r="AZ15" s="37">
        <f t="shared" si="18"/>
        <v>222100</v>
      </c>
      <c r="BA15" s="37">
        <f t="shared" si="19"/>
        <v>606.33299999999997</v>
      </c>
      <c r="BB15" s="59">
        <f t="shared" si="20"/>
        <v>269.45438519999999</v>
      </c>
    </row>
    <row r="16" spans="1:54" x14ac:dyDescent="0.25">
      <c r="A16" s="23">
        <v>44814</v>
      </c>
      <c r="B16" s="40">
        <v>91</v>
      </c>
      <c r="C16" s="51">
        <v>8451370</v>
      </c>
      <c r="D16" s="51">
        <v>20323970</v>
      </c>
      <c r="E16" s="51">
        <v>3567690</v>
      </c>
      <c r="F16" s="51">
        <v>4247360</v>
      </c>
      <c r="G16" s="51">
        <v>12519560</v>
      </c>
      <c r="H16" s="51">
        <v>7328400</v>
      </c>
      <c r="I16" s="51">
        <v>6363700</v>
      </c>
      <c r="J16" s="51">
        <v>7905670</v>
      </c>
      <c r="K16" s="51">
        <v>11557450</v>
      </c>
      <c r="L16" s="51">
        <v>5030150</v>
      </c>
      <c r="M16" s="51">
        <v>9323020</v>
      </c>
      <c r="N16" s="51">
        <v>15311770</v>
      </c>
      <c r="O16" s="51">
        <v>21402710</v>
      </c>
      <c r="Q16" s="37">
        <f t="shared" si="21"/>
        <v>980</v>
      </c>
      <c r="R16" s="37">
        <f t="shared" si="22"/>
        <v>14320</v>
      </c>
      <c r="S16" s="37">
        <f t="shared" si="16"/>
        <v>3870</v>
      </c>
      <c r="T16" s="37">
        <f t="shared" si="23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6"/>
        <v>3120</v>
      </c>
      <c r="X16" s="37">
        <f t="shared" si="27"/>
        <v>4370</v>
      </c>
      <c r="Y16" s="37">
        <f t="shared" si="28"/>
        <v>5580</v>
      </c>
      <c r="Z16" s="37">
        <f t="shared" si="29"/>
        <v>2520</v>
      </c>
      <c r="AA16" s="37">
        <f t="shared" si="30"/>
        <v>2910</v>
      </c>
      <c r="AB16" s="37">
        <f t="shared" si="31"/>
        <v>7090</v>
      </c>
      <c r="AC16" s="37">
        <f t="shared" si="32"/>
        <v>8670</v>
      </c>
      <c r="AD16" s="35">
        <f t="shared" si="33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4"/>
        <v>318.55000000000007</v>
      </c>
      <c r="AT16" s="61"/>
      <c r="AV16" s="65">
        <v>0</v>
      </c>
      <c r="AW16" s="64">
        <f t="shared" si="14"/>
        <v>0</v>
      </c>
      <c r="AX16" s="66">
        <f t="shared" si="17"/>
        <v>0</v>
      </c>
      <c r="AY16" s="54">
        <v>197607</v>
      </c>
      <c r="AZ16" s="37">
        <f t="shared" si="18"/>
        <v>189700</v>
      </c>
      <c r="BA16" s="37">
        <f t="shared" si="19"/>
        <v>517.88099999999997</v>
      </c>
      <c r="BB16" s="59">
        <f t="shared" si="20"/>
        <v>230.14631639999999</v>
      </c>
    </row>
    <row r="17" spans="1:54" x14ac:dyDescent="0.25">
      <c r="A17" s="23">
        <v>44815</v>
      </c>
      <c r="B17" s="40">
        <v>110</v>
      </c>
      <c r="C17" s="50">
        <v>8452340</v>
      </c>
      <c r="D17" s="50">
        <v>20337590</v>
      </c>
      <c r="E17" s="50">
        <v>3571330</v>
      </c>
      <c r="F17" s="50">
        <v>4249050</v>
      </c>
      <c r="G17" s="50">
        <v>12523770</v>
      </c>
      <c r="H17" s="50">
        <v>7332400</v>
      </c>
      <c r="I17" s="50">
        <v>6366840</v>
      </c>
      <c r="J17" s="50">
        <v>7909800</v>
      </c>
      <c r="K17" s="50">
        <v>11562870</v>
      </c>
      <c r="L17" s="50">
        <v>5032570</v>
      </c>
      <c r="M17" s="50">
        <v>9325800</v>
      </c>
      <c r="N17" s="50">
        <v>15318680</v>
      </c>
      <c r="O17" s="50">
        <v>21411850</v>
      </c>
      <c r="Q17" s="37">
        <f t="shared" si="21"/>
        <v>970</v>
      </c>
      <c r="R17" s="37">
        <f t="shared" si="22"/>
        <v>13620</v>
      </c>
      <c r="S17" s="37">
        <f t="shared" si="16"/>
        <v>3640</v>
      </c>
      <c r="T17" s="37">
        <f t="shared" si="23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6"/>
        <v>3140</v>
      </c>
      <c r="X17" s="37">
        <f t="shared" si="27"/>
        <v>4130</v>
      </c>
      <c r="Y17" s="37">
        <f t="shared" si="28"/>
        <v>5420</v>
      </c>
      <c r="Z17" s="37">
        <f t="shared" si="29"/>
        <v>2420</v>
      </c>
      <c r="AA17" s="37">
        <f t="shared" si="30"/>
        <v>2780</v>
      </c>
      <c r="AB17" s="37">
        <f t="shared" si="31"/>
        <v>6910</v>
      </c>
      <c r="AC17" s="37">
        <f t="shared" si="32"/>
        <v>9140</v>
      </c>
      <c r="AD17" s="35">
        <f t="shared" si="33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4"/>
        <v>310.34999999999997</v>
      </c>
      <c r="AT17" s="61"/>
      <c r="AV17" s="65">
        <v>0</v>
      </c>
      <c r="AW17" s="64">
        <f t="shared" si="14"/>
        <v>0</v>
      </c>
      <c r="AX17" s="66">
        <f t="shared" si="17"/>
        <v>0</v>
      </c>
      <c r="AY17" s="56">
        <v>200040</v>
      </c>
      <c r="AZ17" s="37">
        <f t="shared" si="18"/>
        <v>243300</v>
      </c>
      <c r="BA17" s="37">
        <f t="shared" si="19"/>
        <v>664.20900000000006</v>
      </c>
      <c r="BB17" s="59">
        <f t="shared" si="20"/>
        <v>295.17447960000004</v>
      </c>
    </row>
    <row r="18" spans="1:54" x14ac:dyDescent="0.25">
      <c r="A18" s="23">
        <v>44816</v>
      </c>
      <c r="B18" s="40">
        <v>116</v>
      </c>
      <c r="C18" s="51">
        <v>8453310</v>
      </c>
      <c r="D18" s="51">
        <v>20351080</v>
      </c>
      <c r="E18" s="51">
        <v>3574920</v>
      </c>
      <c r="F18" s="51">
        <v>4250720</v>
      </c>
      <c r="G18" s="51">
        <v>12528140</v>
      </c>
      <c r="H18" s="51">
        <v>7336540</v>
      </c>
      <c r="I18" s="51">
        <v>6370330</v>
      </c>
      <c r="J18" s="51">
        <v>7914240</v>
      </c>
      <c r="K18" s="51">
        <v>11568390</v>
      </c>
      <c r="L18" s="51">
        <v>5035020</v>
      </c>
      <c r="M18" s="51">
        <v>9328530</v>
      </c>
      <c r="N18" s="51">
        <v>15325440</v>
      </c>
      <c r="O18" s="51">
        <v>21421810</v>
      </c>
      <c r="Q18" s="37">
        <f t="shared" si="21"/>
        <v>970</v>
      </c>
      <c r="R18" s="37">
        <f t="shared" si="22"/>
        <v>13490</v>
      </c>
      <c r="S18" s="37">
        <f t="shared" si="16"/>
        <v>3590</v>
      </c>
      <c r="T18" s="37">
        <f t="shared" si="23"/>
        <v>1670</v>
      </c>
      <c r="U18" s="37">
        <f t="shared" si="24"/>
        <v>4370</v>
      </c>
      <c r="V18" s="37">
        <f t="shared" si="25"/>
        <v>4140</v>
      </c>
      <c r="W18" s="37">
        <f t="shared" si="26"/>
        <v>3490</v>
      </c>
      <c r="X18" s="37">
        <f t="shared" si="27"/>
        <v>4440</v>
      </c>
      <c r="Y18" s="37">
        <f t="shared" si="28"/>
        <v>5520</v>
      </c>
      <c r="Z18" s="37">
        <f t="shared" si="29"/>
        <v>2450</v>
      </c>
      <c r="AA18" s="37">
        <f t="shared" si="30"/>
        <v>2730</v>
      </c>
      <c r="AB18" s="37">
        <f t="shared" si="31"/>
        <v>6760</v>
      </c>
      <c r="AC18" s="37">
        <f t="shared" si="32"/>
        <v>9960</v>
      </c>
      <c r="AD18" s="35">
        <f t="shared" si="33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4"/>
        <v>317.89999999999998</v>
      </c>
      <c r="AT18" s="61"/>
      <c r="AV18" s="65">
        <v>0</v>
      </c>
      <c r="AW18" s="64">
        <f t="shared" si="14"/>
        <v>0</v>
      </c>
      <c r="AX18" s="66">
        <f t="shared" si="17"/>
        <v>0</v>
      </c>
      <c r="AY18" s="54">
        <v>202771</v>
      </c>
      <c r="AZ18" s="37">
        <f t="shared" si="18"/>
        <v>273100</v>
      </c>
      <c r="BA18" s="37">
        <f t="shared" si="19"/>
        <v>745.56299999999999</v>
      </c>
      <c r="BB18" s="59">
        <f t="shared" si="20"/>
        <v>331.32819720000003</v>
      </c>
    </row>
    <row r="19" spans="1:54" x14ac:dyDescent="0.25">
      <c r="A19" s="23">
        <v>44817</v>
      </c>
      <c r="B19" s="40">
        <v>71</v>
      </c>
      <c r="C19" s="50">
        <v>8454380</v>
      </c>
      <c r="D19" s="50">
        <v>20366620</v>
      </c>
      <c r="E19" s="50">
        <v>3579120</v>
      </c>
      <c r="F19" s="50">
        <v>4252570</v>
      </c>
      <c r="G19" s="50">
        <v>12532850</v>
      </c>
      <c r="H19" s="50">
        <v>7340870</v>
      </c>
      <c r="I19" s="50">
        <v>6374030</v>
      </c>
      <c r="J19" s="50">
        <v>7918910</v>
      </c>
      <c r="K19" s="50">
        <v>11574280</v>
      </c>
      <c r="L19" s="50">
        <v>5037670</v>
      </c>
      <c r="M19" s="50">
        <v>9331470</v>
      </c>
      <c r="N19" s="50">
        <v>15332890</v>
      </c>
      <c r="O19" s="50">
        <v>21432670</v>
      </c>
      <c r="Q19" s="37">
        <f t="shared" si="21"/>
        <v>1070</v>
      </c>
      <c r="R19" s="37">
        <f t="shared" si="22"/>
        <v>15540</v>
      </c>
      <c r="S19" s="37">
        <f t="shared" si="16"/>
        <v>4200</v>
      </c>
      <c r="T19" s="37">
        <f t="shared" si="23"/>
        <v>1850</v>
      </c>
      <c r="U19" s="37">
        <f t="shared" si="24"/>
        <v>4710</v>
      </c>
      <c r="V19" s="37">
        <f t="shared" si="25"/>
        <v>4330</v>
      </c>
      <c r="W19" s="37">
        <f t="shared" si="26"/>
        <v>3700</v>
      </c>
      <c r="X19" s="37">
        <f t="shared" si="27"/>
        <v>4670</v>
      </c>
      <c r="Y19" s="37">
        <f t="shared" si="28"/>
        <v>5890</v>
      </c>
      <c r="Z19" s="37">
        <f t="shared" si="29"/>
        <v>2650</v>
      </c>
      <c r="AA19" s="37">
        <f t="shared" si="30"/>
        <v>2940</v>
      </c>
      <c r="AB19" s="37">
        <f t="shared" si="31"/>
        <v>7450</v>
      </c>
      <c r="AC19" s="37">
        <f t="shared" si="32"/>
        <v>10860</v>
      </c>
      <c r="AD19" s="35">
        <f t="shared" si="33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4"/>
        <v>349.3</v>
      </c>
      <c r="AT19" s="61"/>
      <c r="AV19" s="65">
        <v>0</v>
      </c>
      <c r="AW19" s="64">
        <f t="shared" si="14"/>
        <v>0</v>
      </c>
      <c r="AX19" s="66">
        <f t="shared" si="17"/>
        <v>0</v>
      </c>
      <c r="AY19" s="53">
        <v>204884</v>
      </c>
      <c r="AZ19" s="37">
        <f t="shared" si="18"/>
        <v>211300</v>
      </c>
      <c r="BA19" s="37">
        <f t="shared" si="19"/>
        <v>576.84900000000005</v>
      </c>
      <c r="BB19" s="59">
        <f t="shared" si="20"/>
        <v>256.35169560000003</v>
      </c>
    </row>
    <row r="20" spans="1:54" x14ac:dyDescent="0.25">
      <c r="A20" s="23">
        <v>44818</v>
      </c>
      <c r="B20" s="40">
        <v>76</v>
      </c>
      <c r="C20" s="51">
        <v>8456370</v>
      </c>
      <c r="D20" s="51">
        <v>20381300</v>
      </c>
      <c r="E20" s="51">
        <v>3583130</v>
      </c>
      <c r="F20" s="51">
        <v>4254250</v>
      </c>
      <c r="G20" s="51">
        <v>12537020</v>
      </c>
      <c r="H20" s="51">
        <v>7344930</v>
      </c>
      <c r="I20" s="51">
        <v>6377240</v>
      </c>
      <c r="J20" s="51">
        <v>7923120</v>
      </c>
      <c r="K20" s="51">
        <v>11579690</v>
      </c>
      <c r="L20" s="51">
        <v>5040040</v>
      </c>
      <c r="M20" s="51">
        <v>9334190</v>
      </c>
      <c r="N20" s="51">
        <v>15339530</v>
      </c>
      <c r="O20" s="51">
        <v>21441610</v>
      </c>
      <c r="Q20" s="37">
        <f t="shared" si="21"/>
        <v>1990</v>
      </c>
      <c r="R20" s="37">
        <f t="shared" si="22"/>
        <v>14680</v>
      </c>
      <c r="S20" s="37">
        <f t="shared" si="16"/>
        <v>4010</v>
      </c>
      <c r="T20" s="37">
        <f t="shared" si="23"/>
        <v>1680</v>
      </c>
      <c r="U20" s="37">
        <f t="shared" si="24"/>
        <v>4170</v>
      </c>
      <c r="V20" s="37">
        <f t="shared" si="25"/>
        <v>4060</v>
      </c>
      <c r="W20" s="37">
        <f t="shared" si="26"/>
        <v>3210</v>
      </c>
      <c r="X20" s="37">
        <f t="shared" si="27"/>
        <v>4210</v>
      </c>
      <c r="Y20" s="37">
        <f t="shared" si="28"/>
        <v>5410</v>
      </c>
      <c r="Z20" s="37">
        <f t="shared" si="29"/>
        <v>2370</v>
      </c>
      <c r="AA20" s="37">
        <f t="shared" si="30"/>
        <v>2720</v>
      </c>
      <c r="AB20" s="37">
        <f t="shared" si="31"/>
        <v>6640</v>
      </c>
      <c r="AC20" s="37">
        <f t="shared" si="32"/>
        <v>8940</v>
      </c>
      <c r="AD20" s="35">
        <f t="shared" si="33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4"/>
        <v>320.45000000000005</v>
      </c>
      <c r="AT20" s="61"/>
      <c r="AV20" s="65">
        <v>0</v>
      </c>
      <c r="AW20" s="64">
        <f t="shared" si="14"/>
        <v>0</v>
      </c>
      <c r="AX20" s="66">
        <f t="shared" si="17"/>
        <v>0</v>
      </c>
      <c r="AY20" s="54">
        <v>207461</v>
      </c>
      <c r="AZ20" s="37">
        <f t="shared" si="18"/>
        <v>257700</v>
      </c>
      <c r="BA20" s="37">
        <f t="shared" si="19"/>
        <v>703.52100000000007</v>
      </c>
      <c r="BB20" s="59">
        <f t="shared" si="20"/>
        <v>312.64473240000007</v>
      </c>
    </row>
    <row r="21" spans="1:54" x14ac:dyDescent="0.25">
      <c r="A21" s="23">
        <v>44819</v>
      </c>
      <c r="B21" s="40">
        <v>101</v>
      </c>
      <c r="C21" s="80">
        <v>8457440</v>
      </c>
      <c r="D21" s="80">
        <v>20396250</v>
      </c>
      <c r="E21" s="80">
        <v>3587080</v>
      </c>
      <c r="F21" s="80">
        <v>4256080</v>
      </c>
      <c r="G21" s="80">
        <v>12541740</v>
      </c>
      <c r="H21" s="80">
        <v>7349340</v>
      </c>
      <c r="I21" s="80">
        <v>6380970</v>
      </c>
      <c r="J21" s="80">
        <v>7927830</v>
      </c>
      <c r="K21" s="80">
        <v>11585880</v>
      </c>
      <c r="L21" s="80">
        <v>5042770</v>
      </c>
      <c r="M21" s="80">
        <v>9337220</v>
      </c>
      <c r="N21" s="80">
        <v>15346980</v>
      </c>
      <c r="O21" s="80">
        <v>21452900</v>
      </c>
      <c r="Q21" s="37">
        <f t="shared" si="21"/>
        <v>1070</v>
      </c>
      <c r="R21" s="37">
        <f t="shared" si="22"/>
        <v>14950</v>
      </c>
      <c r="S21" s="37">
        <f t="shared" si="16"/>
        <v>3950</v>
      </c>
      <c r="T21" s="37">
        <f t="shared" si="23"/>
        <v>1830</v>
      </c>
      <c r="U21" s="37">
        <f t="shared" si="24"/>
        <v>4720</v>
      </c>
      <c r="V21" s="37">
        <f t="shared" si="25"/>
        <v>4410</v>
      </c>
      <c r="W21" s="37">
        <f t="shared" si="26"/>
        <v>3730</v>
      </c>
      <c r="X21" s="37">
        <f t="shared" si="27"/>
        <v>4710</v>
      </c>
      <c r="Y21" s="37">
        <f t="shared" si="28"/>
        <v>6190</v>
      </c>
      <c r="Z21" s="37">
        <f t="shared" si="29"/>
        <v>2730</v>
      </c>
      <c r="AA21" s="37">
        <f t="shared" si="30"/>
        <v>3030</v>
      </c>
      <c r="AB21" s="37">
        <f t="shared" si="31"/>
        <v>7450</v>
      </c>
      <c r="AC21" s="37">
        <f t="shared" si="32"/>
        <v>11290</v>
      </c>
      <c r="AD21" s="35">
        <f t="shared" si="33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4"/>
        <v>350.3</v>
      </c>
      <c r="AT21" s="61"/>
      <c r="AV21" s="65">
        <v>0</v>
      </c>
      <c r="AW21" s="64">
        <f t="shared" si="14"/>
        <v>0</v>
      </c>
      <c r="AX21" s="66">
        <f t="shared" si="17"/>
        <v>0</v>
      </c>
      <c r="AY21" s="81">
        <v>209894</v>
      </c>
      <c r="AZ21" s="37">
        <f t="shared" si="18"/>
        <v>243300</v>
      </c>
      <c r="BA21" s="37">
        <f t="shared" si="19"/>
        <v>664.20900000000006</v>
      </c>
      <c r="BB21" s="59">
        <f t="shared" si="20"/>
        <v>295.17447960000004</v>
      </c>
    </row>
    <row r="22" spans="1:54" x14ac:dyDescent="0.25">
      <c r="A22" s="23">
        <v>44820</v>
      </c>
      <c r="B22" s="40">
        <v>139</v>
      </c>
      <c r="C22" s="79">
        <v>8458280</v>
      </c>
      <c r="D22" s="79">
        <v>20407810</v>
      </c>
      <c r="E22" s="79">
        <v>3590050</v>
      </c>
      <c r="F22" s="79">
        <v>4257490</v>
      </c>
      <c r="G22" s="79">
        <v>12545610</v>
      </c>
      <c r="H22" s="79">
        <v>7353020</v>
      </c>
      <c r="I22" s="79">
        <v>6383890</v>
      </c>
      <c r="J22" s="79">
        <v>7931830</v>
      </c>
      <c r="K22" s="79">
        <v>11590920</v>
      </c>
      <c r="L22" s="79">
        <v>5044980</v>
      </c>
      <c r="M22" s="79">
        <v>9339880</v>
      </c>
      <c r="N22" s="79">
        <v>15352960</v>
      </c>
      <c r="O22" s="79">
        <v>21462840</v>
      </c>
      <c r="Q22" s="37">
        <f t="shared" si="21"/>
        <v>840</v>
      </c>
      <c r="R22" s="37">
        <f t="shared" si="22"/>
        <v>11560</v>
      </c>
      <c r="S22" s="37">
        <f t="shared" si="16"/>
        <v>2970</v>
      </c>
      <c r="T22" s="37">
        <f t="shared" si="23"/>
        <v>1410</v>
      </c>
      <c r="U22" s="37">
        <f t="shared" si="24"/>
        <v>3870</v>
      </c>
      <c r="V22" s="37">
        <f t="shared" si="25"/>
        <v>3680</v>
      </c>
      <c r="W22" s="37">
        <f t="shared" si="26"/>
        <v>2920</v>
      </c>
      <c r="X22" s="37">
        <f t="shared" si="27"/>
        <v>4000</v>
      </c>
      <c r="Y22" s="37">
        <f t="shared" si="28"/>
        <v>5040</v>
      </c>
      <c r="Z22" s="37">
        <f t="shared" si="29"/>
        <v>2210</v>
      </c>
      <c r="AA22" s="37">
        <f t="shared" si="30"/>
        <v>2660</v>
      </c>
      <c r="AB22" s="37">
        <f t="shared" si="31"/>
        <v>5980</v>
      </c>
      <c r="AC22" s="37">
        <f t="shared" si="32"/>
        <v>9940</v>
      </c>
      <c r="AD22" s="35">
        <f t="shared" si="33"/>
        <v>57080</v>
      </c>
      <c r="AF22" s="20">
        <f t="shared" si="1"/>
        <v>4.2</v>
      </c>
      <c r="AG22" s="20">
        <f t="shared" si="2"/>
        <v>57.800000000000004</v>
      </c>
      <c r="AH22" s="20">
        <f t="shared" si="3"/>
        <v>14.85</v>
      </c>
      <c r="AI22" s="20">
        <f t="shared" si="4"/>
        <v>7.05</v>
      </c>
      <c r="AJ22" s="20">
        <f t="shared" si="5"/>
        <v>19.350000000000001</v>
      </c>
      <c r="AK22" s="20">
        <f t="shared" si="6"/>
        <v>18.400000000000002</v>
      </c>
      <c r="AL22" s="20">
        <f t="shared" si="7"/>
        <v>14.6</v>
      </c>
      <c r="AM22" s="20">
        <f t="shared" si="8"/>
        <v>20</v>
      </c>
      <c r="AN22" s="20">
        <f t="shared" si="9"/>
        <v>25.2</v>
      </c>
      <c r="AO22" s="20">
        <f t="shared" si="10"/>
        <v>11.05</v>
      </c>
      <c r="AP22" s="20">
        <f t="shared" si="11"/>
        <v>13.3</v>
      </c>
      <c r="AQ22" s="20">
        <f t="shared" si="12"/>
        <v>29.900000000000002</v>
      </c>
      <c r="AR22" s="20">
        <f t="shared" si="13"/>
        <v>49.7</v>
      </c>
      <c r="AS22" s="35">
        <f t="shared" si="34"/>
        <v>285.40000000000003</v>
      </c>
      <c r="AT22" s="61"/>
      <c r="AV22" s="65">
        <v>0</v>
      </c>
      <c r="AW22" s="64">
        <f t="shared" si="14"/>
        <v>0</v>
      </c>
      <c r="AX22" s="66">
        <f t="shared" si="17"/>
        <v>0</v>
      </c>
      <c r="AY22" s="55">
        <v>212103</v>
      </c>
      <c r="AZ22" s="37">
        <f t="shared" si="18"/>
        <v>220900</v>
      </c>
      <c r="BA22" s="37">
        <f t="shared" si="19"/>
        <v>603.05700000000002</v>
      </c>
      <c r="BB22" s="59">
        <f t="shared" si="20"/>
        <v>267.99853080000003</v>
      </c>
    </row>
    <row r="23" spans="1:54" x14ac:dyDescent="0.25">
      <c r="A23" s="23">
        <v>44821</v>
      </c>
      <c r="B23" s="40">
        <v>74</v>
      </c>
      <c r="C23" s="24">
        <v>8459279</v>
      </c>
      <c r="D23" s="24">
        <v>20421030</v>
      </c>
      <c r="E23" s="24">
        <v>3593410</v>
      </c>
      <c r="F23" s="24">
        <v>4259100</v>
      </c>
      <c r="G23" s="24">
        <v>12550010</v>
      </c>
      <c r="H23" s="24">
        <v>7357180</v>
      </c>
      <c r="I23" s="24">
        <v>6387710</v>
      </c>
      <c r="J23" s="24">
        <v>7936400</v>
      </c>
      <c r="K23" s="24">
        <v>11596610</v>
      </c>
      <c r="L23" s="24">
        <v>5047450</v>
      </c>
      <c r="M23" s="24">
        <v>9342810</v>
      </c>
      <c r="N23" s="24">
        <v>15359920</v>
      </c>
      <c r="O23" s="24">
        <v>21474540</v>
      </c>
      <c r="Q23" s="37">
        <f t="shared" si="21"/>
        <v>999</v>
      </c>
      <c r="R23" s="37">
        <f t="shared" si="22"/>
        <v>13220</v>
      </c>
      <c r="S23" s="37">
        <f t="shared" si="16"/>
        <v>3360</v>
      </c>
      <c r="T23" s="37">
        <f t="shared" si="23"/>
        <v>1610</v>
      </c>
      <c r="U23" s="37">
        <f t="shared" si="24"/>
        <v>4400</v>
      </c>
      <c r="V23" s="37">
        <f t="shared" si="25"/>
        <v>4160</v>
      </c>
      <c r="W23" s="37">
        <f t="shared" si="26"/>
        <v>3820</v>
      </c>
      <c r="X23" s="37">
        <f t="shared" si="27"/>
        <v>4570</v>
      </c>
      <c r="Y23" s="37">
        <f t="shared" si="28"/>
        <v>5690</v>
      </c>
      <c r="Z23" s="37">
        <f t="shared" si="29"/>
        <v>2470</v>
      </c>
      <c r="AA23" s="37">
        <f t="shared" si="30"/>
        <v>2930</v>
      </c>
      <c r="AB23" s="37">
        <f t="shared" si="31"/>
        <v>6960</v>
      </c>
      <c r="AC23" s="37">
        <f t="shared" si="32"/>
        <v>11700</v>
      </c>
      <c r="AD23" s="35">
        <f t="shared" si="33"/>
        <v>65889</v>
      </c>
      <c r="AF23" s="20">
        <f t="shared" si="1"/>
        <v>4.9950000000000001</v>
      </c>
      <c r="AG23" s="20">
        <f t="shared" si="2"/>
        <v>66.099999999999994</v>
      </c>
      <c r="AH23" s="20">
        <f t="shared" si="3"/>
        <v>16.8</v>
      </c>
      <c r="AI23" s="20">
        <f t="shared" si="4"/>
        <v>8.0500000000000007</v>
      </c>
      <c r="AJ23" s="20">
        <f t="shared" si="5"/>
        <v>22</v>
      </c>
      <c r="AK23" s="20">
        <f t="shared" si="6"/>
        <v>20.8</v>
      </c>
      <c r="AL23" s="20">
        <f t="shared" si="7"/>
        <v>19.100000000000001</v>
      </c>
      <c r="AM23" s="20">
        <f t="shared" si="8"/>
        <v>22.85</v>
      </c>
      <c r="AN23" s="20">
        <f t="shared" si="9"/>
        <v>28.45</v>
      </c>
      <c r="AO23" s="20">
        <f t="shared" si="10"/>
        <v>12.35</v>
      </c>
      <c r="AP23" s="20">
        <f t="shared" si="11"/>
        <v>14.65</v>
      </c>
      <c r="AQ23" s="20">
        <f t="shared" si="12"/>
        <v>34.800000000000004</v>
      </c>
      <c r="AR23" s="20">
        <f t="shared" si="13"/>
        <v>58.5</v>
      </c>
      <c r="AS23" s="35">
        <f t="shared" si="34"/>
        <v>329.44499999999999</v>
      </c>
      <c r="AT23" s="61"/>
      <c r="AV23" s="65">
        <v>0</v>
      </c>
      <c r="AW23" s="64">
        <f t="shared" si="14"/>
        <v>0</v>
      </c>
      <c r="AX23" s="66">
        <f t="shared" si="17"/>
        <v>0</v>
      </c>
      <c r="AY23" s="52">
        <v>214392</v>
      </c>
      <c r="AZ23" s="37">
        <f t="shared" si="18"/>
        <v>228900</v>
      </c>
      <c r="BA23" s="37">
        <f t="shared" si="19"/>
        <v>624.89700000000005</v>
      </c>
      <c r="BB23" s="59">
        <f t="shared" si="20"/>
        <v>277.70422680000001</v>
      </c>
    </row>
    <row r="24" spans="1:54" x14ac:dyDescent="0.25">
      <c r="A24" s="23">
        <v>44822</v>
      </c>
      <c r="B24" s="40">
        <v>86</v>
      </c>
      <c r="C24" s="24">
        <v>8460280</v>
      </c>
      <c r="D24" s="24">
        <v>20434290</v>
      </c>
      <c r="E24" s="24">
        <v>3596740</v>
      </c>
      <c r="F24" s="24">
        <v>4260730</v>
      </c>
      <c r="G24" s="24">
        <v>12554280</v>
      </c>
      <c r="H24" s="24">
        <v>7361430</v>
      </c>
      <c r="I24" s="24">
        <v>6390880</v>
      </c>
      <c r="J24" s="24">
        <v>7940700</v>
      </c>
      <c r="K24" s="24">
        <v>11601930</v>
      </c>
      <c r="L24" s="24">
        <v>5049950</v>
      </c>
      <c r="M24" s="24">
        <v>9345550</v>
      </c>
      <c r="N24" s="24">
        <v>15366960</v>
      </c>
      <c r="O24" s="24">
        <v>21485270</v>
      </c>
      <c r="Q24" s="37">
        <f t="shared" si="21"/>
        <v>1001</v>
      </c>
      <c r="R24" s="37">
        <f t="shared" si="22"/>
        <v>13260</v>
      </c>
      <c r="S24" s="37">
        <f t="shared" si="16"/>
        <v>3330</v>
      </c>
      <c r="T24" s="37">
        <f t="shared" si="23"/>
        <v>1630</v>
      </c>
      <c r="U24" s="37">
        <f t="shared" si="24"/>
        <v>4270</v>
      </c>
      <c r="V24" s="37">
        <f t="shared" si="25"/>
        <v>4250</v>
      </c>
      <c r="W24" s="37">
        <f t="shared" si="26"/>
        <v>3170</v>
      </c>
      <c r="X24" s="37">
        <f t="shared" si="27"/>
        <v>4300</v>
      </c>
      <c r="Y24" s="37">
        <f t="shared" si="28"/>
        <v>5320</v>
      </c>
      <c r="Z24" s="37">
        <f t="shared" si="29"/>
        <v>2500</v>
      </c>
      <c r="AA24" s="37">
        <f t="shared" si="30"/>
        <v>2740</v>
      </c>
      <c r="AB24" s="37">
        <f t="shared" si="31"/>
        <v>7040</v>
      </c>
      <c r="AC24" s="37">
        <f t="shared" si="32"/>
        <v>10730</v>
      </c>
      <c r="AD24" s="35">
        <f t="shared" si="33"/>
        <v>63541</v>
      </c>
      <c r="AF24" s="20">
        <f t="shared" si="1"/>
        <v>5.0049999999999999</v>
      </c>
      <c r="AG24" s="20">
        <f t="shared" si="2"/>
        <v>66.3</v>
      </c>
      <c r="AH24" s="20">
        <f t="shared" si="3"/>
        <v>16.649999999999999</v>
      </c>
      <c r="AI24" s="20">
        <f t="shared" si="4"/>
        <v>8.15</v>
      </c>
      <c r="AJ24" s="20">
        <f t="shared" si="5"/>
        <v>21.35</v>
      </c>
      <c r="AK24" s="20">
        <f t="shared" si="6"/>
        <v>21.25</v>
      </c>
      <c r="AL24" s="20">
        <f t="shared" si="7"/>
        <v>15.85</v>
      </c>
      <c r="AM24" s="20">
        <f t="shared" si="8"/>
        <v>21.5</v>
      </c>
      <c r="AN24" s="20">
        <f t="shared" si="9"/>
        <v>26.6</v>
      </c>
      <c r="AO24" s="20">
        <f t="shared" si="10"/>
        <v>12.5</v>
      </c>
      <c r="AP24" s="20">
        <f t="shared" si="11"/>
        <v>13.700000000000001</v>
      </c>
      <c r="AQ24" s="20">
        <f t="shared" si="12"/>
        <v>35.200000000000003</v>
      </c>
      <c r="AR24" s="20">
        <f t="shared" si="13"/>
        <v>53.65</v>
      </c>
      <c r="AS24" s="35">
        <f t="shared" si="34"/>
        <v>317.70499999999993</v>
      </c>
      <c r="AT24" s="61"/>
      <c r="AV24" s="65">
        <v>0</v>
      </c>
      <c r="AW24" s="64">
        <f t="shared" si="14"/>
        <v>0</v>
      </c>
      <c r="AX24" s="66">
        <f t="shared" si="17"/>
        <v>0</v>
      </c>
      <c r="AY24" s="52">
        <v>216674</v>
      </c>
      <c r="AZ24" s="37">
        <f t="shared" si="18"/>
        <v>228200</v>
      </c>
      <c r="BA24" s="37">
        <f t="shared" si="19"/>
        <v>622.98599999999999</v>
      </c>
      <c r="BB24" s="59">
        <f t="shared" si="20"/>
        <v>276.85497839999999</v>
      </c>
    </row>
    <row r="25" spans="1:54" x14ac:dyDescent="0.25">
      <c r="A25" s="23">
        <v>44823</v>
      </c>
      <c r="B25" s="40">
        <v>105</v>
      </c>
      <c r="C25" s="24">
        <v>8461260</v>
      </c>
      <c r="D25" s="24">
        <v>20447200</v>
      </c>
      <c r="E25" s="24">
        <v>3599980</v>
      </c>
      <c r="F25" s="24">
        <v>4262330</v>
      </c>
      <c r="G25" s="24">
        <v>12558420</v>
      </c>
      <c r="H25" s="24">
        <v>7365450</v>
      </c>
      <c r="I25" s="24">
        <v>6393860</v>
      </c>
      <c r="J25" s="24">
        <v>7945120</v>
      </c>
      <c r="K25" s="24">
        <v>11607420</v>
      </c>
      <c r="L25" s="24">
        <v>5052330</v>
      </c>
      <c r="M25" s="24">
        <v>9348370</v>
      </c>
      <c r="N25" s="24">
        <v>15373740</v>
      </c>
      <c r="O25" s="24">
        <v>21494940</v>
      </c>
      <c r="Q25" s="37">
        <f t="shared" ref="Q25:AC27" si="36">IF((C25-C24&lt;0), "0",C25-C24)</f>
        <v>980</v>
      </c>
      <c r="R25" s="37">
        <f t="shared" si="22"/>
        <v>12910</v>
      </c>
      <c r="S25" s="37">
        <f t="shared" si="36"/>
        <v>3240</v>
      </c>
      <c r="T25" s="37">
        <f t="shared" si="36"/>
        <v>1600</v>
      </c>
      <c r="U25" s="37">
        <f t="shared" si="36"/>
        <v>4140</v>
      </c>
      <c r="V25" s="37">
        <f t="shared" si="36"/>
        <v>4020</v>
      </c>
      <c r="W25" s="37">
        <f t="shared" si="36"/>
        <v>2980</v>
      </c>
      <c r="X25" s="37">
        <f t="shared" si="36"/>
        <v>4420</v>
      </c>
      <c r="Y25" s="37">
        <f t="shared" si="36"/>
        <v>5490</v>
      </c>
      <c r="Z25" s="37">
        <f t="shared" si="36"/>
        <v>2380</v>
      </c>
      <c r="AA25" s="37">
        <f t="shared" si="36"/>
        <v>2820</v>
      </c>
      <c r="AB25" s="37">
        <f t="shared" si="36"/>
        <v>6780</v>
      </c>
      <c r="AC25" s="37">
        <f t="shared" si="36"/>
        <v>9670</v>
      </c>
      <c r="AD25" s="35">
        <f t="shared" si="33"/>
        <v>61430</v>
      </c>
      <c r="AF25" s="20">
        <f t="shared" si="1"/>
        <v>4.9000000000000004</v>
      </c>
      <c r="AG25" s="20">
        <f t="shared" si="2"/>
        <v>64.55</v>
      </c>
      <c r="AH25" s="20">
        <f t="shared" si="3"/>
        <v>16.2</v>
      </c>
      <c r="AI25" s="20">
        <f t="shared" si="4"/>
        <v>8</v>
      </c>
      <c r="AJ25" s="20">
        <f t="shared" si="5"/>
        <v>20.7</v>
      </c>
      <c r="AK25" s="20">
        <f t="shared" si="6"/>
        <v>20.100000000000001</v>
      </c>
      <c r="AL25" s="20">
        <f t="shared" si="7"/>
        <v>14.9</v>
      </c>
      <c r="AM25" s="20">
        <f t="shared" si="8"/>
        <v>22.1</v>
      </c>
      <c r="AN25" s="20">
        <f t="shared" si="9"/>
        <v>27.45</v>
      </c>
      <c r="AO25" s="20">
        <f t="shared" si="10"/>
        <v>11.9</v>
      </c>
      <c r="AP25" s="20">
        <f t="shared" si="11"/>
        <v>14.1</v>
      </c>
      <c r="AQ25" s="20">
        <f t="shared" si="12"/>
        <v>33.9</v>
      </c>
      <c r="AR25" s="20">
        <f t="shared" si="13"/>
        <v>48.35</v>
      </c>
      <c r="AS25" s="35">
        <f t="shared" si="34"/>
        <v>307.15000000000003</v>
      </c>
      <c r="AT25" s="61"/>
      <c r="AV25" s="65">
        <v>0</v>
      </c>
      <c r="AW25" s="64">
        <f t="shared" si="14"/>
        <v>0</v>
      </c>
      <c r="AX25" s="66">
        <f t="shared" si="17"/>
        <v>0</v>
      </c>
      <c r="AY25" s="52">
        <v>216768</v>
      </c>
      <c r="AZ25" s="37">
        <f t="shared" si="18"/>
        <v>9400</v>
      </c>
      <c r="BA25" s="37">
        <f t="shared" si="19"/>
        <v>25.662000000000003</v>
      </c>
      <c r="BB25" s="59">
        <f t="shared" si="20"/>
        <v>11.404192800000002</v>
      </c>
    </row>
    <row r="26" spans="1:54" x14ac:dyDescent="0.25">
      <c r="A26" s="23">
        <v>44824</v>
      </c>
      <c r="B26" s="40">
        <v>112</v>
      </c>
      <c r="C26" s="24">
        <v>8462320</v>
      </c>
      <c r="D26" s="24">
        <v>20462090</v>
      </c>
      <c r="E26" s="24">
        <v>3603900</v>
      </c>
      <c r="F26" s="24">
        <v>4264010</v>
      </c>
      <c r="G26" s="24">
        <v>12562790</v>
      </c>
      <c r="H26" s="24">
        <v>7369710</v>
      </c>
      <c r="I26" s="24">
        <v>6397250</v>
      </c>
      <c r="J26" s="24">
        <v>7949630</v>
      </c>
      <c r="K26" s="24">
        <v>11612910</v>
      </c>
      <c r="L26" s="24">
        <v>5054910</v>
      </c>
      <c r="M26" s="24">
        <v>9351250</v>
      </c>
      <c r="N26" s="24">
        <v>15380620</v>
      </c>
      <c r="O26" s="24">
        <v>21504090</v>
      </c>
      <c r="Q26" s="37">
        <f t="shared" si="36"/>
        <v>1060</v>
      </c>
      <c r="R26" s="37">
        <f t="shared" si="22"/>
        <v>14890</v>
      </c>
      <c r="S26" s="37">
        <f t="shared" si="36"/>
        <v>3920</v>
      </c>
      <c r="T26" s="37">
        <f t="shared" si="36"/>
        <v>1680</v>
      </c>
      <c r="U26" s="37">
        <f t="shared" si="36"/>
        <v>4370</v>
      </c>
      <c r="V26" s="37">
        <f t="shared" si="36"/>
        <v>4260</v>
      </c>
      <c r="W26" s="37">
        <f t="shared" si="36"/>
        <v>3390</v>
      </c>
      <c r="X26" s="37">
        <f t="shared" si="36"/>
        <v>4510</v>
      </c>
      <c r="Y26" s="37">
        <f t="shared" si="36"/>
        <v>5490</v>
      </c>
      <c r="Z26" s="37">
        <f t="shared" si="36"/>
        <v>2580</v>
      </c>
      <c r="AA26" s="37">
        <f t="shared" si="36"/>
        <v>2880</v>
      </c>
      <c r="AB26" s="37">
        <f t="shared" si="36"/>
        <v>6880</v>
      </c>
      <c r="AC26" s="37">
        <f t="shared" si="36"/>
        <v>9150</v>
      </c>
      <c r="AD26" s="35">
        <f t="shared" si="33"/>
        <v>65060</v>
      </c>
      <c r="AF26" s="20">
        <f t="shared" si="1"/>
        <v>5.3</v>
      </c>
      <c r="AG26" s="20">
        <f t="shared" si="2"/>
        <v>74.45</v>
      </c>
      <c r="AH26" s="20">
        <f t="shared" si="3"/>
        <v>19.600000000000001</v>
      </c>
      <c r="AI26" s="20">
        <f t="shared" si="4"/>
        <v>8.4</v>
      </c>
      <c r="AJ26" s="20">
        <f t="shared" si="5"/>
        <v>21.85</v>
      </c>
      <c r="AK26" s="20">
        <f t="shared" si="6"/>
        <v>21.3</v>
      </c>
      <c r="AL26" s="20">
        <f t="shared" si="7"/>
        <v>16.95</v>
      </c>
      <c r="AM26" s="20">
        <f t="shared" si="8"/>
        <v>22.55</v>
      </c>
      <c r="AN26" s="20">
        <f t="shared" si="9"/>
        <v>27.45</v>
      </c>
      <c r="AO26" s="20">
        <f t="shared" si="10"/>
        <v>12.9</v>
      </c>
      <c r="AP26" s="20">
        <f t="shared" si="11"/>
        <v>14.4</v>
      </c>
      <c r="AQ26" s="20">
        <f t="shared" si="12"/>
        <v>34.4</v>
      </c>
      <c r="AR26" s="20">
        <f t="shared" si="13"/>
        <v>45.75</v>
      </c>
      <c r="AS26" s="35">
        <f t="shared" si="34"/>
        <v>325.3</v>
      </c>
      <c r="AT26" s="61"/>
      <c r="AV26" s="65">
        <v>0</v>
      </c>
      <c r="AW26" s="64">
        <f t="shared" si="14"/>
        <v>0</v>
      </c>
      <c r="AX26" s="66">
        <f t="shared" si="17"/>
        <v>0</v>
      </c>
      <c r="AY26" s="52">
        <v>220859</v>
      </c>
      <c r="AZ26" s="37">
        <f t="shared" si="18"/>
        <v>409100</v>
      </c>
      <c r="BA26" s="37">
        <f t="shared" si="19"/>
        <v>1116.8430000000001</v>
      </c>
      <c r="BB26" s="59">
        <f t="shared" si="20"/>
        <v>496.32502920000007</v>
      </c>
    </row>
    <row r="27" spans="1:54" x14ac:dyDescent="0.25">
      <c r="A27" s="23">
        <v>44825</v>
      </c>
      <c r="B27" s="40">
        <v>135</v>
      </c>
      <c r="C27" s="24">
        <v>8464970</v>
      </c>
      <c r="D27" s="24">
        <v>20477620</v>
      </c>
      <c r="E27" s="24">
        <v>3608020</v>
      </c>
      <c r="F27" s="24">
        <v>4265660</v>
      </c>
      <c r="G27" s="24">
        <v>12567250</v>
      </c>
      <c r="H27" s="24">
        <v>7373970</v>
      </c>
      <c r="I27" s="24">
        <v>6400650</v>
      </c>
      <c r="J27" s="24">
        <v>7954240</v>
      </c>
      <c r="K27" s="24">
        <v>11618420</v>
      </c>
      <c r="L27" s="24">
        <v>5057420</v>
      </c>
      <c r="M27" s="24">
        <v>9354080</v>
      </c>
      <c r="N27" s="24">
        <v>15387430</v>
      </c>
      <c r="O27" s="24">
        <v>21512560</v>
      </c>
      <c r="Q27" s="37">
        <f t="shared" si="36"/>
        <v>2650</v>
      </c>
      <c r="R27" s="37">
        <f t="shared" si="22"/>
        <v>15530</v>
      </c>
      <c r="S27" s="37">
        <f t="shared" si="36"/>
        <v>4120</v>
      </c>
      <c r="T27" s="37">
        <f t="shared" si="36"/>
        <v>1650</v>
      </c>
      <c r="U27" s="37">
        <f t="shared" si="36"/>
        <v>4460</v>
      </c>
      <c r="V27" s="37">
        <f t="shared" si="36"/>
        <v>4260</v>
      </c>
      <c r="W27" s="37">
        <f t="shared" si="36"/>
        <v>3400</v>
      </c>
      <c r="X27" s="37">
        <f t="shared" si="36"/>
        <v>4610</v>
      </c>
      <c r="Y27" s="37">
        <f t="shared" si="36"/>
        <v>5510</v>
      </c>
      <c r="Z27" s="37">
        <f t="shared" si="36"/>
        <v>2510</v>
      </c>
      <c r="AA27" s="37">
        <f t="shared" si="36"/>
        <v>2830</v>
      </c>
      <c r="AB27" s="37">
        <f t="shared" si="36"/>
        <v>6810</v>
      </c>
      <c r="AC27" s="37">
        <f t="shared" si="36"/>
        <v>8470</v>
      </c>
      <c r="AD27" s="35">
        <f t="shared" si="33"/>
        <v>66810</v>
      </c>
      <c r="AF27" s="20">
        <f t="shared" si="1"/>
        <v>13.25</v>
      </c>
      <c r="AG27" s="20">
        <f t="shared" si="2"/>
        <v>77.650000000000006</v>
      </c>
      <c r="AH27" s="20">
        <f t="shared" si="3"/>
        <v>20.6</v>
      </c>
      <c r="AI27" s="20">
        <f t="shared" si="4"/>
        <v>8.25</v>
      </c>
      <c r="AJ27" s="20">
        <f t="shared" si="5"/>
        <v>22.3</v>
      </c>
      <c r="AK27" s="20">
        <f t="shared" si="6"/>
        <v>21.3</v>
      </c>
      <c r="AL27" s="20">
        <f t="shared" si="7"/>
        <v>17</v>
      </c>
      <c r="AM27" s="20">
        <f t="shared" si="8"/>
        <v>23.05</v>
      </c>
      <c r="AN27" s="20">
        <f t="shared" si="9"/>
        <v>27.55</v>
      </c>
      <c r="AO27" s="20">
        <f t="shared" si="10"/>
        <v>12.55</v>
      </c>
      <c r="AP27" s="20">
        <f t="shared" si="11"/>
        <v>14.15</v>
      </c>
      <c r="AQ27" s="20">
        <f t="shared" si="12"/>
        <v>34.049999999999997</v>
      </c>
      <c r="AR27" s="20">
        <f t="shared" si="13"/>
        <v>42.35</v>
      </c>
      <c r="AS27" s="35">
        <f t="shared" si="34"/>
        <v>334.05000000000007</v>
      </c>
      <c r="AT27" s="61"/>
      <c r="AV27" s="65">
        <v>0</v>
      </c>
      <c r="AW27" s="64">
        <f t="shared" si="14"/>
        <v>0</v>
      </c>
      <c r="AX27" s="66">
        <f t="shared" si="17"/>
        <v>0</v>
      </c>
      <c r="AY27" s="52">
        <v>223057</v>
      </c>
      <c r="AZ27" s="37">
        <f t="shared" si="18"/>
        <v>219800</v>
      </c>
      <c r="BA27" s="37">
        <f t="shared" si="19"/>
        <v>600.05399999999997</v>
      </c>
      <c r="BB27" s="59">
        <f t="shared" si="20"/>
        <v>266.66399760000002</v>
      </c>
    </row>
    <row r="28" spans="1:54" x14ac:dyDescent="0.25">
      <c r="A28" s="23">
        <v>44826</v>
      </c>
      <c r="B28" s="40">
        <v>155</v>
      </c>
      <c r="C28" s="24">
        <v>8465960</v>
      </c>
      <c r="D28" s="24">
        <v>20491970</v>
      </c>
      <c r="E28" s="24">
        <v>3611770</v>
      </c>
      <c r="F28" s="24">
        <v>4267310</v>
      </c>
      <c r="G28" s="24">
        <v>12571870</v>
      </c>
      <c r="H28" s="24">
        <v>7378250</v>
      </c>
      <c r="I28" s="24">
        <v>6404150</v>
      </c>
      <c r="J28" s="24">
        <v>7958860</v>
      </c>
      <c r="K28" s="24">
        <v>11624070</v>
      </c>
      <c r="L28" s="24">
        <v>5060080</v>
      </c>
      <c r="M28" s="24">
        <v>9357110</v>
      </c>
      <c r="N28" s="24">
        <v>15394530</v>
      </c>
      <c r="O28" s="24">
        <v>21521940</v>
      </c>
      <c r="Q28" s="37">
        <f t="shared" si="21"/>
        <v>990</v>
      </c>
      <c r="R28" s="37">
        <f t="shared" si="22"/>
        <v>14350</v>
      </c>
      <c r="S28" s="37">
        <f t="shared" si="16"/>
        <v>3750</v>
      </c>
      <c r="T28" s="37">
        <f t="shared" si="23"/>
        <v>1650</v>
      </c>
      <c r="U28" s="37">
        <f t="shared" si="24"/>
        <v>4620</v>
      </c>
      <c r="V28" s="37">
        <f t="shared" si="25"/>
        <v>4280</v>
      </c>
      <c r="W28" s="37">
        <f t="shared" si="26"/>
        <v>3500</v>
      </c>
      <c r="X28" s="37">
        <f t="shared" si="27"/>
        <v>4620</v>
      </c>
      <c r="Y28" s="37">
        <f t="shared" si="28"/>
        <v>5650</v>
      </c>
      <c r="Z28" s="37">
        <f t="shared" si="29"/>
        <v>2660</v>
      </c>
      <c r="AA28" s="37">
        <f t="shared" si="30"/>
        <v>3030</v>
      </c>
      <c r="AB28" s="37">
        <f t="shared" si="31"/>
        <v>7100</v>
      </c>
      <c r="AC28" s="37">
        <f t="shared" si="32"/>
        <v>9380</v>
      </c>
      <c r="AD28" s="35">
        <f t="shared" si="33"/>
        <v>65580</v>
      </c>
      <c r="AF28" s="20">
        <f t="shared" si="1"/>
        <v>4.95</v>
      </c>
      <c r="AG28" s="20">
        <f t="shared" si="2"/>
        <v>71.75</v>
      </c>
      <c r="AH28" s="20">
        <f t="shared" si="3"/>
        <v>18.75</v>
      </c>
      <c r="AI28" s="20">
        <f t="shared" si="4"/>
        <v>8.25</v>
      </c>
      <c r="AJ28" s="20">
        <f t="shared" si="5"/>
        <v>23.1</v>
      </c>
      <c r="AK28" s="20">
        <f t="shared" si="6"/>
        <v>21.400000000000002</v>
      </c>
      <c r="AL28" s="20">
        <f t="shared" si="7"/>
        <v>17.5</v>
      </c>
      <c r="AM28" s="20">
        <f t="shared" si="8"/>
        <v>23.1</v>
      </c>
      <c r="AN28" s="20">
        <f t="shared" si="9"/>
        <v>28.25</v>
      </c>
      <c r="AO28" s="20">
        <f t="shared" si="10"/>
        <v>13.3</v>
      </c>
      <c r="AP28" s="20">
        <f t="shared" si="11"/>
        <v>15.15</v>
      </c>
      <c r="AQ28" s="20">
        <f t="shared" si="12"/>
        <v>35.5</v>
      </c>
      <c r="AR28" s="20">
        <f t="shared" si="13"/>
        <v>46.9</v>
      </c>
      <c r="AS28" s="35">
        <f t="shared" si="34"/>
        <v>327.9</v>
      </c>
      <c r="AT28" s="61"/>
      <c r="AV28" s="65">
        <v>0</v>
      </c>
      <c r="AW28" s="64">
        <f t="shared" si="14"/>
        <v>0</v>
      </c>
      <c r="AX28" s="66">
        <f t="shared" si="17"/>
        <v>0</v>
      </c>
      <c r="AY28" s="52">
        <v>225508</v>
      </c>
      <c r="AZ28" s="37">
        <f t="shared" si="18"/>
        <v>245100</v>
      </c>
      <c r="BA28" s="37">
        <f t="shared" si="19"/>
        <v>669.12300000000005</v>
      </c>
      <c r="BB28" s="59">
        <f t="shared" si="20"/>
        <v>297.35826120000002</v>
      </c>
    </row>
    <row r="29" spans="1:54" x14ac:dyDescent="0.25">
      <c r="A29" s="23">
        <v>44827</v>
      </c>
      <c r="B29" s="40">
        <v>176</v>
      </c>
      <c r="C29" s="57">
        <v>8467110</v>
      </c>
      <c r="D29" s="57">
        <v>20507050</v>
      </c>
      <c r="E29" s="57">
        <v>3615850</v>
      </c>
      <c r="F29" s="57">
        <v>4268950</v>
      </c>
      <c r="G29" s="57">
        <v>12576450</v>
      </c>
      <c r="H29" s="57">
        <v>7382410</v>
      </c>
      <c r="I29" s="57">
        <v>6407730</v>
      </c>
      <c r="J29" s="57">
        <v>7963210</v>
      </c>
      <c r="K29" s="57">
        <v>11629690</v>
      </c>
      <c r="L29" s="57">
        <v>5062830</v>
      </c>
      <c r="M29" s="57">
        <v>9360170</v>
      </c>
      <c r="N29" s="57">
        <v>15401530</v>
      </c>
      <c r="O29" s="57">
        <v>21531110</v>
      </c>
      <c r="Q29" s="37">
        <f t="shared" si="21"/>
        <v>1150</v>
      </c>
      <c r="R29" s="37">
        <f t="shared" si="22"/>
        <v>15080</v>
      </c>
      <c r="S29" s="37">
        <f t="shared" si="16"/>
        <v>4080</v>
      </c>
      <c r="T29" s="37">
        <f t="shared" si="23"/>
        <v>1640</v>
      </c>
      <c r="U29" s="37">
        <f t="shared" si="24"/>
        <v>4580</v>
      </c>
      <c r="V29" s="37">
        <f t="shared" si="25"/>
        <v>4160</v>
      </c>
      <c r="W29" s="37">
        <f t="shared" si="26"/>
        <v>3580</v>
      </c>
      <c r="X29" s="37">
        <f t="shared" si="27"/>
        <v>4350</v>
      </c>
      <c r="Y29" s="37">
        <f t="shared" si="28"/>
        <v>5620</v>
      </c>
      <c r="Z29" s="37">
        <f t="shared" si="29"/>
        <v>2750</v>
      </c>
      <c r="AA29" s="37">
        <f t="shared" si="30"/>
        <v>3060</v>
      </c>
      <c r="AB29" s="37">
        <f t="shared" si="31"/>
        <v>7000</v>
      </c>
      <c r="AC29" s="37">
        <f t="shared" si="32"/>
        <v>9170</v>
      </c>
      <c r="AD29" s="35">
        <f t="shared" si="33"/>
        <v>66220</v>
      </c>
      <c r="AF29" s="20">
        <f t="shared" si="1"/>
        <v>5.75</v>
      </c>
      <c r="AG29" s="20">
        <f t="shared" si="2"/>
        <v>75.400000000000006</v>
      </c>
      <c r="AH29" s="20">
        <f t="shared" si="3"/>
        <v>20.400000000000002</v>
      </c>
      <c r="AI29" s="20">
        <f t="shared" si="4"/>
        <v>8.1999999999999993</v>
      </c>
      <c r="AJ29" s="20">
        <f t="shared" si="5"/>
        <v>22.900000000000002</v>
      </c>
      <c r="AK29" s="20">
        <f t="shared" si="6"/>
        <v>20.8</v>
      </c>
      <c r="AL29" s="20">
        <f t="shared" si="7"/>
        <v>17.900000000000002</v>
      </c>
      <c r="AM29" s="20">
        <f t="shared" si="8"/>
        <v>21.75</v>
      </c>
      <c r="AN29" s="20">
        <f t="shared" si="9"/>
        <v>28.1</v>
      </c>
      <c r="AO29" s="20">
        <f t="shared" si="10"/>
        <v>13.75</v>
      </c>
      <c r="AP29" s="20">
        <f t="shared" si="11"/>
        <v>15.3</v>
      </c>
      <c r="AQ29" s="20">
        <f t="shared" si="12"/>
        <v>35</v>
      </c>
      <c r="AR29" s="20">
        <f t="shared" si="13"/>
        <v>45.85</v>
      </c>
      <c r="AS29" s="35">
        <f t="shared" si="34"/>
        <v>331.1</v>
      </c>
      <c r="AT29" s="61"/>
      <c r="AV29" s="65">
        <v>0</v>
      </c>
      <c r="AW29" s="64">
        <f t="shared" si="14"/>
        <v>0</v>
      </c>
      <c r="AX29" s="66">
        <f t="shared" si="17"/>
        <v>0</v>
      </c>
      <c r="AY29" s="58">
        <v>227592</v>
      </c>
      <c r="AZ29" s="37">
        <f t="shared" si="18"/>
        <v>208400</v>
      </c>
      <c r="BA29" s="37">
        <f t="shared" si="19"/>
        <v>568.93200000000002</v>
      </c>
      <c r="BB29" s="59">
        <f t="shared" si="20"/>
        <v>252.83338080000001</v>
      </c>
    </row>
    <row r="30" spans="1:54" x14ac:dyDescent="0.25">
      <c r="A30" s="23">
        <v>44828</v>
      </c>
      <c r="B30" s="40">
        <v>98</v>
      </c>
      <c r="C30" s="79">
        <v>8468120</v>
      </c>
      <c r="D30" s="79">
        <v>20520810</v>
      </c>
      <c r="E30" s="79">
        <v>3619290</v>
      </c>
      <c r="F30" s="79">
        <v>4270640</v>
      </c>
      <c r="G30" s="79">
        <v>12581240</v>
      </c>
      <c r="H30" s="79">
        <v>7386740</v>
      </c>
      <c r="I30" s="79">
        <v>6411150</v>
      </c>
      <c r="J30" s="79">
        <v>7967890</v>
      </c>
      <c r="K30" s="79">
        <v>11635650</v>
      </c>
      <c r="L30" s="79">
        <v>5065540</v>
      </c>
      <c r="M30" s="79">
        <v>9363330</v>
      </c>
      <c r="N30" s="79">
        <v>15408750</v>
      </c>
      <c r="O30" s="79">
        <v>21543960</v>
      </c>
      <c r="Q30" s="37">
        <f t="shared" si="21"/>
        <v>1010</v>
      </c>
      <c r="R30" s="37">
        <f t="shared" si="22"/>
        <v>13760</v>
      </c>
      <c r="S30" s="37">
        <f t="shared" si="16"/>
        <v>3440</v>
      </c>
      <c r="T30" s="37">
        <f t="shared" si="23"/>
        <v>1690</v>
      </c>
      <c r="U30" s="37">
        <f t="shared" si="24"/>
        <v>4790</v>
      </c>
      <c r="V30" s="37">
        <f t="shared" si="25"/>
        <v>4330</v>
      </c>
      <c r="W30" s="37">
        <f t="shared" si="26"/>
        <v>3420</v>
      </c>
      <c r="X30" s="37">
        <f t="shared" si="27"/>
        <v>4680</v>
      </c>
      <c r="Y30" s="37">
        <f t="shared" si="28"/>
        <v>5960</v>
      </c>
      <c r="Z30" s="37">
        <f t="shared" si="29"/>
        <v>2710</v>
      </c>
      <c r="AA30" s="37">
        <f t="shared" si="30"/>
        <v>3160</v>
      </c>
      <c r="AB30" s="37">
        <f t="shared" si="31"/>
        <v>7220</v>
      </c>
      <c r="AC30" s="37">
        <f t="shared" si="32"/>
        <v>12850</v>
      </c>
      <c r="AD30" s="35">
        <f t="shared" si="33"/>
        <v>69020</v>
      </c>
      <c r="AF30" s="20">
        <f t="shared" si="1"/>
        <v>5.05</v>
      </c>
      <c r="AG30" s="20">
        <f t="shared" si="2"/>
        <v>68.8</v>
      </c>
      <c r="AH30" s="20">
        <f t="shared" si="3"/>
        <v>17.2</v>
      </c>
      <c r="AI30" s="20">
        <f t="shared" si="4"/>
        <v>8.4499999999999993</v>
      </c>
      <c r="AJ30" s="20">
        <f t="shared" si="5"/>
        <v>23.95</v>
      </c>
      <c r="AK30" s="20">
        <f t="shared" si="6"/>
        <v>21.650000000000002</v>
      </c>
      <c r="AL30" s="20">
        <f t="shared" si="7"/>
        <v>17.100000000000001</v>
      </c>
      <c r="AM30" s="20">
        <f t="shared" si="8"/>
        <v>23.400000000000002</v>
      </c>
      <c r="AN30" s="20">
        <f t="shared" si="9"/>
        <v>29.8</v>
      </c>
      <c r="AO30" s="20">
        <f t="shared" si="10"/>
        <v>13.55</v>
      </c>
      <c r="AP30" s="20">
        <f t="shared" si="11"/>
        <v>15.8</v>
      </c>
      <c r="AQ30" s="20">
        <f t="shared" si="12"/>
        <v>36.1</v>
      </c>
      <c r="AR30" s="20">
        <f t="shared" si="13"/>
        <v>64.25</v>
      </c>
      <c r="AS30" s="35">
        <f t="shared" si="34"/>
        <v>345.1</v>
      </c>
      <c r="AT30" s="61"/>
      <c r="AV30" s="65">
        <v>0</v>
      </c>
      <c r="AW30" s="64">
        <f t="shared" si="14"/>
        <v>0</v>
      </c>
      <c r="AX30" s="66">
        <f t="shared" si="17"/>
        <v>0</v>
      </c>
      <c r="AY30" s="55">
        <v>229374</v>
      </c>
      <c r="AZ30" s="37">
        <f t="shared" si="18"/>
        <v>178200</v>
      </c>
      <c r="BA30" s="37">
        <f t="shared" si="19"/>
        <v>486.48599999999999</v>
      </c>
      <c r="BB30" s="59">
        <f t="shared" si="20"/>
        <v>216.19437840000001</v>
      </c>
    </row>
    <row r="31" spans="1:54" x14ac:dyDescent="0.25">
      <c r="A31" s="23">
        <v>44829</v>
      </c>
      <c r="B31" s="40">
        <v>121</v>
      </c>
      <c r="C31" s="24">
        <v>8469120</v>
      </c>
      <c r="D31" s="50">
        <v>20533960</v>
      </c>
      <c r="E31" s="50">
        <v>3622570</v>
      </c>
      <c r="F31" s="50">
        <v>4272280</v>
      </c>
      <c r="G31" s="50">
        <v>12585820</v>
      </c>
      <c r="H31" s="50">
        <v>7390820</v>
      </c>
      <c r="I31" s="50">
        <v>6414380</v>
      </c>
      <c r="J31" s="50">
        <v>7972130</v>
      </c>
      <c r="K31" s="50">
        <v>11641010</v>
      </c>
      <c r="L31" s="50">
        <v>5068080</v>
      </c>
      <c r="M31" s="50">
        <v>9366280</v>
      </c>
      <c r="N31" s="50">
        <v>15415640</v>
      </c>
      <c r="O31" s="50">
        <v>21556640</v>
      </c>
      <c r="Q31" s="37">
        <f>IF((C31-C30&lt;0), "0",C31-C30)</f>
        <v>1000</v>
      </c>
      <c r="R31" s="37">
        <f t="shared" si="22"/>
        <v>13150</v>
      </c>
      <c r="S31" s="37">
        <f t="shared" si="16"/>
        <v>3280</v>
      </c>
      <c r="T31" s="37">
        <f t="shared" si="23"/>
        <v>1640</v>
      </c>
      <c r="U31" s="37">
        <f t="shared" si="24"/>
        <v>4580</v>
      </c>
      <c r="V31" s="37">
        <f t="shared" si="25"/>
        <v>4080</v>
      </c>
      <c r="W31" s="37">
        <f t="shared" si="26"/>
        <v>3230</v>
      </c>
      <c r="X31" s="37">
        <f t="shared" si="27"/>
        <v>4240</v>
      </c>
      <c r="Y31" s="37">
        <f t="shared" si="28"/>
        <v>5360</v>
      </c>
      <c r="Z31" s="37">
        <f t="shared" si="29"/>
        <v>2540</v>
      </c>
      <c r="AA31" s="37">
        <f t="shared" si="30"/>
        <v>2950</v>
      </c>
      <c r="AB31" s="37">
        <f t="shared" si="31"/>
        <v>6890</v>
      </c>
      <c r="AC31" s="37">
        <f t="shared" si="32"/>
        <v>12680</v>
      </c>
      <c r="AD31" s="35">
        <f t="shared" si="33"/>
        <v>65620</v>
      </c>
      <c r="AF31" s="20">
        <f t="shared" si="1"/>
        <v>5</v>
      </c>
      <c r="AG31" s="20">
        <f t="shared" si="2"/>
        <v>65.75</v>
      </c>
      <c r="AH31" s="20">
        <f t="shared" si="3"/>
        <v>16.399999999999999</v>
      </c>
      <c r="AI31" s="20">
        <f t="shared" si="4"/>
        <v>8.1999999999999993</v>
      </c>
      <c r="AJ31" s="20">
        <f t="shared" si="5"/>
        <v>22.900000000000002</v>
      </c>
      <c r="AK31" s="20">
        <f t="shared" si="6"/>
        <v>20.400000000000002</v>
      </c>
      <c r="AL31" s="20">
        <f t="shared" si="7"/>
        <v>16.149999999999999</v>
      </c>
      <c r="AM31" s="20">
        <f t="shared" si="8"/>
        <v>21.2</v>
      </c>
      <c r="AN31" s="20">
        <f t="shared" si="9"/>
        <v>26.8</v>
      </c>
      <c r="AO31" s="20">
        <f t="shared" si="10"/>
        <v>12.700000000000001</v>
      </c>
      <c r="AP31" s="20">
        <f t="shared" si="11"/>
        <v>14.75</v>
      </c>
      <c r="AQ31" s="20">
        <f t="shared" si="12"/>
        <v>34.450000000000003</v>
      </c>
      <c r="AR31" s="20">
        <f t="shared" si="13"/>
        <v>63.4</v>
      </c>
      <c r="AS31" s="35">
        <f t="shared" si="34"/>
        <v>328.09999999999997</v>
      </c>
      <c r="AT31" s="61"/>
      <c r="AV31" s="65">
        <v>0</v>
      </c>
      <c r="AW31" s="64">
        <f t="shared" si="14"/>
        <v>0</v>
      </c>
      <c r="AX31" s="66">
        <f t="shared" si="17"/>
        <v>0</v>
      </c>
      <c r="AY31" s="53">
        <v>230861</v>
      </c>
      <c r="AZ31" s="37">
        <f t="shared" si="18"/>
        <v>148700</v>
      </c>
      <c r="BA31" s="37">
        <f t="shared" si="19"/>
        <v>405.95100000000002</v>
      </c>
      <c r="BB31" s="59">
        <f t="shared" si="20"/>
        <v>180.40462440000002</v>
      </c>
    </row>
    <row r="32" spans="1:54" x14ac:dyDescent="0.25">
      <c r="A32" s="23">
        <v>44830</v>
      </c>
      <c r="B32" s="40">
        <v>107</v>
      </c>
      <c r="C32" s="24">
        <v>8470100</v>
      </c>
      <c r="D32" s="51">
        <v>20546270</v>
      </c>
      <c r="E32" s="51">
        <v>3625580</v>
      </c>
      <c r="F32" s="51">
        <v>4273850</v>
      </c>
      <c r="G32" s="51">
        <v>12590190</v>
      </c>
      <c r="H32" s="51">
        <v>7394830</v>
      </c>
      <c r="I32" s="51">
        <v>6417780</v>
      </c>
      <c r="J32" s="51">
        <v>7976750</v>
      </c>
      <c r="K32" s="51">
        <v>11646270</v>
      </c>
      <c r="L32" s="51">
        <v>5070480</v>
      </c>
      <c r="M32" s="51">
        <v>9369120</v>
      </c>
      <c r="N32" s="51">
        <v>15422480</v>
      </c>
      <c r="O32" s="51">
        <v>21569540</v>
      </c>
      <c r="Q32" s="37">
        <f>IF((C32-C31&lt;0), "0",C32-C31)</f>
        <v>980</v>
      </c>
      <c r="R32" s="37">
        <f t="shared" si="22"/>
        <v>12310</v>
      </c>
      <c r="S32" s="37">
        <f t="shared" si="16"/>
        <v>3010</v>
      </c>
      <c r="T32" s="37">
        <f t="shared" si="23"/>
        <v>1570</v>
      </c>
      <c r="U32" s="37">
        <f t="shared" si="24"/>
        <v>4370</v>
      </c>
      <c r="V32" s="37">
        <f t="shared" si="25"/>
        <v>4010</v>
      </c>
      <c r="W32" s="37">
        <f t="shared" si="26"/>
        <v>3400</v>
      </c>
      <c r="X32" s="37">
        <f t="shared" si="27"/>
        <v>4620</v>
      </c>
      <c r="Y32" s="37">
        <f t="shared" si="28"/>
        <v>5260</v>
      </c>
      <c r="Z32" s="37">
        <f t="shared" si="29"/>
        <v>2400</v>
      </c>
      <c r="AA32" s="37">
        <f t="shared" si="30"/>
        <v>2840</v>
      </c>
      <c r="AB32" s="37">
        <f t="shared" si="31"/>
        <v>6840</v>
      </c>
      <c r="AC32" s="37">
        <f t="shared" si="32"/>
        <v>12900</v>
      </c>
      <c r="AD32" s="35">
        <f t="shared" si="33"/>
        <v>64510</v>
      </c>
      <c r="AF32" s="20">
        <f t="shared" si="1"/>
        <v>4.9000000000000004</v>
      </c>
      <c r="AG32" s="20">
        <f t="shared" si="2"/>
        <v>61.550000000000004</v>
      </c>
      <c r="AH32" s="20">
        <f t="shared" si="3"/>
        <v>15.05</v>
      </c>
      <c r="AI32" s="20">
        <f t="shared" si="4"/>
        <v>7.8500000000000005</v>
      </c>
      <c r="AJ32" s="20">
        <f t="shared" si="5"/>
        <v>21.85</v>
      </c>
      <c r="AK32" s="20">
        <f t="shared" si="6"/>
        <v>20.05</v>
      </c>
      <c r="AL32" s="20">
        <f t="shared" si="7"/>
        <v>17</v>
      </c>
      <c r="AM32" s="20">
        <f t="shared" si="8"/>
        <v>23.1</v>
      </c>
      <c r="AN32" s="20">
        <f t="shared" si="9"/>
        <v>26.3</v>
      </c>
      <c r="AO32" s="20">
        <f t="shared" si="10"/>
        <v>12</v>
      </c>
      <c r="AP32" s="20">
        <f t="shared" si="11"/>
        <v>14.200000000000001</v>
      </c>
      <c r="AQ32" s="20">
        <f t="shared" si="12"/>
        <v>34.200000000000003</v>
      </c>
      <c r="AR32" s="20">
        <f t="shared" si="13"/>
        <v>64.5</v>
      </c>
      <c r="AS32" s="35">
        <f t="shared" si="34"/>
        <v>322.55</v>
      </c>
      <c r="AT32" s="61"/>
      <c r="AV32" s="65">
        <v>0</v>
      </c>
      <c r="AW32" s="64">
        <f t="shared" si="14"/>
        <v>0</v>
      </c>
      <c r="AX32" s="66">
        <f t="shared" si="17"/>
        <v>0</v>
      </c>
      <c r="AY32" s="54">
        <v>232857</v>
      </c>
      <c r="AZ32" s="37">
        <f t="shared" si="18"/>
        <v>199600</v>
      </c>
      <c r="BA32" s="37">
        <f t="shared" si="19"/>
        <v>544.90800000000002</v>
      </c>
      <c r="BB32" s="59">
        <f t="shared" si="20"/>
        <v>242.15711520000002</v>
      </c>
    </row>
    <row r="33" spans="1:54" x14ac:dyDescent="0.25">
      <c r="A33" s="23">
        <v>44831</v>
      </c>
      <c r="B33" s="40">
        <v>123</v>
      </c>
      <c r="C33" s="24">
        <v>8471070</v>
      </c>
      <c r="D33" s="50">
        <v>20557470</v>
      </c>
      <c r="E33" s="50">
        <v>3628620</v>
      </c>
      <c r="F33" s="50">
        <v>4275390</v>
      </c>
      <c r="G33" s="50">
        <v>12594660</v>
      </c>
      <c r="H33" s="50">
        <v>7398930</v>
      </c>
      <c r="I33" s="50">
        <v>6421120</v>
      </c>
      <c r="J33" s="50">
        <v>7981480</v>
      </c>
      <c r="K33" s="50">
        <v>11651620</v>
      </c>
      <c r="L33" s="50">
        <v>5072980</v>
      </c>
      <c r="M33" s="50">
        <v>9372010</v>
      </c>
      <c r="N33" s="50">
        <v>15429310</v>
      </c>
      <c r="O33" s="50">
        <v>21581110</v>
      </c>
      <c r="Q33" s="37">
        <f>IF((C33-C32&lt;0), "0",C33-C32)</f>
        <v>970</v>
      </c>
      <c r="R33" s="37">
        <f t="shared" si="22"/>
        <v>11200</v>
      </c>
      <c r="S33" s="37">
        <f t="shared" si="16"/>
        <v>3040</v>
      </c>
      <c r="T33" s="37">
        <f t="shared" si="23"/>
        <v>1540</v>
      </c>
      <c r="U33" s="37">
        <f t="shared" si="24"/>
        <v>4470</v>
      </c>
      <c r="V33" s="37">
        <f t="shared" si="25"/>
        <v>4100</v>
      </c>
      <c r="W33" s="37">
        <f t="shared" si="26"/>
        <v>3340</v>
      </c>
      <c r="X33" s="37">
        <f t="shared" si="27"/>
        <v>4730</v>
      </c>
      <c r="Y33" s="37">
        <f t="shared" si="28"/>
        <v>5350</v>
      </c>
      <c r="Z33" s="37">
        <f t="shared" si="29"/>
        <v>2500</v>
      </c>
      <c r="AA33" s="37">
        <f t="shared" si="30"/>
        <v>2890</v>
      </c>
      <c r="AB33" s="37">
        <f t="shared" si="31"/>
        <v>6830</v>
      </c>
      <c r="AC33" s="37">
        <f t="shared" si="32"/>
        <v>11570</v>
      </c>
      <c r="AD33" s="35">
        <f t="shared" si="33"/>
        <v>62530</v>
      </c>
      <c r="AF33" s="20">
        <f t="shared" si="1"/>
        <v>4.8500000000000005</v>
      </c>
      <c r="AG33" s="20">
        <f t="shared" si="2"/>
        <v>56</v>
      </c>
      <c r="AH33" s="20">
        <f t="shared" si="3"/>
        <v>15.200000000000001</v>
      </c>
      <c r="AI33" s="20">
        <f t="shared" si="4"/>
        <v>7.7</v>
      </c>
      <c r="AJ33" s="20">
        <f t="shared" si="5"/>
        <v>22.35</v>
      </c>
      <c r="AK33" s="20">
        <f t="shared" si="6"/>
        <v>20.5</v>
      </c>
      <c r="AL33" s="20">
        <f t="shared" si="7"/>
        <v>16.7</v>
      </c>
      <c r="AM33" s="20">
        <f t="shared" si="8"/>
        <v>23.650000000000002</v>
      </c>
      <c r="AN33" s="20">
        <f t="shared" si="9"/>
        <v>26.75</v>
      </c>
      <c r="AO33" s="20">
        <f t="shared" si="10"/>
        <v>12.5</v>
      </c>
      <c r="AP33" s="20">
        <f t="shared" si="11"/>
        <v>14.450000000000001</v>
      </c>
      <c r="AQ33" s="20">
        <f t="shared" si="12"/>
        <v>34.15</v>
      </c>
      <c r="AR33" s="20">
        <f t="shared" si="13"/>
        <v>57.85</v>
      </c>
      <c r="AS33" s="35">
        <f t="shared" si="34"/>
        <v>312.64999999999998</v>
      </c>
      <c r="AT33" s="61"/>
      <c r="AV33" s="65">
        <v>0</v>
      </c>
      <c r="AW33" s="64">
        <f t="shared" si="14"/>
        <v>0</v>
      </c>
      <c r="AX33" s="66">
        <f t="shared" si="17"/>
        <v>0</v>
      </c>
      <c r="AY33" s="53">
        <v>234962</v>
      </c>
      <c r="AZ33" s="37">
        <f t="shared" si="18"/>
        <v>210500</v>
      </c>
      <c r="BA33" s="37">
        <f t="shared" si="19"/>
        <v>574.66500000000008</v>
      </c>
      <c r="BB33" s="59">
        <f t="shared" si="20"/>
        <v>255.38112600000005</v>
      </c>
    </row>
    <row r="34" spans="1:54" x14ac:dyDescent="0.25">
      <c r="A34" s="23">
        <v>44832</v>
      </c>
      <c r="B34" s="48">
        <v>117</v>
      </c>
      <c r="C34" s="47">
        <v>8472130</v>
      </c>
      <c r="D34" s="51">
        <v>20571720</v>
      </c>
      <c r="E34" s="51">
        <v>3630620</v>
      </c>
      <c r="F34" s="51">
        <v>4276990</v>
      </c>
      <c r="G34" s="51">
        <v>12599450</v>
      </c>
      <c r="H34" s="51">
        <v>7403030</v>
      </c>
      <c r="I34" s="51">
        <v>6424480</v>
      </c>
      <c r="J34" s="51">
        <v>7986330</v>
      </c>
      <c r="K34" s="51">
        <v>11657120</v>
      </c>
      <c r="L34" s="51">
        <v>5075590</v>
      </c>
      <c r="M34" s="51">
        <v>9375170</v>
      </c>
      <c r="N34" s="51">
        <v>15436460</v>
      </c>
      <c r="O34" s="51">
        <v>21592720</v>
      </c>
      <c r="Q34" s="37">
        <f>IF((C34-C33&lt;0), "0",C34-C33)</f>
        <v>1060</v>
      </c>
      <c r="R34" s="37">
        <f t="shared" si="22"/>
        <v>14250</v>
      </c>
      <c r="S34" s="37">
        <f t="shared" si="16"/>
        <v>2000</v>
      </c>
      <c r="T34" s="37">
        <f t="shared" si="23"/>
        <v>1600</v>
      </c>
      <c r="U34" s="37">
        <f t="shared" si="24"/>
        <v>4790</v>
      </c>
      <c r="V34" s="37">
        <f t="shared" si="25"/>
        <v>4100</v>
      </c>
      <c r="W34" s="37">
        <f t="shared" si="26"/>
        <v>3360</v>
      </c>
      <c r="X34" s="37">
        <f t="shared" si="27"/>
        <v>4850</v>
      </c>
      <c r="Y34" s="37">
        <f t="shared" si="28"/>
        <v>5500</v>
      </c>
      <c r="Z34" s="37">
        <f t="shared" si="29"/>
        <v>2610</v>
      </c>
      <c r="AA34" s="37">
        <f t="shared" si="30"/>
        <v>3160</v>
      </c>
      <c r="AB34" s="37">
        <f t="shared" si="31"/>
        <v>7150</v>
      </c>
      <c r="AC34" s="37">
        <f t="shared" si="32"/>
        <v>11610</v>
      </c>
      <c r="AD34" s="35">
        <f t="shared" si="33"/>
        <v>66040</v>
      </c>
      <c r="AF34" s="20">
        <f>Q34*$D$39</f>
        <v>5.3</v>
      </c>
      <c r="AG34" s="20">
        <f t="shared" si="2"/>
        <v>71.25</v>
      </c>
      <c r="AH34" s="20">
        <f t="shared" si="3"/>
        <v>10</v>
      </c>
      <c r="AI34" s="20">
        <f t="shared" si="4"/>
        <v>8</v>
      </c>
      <c r="AJ34" s="20">
        <f t="shared" si="5"/>
        <v>23.95</v>
      </c>
      <c r="AK34" s="20">
        <f t="shared" si="6"/>
        <v>20.5</v>
      </c>
      <c r="AL34" s="20">
        <f t="shared" si="7"/>
        <v>16.8</v>
      </c>
      <c r="AM34" s="20">
        <f t="shared" si="8"/>
        <v>24.25</v>
      </c>
      <c r="AN34" s="20">
        <f t="shared" si="9"/>
        <v>27.5</v>
      </c>
      <c r="AO34" s="20">
        <f t="shared" si="10"/>
        <v>13.05</v>
      </c>
      <c r="AP34" s="20">
        <f t="shared" si="11"/>
        <v>15.8</v>
      </c>
      <c r="AQ34" s="20">
        <f t="shared" si="12"/>
        <v>35.75</v>
      </c>
      <c r="AR34" s="20">
        <f t="shared" si="13"/>
        <v>58.050000000000004</v>
      </c>
      <c r="AS34" s="35">
        <f>SUM(AF34:AR34)</f>
        <v>330.20000000000005</v>
      </c>
      <c r="AT34" s="61"/>
      <c r="AV34" s="65">
        <v>0</v>
      </c>
      <c r="AW34" s="64">
        <f t="shared" si="14"/>
        <v>0</v>
      </c>
      <c r="AX34" s="66">
        <f t="shared" si="17"/>
        <v>0</v>
      </c>
      <c r="AY34" s="54">
        <v>237107</v>
      </c>
      <c r="AZ34" s="37">
        <f t="shared" si="18"/>
        <v>214500</v>
      </c>
      <c r="BA34" s="37">
        <f t="shared" si="19"/>
        <v>585.58500000000004</v>
      </c>
      <c r="BB34" s="59">
        <f t="shared" si="20"/>
        <v>260.23397400000005</v>
      </c>
    </row>
    <row r="35" spans="1:54" x14ac:dyDescent="0.25">
      <c r="A35" s="23">
        <v>44833</v>
      </c>
      <c r="B35" s="40">
        <v>111</v>
      </c>
      <c r="C35" s="57">
        <v>8473050</v>
      </c>
      <c r="D35" s="57">
        <v>20584620</v>
      </c>
      <c r="E35" s="57">
        <v>3632910</v>
      </c>
      <c r="F35" s="57">
        <v>4278510</v>
      </c>
      <c r="G35" s="57">
        <v>12604170</v>
      </c>
      <c r="H35" s="57">
        <v>7407310</v>
      </c>
      <c r="I35" s="57">
        <v>6427750</v>
      </c>
      <c r="J35" s="57">
        <v>7991090</v>
      </c>
      <c r="K35" s="57">
        <v>11662640</v>
      </c>
      <c r="L35" s="57">
        <v>5078220</v>
      </c>
      <c r="M35" s="57">
        <v>9378270</v>
      </c>
      <c r="N35" s="57">
        <v>15443480</v>
      </c>
      <c r="O35" s="57">
        <v>21603900</v>
      </c>
      <c r="Q35" s="37">
        <f>IF((C35-C34&lt;0), "0",C35-C34)</f>
        <v>920</v>
      </c>
      <c r="R35" s="37">
        <f t="shared" si="22"/>
        <v>12900</v>
      </c>
      <c r="S35" s="37">
        <f t="shared" si="16"/>
        <v>2290</v>
      </c>
      <c r="T35" s="37">
        <f t="shared" si="23"/>
        <v>1520</v>
      </c>
      <c r="U35" s="37">
        <f t="shared" si="24"/>
        <v>4720</v>
      </c>
      <c r="V35" s="37">
        <f t="shared" si="25"/>
        <v>4280</v>
      </c>
      <c r="W35" s="37">
        <f t="shared" si="26"/>
        <v>3270</v>
      </c>
      <c r="X35" s="37">
        <f t="shared" si="27"/>
        <v>4760</v>
      </c>
      <c r="Y35" s="37">
        <f t="shared" si="28"/>
        <v>5520</v>
      </c>
      <c r="Z35" s="37">
        <f t="shared" si="29"/>
        <v>2630</v>
      </c>
      <c r="AA35" s="37">
        <f t="shared" si="30"/>
        <v>3100</v>
      </c>
      <c r="AB35" s="37">
        <f t="shared" si="31"/>
        <v>7020</v>
      </c>
      <c r="AC35" s="37">
        <f t="shared" si="32"/>
        <v>11180</v>
      </c>
      <c r="AD35" s="35">
        <f t="shared" si="33"/>
        <v>64110</v>
      </c>
      <c r="AF35" s="20">
        <f t="shared" si="1"/>
        <v>4.6000000000000005</v>
      </c>
      <c r="AG35" s="20">
        <f t="shared" si="2"/>
        <v>64.5</v>
      </c>
      <c r="AH35" s="20">
        <f t="shared" si="3"/>
        <v>11.450000000000001</v>
      </c>
      <c r="AI35" s="20">
        <f t="shared" si="4"/>
        <v>7.6000000000000005</v>
      </c>
      <c r="AJ35" s="20">
        <f t="shared" si="5"/>
        <v>23.6</v>
      </c>
      <c r="AK35" s="20">
        <f t="shared" si="6"/>
        <v>21.400000000000002</v>
      </c>
      <c r="AL35" s="20">
        <f t="shared" si="7"/>
        <v>16.350000000000001</v>
      </c>
      <c r="AM35" s="20">
        <f t="shared" si="8"/>
        <v>23.8</v>
      </c>
      <c r="AN35" s="20">
        <f t="shared" si="9"/>
        <v>27.6</v>
      </c>
      <c r="AO35" s="20">
        <f t="shared" si="10"/>
        <v>13.15</v>
      </c>
      <c r="AP35" s="20">
        <f t="shared" si="11"/>
        <v>15.5</v>
      </c>
      <c r="AQ35" s="20">
        <f t="shared" si="12"/>
        <v>35.1</v>
      </c>
      <c r="AR35" s="20">
        <f t="shared" si="13"/>
        <v>55.9</v>
      </c>
      <c r="AS35" s="35">
        <f>SUM(AF35:AR35)</f>
        <v>320.55</v>
      </c>
      <c r="AT35" s="61"/>
      <c r="AV35" s="65">
        <v>0</v>
      </c>
      <c r="AW35" s="64">
        <f t="shared" si="14"/>
        <v>0</v>
      </c>
      <c r="AX35" s="66">
        <f t="shared" si="17"/>
        <v>0</v>
      </c>
      <c r="AY35" s="58">
        <v>239047</v>
      </c>
      <c r="AZ35" s="37">
        <f t="shared" si="18"/>
        <v>194000</v>
      </c>
      <c r="BA35" s="37">
        <f t="shared" si="19"/>
        <v>529.62</v>
      </c>
      <c r="BB35" s="59">
        <f t="shared" si="20"/>
        <v>235.36312800000002</v>
      </c>
    </row>
    <row r="36" spans="1:54" x14ac:dyDescent="0.25">
      <c r="A36" s="23">
        <v>44834</v>
      </c>
      <c r="B36" s="40">
        <v>123</v>
      </c>
      <c r="C36" s="79">
        <v>8474080</v>
      </c>
      <c r="D36" s="79">
        <v>20597570</v>
      </c>
      <c r="E36" s="79">
        <v>3636060</v>
      </c>
      <c r="F36" s="79">
        <v>4280090</v>
      </c>
      <c r="G36" s="79">
        <v>12609080</v>
      </c>
      <c r="H36" s="79">
        <v>7411650</v>
      </c>
      <c r="I36" s="79">
        <v>6431480</v>
      </c>
      <c r="J36" s="79">
        <v>7995880</v>
      </c>
      <c r="K36" s="79">
        <v>11668370</v>
      </c>
      <c r="L36" s="79">
        <v>5080970</v>
      </c>
      <c r="M36" s="79">
        <v>9381600</v>
      </c>
      <c r="N36" s="79">
        <v>15450770</v>
      </c>
      <c r="O36" s="79">
        <v>21615470</v>
      </c>
      <c r="Q36" s="37">
        <f t="shared" ref="Q36:AA36" si="37">IF((C36-C35&lt;0), "0",C36-C35)</f>
        <v>1030</v>
      </c>
      <c r="R36" s="37">
        <f t="shared" si="22"/>
        <v>12950</v>
      </c>
      <c r="S36" s="37">
        <f t="shared" si="37"/>
        <v>3150</v>
      </c>
      <c r="T36" s="37">
        <f t="shared" si="37"/>
        <v>1580</v>
      </c>
      <c r="U36" s="37">
        <f t="shared" si="37"/>
        <v>4910</v>
      </c>
      <c r="V36" s="37">
        <f t="shared" si="37"/>
        <v>4340</v>
      </c>
      <c r="W36" s="37">
        <f t="shared" si="37"/>
        <v>3730</v>
      </c>
      <c r="X36" s="37">
        <f t="shared" si="27"/>
        <v>4790</v>
      </c>
      <c r="Y36" s="37">
        <f t="shared" si="37"/>
        <v>5730</v>
      </c>
      <c r="Z36" s="37">
        <f t="shared" si="37"/>
        <v>2750</v>
      </c>
      <c r="AA36" s="37">
        <f t="shared" si="37"/>
        <v>3330</v>
      </c>
      <c r="AB36" s="37">
        <f t="shared" si="31"/>
        <v>7290</v>
      </c>
      <c r="AC36" s="37">
        <f t="shared" si="32"/>
        <v>11570</v>
      </c>
      <c r="AD36" s="35">
        <f t="shared" si="33"/>
        <v>67150</v>
      </c>
      <c r="AF36" s="20">
        <f t="shared" si="1"/>
        <v>5.15</v>
      </c>
      <c r="AG36" s="20">
        <f t="shared" si="2"/>
        <v>64.75</v>
      </c>
      <c r="AH36" s="20">
        <f t="shared" si="3"/>
        <v>15.75</v>
      </c>
      <c r="AI36" s="20">
        <f t="shared" si="4"/>
        <v>7.9</v>
      </c>
      <c r="AJ36" s="20">
        <f t="shared" si="5"/>
        <v>24.55</v>
      </c>
      <c r="AK36" s="20">
        <f t="shared" si="6"/>
        <v>21.7</v>
      </c>
      <c r="AL36" s="20">
        <f t="shared" si="7"/>
        <v>18.650000000000002</v>
      </c>
      <c r="AM36" s="20">
        <f t="shared" si="8"/>
        <v>23.95</v>
      </c>
      <c r="AN36" s="20">
        <f t="shared" si="9"/>
        <v>28.650000000000002</v>
      </c>
      <c r="AO36" s="20">
        <f t="shared" si="10"/>
        <v>13.75</v>
      </c>
      <c r="AP36" s="20">
        <f t="shared" si="11"/>
        <v>16.649999999999999</v>
      </c>
      <c r="AQ36" s="20">
        <f t="shared" si="12"/>
        <v>36.450000000000003</v>
      </c>
      <c r="AR36" s="20">
        <f t="shared" si="13"/>
        <v>57.85</v>
      </c>
      <c r="AS36" s="35">
        <f>SUM(AF36:AR36)</f>
        <v>335.75000000000006</v>
      </c>
      <c r="AT36" s="61"/>
      <c r="AV36" s="65">
        <v>0</v>
      </c>
      <c r="AW36" s="64">
        <f t="shared" si="14"/>
        <v>0</v>
      </c>
      <c r="AX36" s="66">
        <f t="shared" si="17"/>
        <v>0</v>
      </c>
      <c r="AY36" s="55">
        <v>240981</v>
      </c>
      <c r="AZ36" s="37">
        <f t="shared" si="18"/>
        <v>193400</v>
      </c>
      <c r="BA36" s="37">
        <f t="shared" si="19"/>
        <v>527.98199999999997</v>
      </c>
      <c r="BB36" s="59">
        <f t="shared" si="20"/>
        <v>234.63520080000001</v>
      </c>
    </row>
    <row r="37" spans="1:54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si="22"/>
        <v>0</v>
      </c>
      <c r="S37" s="37" t="str">
        <f t="shared" ref="S37" si="39">IF((E37-E36&lt;0), "0",E37-E36)</f>
        <v>0</v>
      </c>
      <c r="T37" s="37" t="str">
        <f t="shared" ref="T37" si="40">IF((F37-F36&lt;0), "0",F37-F36)</f>
        <v>0</v>
      </c>
      <c r="U37" s="37" t="str">
        <f t="shared" ref="U37" si="41">IF((G37-G36&lt;0), "0",G37-G36)</f>
        <v>0</v>
      </c>
      <c r="V37" s="37" t="str">
        <f t="shared" ref="V37" si="42">IF((H37-H36&lt;0), "0",H37-H36)</f>
        <v>0</v>
      </c>
      <c r="W37" s="37" t="str">
        <f t="shared" ref="W37" si="43">IF((I37-I36&lt;0), "0",I37-I36)</f>
        <v>0</v>
      </c>
      <c r="X37" s="37" t="str">
        <f t="shared" si="27"/>
        <v>0</v>
      </c>
      <c r="Y37" s="37" t="str">
        <f t="shared" ref="Y37" si="44">IF((K37-K36&lt;0), "0",K37-K36)</f>
        <v>0</v>
      </c>
      <c r="Z37" s="37" t="str">
        <f t="shared" ref="Z37" si="45">IF((L37-L36&lt;0), "0",L37-L36)</f>
        <v>0</v>
      </c>
      <c r="AA37" s="37" t="str">
        <f t="shared" ref="AA37" si="46">IF((M37-M36&lt;0), "0",M37-M36)</f>
        <v>0</v>
      </c>
      <c r="AB37" s="37" t="str">
        <f t="shared" si="31"/>
        <v>0</v>
      </c>
      <c r="AC37" s="37" t="str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1"/>
      <c r="AV37" s="65">
        <v>0</v>
      </c>
      <c r="AW37" s="64">
        <f t="shared" si="14"/>
        <v>0</v>
      </c>
      <c r="AX37" s="66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9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65110</v>
      </c>
      <c r="R38" s="38">
        <f t="shared" ref="R38:AD38" si="60">SUM(R7:R37)</f>
        <v>419020</v>
      </c>
      <c r="S38" s="38">
        <f t="shared" si="60"/>
        <v>106890</v>
      </c>
      <c r="T38" s="38">
        <f t="shared" si="60"/>
        <v>49540</v>
      </c>
      <c r="U38" s="38">
        <f t="shared" si="60"/>
        <v>133550</v>
      </c>
      <c r="V38" s="38">
        <f t="shared" si="60"/>
        <v>125020</v>
      </c>
      <c r="W38" s="38">
        <f t="shared" si="60"/>
        <v>99540</v>
      </c>
      <c r="X38" s="38">
        <f t="shared" si="60"/>
        <v>133200</v>
      </c>
      <c r="Y38" s="38">
        <f t="shared" si="60"/>
        <v>166490</v>
      </c>
      <c r="Z38" s="38">
        <f t="shared" si="60"/>
        <v>75310</v>
      </c>
      <c r="AA38" s="38">
        <f t="shared" si="60"/>
        <v>87150</v>
      </c>
      <c r="AB38" s="38">
        <f t="shared" si="60"/>
        <v>209320</v>
      </c>
      <c r="AC38" s="38">
        <f t="shared" si="60"/>
        <v>304720</v>
      </c>
      <c r="AD38" s="38">
        <f t="shared" si="60"/>
        <v>1974860</v>
      </c>
      <c r="AF38" s="35">
        <f>SUM(AF7:AF37)</f>
        <v>325.55</v>
      </c>
      <c r="AG38" s="35">
        <f t="shared" ref="AG38:AT38" si="61">SUM(AG7:AG37)</f>
        <v>2095.1</v>
      </c>
      <c r="AH38" s="35">
        <f t="shared" si="61"/>
        <v>534.44999999999993</v>
      </c>
      <c r="AI38" s="35">
        <f t="shared" si="61"/>
        <v>247.7</v>
      </c>
      <c r="AJ38" s="35">
        <f t="shared" si="61"/>
        <v>667.75000000000023</v>
      </c>
      <c r="AK38" s="35">
        <f t="shared" si="61"/>
        <v>625.1</v>
      </c>
      <c r="AL38" s="35">
        <f t="shared" si="61"/>
        <v>497.7</v>
      </c>
      <c r="AM38" s="35">
        <f t="shared" si="61"/>
        <v>666.00000000000023</v>
      </c>
      <c r="AN38" s="35">
        <f t="shared" si="61"/>
        <v>832.44999999999993</v>
      </c>
      <c r="AO38" s="35">
        <f t="shared" si="61"/>
        <v>376.55</v>
      </c>
      <c r="AP38" s="35">
        <f t="shared" si="61"/>
        <v>435.74999999999994</v>
      </c>
      <c r="AQ38" s="35">
        <f t="shared" si="61"/>
        <v>1046.5999999999999</v>
      </c>
      <c r="AR38" s="35">
        <f t="shared" si="61"/>
        <v>1523.6</v>
      </c>
      <c r="AS38" s="35">
        <f t="shared" si="61"/>
        <v>9874.2999999999993</v>
      </c>
      <c r="AT38" s="62">
        <f t="shared" si="61"/>
        <v>0</v>
      </c>
      <c r="AV38" s="65">
        <v>0</v>
      </c>
      <c r="AW38" s="64">
        <f t="shared" si="14"/>
        <v>0</v>
      </c>
      <c r="AX38" s="66">
        <f t="shared" si="17"/>
        <v>0</v>
      </c>
      <c r="AY38" s="46"/>
      <c r="AZ38" s="37">
        <f t="shared" si="18"/>
        <v>0</v>
      </c>
      <c r="BA38" s="37">
        <f>SUM(BA7:BA37)</f>
        <v>17904.978000000003</v>
      </c>
      <c r="BB38" s="59">
        <f t="shared" si="20"/>
        <v>7956.9722232000013</v>
      </c>
    </row>
    <row r="39" spans="1:54" x14ac:dyDescent="0.25">
      <c r="B39" s="39">
        <f>SUM(B7:B37)</f>
        <v>3196</v>
      </c>
      <c r="D39">
        <v>5.0000000000000001E-3</v>
      </c>
      <c r="AV39" s="65">
        <v>0</v>
      </c>
      <c r="AW39" s="64">
        <f t="shared" si="14"/>
        <v>0</v>
      </c>
      <c r="AX39" s="66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63">
        <v>0.52800000000000002</v>
      </c>
      <c r="AX44" s="63">
        <v>3.79E-3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2023-02-12T09:47:55Z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