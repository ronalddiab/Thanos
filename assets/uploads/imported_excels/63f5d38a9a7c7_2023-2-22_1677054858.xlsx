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una.Qiu\Desktop\"/>
    </mc:Choice>
  </mc:AlternateContent>
  <bookViews>
    <workbookView xWindow="-105" yWindow="-105" windowWidth="23250" windowHeight="12450" tabRatio="620"/>
  </bookViews>
  <sheets>
    <sheet name="TOTAL" sheetId="117" r:id="rId1"/>
    <sheet name="Shenzhen Daily" sheetId="119" r:id="rId2"/>
  </sheets>
  <calcPr calcId="152511"/>
</workbook>
</file>

<file path=xl/calcChain.xml><?xml version="1.0" encoding="utf-8"?>
<calcChain xmlns="http://schemas.openxmlformats.org/spreadsheetml/2006/main">
  <c r="B32" i="117" l="1"/>
  <c r="H35" i="119"/>
  <c r="F35" i="119"/>
  <c r="D35" i="119"/>
  <c r="H34" i="119"/>
  <c r="F34" i="119"/>
  <c r="D34" i="119"/>
  <c r="H33" i="119"/>
  <c r="F33" i="119"/>
  <c r="D33" i="119"/>
  <c r="H32" i="119"/>
  <c r="F32" i="119"/>
  <c r="D32" i="119"/>
  <c r="H31" i="119"/>
  <c r="F31" i="119"/>
  <c r="D31" i="119"/>
  <c r="H30" i="119"/>
  <c r="F30" i="119"/>
  <c r="D30" i="119"/>
  <c r="H29" i="119"/>
  <c r="F29" i="119"/>
  <c r="D29" i="119"/>
  <c r="H28" i="119"/>
  <c r="F28" i="119"/>
  <c r="D28" i="119"/>
  <c r="H27" i="119"/>
  <c r="F27" i="119"/>
  <c r="D27" i="119"/>
  <c r="H26" i="119"/>
  <c r="F26" i="119"/>
  <c r="D26" i="119"/>
  <c r="H25" i="119"/>
  <c r="F25" i="119"/>
  <c r="D25" i="119"/>
  <c r="H24" i="119"/>
  <c r="F24" i="119"/>
  <c r="D24" i="119"/>
  <c r="H23" i="119"/>
  <c r="F23" i="119"/>
  <c r="D23" i="119"/>
  <c r="H22" i="119"/>
  <c r="F22" i="119"/>
  <c r="D22" i="119"/>
  <c r="H21" i="119"/>
  <c r="F21" i="119"/>
  <c r="D21" i="119"/>
  <c r="H20" i="119"/>
  <c r="F20" i="119"/>
  <c r="D20" i="119"/>
  <c r="H19" i="119"/>
  <c r="F19" i="119"/>
  <c r="D19" i="119"/>
  <c r="H18" i="119"/>
  <c r="F18" i="119"/>
  <c r="D18" i="119"/>
  <c r="H17" i="119"/>
  <c r="F17" i="119"/>
  <c r="D17" i="119"/>
  <c r="H16" i="119"/>
  <c r="F16" i="119"/>
  <c r="D16" i="119"/>
  <c r="H15" i="119"/>
  <c r="F15" i="119"/>
  <c r="D15" i="119"/>
  <c r="H14" i="119"/>
  <c r="F14" i="119"/>
  <c r="D14" i="119"/>
  <c r="H13" i="119"/>
  <c r="F13" i="119"/>
  <c r="D13" i="119"/>
  <c r="H12" i="119"/>
  <c r="F12" i="119"/>
  <c r="D12" i="119"/>
  <c r="H11" i="119"/>
  <c r="F11" i="119"/>
  <c r="D11" i="119"/>
  <c r="H10" i="119"/>
  <c r="F10" i="119"/>
  <c r="D10" i="119"/>
  <c r="H9" i="119"/>
  <c r="F9" i="119"/>
  <c r="D9" i="119"/>
  <c r="H8" i="119"/>
  <c r="F8" i="119"/>
  <c r="D8" i="119"/>
  <c r="H7" i="119"/>
  <c r="F7" i="119"/>
  <c r="D7" i="119"/>
  <c r="H6" i="119"/>
  <c r="F6" i="119"/>
  <c r="D6" i="119"/>
  <c r="H5" i="119"/>
  <c r="F5" i="119"/>
  <c r="D5" i="119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<sst xmlns="http://schemas.openxmlformats.org/spreadsheetml/2006/main" count="54" uniqueCount="23">
  <si>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</si>
  <si>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</si>
  <si>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</si>
  <si>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</si>
  <si>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</si>
  <si>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</si>
  <si>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</si>
  <si>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</si>
  <si>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</si>
  <si>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</si>
  <si>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</si>
  <si>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</si>
  <si>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</si>
  <si>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</si>
  <si>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</si>
  <si>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</si>
  <si>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</si>
  <si>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</si>
  <si>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</si>
  <si>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</si>
  <si>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</si>
  <si>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Natural Gas (m3)</t>
  </si>
  <si>
    <t>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</si>
</sst>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5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43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0" fontId="6" fillId="7" borderId="9" xfId="11" applyFont="1" applyFill="1" applyBorder="1" applyAlignment="1">
      <alignment horizontal="center" vertical="center" wrapText="1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0" fontId="1" fillId="0" borderId="1" xfId="11" applyBorder="1" applyAlignment="1">
      <alignment horizont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7" fillId="0" borderId="1" xfId="11" applyFont="1" applyBorder="1" applyAlignment="1">
      <alignment horizontal="center"/>
    </xf>
    <xf numFmtId="1" fontId="8" fillId="0" borderId="0" xfId="11" applyNumberFormat="1" applyFont="1" applyAlignment="1">
      <alignment horizontal="center"/>
    </xf>
    <xf numFmtId="0" fontId="7" fillId="0" borderId="0" xfId="11" applyFont="1" applyAlignment="1">
      <alignment horizontal="center"/>
    </xf>
    <xf numFmtId="0" fontId="9" fillId="2" borderId="1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abSelected="1" workbookViewId="0">
      <selection activeCell="L11" sqref="L11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0" ht="67.5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21</v>
      </c>
      <c r="H1" s="4" t="s">
        <v>20</v>
      </c>
      <c r="I1" s="3" t="s">
        <v>6</v>
      </c>
      <c r="J1" s="5" t="s">
        <v>7</v>
      </c>
    </row>
    <row r="2" spans="1:10" ht="15" x14ac:dyDescent="0.25">
      <c r="A2" s="6" t="s">
        <v>22</v>
      </c>
      <c r="B2" s="7">
        <v>1</v>
      </c>
      <c r="C2" s="8">
        <v>7</v>
      </c>
      <c r="D2" s="7">
        <v>2022</v>
      </c>
      <c r="E2" s="26">
        <v>26251.999999999523</v>
      </c>
      <c r="F2" s="32">
        <v>0.93</v>
      </c>
      <c r="G2" s="9">
        <v>860</v>
      </c>
      <c r="H2" s="32">
        <v>4.3899999999999997</v>
      </c>
      <c r="I2" s="9">
        <v>215</v>
      </c>
      <c r="J2" s="32">
        <v>1.72</v>
      </c>
    </row>
    <row r="3" spans="1:10" ht="15" x14ac:dyDescent="0.25">
      <c r="A3" s="6" t="s">
        <v>22</v>
      </c>
      <c r="B3" s="7">
        <f>B2+1</f>
        <v>2</v>
      </c>
      <c r="C3" s="8">
        <v>7</v>
      </c>
      <c r="D3" s="7">
        <v>2022</v>
      </c>
      <c r="E3" s="26">
        <v>27425.000000000611</v>
      </c>
      <c r="F3" s="32">
        <v>0.93</v>
      </c>
      <c r="G3" s="9">
        <v>860</v>
      </c>
      <c r="H3" s="32">
        <v>4.3899999999999997</v>
      </c>
      <c r="I3" s="9">
        <v>265</v>
      </c>
      <c r="J3" s="32">
        <v>1.72</v>
      </c>
    </row>
    <row r="4" spans="1:10" ht="15" x14ac:dyDescent="0.25">
      <c r="A4" s="6" t="s">
        <v>22</v>
      </c>
      <c r="B4" s="7">
        <f t="shared" ref="B4:B32" si="0">B3+1</f>
        <v>3</v>
      </c>
      <c r="C4" s="8">
        <v>7</v>
      </c>
      <c r="D4" s="7">
        <v>2022</v>
      </c>
      <c r="E4" s="26">
        <v>25951.999999999243</v>
      </c>
      <c r="F4" s="32">
        <v>0.93</v>
      </c>
      <c r="G4" s="9">
        <v>925</v>
      </c>
      <c r="H4" s="32">
        <v>4.3899999999999997</v>
      </c>
      <c r="I4" s="9">
        <v>222</v>
      </c>
      <c r="J4" s="32">
        <v>1.72</v>
      </c>
    </row>
    <row r="5" spans="1:10" ht="15" x14ac:dyDescent="0.25">
      <c r="A5" s="6" t="s">
        <v>22</v>
      </c>
      <c r="B5" s="7">
        <f t="shared" si="0"/>
        <v>4</v>
      </c>
      <c r="C5" s="8">
        <v>7</v>
      </c>
      <c r="D5" s="7">
        <v>2022</v>
      </c>
      <c r="E5" s="26">
        <v>28010.000000000917</v>
      </c>
      <c r="F5" s="32">
        <v>0.93</v>
      </c>
      <c r="G5" s="9">
        <v>1024</v>
      </c>
      <c r="H5" s="32">
        <v>4.3899999999999997</v>
      </c>
      <c r="I5" s="9">
        <v>310</v>
      </c>
      <c r="J5" s="32">
        <v>1.72</v>
      </c>
    </row>
    <row r="6" spans="1:10" ht="15" x14ac:dyDescent="0.25">
      <c r="A6" s="6" t="s">
        <v>22</v>
      </c>
      <c r="B6" s="7">
        <f t="shared" si="0"/>
        <v>5</v>
      </c>
      <c r="C6" s="8">
        <v>7</v>
      </c>
      <c r="D6" s="7">
        <v>2022</v>
      </c>
      <c r="E6" s="26">
        <v>27313.000000000193</v>
      </c>
      <c r="F6" s="32">
        <v>0.93</v>
      </c>
      <c r="G6" s="9">
        <v>1100</v>
      </c>
      <c r="H6" s="32">
        <v>4.3899999999999997</v>
      </c>
      <c r="I6" s="9">
        <v>305</v>
      </c>
      <c r="J6" s="32">
        <v>1.72</v>
      </c>
    </row>
    <row r="7" spans="1:10" ht="15" x14ac:dyDescent="0.25">
      <c r="A7" s="6" t="s">
        <v>22</v>
      </c>
      <c r="B7" s="7">
        <f t="shared" si="0"/>
        <v>6</v>
      </c>
      <c r="C7" s="8">
        <v>7</v>
      </c>
      <c r="D7" s="7">
        <v>2022</v>
      </c>
      <c r="E7" s="26">
        <v>31555.999999999571</v>
      </c>
      <c r="F7" s="32">
        <v>0.93</v>
      </c>
      <c r="G7" s="9">
        <v>1085</v>
      </c>
      <c r="H7" s="32">
        <v>4.3899999999999997</v>
      </c>
      <c r="I7" s="9">
        <v>655</v>
      </c>
      <c r="J7" s="32">
        <v>1.72</v>
      </c>
    </row>
    <row r="8" spans="1:10" ht="15" x14ac:dyDescent="0.25">
      <c r="A8" s="6" t="s">
        <v>22</v>
      </c>
      <c r="B8" s="7">
        <f t="shared" si="0"/>
        <v>7</v>
      </c>
      <c r="C8" s="8">
        <v>7</v>
      </c>
      <c r="D8" s="7">
        <v>2022</v>
      </c>
      <c r="E8" s="26">
        <v>35392.999999999884</v>
      </c>
      <c r="F8" s="32">
        <v>0.93</v>
      </c>
      <c r="G8" s="9">
        <v>1232</v>
      </c>
      <c r="H8" s="32">
        <v>4.3899999999999997</v>
      </c>
      <c r="I8" s="9">
        <v>586</v>
      </c>
      <c r="J8" s="32">
        <v>1.72</v>
      </c>
    </row>
    <row r="9" spans="1:10" ht="15" x14ac:dyDescent="0.25">
      <c r="A9" s="6" t="s">
        <v>22</v>
      </c>
      <c r="B9" s="7">
        <f t="shared" si="0"/>
        <v>8</v>
      </c>
      <c r="C9" s="8">
        <v>7</v>
      </c>
      <c r="D9" s="7">
        <v>2022</v>
      </c>
      <c r="E9" s="26">
        <v>31116.000000000153</v>
      </c>
      <c r="F9" s="32">
        <v>0.93</v>
      </c>
      <c r="G9" s="9">
        <v>1197</v>
      </c>
      <c r="H9" s="32">
        <v>4.3899999999999997</v>
      </c>
      <c r="I9" s="9">
        <v>471</v>
      </c>
      <c r="J9" s="32">
        <v>1.72</v>
      </c>
    </row>
    <row r="10" spans="1:10" ht="15" x14ac:dyDescent="0.25">
      <c r="A10" s="6" t="s">
        <v>22</v>
      </c>
      <c r="B10" s="7">
        <f t="shared" si="0"/>
        <v>9</v>
      </c>
      <c r="C10" s="8">
        <v>7</v>
      </c>
      <c r="D10" s="7">
        <v>2022</v>
      </c>
      <c r="E10" s="26">
        <v>35044.999999999629</v>
      </c>
      <c r="F10" s="32">
        <v>0.93</v>
      </c>
      <c r="G10" s="9">
        <v>1224</v>
      </c>
      <c r="H10" s="32">
        <v>4.3899999999999997</v>
      </c>
      <c r="I10" s="9">
        <v>618</v>
      </c>
      <c r="J10" s="32">
        <v>1.72</v>
      </c>
    </row>
    <row r="11" spans="1:10" ht="15" x14ac:dyDescent="0.25">
      <c r="A11" s="6" t="s">
        <v>22</v>
      </c>
      <c r="B11" s="7">
        <f t="shared" si="0"/>
        <v>10</v>
      </c>
      <c r="C11" s="8">
        <v>7</v>
      </c>
      <c r="D11" s="7">
        <v>2022</v>
      </c>
      <c r="E11" s="26">
        <v>31044.999999999953</v>
      </c>
      <c r="F11" s="32">
        <v>0.93</v>
      </c>
      <c r="G11" s="9">
        <v>1095</v>
      </c>
      <c r="H11" s="32">
        <v>4.3899999999999997</v>
      </c>
      <c r="I11" s="9">
        <v>557</v>
      </c>
      <c r="J11" s="32">
        <v>1.72</v>
      </c>
    </row>
    <row r="12" spans="1:10" ht="15" x14ac:dyDescent="0.25">
      <c r="A12" s="6" t="s">
        <v>22</v>
      </c>
      <c r="B12" s="7">
        <f t="shared" si="0"/>
        <v>11</v>
      </c>
      <c r="C12" s="8">
        <v>7</v>
      </c>
      <c r="D12" s="7">
        <v>2022</v>
      </c>
      <c r="E12" s="26">
        <v>33572.000000000648</v>
      </c>
      <c r="F12" s="32">
        <v>0.93</v>
      </c>
      <c r="G12" s="9">
        <v>1110</v>
      </c>
      <c r="H12" s="32">
        <v>4.3899999999999997</v>
      </c>
      <c r="I12" s="9">
        <v>423</v>
      </c>
      <c r="J12" s="32">
        <v>1.72</v>
      </c>
    </row>
    <row r="13" spans="1:10" ht="15" x14ac:dyDescent="0.25">
      <c r="A13" s="6" t="s">
        <v>22</v>
      </c>
      <c r="B13" s="7">
        <f t="shared" si="0"/>
        <v>12</v>
      </c>
      <c r="C13" s="8">
        <v>7</v>
      </c>
      <c r="D13" s="7">
        <v>2022</v>
      </c>
      <c r="E13" s="26">
        <v>33004.999999999651</v>
      </c>
      <c r="F13" s="32">
        <v>0.93</v>
      </c>
      <c r="G13" s="9">
        <v>1153</v>
      </c>
      <c r="H13" s="32">
        <v>4.3899999999999997</v>
      </c>
      <c r="I13" s="9">
        <v>415</v>
      </c>
      <c r="J13" s="32">
        <v>1.72</v>
      </c>
    </row>
    <row r="14" spans="1:10" ht="15" x14ac:dyDescent="0.25">
      <c r="A14" s="6" t="s">
        <v>22</v>
      </c>
      <c r="B14" s="7">
        <f t="shared" si="0"/>
        <v>13</v>
      </c>
      <c r="C14" s="8">
        <v>7</v>
      </c>
      <c r="D14" s="7">
        <v>2022</v>
      </c>
      <c r="E14" s="26">
        <v>33933.000000000393</v>
      </c>
      <c r="F14" s="32">
        <v>0.93</v>
      </c>
      <c r="G14" s="9">
        <v>1057</v>
      </c>
      <c r="H14" s="32">
        <v>4.3899999999999997</v>
      </c>
      <c r="I14" s="9">
        <v>423</v>
      </c>
      <c r="J14" s="32">
        <v>1.72</v>
      </c>
    </row>
    <row r="15" spans="1:10" ht="15" x14ac:dyDescent="0.25">
      <c r="A15" s="6" t="s">
        <v>22</v>
      </c>
      <c r="B15" s="7">
        <f t="shared" si="0"/>
        <v>14</v>
      </c>
      <c r="C15" s="8">
        <v>7</v>
      </c>
      <c r="D15" s="7">
        <v>2022</v>
      </c>
      <c r="E15" s="26">
        <v>33297.999999999702</v>
      </c>
      <c r="F15" s="32">
        <v>0.93</v>
      </c>
      <c r="G15" s="9">
        <v>1153</v>
      </c>
      <c r="H15" s="32">
        <v>4.3899999999999997</v>
      </c>
      <c r="I15" s="9">
        <v>430</v>
      </c>
      <c r="J15" s="32">
        <v>1.72</v>
      </c>
    </row>
    <row r="16" spans="1:10" ht="15" x14ac:dyDescent="0.25">
      <c r="A16" s="6" t="s">
        <v>22</v>
      </c>
      <c r="B16" s="7">
        <f t="shared" si="0"/>
        <v>15</v>
      </c>
      <c r="C16" s="8">
        <v>7</v>
      </c>
      <c r="D16" s="7">
        <v>2022</v>
      </c>
      <c r="E16" s="26">
        <v>34183.999999999352</v>
      </c>
      <c r="F16" s="32">
        <v>0.93</v>
      </c>
      <c r="G16" s="9">
        <v>1147</v>
      </c>
      <c r="H16" s="32">
        <v>4.3899999999999997</v>
      </c>
      <c r="I16" s="9">
        <v>388</v>
      </c>
      <c r="J16" s="32">
        <v>1.72</v>
      </c>
    </row>
    <row r="17" spans="1:10" ht="15" x14ac:dyDescent="0.25">
      <c r="A17" s="6" t="s">
        <v>22</v>
      </c>
      <c r="B17" s="7">
        <f t="shared" si="0"/>
        <v>16</v>
      </c>
      <c r="C17" s="8">
        <v>7</v>
      </c>
      <c r="D17" s="7">
        <v>2022</v>
      </c>
      <c r="E17" s="26">
        <v>34411.000000000909</v>
      </c>
      <c r="F17" s="32">
        <v>0.93</v>
      </c>
      <c r="G17" s="9">
        <v>1198</v>
      </c>
      <c r="H17" s="32">
        <v>4.3899999999999997</v>
      </c>
      <c r="I17" s="9">
        <v>458</v>
      </c>
      <c r="J17" s="32">
        <v>1.72</v>
      </c>
    </row>
    <row r="18" spans="1:10" ht="15" x14ac:dyDescent="0.25">
      <c r="A18" s="6" t="s">
        <v>22</v>
      </c>
      <c r="B18" s="7">
        <f t="shared" si="0"/>
        <v>17</v>
      </c>
      <c r="C18" s="8">
        <v>7</v>
      </c>
      <c r="D18" s="7">
        <v>2022</v>
      </c>
      <c r="E18" s="26">
        <v>32638.000000000506</v>
      </c>
      <c r="F18" s="32">
        <v>0.93</v>
      </c>
      <c r="G18" s="9">
        <v>1112</v>
      </c>
      <c r="H18" s="32">
        <v>4.3899999999999997</v>
      </c>
      <c r="I18" s="9">
        <v>422</v>
      </c>
      <c r="J18" s="32">
        <v>1.72</v>
      </c>
    </row>
    <row r="19" spans="1:10" ht="15" x14ac:dyDescent="0.25">
      <c r="A19" s="6" t="s">
        <v>22</v>
      </c>
      <c r="B19" s="7">
        <f t="shared" si="0"/>
        <v>18</v>
      </c>
      <c r="C19" s="8">
        <v>7</v>
      </c>
      <c r="D19" s="7">
        <v>2022</v>
      </c>
      <c r="E19" s="26">
        <v>32086.999999999105</v>
      </c>
      <c r="F19" s="32">
        <v>0.93</v>
      </c>
      <c r="G19" s="9">
        <v>1122</v>
      </c>
      <c r="H19" s="32">
        <v>4.3899999999999997</v>
      </c>
      <c r="I19" s="9">
        <v>407</v>
      </c>
      <c r="J19" s="32">
        <v>1.72</v>
      </c>
    </row>
    <row r="20" spans="1:10" ht="15" x14ac:dyDescent="0.25">
      <c r="A20" s="6" t="s">
        <v>22</v>
      </c>
      <c r="B20" s="7">
        <f t="shared" si="0"/>
        <v>19</v>
      </c>
      <c r="C20" s="8">
        <v>7</v>
      </c>
      <c r="D20" s="7">
        <v>2022</v>
      </c>
      <c r="E20" s="26">
        <v>33315.999999999622</v>
      </c>
      <c r="F20" s="32">
        <v>0.93</v>
      </c>
      <c r="G20" s="9">
        <v>1114</v>
      </c>
      <c r="H20" s="32">
        <v>4.3899999999999997</v>
      </c>
      <c r="I20" s="9">
        <v>407</v>
      </c>
      <c r="J20" s="32">
        <v>1.72</v>
      </c>
    </row>
    <row r="21" spans="1:10" ht="15" x14ac:dyDescent="0.25">
      <c r="A21" s="6" t="s">
        <v>22</v>
      </c>
      <c r="B21" s="7">
        <f t="shared" si="0"/>
        <v>20</v>
      </c>
      <c r="C21" s="8">
        <v>7</v>
      </c>
      <c r="D21" s="7">
        <v>2022</v>
      </c>
      <c r="E21" s="26">
        <v>36761.999999999513</v>
      </c>
      <c r="F21" s="32">
        <v>0.93</v>
      </c>
      <c r="G21" s="9">
        <v>1152</v>
      </c>
      <c r="H21" s="32">
        <v>4.3899999999999997</v>
      </c>
      <c r="I21" s="9">
        <v>473</v>
      </c>
      <c r="J21" s="32">
        <v>1.72</v>
      </c>
    </row>
    <row r="22" spans="1:10" ht="15" x14ac:dyDescent="0.25">
      <c r="A22" s="6" t="s">
        <v>22</v>
      </c>
      <c r="B22" s="7">
        <f t="shared" si="0"/>
        <v>21</v>
      </c>
      <c r="C22" s="8">
        <v>7</v>
      </c>
      <c r="D22" s="7">
        <v>2022</v>
      </c>
      <c r="E22" s="26">
        <v>33185.000000001062</v>
      </c>
      <c r="F22" s="32">
        <v>0.93</v>
      </c>
      <c r="G22" s="9">
        <v>1129</v>
      </c>
      <c r="H22" s="32">
        <v>4.3899999999999997</v>
      </c>
      <c r="I22" s="9">
        <v>404</v>
      </c>
      <c r="J22" s="32">
        <v>1.72</v>
      </c>
    </row>
    <row r="23" spans="1:10" ht="15" x14ac:dyDescent="0.25">
      <c r="A23" s="6" t="s">
        <v>22</v>
      </c>
      <c r="B23" s="7">
        <f t="shared" si="0"/>
        <v>22</v>
      </c>
      <c r="C23" s="8">
        <v>7</v>
      </c>
      <c r="D23" s="7">
        <v>2022</v>
      </c>
      <c r="E23" s="26">
        <v>33858.999999999862</v>
      </c>
      <c r="F23" s="32">
        <v>0.93</v>
      </c>
      <c r="G23" s="9">
        <v>1116</v>
      </c>
      <c r="H23" s="32">
        <v>4.3899999999999997</v>
      </c>
      <c r="I23" s="9">
        <v>443</v>
      </c>
      <c r="J23" s="32">
        <v>1.72</v>
      </c>
    </row>
    <row r="24" spans="1:10" ht="15" x14ac:dyDescent="0.25">
      <c r="A24" s="6" t="s">
        <v>22</v>
      </c>
      <c r="B24" s="7">
        <f t="shared" si="0"/>
        <v>23</v>
      </c>
      <c r="C24" s="8">
        <v>7</v>
      </c>
      <c r="D24" s="7">
        <v>2022</v>
      </c>
      <c r="E24" s="26">
        <v>34568.999999999804</v>
      </c>
      <c r="F24" s="32">
        <v>0.93</v>
      </c>
      <c r="G24" s="9">
        <v>1117</v>
      </c>
      <c r="H24" s="32">
        <v>4.3899999999999997</v>
      </c>
      <c r="I24" s="9">
        <v>407</v>
      </c>
      <c r="J24" s="32">
        <v>1.72</v>
      </c>
    </row>
    <row r="25" spans="1:10" ht="15" x14ac:dyDescent="0.25">
      <c r="A25" s="6" t="s">
        <v>22</v>
      </c>
      <c r="B25" s="7">
        <f t="shared" si="0"/>
        <v>24</v>
      </c>
      <c r="C25" s="8">
        <v>7</v>
      </c>
      <c r="D25" s="7">
        <v>2022</v>
      </c>
      <c r="E25" s="26">
        <v>33930.000000000509</v>
      </c>
      <c r="F25" s="32">
        <v>0.93</v>
      </c>
      <c r="G25" s="9">
        <v>1041</v>
      </c>
      <c r="H25" s="32">
        <v>4.3899999999999997</v>
      </c>
      <c r="I25" s="9">
        <v>416</v>
      </c>
      <c r="J25" s="32">
        <v>1.72</v>
      </c>
    </row>
    <row r="26" spans="1:10" ht="15" x14ac:dyDescent="0.25">
      <c r="A26" s="6" t="s">
        <v>22</v>
      </c>
      <c r="B26" s="7">
        <f>B25+1</f>
        <v>25</v>
      </c>
      <c r="C26" s="8">
        <v>7</v>
      </c>
      <c r="D26" s="7">
        <v>2022</v>
      </c>
      <c r="E26" s="26">
        <v>35166.000000000247</v>
      </c>
      <c r="F26" s="32">
        <v>0.93</v>
      </c>
      <c r="G26" s="9">
        <v>1008</v>
      </c>
      <c r="H26" s="32">
        <v>4.3899999999999997</v>
      </c>
      <c r="I26" s="9">
        <v>398</v>
      </c>
      <c r="J26" s="32">
        <v>1.72</v>
      </c>
    </row>
    <row r="27" spans="1:10" ht="15" x14ac:dyDescent="0.25">
      <c r="A27" s="6" t="s">
        <v>22</v>
      </c>
      <c r="B27" s="7">
        <f t="shared" si="0"/>
        <v>26</v>
      </c>
      <c r="C27" s="8">
        <v>7</v>
      </c>
      <c r="D27" s="7">
        <v>2022</v>
      </c>
      <c r="E27" s="26">
        <v>35370.999999999141</v>
      </c>
      <c r="F27" s="32">
        <v>0.93</v>
      </c>
      <c r="G27" s="9">
        <v>1073</v>
      </c>
      <c r="H27" s="32">
        <v>4.3899999999999997</v>
      </c>
      <c r="I27" s="9">
        <v>434</v>
      </c>
      <c r="J27" s="32">
        <v>1.72</v>
      </c>
    </row>
    <row r="28" spans="1:10" ht="15" x14ac:dyDescent="0.25">
      <c r="A28" s="6" t="s">
        <v>22</v>
      </c>
      <c r="B28" s="7">
        <f t="shared" si="0"/>
        <v>27</v>
      </c>
      <c r="C28" s="8">
        <v>7</v>
      </c>
      <c r="D28" s="7">
        <v>2022</v>
      </c>
      <c r="E28" s="26">
        <v>34134.999999999549</v>
      </c>
      <c r="F28" s="32">
        <v>0.93</v>
      </c>
      <c r="G28" s="9">
        <v>1107</v>
      </c>
      <c r="H28" s="32">
        <v>4.3899999999999997</v>
      </c>
      <c r="I28" s="9">
        <v>421</v>
      </c>
      <c r="J28" s="32">
        <v>1.72</v>
      </c>
    </row>
    <row r="29" spans="1:10" ht="15" x14ac:dyDescent="0.25">
      <c r="A29" s="6" t="s">
        <v>22</v>
      </c>
      <c r="B29" s="7">
        <f t="shared" si="0"/>
        <v>28</v>
      </c>
      <c r="C29" s="8">
        <v>7</v>
      </c>
      <c r="D29" s="7">
        <v>2022</v>
      </c>
      <c r="E29" s="26">
        <v>34136.000000000546</v>
      </c>
      <c r="F29" s="32">
        <v>0.93</v>
      </c>
      <c r="G29" s="9">
        <v>1113</v>
      </c>
      <c r="H29" s="32">
        <v>4.3899999999999997</v>
      </c>
      <c r="I29" s="9">
        <v>431</v>
      </c>
      <c r="J29" s="32">
        <v>1.72</v>
      </c>
    </row>
    <row r="30" spans="1:10" ht="15" x14ac:dyDescent="0.25">
      <c r="A30" s="6" t="s">
        <v>22</v>
      </c>
      <c r="B30" s="7">
        <f t="shared" si="0"/>
        <v>29</v>
      </c>
      <c r="C30" s="8">
        <v>7</v>
      </c>
      <c r="D30" s="7">
        <v>2022</v>
      </c>
      <c r="E30" s="26">
        <v>34776.999999999949</v>
      </c>
      <c r="F30" s="32">
        <v>0.93</v>
      </c>
      <c r="G30" s="9">
        <v>1165</v>
      </c>
      <c r="H30" s="32">
        <v>4.3899999999999997</v>
      </c>
      <c r="I30" s="9">
        <v>470</v>
      </c>
      <c r="J30" s="32">
        <v>1.72</v>
      </c>
    </row>
    <row r="31" spans="1:10" ht="15" x14ac:dyDescent="0.25">
      <c r="A31" s="6" t="s">
        <v>22</v>
      </c>
      <c r="B31" s="7">
        <f t="shared" si="0"/>
        <v>30</v>
      </c>
      <c r="C31" s="8">
        <v>7</v>
      </c>
      <c r="D31" s="7">
        <v>2022</v>
      </c>
      <c r="E31" s="26">
        <v>32021.000000000575</v>
      </c>
      <c r="F31" s="32">
        <v>0.93</v>
      </c>
      <c r="G31" s="9">
        <v>1155</v>
      </c>
      <c r="H31" s="32">
        <v>4.3899999999999997</v>
      </c>
      <c r="I31" s="9">
        <v>424</v>
      </c>
      <c r="J31" s="32">
        <v>1.72</v>
      </c>
    </row>
    <row r="32" spans="1:10" ht="15" x14ac:dyDescent="0.25">
      <c r="A32" s="6" t="s">
        <v>22</v>
      </c>
      <c r="B32" s="7">
        <f t="shared" si="0"/>
        <v>31</v>
      </c>
      <c r="C32" s="8">
        <v>7</v>
      </c>
      <c r="D32" s="7">
        <v>2022</v>
      </c>
      <c r="E32" s="26">
        <v>34366.99999999936</v>
      </c>
      <c r="F32" s="32">
        <v>0.93</v>
      </c>
      <c r="G32" s="9">
        <v>1249</v>
      </c>
      <c r="H32" s="32">
        <v>4.3899999999999997</v>
      </c>
      <c r="I32" s="9">
        <v>458</v>
      </c>
      <c r="J32" s="32">
        <v>1.72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35"/>
  <sheetViews>
    <sheetView topLeftCell="A22" zoomScale="85" zoomScaleNormal="85" workbookViewId="0">
      <pane xSplit="1" topLeftCell="B1" activePane="topRight" state="frozen"/>
      <selection pane="topRight" activeCell="G5" sqref="G5:G35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6" width="14.85546875" style="29" customWidth="1"/>
    <col min="7" max="7" width="8.85546875" style="13" customWidth="1"/>
    <col min="8" max="8" width="12.5703125" style="13" customWidth="1"/>
    <col min="9" max="10" width="13" style="31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36"/>
      <c r="C1" s="10"/>
      <c r="D1" s="11"/>
      <c r="E1" s="10"/>
      <c r="F1" s="10"/>
      <c r="G1" s="37"/>
      <c r="H1" s="37"/>
      <c r="I1" s="12"/>
      <c r="J1" s="12"/>
    </row>
    <row r="2" spans="1:10" ht="35.25" customHeight="1" thickBot="1" x14ac:dyDescent="0.2">
      <c r="A2" s="14" t="s">
        <v>8</v>
      </c>
      <c r="B2" s="36"/>
      <c r="C2" s="38" t="s">
        <v>18</v>
      </c>
      <c r="D2" s="39"/>
      <c r="E2" s="40" t="s">
        <v>19</v>
      </c>
      <c r="F2" s="40"/>
      <c r="G2" s="41" t="s">
        <v>9</v>
      </c>
      <c r="H2" s="42"/>
      <c r="I2" s="15"/>
      <c r="J2" s="15"/>
    </row>
    <row r="3" spans="1:10" ht="44.25" customHeight="1" x14ac:dyDescent="0.15">
      <c r="A3" s="16" t="s">
        <v>10</v>
      </c>
      <c r="B3" s="36"/>
      <c r="C3" s="17" t="s">
        <v>11</v>
      </c>
      <c r="D3" s="18" t="s">
        <v>12</v>
      </c>
      <c r="E3" s="19" t="s">
        <v>13</v>
      </c>
      <c r="F3" s="19" t="s">
        <v>12</v>
      </c>
      <c r="G3" s="19" t="s">
        <v>14</v>
      </c>
      <c r="H3" s="20" t="s">
        <v>15</v>
      </c>
      <c r="I3" s="21" t="s">
        <v>16</v>
      </c>
      <c r="J3" s="21" t="s">
        <v>17</v>
      </c>
    </row>
    <row r="4" spans="1:10" s="23" customFormat="1" ht="35.25" customHeight="1" x14ac:dyDescent="0.15">
      <c r="A4" s="22">
        <v>44742</v>
      </c>
      <c r="B4" s="36"/>
      <c r="C4" s="33">
        <v>26902.000000001168</v>
      </c>
      <c r="D4" s="34"/>
      <c r="E4" s="33">
        <v>830</v>
      </c>
      <c r="F4" s="35"/>
      <c r="G4" s="33">
        <v>219</v>
      </c>
      <c r="I4" s="24"/>
      <c r="J4" s="24"/>
    </row>
    <row r="5" spans="1:10" ht="33" customHeight="1" x14ac:dyDescent="0.15">
      <c r="A5" s="25">
        <v>44743</v>
      </c>
      <c r="B5" s="36"/>
      <c r="C5" s="26">
        <v>26251.999999999523</v>
      </c>
      <c r="D5" s="27" t="str">
        <f t="shared" ref="D5:D22" si="0">IF((C5-C4&lt;0), "0",C5-C4)</f>
        <v>0</v>
      </c>
      <c r="E5" s="26">
        <v>860</v>
      </c>
      <c r="F5" s="27">
        <f>IF((E5-E4&lt;0), "0",E5-E4)</f>
        <v>30</v>
      </c>
      <c r="G5" s="26">
        <v>215</v>
      </c>
      <c r="H5" s="27" t="str">
        <f>IF((G5-G4&lt;0), "0",G5-G4)</f>
        <v>0</v>
      </c>
      <c r="I5" s="28"/>
      <c r="J5" s="28"/>
    </row>
    <row r="6" spans="1:10" ht="45" customHeight="1" x14ac:dyDescent="0.15">
      <c r="A6" s="25">
        <v>44744</v>
      </c>
      <c r="B6" s="36"/>
      <c r="C6" s="26">
        <v>27425.000000000611</v>
      </c>
      <c r="D6" s="27">
        <f t="shared" si="0"/>
        <v>1173.0000000010878</v>
      </c>
      <c r="E6" s="26">
        <v>860</v>
      </c>
      <c r="F6" s="27">
        <f t="shared" ref="F6:F35" si="1">IF((E6-E5&lt;0), "0",E6-E5)</f>
        <v>0</v>
      </c>
      <c r="G6" s="26">
        <v>265</v>
      </c>
      <c r="H6" s="27">
        <f t="shared" ref="H6:H35" si="2">IF((G6-G5&lt;0), "0",G6-G5)</f>
        <v>50</v>
      </c>
      <c r="I6" s="12"/>
      <c r="J6" s="12"/>
    </row>
    <row r="7" spans="1:10" ht="45" customHeight="1" x14ac:dyDescent="0.15">
      <c r="A7" s="25">
        <v>44745</v>
      </c>
      <c r="B7" s="36"/>
      <c r="C7" s="26">
        <v>25951.999999999243</v>
      </c>
      <c r="D7" s="27" t="str">
        <f t="shared" si="0"/>
        <v>0</v>
      </c>
      <c r="E7" s="26">
        <v>925</v>
      </c>
      <c r="F7" s="27">
        <f t="shared" si="1"/>
        <v>65</v>
      </c>
      <c r="G7" s="26">
        <v>222</v>
      </c>
      <c r="H7" s="27" t="str">
        <f t="shared" si="2"/>
        <v>0</v>
      </c>
      <c r="I7" s="12"/>
      <c r="J7" s="12"/>
    </row>
    <row r="8" spans="1:10" ht="45" customHeight="1" x14ac:dyDescent="0.15">
      <c r="A8" s="25">
        <v>44746</v>
      </c>
      <c r="B8" s="36"/>
      <c r="C8" s="26">
        <v>28010.000000000917</v>
      </c>
      <c r="D8" s="27">
        <f t="shared" si="0"/>
        <v>2058.0000000016735</v>
      </c>
      <c r="E8" s="26">
        <v>1024</v>
      </c>
      <c r="F8" s="27">
        <f t="shared" si="1"/>
        <v>99</v>
      </c>
      <c r="G8" s="26">
        <v>310</v>
      </c>
      <c r="H8" s="27">
        <f t="shared" si="2"/>
        <v>88</v>
      </c>
      <c r="I8" s="12"/>
      <c r="J8" s="12"/>
    </row>
    <row r="9" spans="1:10" ht="45" customHeight="1" x14ac:dyDescent="0.15">
      <c r="A9" s="25">
        <v>44747</v>
      </c>
      <c r="B9" s="36"/>
      <c r="C9" s="26">
        <v>27313.000000000193</v>
      </c>
      <c r="D9" s="27" t="str">
        <f t="shared" si="0"/>
        <v>0</v>
      </c>
      <c r="E9" s="26">
        <v>1100</v>
      </c>
      <c r="F9" s="27">
        <f t="shared" si="1"/>
        <v>76</v>
      </c>
      <c r="G9" s="26">
        <v>305</v>
      </c>
      <c r="H9" s="27" t="str">
        <f t="shared" si="2"/>
        <v>0</v>
      </c>
      <c r="I9" s="12"/>
      <c r="J9" s="12"/>
    </row>
    <row r="10" spans="1:10" ht="45" customHeight="1" x14ac:dyDescent="0.15">
      <c r="A10" s="25">
        <v>44748</v>
      </c>
      <c r="B10" s="36"/>
      <c r="C10" s="26">
        <v>31555.999999999571</v>
      </c>
      <c r="D10" s="27">
        <f t="shared" si="0"/>
        <v>4242.9999999993779</v>
      </c>
      <c r="E10" s="26">
        <v>1085</v>
      </c>
      <c r="F10" s="27" t="str">
        <f t="shared" si="1"/>
        <v>0</v>
      </c>
      <c r="G10" s="26">
        <v>655</v>
      </c>
      <c r="H10" s="27">
        <f t="shared" si="2"/>
        <v>350</v>
      </c>
      <c r="I10" s="12"/>
      <c r="J10" s="12"/>
    </row>
    <row r="11" spans="1:10" ht="45" customHeight="1" x14ac:dyDescent="0.15">
      <c r="A11" s="25">
        <v>44749</v>
      </c>
      <c r="B11" s="36"/>
      <c r="C11" s="26">
        <v>35392.999999999884</v>
      </c>
      <c r="D11" s="27">
        <f t="shared" si="0"/>
        <v>3837.0000000003129</v>
      </c>
      <c r="E11" s="26">
        <v>1232</v>
      </c>
      <c r="F11" s="27">
        <f t="shared" si="1"/>
        <v>147</v>
      </c>
      <c r="G11" s="26">
        <v>586</v>
      </c>
      <c r="H11" s="27" t="str">
        <f t="shared" si="2"/>
        <v>0</v>
      </c>
      <c r="I11" s="12"/>
      <c r="J11" s="12"/>
    </row>
    <row r="12" spans="1:10" ht="45" customHeight="1" x14ac:dyDescent="0.15">
      <c r="A12" s="25">
        <v>44750</v>
      </c>
      <c r="B12" s="36"/>
      <c r="C12" s="26">
        <v>31116.000000000153</v>
      </c>
      <c r="D12" s="27" t="str">
        <f t="shared" si="0"/>
        <v>0</v>
      </c>
      <c r="E12" s="26">
        <v>1197</v>
      </c>
      <c r="F12" s="27" t="str">
        <f t="shared" si="1"/>
        <v>0</v>
      </c>
      <c r="G12" s="26">
        <v>471</v>
      </c>
      <c r="H12" s="27" t="str">
        <f t="shared" si="2"/>
        <v>0</v>
      </c>
      <c r="I12" s="12"/>
      <c r="J12" s="12"/>
    </row>
    <row r="13" spans="1:10" ht="45" customHeight="1" x14ac:dyDescent="0.15">
      <c r="A13" s="25">
        <v>44751</v>
      </c>
      <c r="B13" s="36"/>
      <c r="C13" s="26">
        <v>35044.999999999629</v>
      </c>
      <c r="D13" s="27">
        <f t="shared" si="0"/>
        <v>3928.9999999994761</v>
      </c>
      <c r="E13" s="26">
        <v>1224</v>
      </c>
      <c r="F13" s="27">
        <f t="shared" si="1"/>
        <v>27</v>
      </c>
      <c r="G13" s="26">
        <v>618</v>
      </c>
      <c r="H13" s="27">
        <f t="shared" si="2"/>
        <v>147</v>
      </c>
      <c r="I13" s="12"/>
      <c r="J13" s="12"/>
    </row>
    <row r="14" spans="1:10" ht="45" customHeight="1" x14ac:dyDescent="0.15">
      <c r="A14" s="25">
        <v>44752</v>
      </c>
      <c r="B14" s="36"/>
      <c r="C14" s="26">
        <v>31044.999999999953</v>
      </c>
      <c r="D14" s="27" t="str">
        <f t="shared" si="0"/>
        <v>0</v>
      </c>
      <c r="E14" s="26">
        <v>1095</v>
      </c>
      <c r="F14" s="27" t="str">
        <f t="shared" si="1"/>
        <v>0</v>
      </c>
      <c r="G14" s="26">
        <v>557</v>
      </c>
      <c r="H14" s="27" t="str">
        <f t="shared" si="2"/>
        <v>0</v>
      </c>
      <c r="I14" s="12"/>
      <c r="J14" s="12"/>
    </row>
    <row r="15" spans="1:10" ht="45" customHeight="1" x14ac:dyDescent="0.15">
      <c r="A15" s="25">
        <v>44753</v>
      </c>
      <c r="B15" s="36"/>
      <c r="C15" s="26">
        <v>33572.000000000648</v>
      </c>
      <c r="D15" s="27">
        <f t="shared" si="0"/>
        <v>2527.0000000006949</v>
      </c>
      <c r="E15" s="26">
        <v>1110</v>
      </c>
      <c r="F15" s="27">
        <f t="shared" si="1"/>
        <v>15</v>
      </c>
      <c r="G15" s="26">
        <v>423</v>
      </c>
      <c r="H15" s="27" t="str">
        <f t="shared" si="2"/>
        <v>0</v>
      </c>
      <c r="I15" s="12"/>
      <c r="J15" s="12"/>
    </row>
    <row r="16" spans="1:10" ht="45" customHeight="1" x14ac:dyDescent="0.15">
      <c r="A16" s="25">
        <v>44754</v>
      </c>
      <c r="B16" s="36"/>
      <c r="C16" s="26">
        <v>33004.999999999651</v>
      </c>
      <c r="D16" s="27" t="str">
        <f t="shared" si="0"/>
        <v>0</v>
      </c>
      <c r="E16" s="26">
        <v>1153</v>
      </c>
      <c r="F16" s="27">
        <f t="shared" si="1"/>
        <v>43</v>
      </c>
      <c r="G16" s="26">
        <v>415</v>
      </c>
      <c r="H16" s="27" t="str">
        <f t="shared" si="2"/>
        <v>0</v>
      </c>
      <c r="I16" s="12"/>
      <c r="J16" s="12"/>
    </row>
    <row r="17" spans="1:10" ht="45" customHeight="1" x14ac:dyDescent="0.15">
      <c r="A17" s="25">
        <v>44755</v>
      </c>
      <c r="B17" s="36"/>
      <c r="C17" s="26">
        <v>33933.000000000393</v>
      </c>
      <c r="D17" s="27">
        <f t="shared" si="0"/>
        <v>928.00000000074215</v>
      </c>
      <c r="E17" s="26">
        <v>1057</v>
      </c>
      <c r="F17" s="27" t="str">
        <f t="shared" si="1"/>
        <v>0</v>
      </c>
      <c r="G17" s="26">
        <v>423</v>
      </c>
      <c r="H17" s="27">
        <f t="shared" si="2"/>
        <v>8</v>
      </c>
      <c r="I17" s="12"/>
      <c r="J17" s="12"/>
    </row>
    <row r="18" spans="1:10" ht="45" customHeight="1" x14ac:dyDescent="0.15">
      <c r="A18" s="25">
        <v>44756</v>
      </c>
      <c r="B18" s="36"/>
      <c r="C18" s="26">
        <v>33297.999999999702</v>
      </c>
      <c r="D18" s="27" t="str">
        <f t="shared" si="0"/>
        <v>0</v>
      </c>
      <c r="E18" s="26">
        <v>1153</v>
      </c>
      <c r="F18" s="27">
        <f t="shared" si="1"/>
        <v>96</v>
      </c>
      <c r="G18" s="26">
        <v>430</v>
      </c>
      <c r="H18" s="27">
        <f t="shared" si="2"/>
        <v>7</v>
      </c>
      <c r="I18" s="12"/>
      <c r="J18" s="12"/>
    </row>
    <row r="19" spans="1:10" ht="45" customHeight="1" x14ac:dyDescent="0.15">
      <c r="A19" s="25">
        <v>44757</v>
      </c>
      <c r="B19" s="36"/>
      <c r="C19" s="26">
        <v>34183.999999999352</v>
      </c>
      <c r="D19" s="27">
        <f t="shared" si="0"/>
        <v>885.99999999965075</v>
      </c>
      <c r="E19" s="26">
        <v>1147</v>
      </c>
      <c r="F19" s="27" t="str">
        <f t="shared" si="1"/>
        <v>0</v>
      </c>
      <c r="G19" s="26">
        <v>388</v>
      </c>
      <c r="H19" s="27" t="str">
        <f t="shared" si="2"/>
        <v>0</v>
      </c>
      <c r="I19" s="12"/>
      <c r="J19" s="12"/>
    </row>
    <row r="20" spans="1:10" ht="45" customHeight="1" x14ac:dyDescent="0.15">
      <c r="A20" s="25">
        <v>44758</v>
      </c>
      <c r="B20" s="36"/>
      <c r="C20" s="26">
        <v>34411.000000000909</v>
      </c>
      <c r="D20" s="27">
        <f t="shared" si="0"/>
        <v>227.00000000155705</v>
      </c>
      <c r="E20" s="26">
        <v>1198</v>
      </c>
      <c r="F20" s="27">
        <f t="shared" si="1"/>
        <v>51</v>
      </c>
      <c r="G20" s="26">
        <v>458</v>
      </c>
      <c r="H20" s="27">
        <f t="shared" si="2"/>
        <v>70</v>
      </c>
      <c r="I20" s="12"/>
      <c r="J20" s="12"/>
    </row>
    <row r="21" spans="1:10" ht="45" customHeight="1" x14ac:dyDescent="0.15">
      <c r="A21" s="25">
        <v>44759</v>
      </c>
      <c r="B21" s="36"/>
      <c r="C21" s="26">
        <v>32638.000000000506</v>
      </c>
      <c r="D21" s="27" t="str">
        <f t="shared" si="0"/>
        <v>0</v>
      </c>
      <c r="E21" s="26">
        <v>1112</v>
      </c>
      <c r="F21" s="27" t="str">
        <f t="shared" si="1"/>
        <v>0</v>
      </c>
      <c r="G21" s="26">
        <v>422</v>
      </c>
      <c r="H21" s="27" t="str">
        <f t="shared" si="2"/>
        <v>0</v>
      </c>
      <c r="I21" s="12"/>
      <c r="J21" s="12"/>
    </row>
    <row r="22" spans="1:10" ht="45" customHeight="1" x14ac:dyDescent="0.15">
      <c r="A22" s="25">
        <v>44760</v>
      </c>
      <c r="B22" s="36"/>
      <c r="C22" s="26">
        <v>32086.999999999105</v>
      </c>
      <c r="D22" s="27" t="str">
        <f t="shared" si="0"/>
        <v>0</v>
      </c>
      <c r="E22" s="26">
        <v>1122</v>
      </c>
      <c r="F22" s="27">
        <f t="shared" si="1"/>
        <v>10</v>
      </c>
      <c r="G22" s="26">
        <v>407</v>
      </c>
      <c r="H22" s="27" t="str">
        <f t="shared" si="2"/>
        <v>0</v>
      </c>
      <c r="I22" s="12"/>
      <c r="J22" s="12"/>
    </row>
    <row r="23" spans="1:10" ht="45" customHeight="1" x14ac:dyDescent="0.15">
      <c r="A23" s="25">
        <v>44761</v>
      </c>
      <c r="B23" s="36"/>
      <c r="C23" s="26">
        <v>33315.999999999622</v>
      </c>
      <c r="D23" s="27">
        <f>IF((C23-C22&lt;0), "0",C23-C22)</f>
        <v>1229.0000000005166</v>
      </c>
      <c r="E23" s="26">
        <v>1114</v>
      </c>
      <c r="F23" s="27" t="str">
        <f t="shared" si="1"/>
        <v>0</v>
      </c>
      <c r="G23" s="26">
        <v>407</v>
      </c>
      <c r="H23" s="27">
        <f t="shared" si="2"/>
        <v>0</v>
      </c>
      <c r="I23" s="12"/>
      <c r="J23" s="12"/>
    </row>
    <row r="24" spans="1:10" ht="45" customHeight="1" x14ac:dyDescent="0.15">
      <c r="A24" s="25">
        <v>44762</v>
      </c>
      <c r="B24" s="36"/>
      <c r="C24" s="26">
        <v>36761.999999999513</v>
      </c>
      <c r="D24" s="27">
        <f t="shared" ref="D24:D35" si="3">IF((C24-C23&lt;0), "0",C24-C23)</f>
        <v>3445.9999999998909</v>
      </c>
      <c r="E24" s="26">
        <v>1152</v>
      </c>
      <c r="F24" s="27">
        <f t="shared" si="1"/>
        <v>38</v>
      </c>
      <c r="G24" s="26">
        <v>473</v>
      </c>
      <c r="H24" s="27">
        <f t="shared" si="2"/>
        <v>66</v>
      </c>
      <c r="I24" s="12"/>
      <c r="J24" s="12"/>
    </row>
    <row r="25" spans="1:10" ht="45" customHeight="1" x14ac:dyDescent="0.15">
      <c r="A25" s="25">
        <v>44763</v>
      </c>
      <c r="B25" s="36"/>
      <c r="C25" s="26">
        <v>33185.000000001062</v>
      </c>
      <c r="D25" s="27" t="str">
        <f t="shared" si="3"/>
        <v>0</v>
      </c>
      <c r="E25" s="26">
        <v>1129</v>
      </c>
      <c r="F25" s="27" t="str">
        <f t="shared" si="1"/>
        <v>0</v>
      </c>
      <c r="G25" s="26">
        <v>404</v>
      </c>
      <c r="H25" s="27" t="str">
        <f t="shared" si="2"/>
        <v>0</v>
      </c>
      <c r="I25" s="12"/>
      <c r="J25" s="12"/>
    </row>
    <row r="26" spans="1:10" ht="45" customHeight="1" x14ac:dyDescent="0.15">
      <c r="A26" s="25">
        <v>44764</v>
      </c>
      <c r="B26" s="36"/>
      <c r="C26" s="26">
        <v>33858.999999999862</v>
      </c>
      <c r="D26" s="27">
        <f t="shared" si="3"/>
        <v>673.99999999879947</v>
      </c>
      <c r="E26" s="26">
        <v>1116</v>
      </c>
      <c r="F26" s="27" t="str">
        <f t="shared" si="1"/>
        <v>0</v>
      </c>
      <c r="G26" s="26">
        <v>443</v>
      </c>
      <c r="H26" s="27">
        <f t="shared" si="2"/>
        <v>39</v>
      </c>
      <c r="I26" s="12"/>
      <c r="J26" s="12"/>
    </row>
    <row r="27" spans="1:10" ht="45" customHeight="1" x14ac:dyDescent="0.15">
      <c r="A27" s="25">
        <v>44765</v>
      </c>
      <c r="B27" s="36"/>
      <c r="C27" s="26">
        <v>34568.999999999804</v>
      </c>
      <c r="D27" s="27">
        <f t="shared" si="3"/>
        <v>709.99999999994179</v>
      </c>
      <c r="E27" s="26">
        <v>1117</v>
      </c>
      <c r="F27" s="27">
        <f t="shared" si="1"/>
        <v>1</v>
      </c>
      <c r="G27" s="26">
        <v>407</v>
      </c>
      <c r="H27" s="27" t="str">
        <f t="shared" si="2"/>
        <v>0</v>
      </c>
      <c r="I27" s="12"/>
      <c r="J27" s="12"/>
    </row>
    <row r="28" spans="1:10" ht="45" customHeight="1" x14ac:dyDescent="0.15">
      <c r="A28" s="25">
        <v>44766</v>
      </c>
      <c r="B28" s="36"/>
      <c r="C28" s="26">
        <v>33930.000000000509</v>
      </c>
      <c r="D28" s="27" t="str">
        <f t="shared" si="3"/>
        <v>0</v>
      </c>
      <c r="E28" s="26">
        <v>1041</v>
      </c>
      <c r="F28" s="27" t="str">
        <f t="shared" si="1"/>
        <v>0</v>
      </c>
      <c r="G28" s="26">
        <v>416</v>
      </c>
      <c r="H28" s="27">
        <f t="shared" si="2"/>
        <v>9</v>
      </c>
      <c r="I28" s="12"/>
      <c r="J28" s="12"/>
    </row>
    <row r="29" spans="1:10" ht="45" customHeight="1" x14ac:dyDescent="0.15">
      <c r="A29" s="25">
        <v>44767</v>
      </c>
      <c r="B29" s="36"/>
      <c r="C29" s="26">
        <v>35166.000000000247</v>
      </c>
      <c r="D29" s="27">
        <f t="shared" si="3"/>
        <v>1235.9999999997381</v>
      </c>
      <c r="E29" s="26">
        <v>1008</v>
      </c>
      <c r="F29" s="27" t="str">
        <f t="shared" si="1"/>
        <v>0</v>
      </c>
      <c r="G29" s="26">
        <v>398</v>
      </c>
      <c r="H29" s="27" t="str">
        <f t="shared" si="2"/>
        <v>0</v>
      </c>
      <c r="I29" s="12"/>
      <c r="J29" s="12"/>
    </row>
    <row r="30" spans="1:10" ht="45" customHeight="1" x14ac:dyDescent="0.15">
      <c r="A30" s="25">
        <v>44768</v>
      </c>
      <c r="B30" s="36"/>
      <c r="C30" s="26">
        <v>35370.999999999141</v>
      </c>
      <c r="D30" s="27">
        <f t="shared" si="3"/>
        <v>204.99999999889405</v>
      </c>
      <c r="E30" s="26">
        <v>1073</v>
      </c>
      <c r="F30" s="27">
        <f t="shared" si="1"/>
        <v>65</v>
      </c>
      <c r="G30" s="26">
        <v>434</v>
      </c>
      <c r="H30" s="27">
        <f t="shared" si="2"/>
        <v>36</v>
      </c>
      <c r="I30" s="12"/>
      <c r="J30" s="12"/>
    </row>
    <row r="31" spans="1:10" ht="45" customHeight="1" x14ac:dyDescent="0.15">
      <c r="A31" s="25">
        <v>44769</v>
      </c>
      <c r="B31" s="36"/>
      <c r="C31" s="26">
        <v>34134.999999999549</v>
      </c>
      <c r="D31" s="27" t="str">
        <f t="shared" si="3"/>
        <v>0</v>
      </c>
      <c r="E31" s="26">
        <v>1107</v>
      </c>
      <c r="F31" s="27">
        <f t="shared" si="1"/>
        <v>34</v>
      </c>
      <c r="G31" s="26">
        <v>421</v>
      </c>
      <c r="H31" s="27" t="str">
        <f t="shared" si="2"/>
        <v>0</v>
      </c>
      <c r="I31" s="12"/>
      <c r="J31" s="12"/>
    </row>
    <row r="32" spans="1:10" ht="45" customHeight="1" x14ac:dyDescent="0.15">
      <c r="A32" s="25">
        <v>44770</v>
      </c>
      <c r="B32" s="36"/>
      <c r="C32" s="26">
        <v>34136.000000000546</v>
      </c>
      <c r="D32" s="27">
        <f t="shared" si="3"/>
        <v>1.0000000009968062</v>
      </c>
      <c r="E32" s="26">
        <v>1113</v>
      </c>
      <c r="F32" s="27">
        <f t="shared" si="1"/>
        <v>6</v>
      </c>
      <c r="G32" s="26">
        <v>431</v>
      </c>
      <c r="H32" s="27">
        <f t="shared" si="2"/>
        <v>10</v>
      </c>
      <c r="I32" s="12"/>
      <c r="J32" s="12"/>
    </row>
    <row r="33" spans="1:10" ht="36" customHeight="1" x14ac:dyDescent="0.15">
      <c r="A33" s="25">
        <v>44771</v>
      </c>
      <c r="C33" s="26">
        <v>34776.999999999949</v>
      </c>
      <c r="D33" s="27">
        <f t="shared" si="3"/>
        <v>640.99999999940337</v>
      </c>
      <c r="E33" s="26">
        <v>1165</v>
      </c>
      <c r="F33" s="27">
        <f t="shared" si="1"/>
        <v>52</v>
      </c>
      <c r="G33" s="26">
        <v>470</v>
      </c>
      <c r="H33" s="27">
        <f t="shared" si="2"/>
        <v>39</v>
      </c>
      <c r="I33" s="12"/>
      <c r="J33" s="12"/>
    </row>
    <row r="34" spans="1:10" ht="45.6" customHeight="1" x14ac:dyDescent="0.15">
      <c r="A34" s="25">
        <v>44772</v>
      </c>
      <c r="C34" s="26">
        <v>32021.000000000575</v>
      </c>
      <c r="D34" s="27" t="str">
        <f t="shared" si="3"/>
        <v>0</v>
      </c>
      <c r="E34" s="26">
        <v>1155</v>
      </c>
      <c r="F34" s="27" t="str">
        <f t="shared" si="1"/>
        <v>0</v>
      </c>
      <c r="G34" s="26">
        <v>424</v>
      </c>
      <c r="H34" s="27" t="str">
        <f t="shared" si="2"/>
        <v>0</v>
      </c>
      <c r="I34" s="12"/>
      <c r="J34" s="12"/>
    </row>
    <row r="35" spans="1:10" ht="34.5" customHeight="1" x14ac:dyDescent="0.15">
      <c r="A35" s="25">
        <v>44773</v>
      </c>
      <c r="C35" s="26">
        <v>34366.99999999936</v>
      </c>
      <c r="D35" s="27">
        <f t="shared" si="3"/>
        <v>2345.9999999987849</v>
      </c>
      <c r="E35" s="26">
        <v>1249</v>
      </c>
      <c r="F35" s="27">
        <f t="shared" si="1"/>
        <v>94</v>
      </c>
      <c r="G35" s="26">
        <v>458</v>
      </c>
      <c r="H35" s="27">
        <f t="shared" si="2"/>
        <v>34</v>
      </c>
      <c r="I35" s="12"/>
      <c r="J35" s="12"/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2023-02-22T08:33:51Z</dcterms:modified>
</cp:coreProperties>
</file>