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98D2E73-0CA6-4A71-B6C0-CABD26E126AD}" xr6:coauthVersionLast="47" xr6:coauthVersionMax="47" xr10:uidLastSave="{00000000-0000-0000-0000-000000000000}"/>
  <bookViews>
    <workbookView xWindow="-114" yWindow="-114" windowWidth="27602" windowHeight="15027" tabRatio="193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1" l="1"/>
  <c r="S13" i="1"/>
  <c r="R13" i="1"/>
  <c r="T12" i="1"/>
  <c r="S12" i="1"/>
  <c r="R12" i="1"/>
  <c r="T11" i="1"/>
  <c r="S11" i="1"/>
  <c r="R11" i="1"/>
  <c r="T10" i="1"/>
  <c r="S10" i="1"/>
  <c r="R10" i="1"/>
  <c r="T9" i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T4" i="1"/>
  <c r="S4" i="1"/>
  <c r="R4" i="1"/>
  <c r="T3" i="1"/>
  <c r="S3" i="1"/>
  <c r="R3" i="1"/>
  <c r="T2" i="1"/>
  <c r="S2" i="1"/>
  <c r="R2" i="1"/>
  <c r="W2" i="1"/>
  <c r="W3" i="1"/>
  <c r="W4" i="1"/>
  <c r="W5" i="1"/>
  <c r="W6" i="1"/>
  <c r="W7" i="1"/>
  <c r="W8" i="1"/>
  <c r="W9" i="1"/>
  <c r="W10" i="1"/>
  <c r="W11" i="1"/>
  <c r="W12" i="1"/>
  <c r="W13" i="1"/>
  <c r="K2" i="1"/>
  <c r="K3" i="1"/>
  <c r="K4" i="1"/>
  <c r="K5" i="1"/>
  <c r="K6" i="1"/>
  <c r="K7" i="1"/>
  <c r="K8" i="1"/>
  <c r="K9" i="1"/>
  <c r="K10" i="1"/>
  <c r="K11" i="1"/>
  <c r="K12" i="1"/>
  <c r="K13" i="1"/>
</calcChain>
</file>

<file path=xl/sharedStrings.xml><?xml version="1.0" encoding="utf-8"?>
<sst xmlns="http://schemas.openxmlformats.org/spreadsheetml/2006/main" count="43" uniqueCount="32">
  <si>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</si>
  <si>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</si>
  <si>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</si>
  <si>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</si>
  <si>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</si>
  <si>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</si>
  <si>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</si>
  <si>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 xml:space="preserve">LPG Total Budgeted </t>
  </si>
  <si>
    <t xml:space="preserve">LPG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</si>
  <si>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</si>
  <si>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</si>
  <si>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</si>
  <si>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</si>
  <si>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</si>
  <si>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 xml:space="preserve">Total Guests </t>
  </si>
  <si>
    <t>Cooling Degree Day</t>
  </si>
  <si>
    <t>Heating Degree Day</t>
  </si>
  <si>
    <t>Fuel Oil Hot-Water Boilers (Liter) Liter</t>
  </si>
  <si>
    <t>Fuel Oil Hot-Water Boilers (Liter) $/Liter</t>
  </si>
  <si>
    <t>Fuel Oil Total Budgeted</t>
  </si>
  <si>
    <t>Fuel Oil Total Budgeted Cost ($)</t>
  </si>
  <si>
    <t>Annabelle</t>
  </si>
  <si>
    <t>Total Renewable Energy Production Kwh</t>
  </si>
  <si>
    <t>LPG Kitchen (Liters)</t>
  </si>
  <si>
    <t>LPG Kitchen $/Liters</t>
  </si>
  <si>
    <t>Pellets  Kg</t>
  </si>
  <si>
    <t>Pellets Euro/Kg</t>
  </si>
  <si>
    <t>District Energy Heating KWh</t>
  </si>
  <si>
    <t>District Energy Heating $/KWh</t>
  </si>
  <si>
    <t>Heating District Energy Total Budgeted</t>
  </si>
  <si>
    <t>Pellets Total Budgeted Kg</t>
  </si>
  <si>
    <t>Heating District Energy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</si>
</sst>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4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  <xf numFmtId="1" fontId="0" fillId="0" borderId="0" xfId="0" applyNumberFormat="1"/>
    <xf numFmtId="165" fontId="0" fillId="0" borderId="0" xfId="0" applyNumberFormat="1"/>
    <xf numFmtId="1" fontId="6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</xdr:row>
      <xdr:rowOff>0</xdr:rowOff>
    </xdr:from>
    <xdr:to>
      <xdr:col>32</xdr:col>
      <xdr:colOff>150177</xdr:colOff>
      <xdr:row>2</xdr:row>
      <xdr:rowOff>55562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"/>
  <sheetViews>
    <sheetView tabSelected="1" zoomScale="115" zoomScaleNormal="115" workbookViewId="0">
      <pane xSplit="2" topLeftCell="T1" activePane="topRight" state="frozen"/>
      <selection pane="topRight" activeCell="AE2" sqref="AE2"/>
    </sheetView>
  </sheetViews>
  <sheetFormatPr defaultColWidth="11.5" defaultRowHeight="13.55" x14ac:dyDescent="0.2"/>
  <cols>
    <col min="1" max="1" width="10.75" style="4" bestFit="1" customWidth="1"/>
    <col min="2" max="2" width="7.75" customWidth="1"/>
    <col min="3" max="3" width="7.125" customWidth="1"/>
    <col min="4" max="4" width="12.5" customWidth="1"/>
    <col min="5" max="5" width="11.625" customWidth="1"/>
    <col min="6" max="6" width="12.5" style="17" customWidth="1"/>
    <col min="7" max="8" width="11.5" style="13" customWidth="1"/>
    <col min="10" max="10" width="8.25" customWidth="1"/>
    <col min="11" max="11" width="11" style="26" customWidth="1"/>
    <col min="12" max="12" width="11.5" style="21" customWidth="1"/>
    <col min="13" max="13" width="11.5" style="13" customWidth="1"/>
    <col min="14" max="14" width="11.5" style="15"/>
    <col min="15" max="15" width="11.5" style="16"/>
    <col min="16" max="16" width="11.5" style="35"/>
    <col min="17" max="17" width="11.5" style="36"/>
    <col min="18" max="18" width="11.5" style="37"/>
    <col min="19" max="19" width="8.25" style="38" customWidth="1"/>
    <col min="20" max="20" width="11.5" style="13"/>
    <col min="21" max="21" width="11.5" style="35"/>
    <col min="22" max="22" width="11.5" style="13"/>
    <col min="23" max="23" width="11.5" style="23"/>
    <col min="24" max="24" width="11.5" style="21"/>
    <col min="25" max="25" width="11.5" style="13"/>
    <col min="26" max="26" width="9" customWidth="1"/>
    <col min="28" max="28" width="11.5" style="21" customWidth="1"/>
    <col min="29" max="29" width="11.5" style="13" customWidth="1"/>
    <col min="30" max="30" width="11.5" customWidth="1"/>
    <col min="33" max="33" width="18.25" bestFit="1" customWidth="1"/>
  </cols>
  <sheetData>
    <row r="1" spans="1:33" s="11" customFormat="1" ht="77" x14ac:dyDescent="0.2">
      <c r="A1" s="6" t="s">
        <v>0</v>
      </c>
      <c r="B1" s="7" t="s">
        <v>1</v>
      </c>
      <c r="C1" s="7" t="s">
        <v>2</v>
      </c>
      <c r="D1" s="18" t="s">
        <v>3</v>
      </c>
      <c r="E1" s="18" t="s">
        <v>4</v>
      </c>
      <c r="F1" s="9" t="s">
        <v>22</v>
      </c>
      <c r="G1" s="8" t="s">
        <v>5</v>
      </c>
      <c r="H1" s="8" t="s">
        <v>6</v>
      </c>
      <c r="I1" s="9" t="s">
        <v>23</v>
      </c>
      <c r="J1" s="10" t="s">
        <v>24</v>
      </c>
      <c r="K1" s="19" t="s">
        <v>7</v>
      </c>
      <c r="L1" s="27"/>
      <c r="M1" s="8" t="s">
        <v>8</v>
      </c>
      <c r="N1" s="14" t="s">
        <v>17</v>
      </c>
      <c r="O1" s="10" t="s">
        <v>18</v>
      </c>
      <c r="P1" s="28" t="s">
        <v>25</v>
      </c>
      <c r="Q1" s="29" t="s">
        <v>26</v>
      </c>
      <c r="R1" s="14" t="s">
        <v>27</v>
      </c>
      <c r="S1" s="30" t="s">
        <v>28</v>
      </c>
      <c r="T1" s="8" t="s">
        <v>29</v>
      </c>
      <c r="U1" s="28" t="s">
        <v>30</v>
      </c>
      <c r="V1" s="8" t="s">
        <v>31</v>
      </c>
      <c r="W1" s="19" t="s">
        <v>19</v>
      </c>
      <c r="X1" s="27"/>
      <c r="Y1" s="8" t="s">
        <v>20</v>
      </c>
      <c r="Z1" s="9" t="s">
        <v>9</v>
      </c>
      <c r="AA1" s="9" t="s">
        <v>10</v>
      </c>
      <c r="AB1" s="24" t="s">
        <v>11</v>
      </c>
      <c r="AC1" s="8" t="s">
        <v>12</v>
      </c>
      <c r="AD1" s="9" t="s">
        <v>13</v>
      </c>
      <c r="AE1" s="9" t="s">
        <v>14</v>
      </c>
      <c r="AF1" s="9" t="s">
        <v>15</v>
      </c>
      <c r="AG1" s="7" t="s">
        <v>16</v>
      </c>
    </row>
    <row r="2" spans="1:33" x14ac:dyDescent="0.2">
      <c r="A2" s="5" t="s">
        <v>21</v>
      </c>
      <c r="B2" s="1">
        <v>1</v>
      </c>
      <c r="C2" s="1">
        <v>2025</v>
      </c>
      <c r="D2" s="1">
        <v>142337</v>
      </c>
      <c r="E2" s="3">
        <v>0.22070000000000001</v>
      </c>
      <c r="F2" s="40">
        <v>20266</v>
      </c>
      <c r="G2" s="12">
        <v>124702</v>
      </c>
      <c r="H2" s="12">
        <v>31425</v>
      </c>
      <c r="I2" s="1">
        <v>2203</v>
      </c>
      <c r="J2" s="25">
        <v>0.73509999999999998</v>
      </c>
      <c r="K2" s="12">
        <f t="shared" ref="K2:K6" si="0">M2/L2</f>
        <v>2237.1428571428573</v>
      </c>
      <c r="L2" s="20">
        <v>0.7</v>
      </c>
      <c r="M2" s="12">
        <v>1566</v>
      </c>
      <c r="N2" s="15">
        <v>4300</v>
      </c>
      <c r="O2" s="16">
        <v>0.80149999999999999</v>
      </c>
      <c r="P2" s="31">
        <v>30735</v>
      </c>
      <c r="Q2" s="32">
        <v>0.504</v>
      </c>
      <c r="R2" s="1">
        <f t="shared" ref="R2:R13" si="1">P2*5.04</f>
        <v>154904.4</v>
      </c>
      <c r="S2" s="33">
        <f t="shared" ref="S2:S6" si="2">Q2/5.04</f>
        <v>0.1</v>
      </c>
      <c r="T2" s="12">
        <f t="shared" ref="T2:T6" si="3">U2*5.04</f>
        <v>131947.20000000001</v>
      </c>
      <c r="U2" s="31">
        <v>26180</v>
      </c>
      <c r="V2" s="12">
        <v>0</v>
      </c>
      <c r="W2" s="23">
        <f t="shared" ref="W2:W6" si="4">Y2/X2</f>
        <v>0</v>
      </c>
      <c r="X2" s="22">
        <v>0.57999999999999996</v>
      </c>
      <c r="Y2" s="23">
        <v>0</v>
      </c>
      <c r="Z2" s="1">
        <v>2117</v>
      </c>
      <c r="AA2" s="25">
        <v>2.34</v>
      </c>
      <c r="AB2" s="20">
        <v>1.94</v>
      </c>
      <c r="AC2" s="12">
        <v>3989</v>
      </c>
      <c r="AD2" s="2">
        <v>2574</v>
      </c>
      <c r="AE2" s="2">
        <v>4485</v>
      </c>
      <c r="AF2" s="2">
        <v>0.3</v>
      </c>
      <c r="AG2">
        <v>48.2</v>
      </c>
    </row>
    <row r="3" spans="1:33" x14ac:dyDescent="0.2">
      <c r="A3" s="5" t="s">
        <v>21</v>
      </c>
      <c r="B3" s="1">
        <v>2</v>
      </c>
      <c r="C3" s="1">
        <v>2025</v>
      </c>
      <c r="D3" s="1"/>
      <c r="E3" s="3"/>
      <c r="F3" s="15"/>
      <c r="G3" s="12">
        <v>125023</v>
      </c>
      <c r="H3" s="12">
        <v>31506</v>
      </c>
      <c r="I3" s="1"/>
      <c r="J3" s="25"/>
      <c r="K3" s="12">
        <f t="shared" si="0"/>
        <v>2548.5714285714289</v>
      </c>
      <c r="L3" s="20">
        <v>0.7</v>
      </c>
      <c r="M3" s="12">
        <v>1784</v>
      </c>
      <c r="P3" s="31"/>
      <c r="Q3" s="32"/>
      <c r="R3" s="1">
        <f t="shared" si="1"/>
        <v>0</v>
      </c>
      <c r="S3" s="33">
        <f t="shared" si="2"/>
        <v>0</v>
      </c>
      <c r="T3" s="12">
        <f t="shared" si="3"/>
        <v>198349.2</v>
      </c>
      <c r="U3" s="31">
        <v>39355</v>
      </c>
      <c r="V3" s="12">
        <v>0</v>
      </c>
      <c r="W3" s="23">
        <f t="shared" si="4"/>
        <v>0</v>
      </c>
      <c r="X3" s="22">
        <v>0.6</v>
      </c>
      <c r="Y3" s="23">
        <v>0</v>
      </c>
      <c r="Z3" s="1"/>
      <c r="AA3" s="25"/>
      <c r="AB3" s="20">
        <v>1.99</v>
      </c>
      <c r="AC3" s="12">
        <v>4647</v>
      </c>
      <c r="AD3" s="2"/>
      <c r="AE3" s="2"/>
      <c r="AF3" s="2">
        <v>0.2</v>
      </c>
      <c r="AG3">
        <v>60.9</v>
      </c>
    </row>
    <row r="4" spans="1:33" x14ac:dyDescent="0.2">
      <c r="A4" s="5" t="s">
        <v>21</v>
      </c>
      <c r="B4" s="1">
        <v>3</v>
      </c>
      <c r="C4" s="1">
        <v>2025</v>
      </c>
      <c r="D4" s="1"/>
      <c r="E4" s="3"/>
      <c r="F4" s="15"/>
      <c r="G4" s="12">
        <v>152841</v>
      </c>
      <c r="H4" s="12">
        <v>38516</v>
      </c>
      <c r="I4" s="1"/>
      <c r="J4" s="25"/>
      <c r="K4" s="12">
        <f t="shared" si="0"/>
        <v>3481.4285714285716</v>
      </c>
      <c r="L4" s="20">
        <v>0.7</v>
      </c>
      <c r="M4" s="12">
        <v>2437</v>
      </c>
      <c r="P4" s="39"/>
      <c r="Q4" s="32"/>
      <c r="R4" s="1">
        <f t="shared" si="1"/>
        <v>0</v>
      </c>
      <c r="S4" s="33">
        <f t="shared" si="2"/>
        <v>0</v>
      </c>
      <c r="T4" s="12">
        <f t="shared" si="3"/>
        <v>183128.4</v>
      </c>
      <c r="U4" s="31">
        <v>36335</v>
      </c>
      <c r="V4" s="12">
        <v>2230.089686098655</v>
      </c>
      <c r="W4" s="23">
        <f t="shared" si="4"/>
        <v>0</v>
      </c>
      <c r="X4" s="22">
        <v>0.62</v>
      </c>
      <c r="Y4" s="23">
        <v>0</v>
      </c>
      <c r="Z4" s="1"/>
      <c r="AA4" s="25"/>
      <c r="AB4" s="20">
        <v>2.1</v>
      </c>
      <c r="AC4" s="12">
        <v>6684</v>
      </c>
      <c r="AD4" s="2"/>
      <c r="AE4" s="2"/>
      <c r="AF4" s="2">
        <v>5.0999999999999996</v>
      </c>
      <c r="AG4">
        <v>29.7</v>
      </c>
    </row>
    <row r="5" spans="1:33" x14ac:dyDescent="0.2">
      <c r="A5" s="5" t="s">
        <v>21</v>
      </c>
      <c r="B5" s="1">
        <v>4</v>
      </c>
      <c r="C5" s="1">
        <v>2025</v>
      </c>
      <c r="D5" s="1"/>
      <c r="E5" s="3"/>
      <c r="F5" s="15"/>
      <c r="G5" s="12">
        <v>178614</v>
      </c>
      <c r="H5" s="12">
        <v>45011</v>
      </c>
      <c r="I5" s="1"/>
      <c r="J5" s="25"/>
      <c r="K5" s="12">
        <f t="shared" si="0"/>
        <v>4411.4285714285716</v>
      </c>
      <c r="L5" s="20">
        <v>0.7</v>
      </c>
      <c r="M5" s="12">
        <v>3088</v>
      </c>
      <c r="P5" s="39"/>
      <c r="Q5" s="32"/>
      <c r="R5" s="1">
        <f t="shared" si="1"/>
        <v>0</v>
      </c>
      <c r="S5" s="33">
        <f t="shared" si="2"/>
        <v>0</v>
      </c>
      <c r="T5" s="12">
        <f t="shared" si="3"/>
        <v>164934</v>
      </c>
      <c r="U5" s="31">
        <v>32725</v>
      </c>
      <c r="V5" s="12">
        <v>2298.7915333497422</v>
      </c>
      <c r="W5" s="23">
        <f t="shared" si="4"/>
        <v>1198.4848484848485</v>
      </c>
      <c r="X5" s="22">
        <v>0.66</v>
      </c>
      <c r="Y5" s="23">
        <v>791</v>
      </c>
      <c r="Z5" s="1"/>
      <c r="AA5" s="25"/>
      <c r="AB5" s="20">
        <v>2.06</v>
      </c>
      <c r="AC5" s="12">
        <v>8573</v>
      </c>
      <c r="AD5" s="2"/>
      <c r="AE5" s="2"/>
      <c r="AF5" s="2">
        <v>38.700000000000003</v>
      </c>
      <c r="AG5">
        <v>3.1</v>
      </c>
    </row>
    <row r="6" spans="1:33" x14ac:dyDescent="0.2">
      <c r="A6" s="5" t="s">
        <v>21</v>
      </c>
      <c r="B6" s="1">
        <v>5</v>
      </c>
      <c r="C6" s="1">
        <v>2025</v>
      </c>
      <c r="D6" s="1"/>
      <c r="E6" s="3"/>
      <c r="F6" s="15"/>
      <c r="G6" s="12">
        <v>193764</v>
      </c>
      <c r="H6" s="12">
        <v>48829</v>
      </c>
      <c r="I6" s="1"/>
      <c r="J6" s="25"/>
      <c r="K6" s="12">
        <f t="shared" si="0"/>
        <v>4051.4285714285716</v>
      </c>
      <c r="L6" s="20">
        <v>0.7</v>
      </c>
      <c r="M6" s="12">
        <v>2836</v>
      </c>
      <c r="P6" s="39"/>
      <c r="Q6" s="32"/>
      <c r="R6" s="1">
        <f t="shared" si="1"/>
        <v>0</v>
      </c>
      <c r="S6" s="33">
        <f t="shared" si="2"/>
        <v>0</v>
      </c>
      <c r="T6" s="12">
        <f t="shared" si="3"/>
        <v>103194</v>
      </c>
      <c r="U6" s="31">
        <v>20475</v>
      </c>
      <c r="V6" s="12">
        <v>1516.7892970269525</v>
      </c>
      <c r="W6" s="23">
        <f t="shared" si="4"/>
        <v>0</v>
      </c>
      <c r="X6" s="22">
        <v>0.65</v>
      </c>
      <c r="Y6" s="23">
        <v>0</v>
      </c>
      <c r="Z6" s="1"/>
      <c r="AA6" s="25"/>
      <c r="AB6" s="20">
        <v>2.2599999999999998</v>
      </c>
      <c r="AC6" s="12">
        <v>8300</v>
      </c>
      <c r="AD6" s="2"/>
      <c r="AE6" s="2"/>
      <c r="AF6" s="2">
        <v>58.4</v>
      </c>
      <c r="AG6">
        <v>0.7</v>
      </c>
    </row>
    <row r="7" spans="1:33" x14ac:dyDescent="0.2">
      <c r="A7" s="5" t="s">
        <v>21</v>
      </c>
      <c r="B7" s="1">
        <v>6</v>
      </c>
      <c r="C7" s="1">
        <v>2025</v>
      </c>
      <c r="D7" s="1"/>
      <c r="E7" s="3"/>
      <c r="F7" s="15"/>
      <c r="G7" s="12">
        <v>202116</v>
      </c>
      <c r="H7" s="12">
        <v>50933</v>
      </c>
      <c r="I7" s="1"/>
      <c r="J7" s="25"/>
      <c r="K7" s="12">
        <f t="shared" ref="K7:K13" si="5">M7/L7</f>
        <v>4078.5714285714289</v>
      </c>
      <c r="L7" s="20">
        <v>0.7</v>
      </c>
      <c r="M7" s="12">
        <v>2855</v>
      </c>
      <c r="P7" s="39"/>
      <c r="Q7" s="32"/>
      <c r="R7" s="1">
        <f t="shared" si="1"/>
        <v>0</v>
      </c>
      <c r="S7" s="33">
        <f t="shared" ref="S7:S13" si="6">Q7/5.04</f>
        <v>0</v>
      </c>
      <c r="T7" s="12">
        <f t="shared" ref="T7:T13" si="7">U7*5.04</f>
        <v>53272.800000000003</v>
      </c>
      <c r="U7" s="31">
        <v>10570</v>
      </c>
      <c r="V7" s="12">
        <v>960.78683528767135</v>
      </c>
      <c r="W7" s="23">
        <f t="shared" ref="W7:W13" si="8">Y7/X7</f>
        <v>0</v>
      </c>
      <c r="X7" s="22">
        <v>0.66</v>
      </c>
      <c r="Y7" s="23">
        <v>0</v>
      </c>
      <c r="Z7" s="1"/>
      <c r="AA7" s="25"/>
      <c r="AB7" s="20">
        <v>2.5</v>
      </c>
      <c r="AC7" s="12">
        <v>10019</v>
      </c>
      <c r="AD7" s="2"/>
      <c r="AE7" s="2"/>
      <c r="AF7" s="2"/>
    </row>
    <row r="8" spans="1:33" x14ac:dyDescent="0.2">
      <c r="A8" s="5" t="s">
        <v>21</v>
      </c>
      <c r="B8" s="1">
        <v>7</v>
      </c>
      <c r="C8" s="1">
        <v>2025</v>
      </c>
      <c r="D8" s="1"/>
      <c r="E8" s="3"/>
      <c r="F8" s="15"/>
      <c r="G8" s="12">
        <v>218956</v>
      </c>
      <c r="H8" s="12">
        <v>55177</v>
      </c>
      <c r="I8" s="1"/>
      <c r="J8" s="25"/>
      <c r="K8" s="12">
        <f t="shared" si="5"/>
        <v>3544.2857142857147</v>
      </c>
      <c r="L8" s="20">
        <v>0.7</v>
      </c>
      <c r="M8" s="12">
        <v>2481</v>
      </c>
      <c r="P8" s="31"/>
      <c r="Q8" s="32"/>
      <c r="R8" s="1">
        <f t="shared" si="1"/>
        <v>0</v>
      </c>
      <c r="S8" s="33">
        <f t="shared" si="6"/>
        <v>0</v>
      </c>
      <c r="T8" s="12">
        <f t="shared" si="7"/>
        <v>31777.200000000001</v>
      </c>
      <c r="U8" s="31">
        <v>6305</v>
      </c>
      <c r="V8" s="12">
        <v>1530.1489014956167</v>
      </c>
      <c r="W8" s="23">
        <f t="shared" si="8"/>
        <v>0</v>
      </c>
      <c r="X8" s="22">
        <v>0.67</v>
      </c>
      <c r="Y8" s="23">
        <v>0</v>
      </c>
      <c r="Z8" s="1"/>
      <c r="AA8" s="25"/>
      <c r="AB8" s="20">
        <v>2.2400000000000002</v>
      </c>
      <c r="AC8" s="12">
        <v>9139</v>
      </c>
      <c r="AD8" s="2"/>
      <c r="AE8" s="2"/>
      <c r="AF8" s="2"/>
    </row>
    <row r="9" spans="1:33" x14ac:dyDescent="0.2">
      <c r="A9" s="5" t="s">
        <v>21</v>
      </c>
      <c r="B9" s="1">
        <v>8</v>
      </c>
      <c r="C9" s="1">
        <v>2025</v>
      </c>
      <c r="D9" s="1"/>
      <c r="E9" s="3"/>
      <c r="F9" s="15"/>
      <c r="G9" s="12">
        <v>236941</v>
      </c>
      <c r="H9" s="12">
        <v>59709</v>
      </c>
      <c r="I9" s="1"/>
      <c r="J9" s="25"/>
      <c r="K9" s="12">
        <f t="shared" si="5"/>
        <v>4262.8571428571431</v>
      </c>
      <c r="L9" s="20">
        <v>0.7</v>
      </c>
      <c r="M9" s="12">
        <v>2984</v>
      </c>
      <c r="P9" s="31"/>
      <c r="Q9" s="32"/>
      <c r="R9" s="1">
        <f t="shared" si="1"/>
        <v>0</v>
      </c>
      <c r="S9" s="33">
        <f t="shared" si="6"/>
        <v>0</v>
      </c>
      <c r="T9" s="12">
        <f t="shared" si="7"/>
        <v>33894</v>
      </c>
      <c r="U9" s="31">
        <v>6725</v>
      </c>
      <c r="V9" s="12">
        <v>1377.0960718282372</v>
      </c>
      <c r="W9" s="23">
        <f t="shared" si="8"/>
        <v>0</v>
      </c>
      <c r="X9" s="22">
        <v>0.67</v>
      </c>
      <c r="Y9" s="23">
        <v>0</v>
      </c>
      <c r="Z9" s="1"/>
      <c r="AA9" s="25"/>
      <c r="AB9" s="20">
        <v>2.2400000000000002</v>
      </c>
      <c r="AC9" s="12">
        <v>11094</v>
      </c>
      <c r="AD9" s="2"/>
      <c r="AE9" s="2"/>
      <c r="AF9" s="2"/>
    </row>
    <row r="10" spans="1:33" x14ac:dyDescent="0.2">
      <c r="A10" s="5" t="s">
        <v>21</v>
      </c>
      <c r="B10" s="1">
        <v>9</v>
      </c>
      <c r="C10" s="1">
        <v>2025</v>
      </c>
      <c r="D10" s="1"/>
      <c r="E10" s="3"/>
      <c r="F10" s="15"/>
      <c r="G10" s="12">
        <v>245452</v>
      </c>
      <c r="H10" s="12">
        <v>61854</v>
      </c>
      <c r="I10" s="1"/>
      <c r="J10" s="25"/>
      <c r="K10" s="12">
        <f t="shared" si="5"/>
        <v>3720.0000000000005</v>
      </c>
      <c r="L10" s="20">
        <v>0.7</v>
      </c>
      <c r="M10" s="12">
        <v>2604</v>
      </c>
      <c r="P10" s="31"/>
      <c r="Q10" s="32"/>
      <c r="R10" s="1">
        <f t="shared" si="1"/>
        <v>0</v>
      </c>
      <c r="S10" s="33">
        <f t="shared" si="6"/>
        <v>0</v>
      </c>
      <c r="T10" s="12">
        <f t="shared" si="7"/>
        <v>31298.400000000001</v>
      </c>
      <c r="U10" s="31">
        <v>6210</v>
      </c>
      <c r="V10" s="12">
        <v>510.65072534730137</v>
      </c>
      <c r="W10" s="23">
        <f t="shared" si="8"/>
        <v>0</v>
      </c>
      <c r="X10" s="22">
        <v>0.67</v>
      </c>
      <c r="Y10" s="23">
        <v>0</v>
      </c>
      <c r="Z10" s="1"/>
      <c r="AA10" s="25"/>
      <c r="AB10" s="20">
        <v>2.4300000000000002</v>
      </c>
      <c r="AC10" s="12">
        <v>10321</v>
      </c>
      <c r="AD10" s="2"/>
      <c r="AE10" s="2"/>
      <c r="AF10" s="2"/>
    </row>
    <row r="11" spans="1:33" x14ac:dyDescent="0.2">
      <c r="A11" s="5" t="s">
        <v>21</v>
      </c>
      <c r="B11" s="1">
        <v>10</v>
      </c>
      <c r="C11" s="1">
        <v>2025</v>
      </c>
      <c r="D11" s="1"/>
      <c r="E11" s="3"/>
      <c r="F11" s="15"/>
      <c r="G11" s="12">
        <v>204561</v>
      </c>
      <c r="H11" s="12">
        <v>51549</v>
      </c>
      <c r="I11" s="1"/>
      <c r="J11" s="25"/>
      <c r="K11" s="12">
        <f t="shared" si="5"/>
        <v>4648.5714285714284</v>
      </c>
      <c r="L11" s="20">
        <v>0.7</v>
      </c>
      <c r="M11" s="12">
        <v>3254</v>
      </c>
      <c r="P11" s="31"/>
      <c r="Q11" s="32"/>
      <c r="R11" s="1">
        <f t="shared" si="1"/>
        <v>0</v>
      </c>
      <c r="S11" s="33">
        <f t="shared" si="6"/>
        <v>0</v>
      </c>
      <c r="T11" s="12">
        <f t="shared" si="7"/>
        <v>57582</v>
      </c>
      <c r="U11" s="31">
        <v>11425</v>
      </c>
      <c r="V11" s="12">
        <v>2521.7691584492213</v>
      </c>
      <c r="W11" s="23">
        <f t="shared" si="8"/>
        <v>1034.3283582089553</v>
      </c>
      <c r="X11" s="22">
        <v>0.67</v>
      </c>
      <c r="Y11" s="23">
        <v>693</v>
      </c>
      <c r="Z11" s="1"/>
      <c r="AA11" s="25"/>
      <c r="AB11" s="20">
        <v>2.17</v>
      </c>
      <c r="AC11" s="12">
        <v>9472</v>
      </c>
      <c r="AD11" s="2"/>
      <c r="AE11" s="2"/>
      <c r="AF11" s="2"/>
    </row>
    <row r="12" spans="1:33" x14ac:dyDescent="0.2">
      <c r="A12" s="5" t="s">
        <v>21</v>
      </c>
      <c r="B12" s="1">
        <v>11</v>
      </c>
      <c r="C12" s="1">
        <v>2025</v>
      </c>
      <c r="D12" s="1"/>
      <c r="E12" s="3"/>
      <c r="F12" s="15"/>
      <c r="G12" s="12">
        <v>163791</v>
      </c>
      <c r="H12" s="12">
        <v>41725</v>
      </c>
      <c r="I12" s="1"/>
      <c r="J12" s="25"/>
      <c r="K12" s="12">
        <f t="shared" si="5"/>
        <v>3731.4285714285716</v>
      </c>
      <c r="L12" s="20">
        <v>0.7</v>
      </c>
      <c r="M12" s="12">
        <v>2612</v>
      </c>
      <c r="P12" s="31"/>
      <c r="Q12" s="32"/>
      <c r="R12" s="1">
        <f t="shared" si="1"/>
        <v>0</v>
      </c>
      <c r="S12" s="33">
        <f t="shared" si="6"/>
        <v>0</v>
      </c>
      <c r="T12" s="12">
        <f t="shared" si="7"/>
        <v>73256.399999999994</v>
      </c>
      <c r="U12" s="31">
        <v>14535</v>
      </c>
      <c r="V12" s="12">
        <v>1024.0230000000001</v>
      </c>
      <c r="W12" s="23">
        <f t="shared" si="8"/>
        <v>0</v>
      </c>
      <c r="X12" s="22">
        <v>0.67</v>
      </c>
      <c r="Y12" s="23">
        <v>0</v>
      </c>
      <c r="Z12" s="1"/>
      <c r="AA12" s="25"/>
      <c r="AB12" s="20">
        <v>2.11</v>
      </c>
      <c r="AC12" s="12">
        <v>6926</v>
      </c>
      <c r="AD12" s="2"/>
      <c r="AE12" s="2"/>
      <c r="AF12" s="2"/>
    </row>
    <row r="13" spans="1:33" x14ac:dyDescent="0.2">
      <c r="A13" s="5" t="s">
        <v>21</v>
      </c>
      <c r="B13" s="1">
        <v>12</v>
      </c>
      <c r="C13" s="1">
        <v>2025</v>
      </c>
      <c r="D13" s="1"/>
      <c r="E13" s="3"/>
      <c r="F13" s="15"/>
      <c r="G13" s="12">
        <v>140763</v>
      </c>
      <c r="H13" s="12">
        <v>35472</v>
      </c>
      <c r="I13" s="1"/>
      <c r="J13" s="25"/>
      <c r="K13" s="12">
        <f t="shared" si="5"/>
        <v>2600</v>
      </c>
      <c r="L13" s="20">
        <v>0.7</v>
      </c>
      <c r="M13" s="12">
        <v>1820</v>
      </c>
      <c r="P13" s="31"/>
      <c r="Q13" s="32"/>
      <c r="R13" s="1">
        <f t="shared" si="1"/>
        <v>0</v>
      </c>
      <c r="S13" s="33">
        <f t="shared" si="6"/>
        <v>0</v>
      </c>
      <c r="T13" s="12">
        <f t="shared" si="7"/>
        <v>126000</v>
      </c>
      <c r="U13" s="31">
        <v>25000</v>
      </c>
      <c r="V13" s="12">
        <v>0</v>
      </c>
      <c r="W13" s="23">
        <f t="shared" si="8"/>
        <v>0</v>
      </c>
      <c r="X13" s="22">
        <v>0.7</v>
      </c>
      <c r="Y13" s="23">
        <v>0</v>
      </c>
      <c r="Z13" s="1"/>
      <c r="AA13" s="1"/>
      <c r="AB13" s="20">
        <v>2.2000000000000002</v>
      </c>
      <c r="AC13" s="12">
        <v>6930</v>
      </c>
      <c r="AD13" s="2"/>
      <c r="AE13" s="2"/>
      <c r="AF13" s="2"/>
    </row>
    <row r="14" spans="1:33" x14ac:dyDescent="0.2">
      <c r="A14" s="5"/>
      <c r="B14" s="1"/>
      <c r="C14" s="1"/>
      <c r="D14" s="1"/>
      <c r="E14" s="1"/>
      <c r="F14" s="15"/>
      <c r="G14" s="12"/>
      <c r="H14" s="12"/>
      <c r="I14" s="1"/>
      <c r="J14" s="1"/>
      <c r="K14" s="12"/>
      <c r="L14" s="20"/>
      <c r="M14" s="12"/>
      <c r="P14" s="31"/>
      <c r="Q14" s="32"/>
      <c r="R14" s="1"/>
      <c r="S14" s="34"/>
      <c r="T14" s="12"/>
      <c r="U14" s="31"/>
      <c r="V14" s="12"/>
      <c r="Z14" s="1"/>
      <c r="AA14" s="1"/>
      <c r="AB14" s="20"/>
      <c r="AC14" s="12"/>
      <c r="AD14" s="2"/>
      <c r="AE14" s="2"/>
      <c r="AF14" s="2"/>
    </row>
    <row r="15" spans="1:33" x14ac:dyDescent="0.2">
      <c r="A15" s="5"/>
      <c r="B15" s="1"/>
      <c r="C15" s="1"/>
      <c r="D15" s="1"/>
      <c r="E15" s="1"/>
      <c r="F15" s="15"/>
      <c r="G15" s="12"/>
      <c r="H15" s="12"/>
      <c r="I15" s="1"/>
      <c r="J15" s="1"/>
      <c r="K15" s="12"/>
      <c r="L15" s="20"/>
      <c r="M15" s="12"/>
      <c r="P15" s="31"/>
      <c r="Q15" s="32"/>
      <c r="R15" s="1"/>
      <c r="S15" s="34"/>
      <c r="T15" s="12"/>
      <c r="U15" s="31"/>
      <c r="V15" s="12"/>
      <c r="Z15" s="1"/>
      <c r="AA15" s="1"/>
      <c r="AB15" s="20"/>
      <c r="AC15" s="12"/>
      <c r="AD15" s="2"/>
      <c r="AE15" s="2"/>
      <c r="AF15" s="2"/>
    </row>
    <row r="16" spans="1:33" x14ac:dyDescent="0.2">
      <c r="A16" s="5"/>
      <c r="B16" s="1"/>
      <c r="C16" s="1"/>
      <c r="D16" s="1"/>
      <c r="E16" s="1"/>
      <c r="F16" s="15"/>
      <c r="G16" s="12"/>
      <c r="H16" s="12"/>
      <c r="I16" s="1"/>
      <c r="J16" s="1"/>
      <c r="K16" s="12"/>
      <c r="L16" s="20"/>
      <c r="M16" s="12"/>
      <c r="P16" s="31"/>
      <c r="Q16" s="32"/>
      <c r="R16" s="1"/>
      <c r="S16" s="34"/>
      <c r="T16" s="12"/>
      <c r="U16" s="31"/>
      <c r="V16" s="12"/>
      <c r="Z16" s="1"/>
      <c r="AA16" s="1"/>
      <c r="AB16" s="20"/>
      <c r="AC16" s="12"/>
      <c r="AD16" s="2"/>
      <c r="AE16" s="2"/>
      <c r="AF16" s="2"/>
    </row>
    <row r="17" spans="1:32" x14ac:dyDescent="0.2">
      <c r="A17" s="5"/>
      <c r="B17" s="1"/>
      <c r="C17" s="1"/>
      <c r="D17" s="1"/>
      <c r="E17" s="1"/>
      <c r="F17" s="15"/>
      <c r="G17" s="12"/>
      <c r="H17" s="12"/>
      <c r="I17" s="1"/>
      <c r="J17" s="1"/>
      <c r="K17" s="12"/>
      <c r="L17" s="20"/>
      <c r="M17" s="12"/>
      <c r="P17" s="31"/>
      <c r="Q17" s="32"/>
      <c r="R17" s="1"/>
      <c r="S17" s="34"/>
      <c r="T17" s="12"/>
      <c r="U17" s="31"/>
      <c r="V17" s="12"/>
      <c r="Z17" s="1"/>
      <c r="AA17" s="1"/>
      <c r="AB17" s="20"/>
      <c r="AC17" s="12"/>
      <c r="AD17" s="2"/>
      <c r="AE17" s="2"/>
      <c r="AF17" s="2"/>
    </row>
    <row r="18" spans="1:32" x14ac:dyDescent="0.2">
      <c r="A18" s="5"/>
      <c r="B18" s="1"/>
      <c r="C18" s="1"/>
      <c r="D18" s="1"/>
      <c r="E18" s="1"/>
      <c r="F18" s="15"/>
      <c r="G18" s="12"/>
      <c r="H18" s="12"/>
      <c r="I18" s="1"/>
      <c r="J18" s="1"/>
      <c r="K18" s="12"/>
      <c r="L18" s="20"/>
      <c r="M18" s="12"/>
      <c r="P18" s="31"/>
      <c r="Q18" s="32"/>
      <c r="R18" s="1"/>
      <c r="S18" s="34"/>
      <c r="T18" s="12"/>
      <c r="U18" s="31"/>
      <c r="V18" s="12"/>
      <c r="Z18" s="1"/>
      <c r="AA18" s="1"/>
      <c r="AB18" s="20"/>
      <c r="AC18" s="12"/>
      <c r="AD18" s="2"/>
      <c r="AE18" s="2"/>
      <c r="AF18" s="2"/>
    </row>
    <row r="19" spans="1:32" x14ac:dyDescent="0.2">
      <c r="A19" s="5"/>
      <c r="B19" s="1"/>
      <c r="C19" s="1"/>
      <c r="D19" s="1"/>
      <c r="E19" s="1"/>
      <c r="F19" s="15"/>
      <c r="G19" s="12"/>
      <c r="H19" s="12"/>
      <c r="I19" s="1"/>
      <c r="J19" s="1"/>
      <c r="K19" s="12"/>
      <c r="L19" s="20"/>
      <c r="M19" s="12"/>
      <c r="P19" s="31"/>
      <c r="Q19" s="32"/>
      <c r="R19" s="1"/>
      <c r="S19" s="34"/>
      <c r="T19" s="12"/>
      <c r="U19" s="31"/>
      <c r="V19" s="12"/>
      <c r="Z19" s="1"/>
      <c r="AA19" s="1"/>
      <c r="AB19" s="20"/>
      <c r="AC19" s="12"/>
      <c r="AD19" s="2"/>
      <c r="AE19" s="2"/>
      <c r="AF19" s="2"/>
    </row>
    <row r="20" spans="1:32" x14ac:dyDescent="0.2">
      <c r="A20" s="5"/>
      <c r="B20" s="1"/>
      <c r="C20" s="1"/>
      <c r="D20" s="1"/>
      <c r="E20" s="1"/>
      <c r="F20" s="15"/>
      <c r="G20" s="12"/>
      <c r="H20" s="12"/>
      <c r="I20" s="1"/>
      <c r="J20" s="1"/>
      <c r="K20" s="12"/>
      <c r="L20" s="20"/>
      <c r="M20" s="12"/>
      <c r="P20" s="31"/>
      <c r="Q20" s="32"/>
      <c r="R20" s="1"/>
      <c r="S20" s="34"/>
      <c r="T20" s="12"/>
      <c r="U20" s="31"/>
      <c r="V20" s="12"/>
      <c r="Z20" s="1"/>
      <c r="AA20" s="1"/>
      <c r="AB20" s="20"/>
      <c r="AC20" s="12"/>
      <c r="AD20" s="2"/>
      <c r="AE20" s="2"/>
      <c r="AF20" s="2"/>
    </row>
    <row r="21" spans="1:32" x14ac:dyDescent="0.2">
      <c r="A21" s="5"/>
      <c r="B21" s="1"/>
      <c r="C21" s="1"/>
      <c r="D21" s="1"/>
      <c r="E21" s="1"/>
      <c r="F21" s="15"/>
      <c r="G21" s="12"/>
      <c r="H21" s="12"/>
      <c r="I21" s="1"/>
      <c r="J21" s="1"/>
      <c r="K21" s="12"/>
      <c r="L21" s="20"/>
      <c r="M21" s="12"/>
      <c r="P21" s="31"/>
      <c r="Q21" s="32"/>
      <c r="R21" s="1"/>
      <c r="S21" s="34"/>
      <c r="T21" s="12"/>
      <c r="U21" s="31"/>
      <c r="V21" s="12"/>
      <c r="Z21" s="1"/>
      <c r="AA21" s="1"/>
      <c r="AB21" s="20"/>
      <c r="AC21" s="12"/>
      <c r="AD21" s="2"/>
      <c r="AE21" s="2"/>
      <c r="AF21" s="2"/>
    </row>
    <row r="22" spans="1:32" x14ac:dyDescent="0.2">
      <c r="A22" s="5"/>
      <c r="B22" s="1"/>
      <c r="C22" s="1"/>
      <c r="D22" s="1"/>
      <c r="E22" s="1"/>
      <c r="F22" s="15"/>
      <c r="G22" s="12"/>
      <c r="H22" s="12"/>
      <c r="I22" s="1"/>
      <c r="J22" s="1"/>
      <c r="K22" s="12"/>
      <c r="L22" s="20"/>
      <c r="M22" s="12"/>
      <c r="P22" s="31"/>
      <c r="Q22" s="32"/>
      <c r="R22" s="1"/>
      <c r="S22" s="34"/>
      <c r="T22" s="12"/>
      <c r="U22" s="31"/>
      <c r="V22" s="12"/>
      <c r="Z22" s="1"/>
      <c r="AA22" s="1"/>
      <c r="AB22" s="20"/>
      <c r="AC22" s="12"/>
      <c r="AD22" s="2"/>
      <c r="AE22" s="2"/>
      <c r="AF22" s="2"/>
    </row>
    <row r="23" spans="1:32" x14ac:dyDescent="0.2">
      <c r="A23" s="5"/>
      <c r="B23" s="1"/>
      <c r="C23" s="1"/>
      <c r="D23" s="1"/>
      <c r="E23" s="1"/>
      <c r="F23" s="15"/>
      <c r="G23" s="12"/>
      <c r="H23" s="12"/>
      <c r="I23" s="1"/>
      <c r="J23" s="1"/>
      <c r="K23" s="12"/>
      <c r="L23" s="20"/>
      <c r="M23" s="12"/>
      <c r="P23" s="31"/>
      <c r="Q23" s="32"/>
      <c r="R23" s="1"/>
      <c r="S23" s="34"/>
      <c r="T23" s="12"/>
      <c r="U23" s="31"/>
      <c r="V23" s="12"/>
      <c r="Z23" s="1"/>
      <c r="AA23" s="1"/>
      <c r="AB23" s="20"/>
      <c r="AC23" s="12"/>
      <c r="AD23" s="2"/>
      <c r="AE23" s="2"/>
      <c r="AF23" s="2"/>
    </row>
    <row r="24" spans="1:32" x14ac:dyDescent="0.2">
      <c r="A24" s="5"/>
      <c r="B24" s="1"/>
      <c r="C24" s="1"/>
      <c r="D24" s="1"/>
      <c r="E24" s="1"/>
      <c r="F24" s="15"/>
      <c r="G24" s="12"/>
      <c r="H24" s="12"/>
      <c r="I24" s="1"/>
      <c r="J24" s="1"/>
      <c r="K24" s="12"/>
      <c r="L24" s="20"/>
      <c r="M24" s="12"/>
      <c r="P24" s="31"/>
      <c r="Q24" s="32"/>
      <c r="R24" s="1"/>
      <c r="S24" s="34"/>
      <c r="T24" s="12"/>
      <c r="U24" s="31"/>
      <c r="V24" s="12"/>
      <c r="Z24" s="1"/>
      <c r="AA24" s="1"/>
      <c r="AB24" s="20"/>
      <c r="AC24" s="12"/>
      <c r="AD24" s="2"/>
      <c r="AE24" s="2"/>
      <c r="AF24" s="2"/>
    </row>
    <row r="25" spans="1:32" x14ac:dyDescent="0.2">
      <c r="A25" s="5"/>
      <c r="B25" s="1"/>
      <c r="C25" s="1"/>
      <c r="D25" s="1"/>
      <c r="E25" s="1"/>
      <c r="F25" s="15"/>
      <c r="G25" s="12"/>
      <c r="H25" s="12"/>
      <c r="I25" s="1"/>
      <c r="J25" s="1"/>
      <c r="K25" s="12"/>
      <c r="L25" s="20"/>
      <c r="M25" s="12"/>
      <c r="P25" s="31"/>
      <c r="Q25" s="32"/>
      <c r="R25" s="1"/>
      <c r="S25" s="34"/>
      <c r="T25" s="12"/>
      <c r="U25" s="31"/>
      <c r="V25" s="12"/>
      <c r="Z25" s="1"/>
      <c r="AA25" s="1"/>
      <c r="AB25" s="20"/>
      <c r="AC25" s="12"/>
      <c r="AD25" s="2"/>
      <c r="AE25" s="2"/>
      <c r="AF25" s="2"/>
    </row>
    <row r="26" spans="1:32" x14ac:dyDescent="0.2">
      <c r="A26" s="5"/>
      <c r="B26" s="1"/>
      <c r="C26" s="1"/>
      <c r="D26" s="1"/>
      <c r="E26" s="1"/>
      <c r="F26" s="15"/>
      <c r="G26" s="12"/>
      <c r="H26" s="12"/>
      <c r="I26" s="1"/>
      <c r="J26" s="1"/>
      <c r="K26" s="12"/>
      <c r="L26" s="20"/>
      <c r="M26" s="12"/>
      <c r="P26" s="31"/>
      <c r="Q26" s="32"/>
      <c r="R26" s="1"/>
      <c r="S26" s="34"/>
      <c r="T26" s="12"/>
      <c r="U26" s="31"/>
      <c r="V26" s="12"/>
      <c r="Z26" s="1"/>
      <c r="AA26" s="1"/>
      <c r="AB26" s="20"/>
      <c r="AC26" s="12"/>
      <c r="AD26" s="2"/>
      <c r="AE26" s="2"/>
      <c r="AF26" s="2"/>
    </row>
    <row r="27" spans="1:32" x14ac:dyDescent="0.2">
      <c r="A27" s="5"/>
      <c r="B27" s="1"/>
      <c r="C27" s="1"/>
      <c r="D27" s="1"/>
      <c r="E27" s="1"/>
      <c r="F27" s="15"/>
      <c r="G27" s="12"/>
      <c r="H27" s="12"/>
      <c r="I27" s="1"/>
      <c r="J27" s="1"/>
      <c r="K27" s="12"/>
      <c r="L27" s="20"/>
      <c r="M27" s="12"/>
      <c r="P27" s="31"/>
      <c r="Q27" s="32"/>
      <c r="R27" s="1"/>
      <c r="S27" s="34"/>
      <c r="T27" s="12"/>
      <c r="U27" s="31"/>
      <c r="V27" s="12"/>
      <c r="Z27" s="1"/>
      <c r="AA27" s="1"/>
      <c r="AB27" s="20"/>
      <c r="AC27" s="12"/>
      <c r="AD27" s="2"/>
      <c r="AE27" s="2"/>
      <c r="AF27" s="2"/>
    </row>
    <row r="28" spans="1:32" x14ac:dyDescent="0.2">
      <c r="A28" s="5"/>
      <c r="B28" s="1"/>
      <c r="C28" s="1"/>
      <c r="D28" s="1"/>
      <c r="E28" s="1"/>
      <c r="F28" s="15"/>
      <c r="G28" s="12"/>
      <c r="H28" s="12"/>
      <c r="I28" s="1"/>
      <c r="J28" s="1"/>
      <c r="K28" s="12"/>
      <c r="L28" s="20"/>
      <c r="M28" s="12"/>
      <c r="P28" s="31"/>
      <c r="Q28" s="32"/>
      <c r="R28" s="1"/>
      <c r="S28" s="34"/>
      <c r="T28" s="12"/>
      <c r="U28" s="31"/>
      <c r="V28" s="12"/>
      <c r="Z28" s="1"/>
      <c r="AA28" s="1"/>
      <c r="AB28" s="20"/>
      <c r="AC28" s="12"/>
      <c r="AD28" s="2"/>
      <c r="AE28" s="2"/>
      <c r="AF28" s="2"/>
    </row>
    <row r="29" spans="1:32" x14ac:dyDescent="0.2">
      <c r="A29" s="5"/>
      <c r="B29" s="1"/>
      <c r="C29" s="1"/>
      <c r="D29" s="1"/>
      <c r="E29" s="1"/>
      <c r="F29" s="15"/>
      <c r="G29" s="12"/>
      <c r="H29" s="12"/>
      <c r="I29" s="1"/>
      <c r="J29" s="1"/>
      <c r="K29" s="12"/>
      <c r="L29" s="20"/>
      <c r="M29" s="12"/>
      <c r="P29" s="31"/>
      <c r="Q29" s="32"/>
      <c r="R29" s="1"/>
      <c r="S29" s="34"/>
      <c r="T29" s="12"/>
      <c r="U29" s="31"/>
      <c r="V29" s="12"/>
      <c r="Z29" s="1"/>
      <c r="AA29" s="1"/>
      <c r="AB29" s="20"/>
      <c r="AC29" s="12"/>
      <c r="AD29" s="2"/>
      <c r="AE29" s="2"/>
      <c r="AF29" s="2"/>
    </row>
    <row r="30" spans="1:32" x14ac:dyDescent="0.2">
      <c r="A30" s="5"/>
      <c r="B30" s="1"/>
      <c r="C30" s="1"/>
      <c r="D30" s="1"/>
      <c r="E30" s="1"/>
      <c r="F30" s="15"/>
      <c r="G30" s="12"/>
      <c r="H30" s="12"/>
      <c r="I30" s="1"/>
      <c r="J30" s="1"/>
      <c r="K30" s="12"/>
      <c r="L30" s="20"/>
      <c r="M30" s="12"/>
      <c r="P30" s="31"/>
      <c r="Q30" s="32"/>
      <c r="R30" s="1"/>
      <c r="S30" s="34"/>
      <c r="T30" s="12"/>
      <c r="U30" s="31"/>
      <c r="V30" s="12"/>
      <c r="Z30" s="1"/>
      <c r="AA30" s="1"/>
      <c r="AB30" s="20"/>
      <c r="AC30" s="12"/>
      <c r="AD30" s="2"/>
      <c r="AE30" s="2"/>
      <c r="AF30" s="2"/>
    </row>
    <row r="31" spans="1:32" x14ac:dyDescent="0.2">
      <c r="A31" s="5"/>
      <c r="B31" s="1"/>
      <c r="C31" s="1"/>
      <c r="D31" s="1"/>
      <c r="E31" s="1"/>
      <c r="F31" s="15"/>
      <c r="G31" s="12"/>
      <c r="H31" s="12"/>
      <c r="I31" s="1"/>
      <c r="J31" s="1"/>
      <c r="K31" s="12"/>
      <c r="L31" s="20"/>
      <c r="M31" s="12"/>
      <c r="P31" s="31"/>
      <c r="Q31" s="32"/>
      <c r="R31" s="1"/>
      <c r="S31" s="34"/>
      <c r="T31" s="12"/>
      <c r="U31" s="31"/>
      <c r="V31" s="12"/>
      <c r="Z31" s="1"/>
      <c r="AA31" s="1"/>
      <c r="AB31" s="20"/>
      <c r="AC31" s="12"/>
      <c r="AD31" s="2"/>
      <c r="AE31" s="2"/>
      <c r="AF31" s="2"/>
    </row>
    <row r="32" spans="1:32" x14ac:dyDescent="0.2">
      <c r="A32" s="5"/>
      <c r="B32" s="1"/>
      <c r="C32" s="1"/>
      <c r="D32" s="1"/>
      <c r="E32" s="1"/>
      <c r="F32" s="15"/>
      <c r="G32" s="12"/>
      <c r="H32" s="12"/>
      <c r="I32" s="1"/>
      <c r="J32" s="1"/>
      <c r="K32" s="12"/>
      <c r="L32" s="20"/>
      <c r="M32" s="12"/>
      <c r="P32" s="31"/>
      <c r="Q32" s="32"/>
      <c r="R32" s="1"/>
      <c r="S32" s="34"/>
      <c r="T32" s="12"/>
      <c r="U32" s="31"/>
      <c r="V32" s="12"/>
      <c r="Z32" s="1"/>
      <c r="AA32" s="1"/>
      <c r="AB32" s="20"/>
      <c r="AC32" s="12"/>
      <c r="AD32" s="2"/>
      <c r="AE32" s="2"/>
      <c r="AF32" s="2"/>
    </row>
    <row r="33" spans="1:32" x14ac:dyDescent="0.2">
      <c r="A33" s="5"/>
      <c r="B33" s="1"/>
      <c r="C33" s="1"/>
      <c r="D33" s="1"/>
      <c r="E33" s="1"/>
      <c r="F33" s="15"/>
      <c r="G33" s="12"/>
      <c r="H33" s="12"/>
      <c r="I33" s="1"/>
      <c r="J33" s="1"/>
      <c r="K33" s="12"/>
      <c r="L33" s="20"/>
      <c r="M33" s="12"/>
      <c r="P33" s="31"/>
      <c r="Q33" s="32"/>
      <c r="R33" s="1"/>
      <c r="S33" s="34"/>
      <c r="T33" s="12"/>
      <c r="U33" s="31"/>
      <c r="V33" s="12"/>
      <c r="Z33" s="1"/>
      <c r="AA33" s="1"/>
      <c r="AB33" s="20"/>
      <c r="AC33" s="12"/>
      <c r="AD33" s="2"/>
      <c r="AE33" s="2"/>
      <c r="AF33" s="2"/>
    </row>
    <row r="34" spans="1:32" x14ac:dyDescent="0.2">
      <c r="A34" s="5"/>
      <c r="B34" s="1"/>
      <c r="C34" s="1"/>
      <c r="D34" s="1"/>
      <c r="E34" s="1"/>
      <c r="F34" s="15"/>
      <c r="G34" s="12"/>
      <c r="H34" s="12"/>
      <c r="I34" s="1"/>
      <c r="J34" s="1"/>
      <c r="K34" s="12"/>
      <c r="L34" s="20"/>
      <c r="M34" s="12"/>
      <c r="P34" s="31"/>
      <c r="Q34" s="32"/>
      <c r="R34" s="1"/>
      <c r="S34" s="34"/>
      <c r="T34" s="12"/>
      <c r="U34" s="31"/>
      <c r="V34" s="12"/>
      <c r="Z34" s="1"/>
      <c r="AA34" s="1"/>
      <c r="AB34" s="20"/>
      <c r="AC34" s="12"/>
      <c r="AD34" s="2"/>
      <c r="AE34" s="2"/>
      <c r="AF34" s="2"/>
    </row>
    <row r="35" spans="1:32" x14ac:dyDescent="0.2">
      <c r="A35" s="5"/>
      <c r="B35" s="1"/>
      <c r="C35" s="1"/>
      <c r="D35" s="1"/>
      <c r="E35" s="1"/>
      <c r="F35" s="15"/>
      <c r="G35" s="12"/>
      <c r="H35" s="12"/>
      <c r="I35" s="1"/>
      <c r="J35" s="1"/>
      <c r="K35" s="12"/>
      <c r="L35" s="20"/>
      <c r="M35" s="12"/>
      <c r="P35" s="31"/>
      <c r="Q35" s="32"/>
      <c r="R35" s="1"/>
      <c r="S35" s="34"/>
      <c r="T35" s="12"/>
      <c r="U35" s="31"/>
      <c r="V35" s="12"/>
      <c r="Z35" s="1"/>
      <c r="AA35" s="1"/>
      <c r="AB35" s="20"/>
      <c r="AC35" s="12"/>
      <c r="AD35" s="2"/>
      <c r="AE35" s="2"/>
      <c r="AF35" s="2"/>
    </row>
    <row r="36" spans="1:32" x14ac:dyDescent="0.2">
      <c r="A36" s="5"/>
      <c r="B36" s="1"/>
      <c r="C36" s="1"/>
      <c r="D36" s="1"/>
      <c r="E36" s="1"/>
      <c r="F36" s="15"/>
      <c r="G36" s="12"/>
      <c r="H36" s="12"/>
      <c r="I36" s="1"/>
      <c r="J36" s="1"/>
      <c r="K36" s="12"/>
      <c r="L36" s="20"/>
      <c r="M36" s="12"/>
      <c r="P36" s="31"/>
      <c r="Q36" s="32"/>
      <c r="R36" s="1"/>
      <c r="S36" s="34"/>
      <c r="T36" s="12"/>
      <c r="U36" s="31"/>
      <c r="V36" s="12"/>
      <c r="Z36" s="1"/>
      <c r="AA36" s="1"/>
      <c r="AB36" s="20"/>
      <c r="AC36" s="12"/>
      <c r="AD36" s="2"/>
      <c r="AE36" s="2"/>
      <c r="AF36" s="2"/>
    </row>
    <row r="37" spans="1:32" x14ac:dyDescent="0.2">
      <c r="A37" s="5"/>
      <c r="B37" s="1"/>
      <c r="C37" s="1"/>
      <c r="D37" s="1"/>
      <c r="E37" s="1"/>
      <c r="F37" s="15"/>
      <c r="G37" s="12"/>
      <c r="H37" s="12"/>
      <c r="I37" s="1"/>
      <c r="J37" s="1"/>
      <c r="K37" s="12"/>
      <c r="L37" s="20"/>
      <c r="M37" s="12"/>
      <c r="P37" s="31"/>
      <c r="Q37" s="32"/>
      <c r="R37" s="1"/>
      <c r="S37" s="34"/>
      <c r="T37" s="12"/>
      <c r="U37" s="31"/>
      <c r="V37" s="12"/>
      <c r="Z37" s="1"/>
      <c r="AA37" s="1"/>
      <c r="AB37" s="20"/>
      <c r="AC37" s="12"/>
      <c r="AD37" s="2"/>
      <c r="AE37" s="2"/>
      <c r="AF37" s="2"/>
    </row>
    <row r="38" spans="1:32" x14ac:dyDescent="0.2">
      <c r="A38" s="5"/>
      <c r="B38" s="1"/>
      <c r="C38" s="1"/>
      <c r="D38" s="1"/>
      <c r="E38" s="1"/>
      <c r="F38" s="15"/>
      <c r="G38" s="12"/>
      <c r="H38" s="12"/>
      <c r="I38" s="1"/>
      <c r="J38" s="1"/>
      <c r="K38" s="12"/>
      <c r="L38" s="20"/>
      <c r="M38" s="12"/>
      <c r="P38" s="31"/>
      <c r="Q38" s="32"/>
      <c r="R38" s="1"/>
      <c r="S38" s="34"/>
      <c r="T38" s="12"/>
      <c r="U38" s="31"/>
      <c r="V38" s="12"/>
      <c r="Z38" s="1"/>
      <c r="AA38" s="1"/>
      <c r="AB38" s="20"/>
      <c r="AC38" s="12"/>
      <c r="AD38" s="2"/>
      <c r="AE38" s="2"/>
      <c r="AF38" s="2"/>
    </row>
    <row r="39" spans="1:32" x14ac:dyDescent="0.2">
      <c r="A39" s="5"/>
      <c r="B39" s="1"/>
      <c r="C39" s="1"/>
      <c r="D39" s="1"/>
      <c r="E39" s="1"/>
      <c r="F39" s="15"/>
      <c r="G39" s="12"/>
      <c r="H39" s="12"/>
      <c r="I39" s="1"/>
      <c r="J39" s="1"/>
      <c r="K39" s="12"/>
      <c r="L39" s="20"/>
      <c r="M39" s="12"/>
      <c r="P39" s="31"/>
      <c r="Q39" s="32"/>
      <c r="R39" s="1"/>
      <c r="S39" s="34"/>
      <c r="T39" s="12"/>
      <c r="U39" s="31"/>
      <c r="V39" s="12"/>
      <c r="Z39" s="1"/>
      <c r="AA39" s="1"/>
      <c r="AB39" s="20"/>
      <c r="AC39" s="12"/>
      <c r="AD39" s="2"/>
      <c r="AE39" s="2"/>
      <c r="AF39" s="2"/>
    </row>
    <row r="40" spans="1:32" x14ac:dyDescent="0.2">
      <c r="A40" s="5"/>
      <c r="B40" s="1"/>
      <c r="C40" s="1"/>
      <c r="D40" s="1"/>
      <c r="E40" s="1"/>
      <c r="F40" s="15"/>
      <c r="G40" s="12"/>
      <c r="H40" s="12"/>
      <c r="I40" s="1"/>
      <c r="J40" s="1"/>
      <c r="K40" s="12"/>
      <c r="L40" s="20"/>
      <c r="M40" s="12"/>
      <c r="P40" s="31"/>
      <c r="Q40" s="32"/>
      <c r="R40" s="1"/>
      <c r="S40" s="34"/>
      <c r="T40" s="12"/>
      <c r="U40" s="31"/>
      <c r="V40" s="12"/>
      <c r="Z40" s="1"/>
      <c r="AA40" s="1"/>
      <c r="AB40" s="20"/>
      <c r="AC40" s="12"/>
      <c r="AD40" s="2"/>
      <c r="AE40" s="2"/>
      <c r="AF40" s="2"/>
    </row>
    <row r="41" spans="1:32" x14ac:dyDescent="0.2">
      <c r="A41" s="5"/>
      <c r="B41" s="1"/>
      <c r="C41" s="1"/>
      <c r="D41" s="1"/>
      <c r="E41" s="1"/>
      <c r="F41" s="15"/>
      <c r="G41" s="12"/>
      <c r="H41" s="12"/>
      <c r="I41" s="1"/>
      <c r="J41" s="1"/>
      <c r="K41" s="12"/>
      <c r="L41" s="20"/>
      <c r="M41" s="12"/>
      <c r="P41" s="31"/>
      <c r="Q41" s="32"/>
      <c r="R41" s="1"/>
      <c r="S41" s="34"/>
      <c r="T41" s="12"/>
      <c r="U41" s="31"/>
      <c r="V41" s="12"/>
      <c r="Z41" s="1"/>
      <c r="AA41" s="1"/>
      <c r="AB41" s="20"/>
      <c r="AC41" s="12"/>
      <c r="AD41" s="2"/>
      <c r="AE41" s="2"/>
      <c r="AF41" s="2"/>
    </row>
    <row r="42" spans="1:32" x14ac:dyDescent="0.2">
      <c r="A42" s="5"/>
      <c r="B42" s="1"/>
      <c r="C42" s="1"/>
      <c r="D42" s="1"/>
      <c r="E42" s="1"/>
      <c r="F42" s="15"/>
      <c r="G42" s="12"/>
      <c r="H42" s="12"/>
      <c r="I42" s="1"/>
      <c r="J42" s="1"/>
      <c r="K42" s="12"/>
      <c r="L42" s="20"/>
      <c r="M42" s="12"/>
      <c r="P42" s="31"/>
      <c r="Q42" s="32"/>
      <c r="R42" s="1"/>
      <c r="S42" s="34"/>
      <c r="T42" s="12"/>
      <c r="U42" s="31"/>
      <c r="V42" s="12"/>
      <c r="Z42" s="1"/>
      <c r="AA42" s="1"/>
      <c r="AB42" s="20"/>
      <c r="AC42" s="12"/>
      <c r="AD42" s="2"/>
      <c r="AE42" s="2"/>
      <c r="AF42" s="2"/>
    </row>
    <row r="43" spans="1:32" x14ac:dyDescent="0.2">
      <c r="A43" s="5"/>
      <c r="B43" s="1"/>
      <c r="C43" s="1"/>
      <c r="D43" s="1"/>
      <c r="E43" s="1"/>
      <c r="F43" s="15"/>
      <c r="G43" s="12"/>
      <c r="H43" s="12"/>
      <c r="I43" s="1"/>
      <c r="J43" s="1"/>
      <c r="K43" s="12"/>
      <c r="L43" s="20"/>
      <c r="M43" s="12"/>
      <c r="P43" s="31"/>
      <c r="Q43" s="32"/>
      <c r="R43" s="1"/>
      <c r="S43" s="34"/>
      <c r="T43" s="12"/>
      <c r="U43" s="31"/>
      <c r="V43" s="12"/>
      <c r="Z43" s="1"/>
      <c r="AA43" s="1"/>
      <c r="AB43" s="20"/>
      <c r="AC43" s="12"/>
      <c r="AD43" s="2"/>
      <c r="AE43" s="2"/>
      <c r="AF43" s="2"/>
    </row>
    <row r="44" spans="1:32" x14ac:dyDescent="0.2">
      <c r="A44" s="5"/>
      <c r="B44" s="1"/>
      <c r="C44" s="1"/>
      <c r="D44" s="1"/>
      <c r="E44" s="1"/>
      <c r="F44" s="15"/>
      <c r="G44" s="12"/>
      <c r="H44" s="12"/>
      <c r="I44" s="1"/>
      <c r="J44" s="1"/>
      <c r="K44" s="12"/>
      <c r="L44" s="20"/>
      <c r="M44" s="12"/>
      <c r="P44" s="31"/>
      <c r="Q44" s="32"/>
      <c r="R44" s="1"/>
      <c r="S44" s="34"/>
      <c r="T44" s="12"/>
      <c r="U44" s="31"/>
      <c r="V44" s="12"/>
      <c r="Z44" s="1"/>
      <c r="AA44" s="1"/>
      <c r="AB44" s="20"/>
      <c r="AC44" s="12"/>
      <c r="AD44" s="2"/>
      <c r="AE44" s="2"/>
      <c r="AF44" s="2"/>
    </row>
    <row r="45" spans="1:32" x14ac:dyDescent="0.2">
      <c r="A45" s="5"/>
      <c r="B45" s="1"/>
      <c r="C45" s="1"/>
      <c r="D45" s="1"/>
      <c r="E45" s="1"/>
      <c r="F45" s="15"/>
      <c r="G45" s="12"/>
      <c r="H45" s="12"/>
      <c r="I45" s="1"/>
      <c r="J45" s="1"/>
      <c r="K45" s="12"/>
      <c r="L45" s="20"/>
      <c r="M45" s="12"/>
      <c r="P45" s="31"/>
      <c r="Q45" s="32"/>
      <c r="R45" s="1"/>
      <c r="S45" s="34"/>
      <c r="T45" s="12"/>
      <c r="U45" s="31"/>
      <c r="V45" s="12"/>
      <c r="Z45" s="1"/>
      <c r="AA45" s="1"/>
      <c r="AB45" s="20"/>
      <c r="AC45" s="12"/>
      <c r="AD45" s="2"/>
      <c r="AE45" s="2"/>
      <c r="AF45" s="2"/>
    </row>
    <row r="46" spans="1:32" x14ac:dyDescent="0.2">
      <c r="A46" s="5"/>
      <c r="B46" s="1"/>
      <c r="C46" s="1"/>
      <c r="D46" s="1"/>
      <c r="E46" s="1"/>
      <c r="F46" s="15"/>
      <c r="G46" s="12"/>
      <c r="H46" s="12"/>
      <c r="I46" s="1"/>
      <c r="J46" s="1"/>
      <c r="K46" s="12"/>
      <c r="L46" s="20"/>
      <c r="M46" s="12"/>
      <c r="P46" s="31"/>
      <c r="Q46" s="32"/>
      <c r="R46" s="1"/>
      <c r="S46" s="34"/>
      <c r="T46" s="12"/>
      <c r="U46" s="31"/>
      <c r="V46" s="12"/>
      <c r="Z46" s="1"/>
      <c r="AA46" s="1"/>
      <c r="AB46" s="20"/>
      <c r="AC46" s="12"/>
      <c r="AD46" s="2"/>
      <c r="AE46" s="2"/>
      <c r="AF46" s="2"/>
    </row>
    <row r="47" spans="1:32" x14ac:dyDescent="0.2">
      <c r="A47" s="5"/>
      <c r="B47" s="1"/>
      <c r="C47" s="1"/>
      <c r="D47" s="1"/>
      <c r="E47" s="1"/>
      <c r="F47" s="15"/>
      <c r="G47" s="12"/>
      <c r="H47" s="12"/>
      <c r="I47" s="1"/>
      <c r="J47" s="1"/>
      <c r="K47" s="12"/>
      <c r="L47" s="20"/>
      <c r="M47" s="12"/>
      <c r="P47" s="31"/>
      <c r="Q47" s="32"/>
      <c r="R47" s="1"/>
      <c r="S47" s="34"/>
      <c r="T47" s="12"/>
      <c r="U47" s="31"/>
      <c r="V47" s="12"/>
      <c r="Z47" s="1"/>
      <c r="AA47" s="1"/>
      <c r="AB47" s="20"/>
      <c r="AC47" s="12"/>
      <c r="AD47" s="2"/>
      <c r="AE47" s="2"/>
      <c r="AF47" s="2"/>
    </row>
    <row r="48" spans="1:32" x14ac:dyDescent="0.2">
      <c r="A48" s="5"/>
      <c r="B48" s="1"/>
      <c r="C48" s="1"/>
      <c r="D48" s="1"/>
      <c r="E48" s="1"/>
      <c r="F48" s="15"/>
      <c r="G48" s="12"/>
      <c r="H48" s="12"/>
      <c r="I48" s="1"/>
      <c r="J48" s="1"/>
      <c r="K48" s="12"/>
      <c r="L48" s="20"/>
      <c r="M48" s="12"/>
      <c r="P48" s="31"/>
      <c r="Q48" s="32"/>
      <c r="R48" s="1"/>
      <c r="S48" s="34"/>
      <c r="T48" s="12"/>
      <c r="U48" s="31"/>
      <c r="V48" s="12"/>
      <c r="Z48" s="1"/>
      <c r="AA48" s="1"/>
      <c r="AB48" s="20"/>
      <c r="AC48" s="12"/>
      <c r="AD48" s="2"/>
      <c r="AE48" s="2"/>
      <c r="AF48" s="2"/>
    </row>
    <row r="49" spans="1:32" x14ac:dyDescent="0.2">
      <c r="A49" s="5"/>
      <c r="B49" s="1"/>
      <c r="C49" s="1"/>
      <c r="D49" s="1"/>
      <c r="E49" s="1"/>
      <c r="F49" s="15"/>
      <c r="G49" s="12"/>
      <c r="H49" s="12"/>
      <c r="I49" s="1"/>
      <c r="J49" s="1"/>
      <c r="K49" s="12"/>
      <c r="L49" s="20"/>
      <c r="M49" s="12"/>
      <c r="P49" s="31"/>
      <c r="Q49" s="32"/>
      <c r="R49" s="1"/>
      <c r="S49" s="34"/>
      <c r="T49" s="12"/>
      <c r="U49" s="31"/>
      <c r="V49" s="12"/>
      <c r="Z49" s="1"/>
      <c r="AA49" s="1"/>
      <c r="AB49" s="20"/>
      <c r="AC49" s="12"/>
      <c r="AD49" s="2"/>
      <c r="AE49" s="2"/>
      <c r="AF49" s="2"/>
    </row>
    <row r="50" spans="1:32" x14ac:dyDescent="0.2">
      <c r="A50" s="5"/>
      <c r="B50" s="1"/>
      <c r="C50" s="1"/>
      <c r="D50" s="1"/>
      <c r="E50" s="1"/>
      <c r="F50" s="15"/>
      <c r="G50" s="12"/>
      <c r="H50" s="12"/>
      <c r="I50" s="1"/>
      <c r="J50" s="1"/>
      <c r="K50" s="12"/>
      <c r="L50" s="20"/>
      <c r="M50" s="12"/>
      <c r="P50" s="31"/>
      <c r="Q50" s="32"/>
      <c r="R50" s="1"/>
      <c r="S50" s="34"/>
      <c r="T50" s="12"/>
      <c r="U50" s="31"/>
      <c r="V50" s="12"/>
      <c r="Z50" s="1"/>
      <c r="AA50" s="1"/>
      <c r="AB50" s="20"/>
      <c r="AC50" s="12"/>
      <c r="AD50" s="2"/>
      <c r="AE50" s="2"/>
      <c r="AF50" s="2"/>
    </row>
    <row r="51" spans="1:32" x14ac:dyDescent="0.2">
      <c r="A51" s="5"/>
      <c r="B51" s="1"/>
      <c r="C51" s="1"/>
      <c r="D51" s="1"/>
      <c r="E51" s="1"/>
      <c r="F51" s="15"/>
      <c r="G51" s="12"/>
      <c r="H51" s="12"/>
      <c r="I51" s="1"/>
      <c r="J51" s="1"/>
      <c r="K51" s="12"/>
      <c r="L51" s="20"/>
      <c r="M51" s="12"/>
      <c r="P51" s="31"/>
      <c r="Q51" s="32"/>
      <c r="R51" s="1"/>
      <c r="S51" s="34"/>
      <c r="T51" s="12"/>
      <c r="U51" s="31"/>
      <c r="V51" s="12"/>
      <c r="Z51" s="1"/>
      <c r="AA51" s="1"/>
      <c r="AB51" s="20"/>
      <c r="AC51" s="12"/>
      <c r="AD51" s="2"/>
      <c r="AE51" s="2"/>
      <c r="AF51" s="2"/>
    </row>
    <row r="52" spans="1:32" x14ac:dyDescent="0.2">
      <c r="F52" s="15"/>
    </row>
    <row r="53" spans="1:32" x14ac:dyDescent="0.2">
      <c r="F53" s="15"/>
    </row>
    <row r="54" spans="1:32" x14ac:dyDescent="0.2">
      <c r="F54" s="15"/>
    </row>
    <row r="55" spans="1:32" x14ac:dyDescent="0.2">
      <c r="F55" s="15"/>
    </row>
    <row r="56" spans="1:32" x14ac:dyDescent="0.2">
      <c r="F56" s="15"/>
    </row>
    <row r="57" spans="1:32" x14ac:dyDescent="0.2">
      <c r="F57" s="15"/>
    </row>
    <row r="58" spans="1:32" x14ac:dyDescent="0.2">
      <c r="F58" s="15"/>
    </row>
    <row r="59" spans="1:32" x14ac:dyDescent="0.2">
      <c r="F59" s="15"/>
    </row>
    <row r="60" spans="1:32" x14ac:dyDescent="0.2">
      <c r="F60" s="15"/>
    </row>
    <row r="61" spans="1:32" x14ac:dyDescent="0.2">
      <c r="F61" s="15"/>
    </row>
    <row r="62" spans="1:32" x14ac:dyDescent="0.2">
      <c r="F62" s="15"/>
    </row>
    <row r="63" spans="1:32" x14ac:dyDescent="0.2">
      <c r="F63" s="15"/>
    </row>
    <row r="64" spans="1:32" x14ac:dyDescent="0.2">
      <c r="F64" s="15"/>
    </row>
    <row r="65" spans="6:6" x14ac:dyDescent="0.2">
      <c r="F65" s="15"/>
    </row>
    <row r="66" spans="6:6" x14ac:dyDescent="0.2">
      <c r="F66" s="15"/>
    </row>
    <row r="67" spans="6:6" x14ac:dyDescent="0.2">
      <c r="F67" s="15"/>
    </row>
    <row r="68" spans="6:6" x14ac:dyDescent="0.2">
      <c r="F68" s="15"/>
    </row>
    <row r="69" spans="6:6" x14ac:dyDescent="0.2">
      <c r="F69" s="15"/>
    </row>
    <row r="70" spans="6:6" x14ac:dyDescent="0.2">
      <c r="F70" s="15"/>
    </row>
    <row r="71" spans="6:6" x14ac:dyDescent="0.2">
      <c r="F71" s="15"/>
    </row>
    <row r="72" spans="6:6" x14ac:dyDescent="0.2">
      <c r="F72" s="15"/>
    </row>
    <row r="73" spans="6:6" x14ac:dyDescent="0.2">
      <c r="F73" s="15"/>
    </row>
    <row r="74" spans="6:6" x14ac:dyDescent="0.2">
      <c r="F74" s="15"/>
    </row>
    <row r="75" spans="6:6" x14ac:dyDescent="0.2">
      <c r="F75" s="15"/>
    </row>
    <row r="76" spans="6:6" x14ac:dyDescent="0.2">
      <c r="F76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" defaultRowHeight="12.8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" defaultRowHeight="12.8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dcterms:created xsi:type="dcterms:W3CDTF">2016-09-19T10:41:46Z</dcterms:created>
  <dcterms:modified xsi:type="dcterms:W3CDTF">2025-02-21T09:02:13Z</dcterms:modified>
  <cp:category/>
  <cp:contentStatus/>
</cp:coreProperties>
</file>