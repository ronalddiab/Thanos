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7D437835-9701-4EBC-9BD4-9A691824F80D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J15" i="8" l="1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<sst xmlns="http://schemas.openxmlformats.org/spreadsheetml/2006/main" count="201" uniqueCount="128">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</sst>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-2013700.0000000002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-182356</c:v>
                </c:pt>
                <c:pt idx="3">
                  <c:v>0.75967106304624943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-31700</c:v>
                </c:pt>
                <c:pt idx="7">
                  <c:v>0.13205802221240928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-61</c:v>
                </c:pt>
                <c:pt idx="11">
                  <c:v>2.5411796072419453E-4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-723805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2" sqref="M12:O1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20389.999999999418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0</v>
      </c>
      <c r="L11" s="76">
        <v>1.5287027707808565</v>
      </c>
      <c r="M11" s="72">
        <v>23</v>
      </c>
      <c r="N11" s="72">
        <v>58</v>
      </c>
      <c r="O11" s="72">
        <v>160</v>
      </c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20670.000000001437</v>
      </c>
      <c r="F12" s="48">
        <v>0.14000000000000001</v>
      </c>
      <c r="G12" s="107">
        <v>5401</v>
      </c>
      <c r="H12" s="48">
        <v>0.4453480216384178</v>
      </c>
      <c r="I12" s="65">
        <v>240</v>
      </c>
      <c r="J12" s="76">
        <v>0.4</v>
      </c>
      <c r="K12" s="108">
        <v>0</v>
      </c>
      <c r="L12" s="76">
        <v>1.5287027707808565</v>
      </c>
      <c r="M12" s="72">
        <v>23</v>
      </c>
      <c r="N12" s="72">
        <v>59</v>
      </c>
      <c r="O12" s="72">
        <v>175</v>
      </c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20599.999999999454</v>
      </c>
      <c r="F13" s="48">
        <v>0.14000000000000001</v>
      </c>
      <c r="G13" s="107">
        <v>5795</v>
      </c>
      <c r="H13" s="48">
        <v>0.4453480216384178</v>
      </c>
      <c r="I13" s="65">
        <v>257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0</v>
      </c>
      <c r="F14" s="48">
        <v>0.14000000000000001</v>
      </c>
      <c r="G14" s="107">
        <v>0</v>
      </c>
      <c r="H14" s="48">
        <v>0.4453480216384178</v>
      </c>
      <c r="I14" s="65">
        <v>0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0</v>
      </c>
      <c r="F15" s="48">
        <v>0.14000000000000001</v>
      </c>
      <c r="G15" s="107">
        <v>0</v>
      </c>
      <c r="H15" s="48">
        <v>0.4453480216384178</v>
      </c>
      <c r="I15" s="65">
        <v>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254429.99999999959</v>
      </c>
      <c r="F33" s="104">
        <v>0</v>
      </c>
      <c r="G33" s="101">
        <f>SUM(G2:G32)</f>
        <v>69309</v>
      </c>
      <c r="H33" s="102">
        <v>0</v>
      </c>
      <c r="I33" s="103">
        <f>SUM(I2:I32)</f>
        <v>2969</v>
      </c>
      <c r="J33" s="104">
        <v>0</v>
      </c>
      <c r="K33" s="105">
        <v>0</v>
      </c>
      <c r="L33" s="102">
        <v>0</v>
      </c>
      <c r="M33" s="106">
        <f t="shared" ref="M33:O33" si="1">SUM(M2:M32)</f>
        <v>285</v>
      </c>
      <c r="N33" s="106">
        <f t="shared" si="1"/>
        <v>710</v>
      </c>
      <c r="O33" s="106">
        <f t="shared" si="1"/>
        <v>2062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14" sqref="V14:X1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112.16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>
        <v>23</v>
      </c>
      <c r="W13" s="71">
        <v>58</v>
      </c>
      <c r="X13" s="71">
        <v>160</v>
      </c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>
        <v>23</v>
      </c>
      <c r="W14" s="71">
        <v>59</v>
      </c>
      <c r="X14" s="71">
        <v>175</v>
      </c>
      <c r="Y14" s="17"/>
    </row>
    <row r="15" spans="1:25" ht="21" customHeight="1" x14ac:dyDescent="0.25">
      <c r="A15" s="8">
        <v>44239</v>
      </c>
      <c r="B15" s="1">
        <v>802.43</v>
      </c>
      <c r="C15" s="1">
        <v>198.07</v>
      </c>
      <c r="D15" s="1">
        <v>7151024.7699999996</v>
      </c>
      <c r="E15" s="1">
        <v>7761424.0499999998</v>
      </c>
      <c r="F15" s="1">
        <v>2.0405000000000002</v>
      </c>
      <c r="G15" s="1">
        <v>618.35</v>
      </c>
      <c r="H15" s="1">
        <v>517.1</v>
      </c>
      <c r="I15" s="1">
        <v>192.17</v>
      </c>
      <c r="J15" s="1">
        <v>285.32</v>
      </c>
      <c r="K15" s="1">
        <v>298.92</v>
      </c>
      <c r="L15" s="1">
        <v>205.07</v>
      </c>
      <c r="M15" s="1">
        <v>415.4</v>
      </c>
      <c r="N15" s="1">
        <v>362</v>
      </c>
      <c r="O15" s="1">
        <v>117.05</v>
      </c>
      <c r="P15" s="1">
        <v>480.64</v>
      </c>
      <c r="Q15" s="1">
        <v>358.19</v>
      </c>
      <c r="R15" s="1">
        <v>121.14</v>
      </c>
      <c r="S15" s="1">
        <v>96.98</v>
      </c>
      <c r="T15" s="1">
        <v>355.75</v>
      </c>
      <c r="V15" s="71"/>
      <c r="W15" s="71"/>
      <c r="X15" s="71"/>
      <c r="Y15" s="17"/>
    </row>
    <row r="16" spans="1:25" ht="21" customHeight="1" x14ac:dyDescent="0.25">
      <c r="A16" s="8">
        <v>44240</v>
      </c>
      <c r="B16" s="1">
        <v>802.5</v>
      </c>
      <c r="C16" s="1">
        <v>198.3</v>
      </c>
      <c r="D16" s="1">
        <v>7153148.2699999996</v>
      </c>
      <c r="E16" s="1">
        <v>7763924.6200000001</v>
      </c>
      <c r="F16" s="1">
        <v>2.0430000000000001</v>
      </c>
      <c r="G16" s="1">
        <v>619.19000000000005</v>
      </c>
      <c r="H16" s="1">
        <v>517.97</v>
      </c>
      <c r="I16" s="1">
        <v>192.42</v>
      </c>
      <c r="J16" s="1">
        <v>285.51</v>
      </c>
      <c r="K16" s="1">
        <v>299.26</v>
      </c>
      <c r="L16" s="1">
        <v>205.28</v>
      </c>
      <c r="M16" s="1">
        <v>416.04</v>
      </c>
      <c r="N16" s="1">
        <v>362.72</v>
      </c>
      <c r="O16" s="1">
        <v>117.24</v>
      </c>
      <c r="P16" s="1">
        <v>481.48</v>
      </c>
      <c r="Q16" s="1">
        <v>358.77</v>
      </c>
      <c r="R16" s="1">
        <v>121.36</v>
      </c>
      <c r="S16" s="1">
        <v>97.125</v>
      </c>
      <c r="T16" s="1">
        <v>356.02</v>
      </c>
      <c r="V16" s="71"/>
      <c r="W16" s="71"/>
      <c r="X16" s="71"/>
      <c r="Y16" s="17"/>
    </row>
    <row r="17" spans="1:25" ht="21" customHeight="1" x14ac:dyDescent="0.25">
      <c r="A17" s="8">
        <v>44241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285</v>
      </c>
      <c r="W35" s="78">
        <f>SUM(W4:W34)</f>
        <v>710</v>
      </c>
      <c r="X35" s="78">
        <f>SUM(X4:X34)</f>
        <v>2062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S10" sqref="S1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-7820.0000000000073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15444.730000000734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8210.0000000000073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-3884.8100000017184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20389.999999999418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4714.529999999806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20670.000000001437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239.99999999998067</v>
      </c>
      <c r="F14" s="2">
        <f>('Kwh Reading'!J15-'Kwh Reading'!J14)*1000</f>
        <v>189.99999999999773</v>
      </c>
      <c r="G14" s="2">
        <f>('Kwh Reading'!K15-'Kwh Reading'!K14)*1000</f>
        <v>280.00000000002956</v>
      </c>
      <c r="H14" s="2">
        <f>('Kwh Reading'!L15-'Kwh Reading'!L14)*1000</f>
        <v>219.99999999999886</v>
      </c>
      <c r="I14" s="2">
        <f>('Kwh Reading'!R15-'Kwh Reading'!R14)*1000</f>
        <v>150.00000000000568</v>
      </c>
      <c r="J14" s="2">
        <f>('Kwh Reading'!S15-'Kwh Reading'!S14)*1000</f>
        <v>124.00000000000944</v>
      </c>
      <c r="K14" s="2">
        <f>('Kwh Reading'!I15-'Kwh Reading'!I14)*1000</f>
        <v>280.00000000000114</v>
      </c>
      <c r="L14" s="2">
        <f>('Kwh Reading'!B15-'Kwh Reading'!B14)*1000</f>
        <v>1059.9999999999454</v>
      </c>
      <c r="M14" s="2">
        <f>('Kwh Reading'!M15-'Kwh Reading'!M14)*1000</f>
        <v>609.9999999999568</v>
      </c>
      <c r="N14" s="2">
        <f>('Kwh Reading'!H15-'Kwh Reading'!H14)*1000</f>
        <v>860.00000000001364</v>
      </c>
      <c r="O14" s="2">
        <f>('Kwh Reading'!P15-'Kwh Reading'!P14)*1000</f>
        <v>740.00000000000909</v>
      </c>
      <c r="P14" s="2">
        <f>('Kwh Reading'!G15-'Kwh Reading'!G14)*1000</f>
        <v>790.00000000007731</v>
      </c>
      <c r="Q14" s="2">
        <f>('Kwh Reading'!Q15-'Kwh Reading'!Q14)*1000</f>
        <v>610.00000000001364</v>
      </c>
      <c r="R14" s="2">
        <f>('Kwh Reading'!N15-'Kwh Reading'!N14)*1000</f>
        <v>680.00000000000682</v>
      </c>
      <c r="S14" s="34">
        <f>'Kwh Reading'!E15-'Kwh Reading'!E14</f>
        <v>2602.8999999994412</v>
      </c>
      <c r="T14" s="34">
        <f>'Kwh Reading'!D15-'Kwh Reading'!D14</f>
        <v>1895.769999999553</v>
      </c>
      <c r="U14" s="27">
        <f>('Kwh Reading'!O15-'Kwh Reading'!O14)*1000</f>
        <v>189.99999999999773</v>
      </c>
      <c r="V14" s="16">
        <f t="shared" si="0"/>
        <v>6367.3300000019681</v>
      </c>
    </row>
    <row r="15" spans="1:22" x14ac:dyDescent="0.25">
      <c r="A15" s="3">
        <f>'Kwh Reading'!A15</f>
        <v>44239</v>
      </c>
      <c r="B15" s="26">
        <f>TOTAL!E13</f>
        <v>20599.999999999454</v>
      </c>
      <c r="C15" s="4">
        <f>('Kwh Reading'!T16-'Kwh Reading'!T15)*1000</f>
        <v>269.99999999998181</v>
      </c>
      <c r="D15" s="2">
        <f>('Kwh Reading'!F16-'Kwh Reading'!F15)*1000000</f>
        <v>2499.9999999999468</v>
      </c>
      <c r="E15" s="2">
        <f>('Kwh Reading'!C16-'Kwh Reading'!C15)*1000</f>
        <v>230.00000000001819</v>
      </c>
      <c r="F15" s="2">
        <f>('Kwh Reading'!J16-'Kwh Reading'!J15)*1000</f>
        <v>189.99999999999773</v>
      </c>
      <c r="G15" s="2">
        <f>('Kwh Reading'!K16-'Kwh Reading'!K15)*1000</f>
        <v>339.99999999997499</v>
      </c>
      <c r="H15" s="2">
        <f>('Kwh Reading'!L16-'Kwh Reading'!L15)*1000</f>
        <v>210.00000000000796</v>
      </c>
      <c r="I15" s="2">
        <f>('Kwh Reading'!R16-'Kwh Reading'!R15)*1000</f>
        <v>219.99999999999886</v>
      </c>
      <c r="J15" s="2">
        <f>('Kwh Reading'!S16-'Kwh Reading'!S15)*1000</f>
        <v>144.99999999999602</v>
      </c>
      <c r="K15" s="2">
        <f>('Kwh Reading'!I16-'Kwh Reading'!I15)*1000</f>
        <v>250</v>
      </c>
      <c r="L15" s="2">
        <f>('Kwh Reading'!B16-'Kwh Reading'!B15)*1000</f>
        <v>70.000000000050022</v>
      </c>
      <c r="M15" s="2">
        <f>('Kwh Reading'!M16-'Kwh Reading'!M15)*1000</f>
        <v>640.0000000000432</v>
      </c>
      <c r="N15" s="2">
        <f>('Kwh Reading'!H16-'Kwh Reading'!H15)*1000</f>
        <v>870.00000000000455</v>
      </c>
      <c r="O15" s="2">
        <f>('Kwh Reading'!P16-'Kwh Reading'!P15)*1000</f>
        <v>840.00000000003183</v>
      </c>
      <c r="P15" s="2">
        <f>('Kwh Reading'!G16-'Kwh Reading'!G15)*1000</f>
        <v>840.00000000003183</v>
      </c>
      <c r="Q15" s="2">
        <f>('Kwh Reading'!Q16-'Kwh Reading'!Q15)*1000</f>
        <v>579.99999999998408</v>
      </c>
      <c r="R15" s="2">
        <f>('Kwh Reading'!N16-'Kwh Reading'!N15)*1000</f>
        <v>720.00000000002728</v>
      </c>
      <c r="S15" s="34">
        <f>'Kwh Reading'!E16-'Kwh Reading'!E15</f>
        <v>2500.570000000298</v>
      </c>
      <c r="T15" s="34">
        <f>'Kwh Reading'!D16-'Kwh Reading'!D15</f>
        <v>2123.5</v>
      </c>
      <c r="U15" s="27">
        <f>('Kwh Reading'!O16-'Kwh Reading'!O15)*1000</f>
        <v>189.99999999999773</v>
      </c>
      <c r="V15" s="16">
        <f t="shared" si="0"/>
        <v>6870.9299999990617</v>
      </c>
    </row>
    <row r="16" spans="1:22" x14ac:dyDescent="0.25">
      <c r="A16" s="3">
        <f>'Kwh Reading'!A16</f>
        <v>44240</v>
      </c>
      <c r="B16" s="26">
        <f>TOTAL!E14</f>
        <v>0</v>
      </c>
      <c r="C16" s="4">
        <f>('Kwh Reading'!T17-'Kwh Reading'!T16)*1000</f>
        <v>-356020</v>
      </c>
      <c r="D16" s="2">
        <f>('Kwh Reading'!F17-'Kwh Reading'!F16)*1000000</f>
        <v>-2043000.0000000002</v>
      </c>
      <c r="E16" s="2">
        <f>('Kwh Reading'!C17-'Kwh Reading'!C16)*1000</f>
        <v>-198300</v>
      </c>
      <c r="F16" s="2">
        <f>('Kwh Reading'!J17-'Kwh Reading'!J16)*1000</f>
        <v>-285510</v>
      </c>
      <c r="G16" s="2">
        <f>('Kwh Reading'!K17-'Kwh Reading'!K16)*1000</f>
        <v>-299260</v>
      </c>
      <c r="H16" s="2">
        <f>('Kwh Reading'!L17-'Kwh Reading'!L16)*1000</f>
        <v>-205280</v>
      </c>
      <c r="I16" s="2">
        <f>('Kwh Reading'!R17-'Kwh Reading'!R16)*1000</f>
        <v>-121360</v>
      </c>
      <c r="J16" s="2">
        <f>('Kwh Reading'!S17-'Kwh Reading'!S16)*1000</f>
        <v>-97125</v>
      </c>
      <c r="K16" s="2">
        <f>('Kwh Reading'!I17-'Kwh Reading'!I16)*1000</f>
        <v>-192420</v>
      </c>
      <c r="L16" s="2">
        <f>('Kwh Reading'!B17-'Kwh Reading'!B16)*1000</f>
        <v>-802500</v>
      </c>
      <c r="M16" s="2">
        <f>('Kwh Reading'!M17-'Kwh Reading'!M16)*1000</f>
        <v>-416040</v>
      </c>
      <c r="N16" s="2">
        <f>('Kwh Reading'!H17-'Kwh Reading'!H16)*1000</f>
        <v>-517970</v>
      </c>
      <c r="O16" s="2">
        <f>('Kwh Reading'!P17-'Kwh Reading'!P16)*1000</f>
        <v>-481480</v>
      </c>
      <c r="P16" s="2">
        <f>('Kwh Reading'!G17-'Kwh Reading'!G16)*1000</f>
        <v>-619190</v>
      </c>
      <c r="Q16" s="2">
        <f>('Kwh Reading'!Q17-'Kwh Reading'!Q16)*1000</f>
        <v>-358770</v>
      </c>
      <c r="R16" s="2">
        <f>('Kwh Reading'!N17-'Kwh Reading'!N16)*1000</f>
        <v>-362720</v>
      </c>
      <c r="S16" s="34">
        <f>'Kwh Reading'!E17-'Kwh Reading'!E16</f>
        <v>-7763924.6200000001</v>
      </c>
      <c r="T16" s="34">
        <f>'Kwh Reading'!D17-'Kwh Reading'!D16</f>
        <v>-7153148.2699999996</v>
      </c>
      <c r="U16" s="27">
        <f>('Kwh Reading'!O17-'Kwh Reading'!O16)*1000</f>
        <v>-117240</v>
      </c>
      <c r="V16" s="16">
        <f t="shared" si="0"/>
        <v>22391257.890000001</v>
      </c>
    </row>
    <row r="17" spans="1:22" x14ac:dyDescent="0.25">
      <c r="A17" s="3">
        <f>'Kwh Reading'!A17</f>
        <v>44241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254430.00000000009</v>
      </c>
      <c r="C35" s="75">
        <f t="shared" ref="C35" si="1">SUM(C4:C34)</f>
        <v>-350440</v>
      </c>
      <c r="D35" s="75">
        <f t="shared" ref="D35" si="2">SUM(D4:D34)</f>
        <v>-2013700.0000000002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-95496</v>
      </c>
      <c r="K35" s="75">
        <f t="shared" si="5"/>
        <v>-189120.00000000003</v>
      </c>
      <c r="L35" s="75">
        <f t="shared" si="5"/>
        <v>-789940</v>
      </c>
      <c r="M35" s="75">
        <f t="shared" si="5"/>
        <v>-407779.99999999994</v>
      </c>
      <c r="N35" s="75">
        <f t="shared" si="5"/>
        <v>-507250</v>
      </c>
      <c r="O35" s="75">
        <f t="shared" si="5"/>
        <v>-471720</v>
      </c>
      <c r="P35" s="75">
        <f t="shared" si="5"/>
        <v>-609179.99999999988</v>
      </c>
      <c r="Q35" s="75">
        <f t="shared" si="5"/>
        <v>-350860.00000000006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22460820.68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-7682.0000000000164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15444.730000000736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8352.0000000000036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-3884.8100000017203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20389.999999999418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4714.5299999998069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20670.000000001437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239.99999999998067</v>
      </c>
      <c r="F13" s="1">
        <f>('Kwh Consumption'!F14+'Kwh Consumption'!G14+'Kwh Consumption'!H14)</f>
        <v>690.00000000002615</v>
      </c>
      <c r="G13" s="16">
        <f>('Kwh Consumption'!I14+'Kwh Consumption'!J14)</f>
        <v>274.00000000001512</v>
      </c>
      <c r="H13" s="1">
        <f>('Kwh Consumption'!K14+'Kwh Consumption'!L14)</f>
        <v>1339.9999999999466</v>
      </c>
      <c r="I13" s="1">
        <f>('Kwh Consumption'!M14+'Kwh Consumption'!N14+'Kwh Consumption'!O14+'Kwh Consumption'!P14+'Kwh Consumption'!Q14+'Kwh Consumption'!R14)</f>
        <v>4290.0000000000773</v>
      </c>
      <c r="J13" s="1">
        <f>('Kwh Consumption'!S14+'Kwh Consumption'!T14)</f>
        <v>4498.6699999989942</v>
      </c>
      <c r="K13" s="1">
        <f>'Kwh Consumption'!U14</f>
        <v>189.99999999999773</v>
      </c>
      <c r="L13" s="32">
        <f t="shared" si="0"/>
        <v>6367.3300000019644</v>
      </c>
    </row>
    <row r="14" spans="1:12" x14ac:dyDescent="0.25">
      <c r="A14" s="14">
        <f>'Kwh Reading'!A15</f>
        <v>44239</v>
      </c>
      <c r="B14" s="83">
        <f>TOTAL!E13</f>
        <v>20599.999999999454</v>
      </c>
      <c r="C14" s="1">
        <f>'Kwh Consumption'!C15</f>
        <v>269.99999999998181</v>
      </c>
      <c r="D14" s="1">
        <f>'Kwh Consumption'!D15</f>
        <v>2499.9999999999468</v>
      </c>
      <c r="E14" s="1">
        <f>'Kwh Consumption'!E15</f>
        <v>230.00000000001819</v>
      </c>
      <c r="F14" s="1">
        <f>('Kwh Consumption'!F15+'Kwh Consumption'!G15+'Kwh Consumption'!H15)</f>
        <v>739.99999999998067</v>
      </c>
      <c r="G14" s="16">
        <f>('Kwh Consumption'!I15+'Kwh Consumption'!J15)</f>
        <v>364.99999999999488</v>
      </c>
      <c r="H14" s="1">
        <f>('Kwh Consumption'!K15+'Kwh Consumption'!L15)</f>
        <v>320.00000000005002</v>
      </c>
      <c r="I14" s="1">
        <f>('Kwh Consumption'!M15+'Kwh Consumption'!N15+'Kwh Consumption'!O15+'Kwh Consumption'!P15+'Kwh Consumption'!Q15+'Kwh Consumption'!R15)</f>
        <v>4490.0000000001228</v>
      </c>
      <c r="J14" s="1">
        <f>('Kwh Consumption'!S15+'Kwh Consumption'!T15)</f>
        <v>4624.070000000298</v>
      </c>
      <c r="K14" s="1">
        <f>'Kwh Consumption'!U15</f>
        <v>189.99999999999773</v>
      </c>
      <c r="L14" s="32">
        <f t="shared" si="0"/>
        <v>6870.9299999990599</v>
      </c>
    </row>
    <row r="15" spans="1:12" x14ac:dyDescent="0.25">
      <c r="A15" s="14">
        <f>'Kwh Reading'!A16</f>
        <v>44240</v>
      </c>
      <c r="B15" s="83">
        <f>TOTAL!E14</f>
        <v>0</v>
      </c>
      <c r="C15" s="1">
        <f>'Kwh Consumption'!C16</f>
        <v>-356020</v>
      </c>
      <c r="D15" s="1">
        <f>'Kwh Consumption'!D16</f>
        <v>-2043000.0000000002</v>
      </c>
      <c r="E15" s="1">
        <f>'Kwh Consumption'!E16</f>
        <v>-198300</v>
      </c>
      <c r="F15" s="1">
        <f>('Kwh Consumption'!F16+'Kwh Consumption'!G16+'Kwh Consumption'!H16)</f>
        <v>-790050</v>
      </c>
      <c r="G15" s="16">
        <f>('Kwh Consumption'!I16+'Kwh Consumption'!J16)</f>
        <v>-218485</v>
      </c>
      <c r="H15" s="1">
        <f>('Kwh Consumption'!K16+'Kwh Consumption'!L16)</f>
        <v>-994920</v>
      </c>
      <c r="I15" s="1">
        <f>('Kwh Consumption'!M16+'Kwh Consumption'!N16+'Kwh Consumption'!O16+'Kwh Consumption'!P16+'Kwh Consumption'!Q16+'Kwh Consumption'!R16)</f>
        <v>-2756170</v>
      </c>
      <c r="J15" s="1">
        <f>('Kwh Consumption'!S16+'Kwh Consumption'!T16)</f>
        <v>-14917072.890000001</v>
      </c>
      <c r="K15" s="1">
        <f>'Kwh Consumption'!U16</f>
        <v>-117240</v>
      </c>
      <c r="L15" s="32">
        <f t="shared" si="0"/>
        <v>22391257.890000001</v>
      </c>
    </row>
    <row r="16" spans="1:12" x14ac:dyDescent="0.25">
      <c r="A16" s="14">
        <f>'Kwh Reading'!A17</f>
        <v>44241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254429.99999999959</v>
      </c>
      <c r="C34" s="75">
        <f>SUM(C3:C33)</f>
        <v>-350440</v>
      </c>
      <c r="D34" s="75">
        <f t="shared" ref="D34:L34" si="1">SUM(D3:D33)</f>
        <v>-2013700.0000000002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-979060.00000000012</v>
      </c>
      <c r="I34" s="75">
        <f t="shared" si="1"/>
        <v>-2700410</v>
      </c>
      <c r="J34" s="75">
        <f t="shared" si="1"/>
        <v>-14857534.680000002</v>
      </c>
      <c r="K34" s="75">
        <f t="shared" si="1"/>
        <v>-114830</v>
      </c>
      <c r="L34" s="75">
        <f t="shared" si="1"/>
        <v>22460820.68</v>
      </c>
      <c r="M34" s="84">
        <f>C34+D34+E34+F34+G34+H34+I34+J34+K34+L34</f>
        <v>254430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-281918.00000000006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-2080054.8552000003</v>
      </c>
      <c r="K36" s="75">
        <f>K34*B36</f>
        <v>-16076.2</v>
      </c>
      <c r="L36" s="75">
        <f>L34*B36</f>
        <v>3144514.8952000001</v>
      </c>
      <c r="M36" s="84">
        <f>C36+D36+E36+F36+G36+H36+I36+J36+K36+L36</f>
        <v>35620.199999999255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-1075.4800000000023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2162.2622000001029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1169.2800000000007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-543.87340000024062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2854.599999999919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660.03419999997288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2893.8000000002016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33.599999999997294</v>
      </c>
      <c r="G13" s="1">
        <f>('Kwh Consumption'!F14+'Kwh Consumption'!G14+'Kwh Consumption'!H14)*' Kwh area wise $ '!B13</f>
        <v>96.600000000003675</v>
      </c>
      <c r="H13" s="16">
        <f>('Kwh Consumption'!I14+'Kwh Consumption'!J14)*' Kwh area wise $ '!B13</f>
        <v>38.360000000002124</v>
      </c>
      <c r="I13" s="1">
        <f>('Kwh Consumption'!K14+'Kwh Consumption'!L14)*' Kwh area wise $ '!B13</f>
        <v>187.59999999999255</v>
      </c>
      <c r="J13" s="1">
        <f>('Kwh Consumption'!M14+'Kwh Consumption'!N14+'Kwh Consumption'!O14+'Kwh Consumption'!P14+'Kwh Consumption'!Q14+'Kwh Consumption'!R14)*' Kwh area wise $ '!B13</f>
        <v>600.60000000001094</v>
      </c>
      <c r="K13" s="1">
        <f>('Kwh Consumption'!S14+'Kwh Consumption'!T14)*' Kwh area wise $ '!B13</f>
        <v>629.81379999985927</v>
      </c>
      <c r="L13" s="1">
        <f>'Kwh Consumption'!U14*' Kwh area wise $ '!B13</f>
        <v>26.599999999999685</v>
      </c>
      <c r="M13" s="1">
        <f>'Kwh Consumption'!V14*' Kwh area wise $ '!B13</f>
        <v>891.42620000027557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2883.9999999999241</v>
      </c>
      <c r="D14" s="1">
        <f>'Kwh Consumption'!C15*' Kwh area wise $ '!B14</f>
        <v>37.799999999997461</v>
      </c>
      <c r="E14" s="1">
        <f>'Kwh Consumption'!D15*' Kwh area wise $ '!B14</f>
        <v>349.99999999999261</v>
      </c>
      <c r="F14" s="1">
        <f>'Kwh Consumption'!E15*' Kwh area wise $ '!B14</f>
        <v>32.200000000002547</v>
      </c>
      <c r="G14" s="1">
        <f>('Kwh Consumption'!F15+'Kwh Consumption'!G15+'Kwh Consumption'!H15)*' Kwh area wise $ '!B14</f>
        <v>103.59999999999731</v>
      </c>
      <c r="H14" s="16">
        <f>('Kwh Consumption'!I15+'Kwh Consumption'!J15)*' Kwh area wise $ '!B14</f>
        <v>51.099999999999291</v>
      </c>
      <c r="I14" s="1">
        <f>('Kwh Consumption'!K15+'Kwh Consumption'!L15)*' Kwh area wise $ '!B14</f>
        <v>44.80000000000701</v>
      </c>
      <c r="J14" s="1">
        <f>('Kwh Consumption'!M15+'Kwh Consumption'!N15+'Kwh Consumption'!O15+'Kwh Consumption'!P15+'Kwh Consumption'!Q15+'Kwh Consumption'!R15)*' Kwh area wise $ '!B14</f>
        <v>628.6000000000173</v>
      </c>
      <c r="K14" s="1">
        <f>('Kwh Consumption'!S15+'Kwh Consumption'!T15)*' Kwh area wise $ '!B14</f>
        <v>647.36980000004178</v>
      </c>
      <c r="L14" s="1">
        <f>'Kwh Consumption'!U15*' Kwh area wise $ '!B14</f>
        <v>26.599999999999685</v>
      </c>
      <c r="M14" s="1">
        <f>'Kwh Consumption'!V15*' Kwh area wise $ '!B14</f>
        <v>961.93019999986871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-49842.8</v>
      </c>
      <c r="E15" s="1">
        <f>'Kwh Consumption'!D16*' Kwh area wise $ '!B15</f>
        <v>-286020.00000000006</v>
      </c>
      <c r="F15" s="1">
        <f>'Kwh Consumption'!E16*' Kwh area wise $ '!B15</f>
        <v>-27762.000000000004</v>
      </c>
      <c r="G15" s="1">
        <f>('Kwh Consumption'!F16+'Kwh Consumption'!G16+'Kwh Consumption'!H16)*' Kwh area wise $ '!B15</f>
        <v>-110607.00000000001</v>
      </c>
      <c r="H15" s="16">
        <f>('Kwh Consumption'!I16+'Kwh Consumption'!J16)*' Kwh area wise $ '!B15</f>
        <v>-30587.9</v>
      </c>
      <c r="I15" s="1">
        <f>('Kwh Consumption'!K16+'Kwh Consumption'!L16)*' Kwh area wise $ '!B15</f>
        <v>-139288.80000000002</v>
      </c>
      <c r="J15" s="1">
        <f>('Kwh Consumption'!M16+'Kwh Consumption'!N16+'Kwh Consumption'!O16+'Kwh Consumption'!P16+'Kwh Consumption'!Q16+'Kwh Consumption'!R16)*' Kwh area wise $ '!B15</f>
        <v>-385863.80000000005</v>
      </c>
      <c r="K15" s="1">
        <f>('Kwh Consumption'!S16+'Kwh Consumption'!T16)*' Kwh area wise $ '!B15</f>
        <v>-2088390.2046000003</v>
      </c>
      <c r="L15" s="1">
        <f>'Kwh Consumption'!U16*' Kwh area wise $ '!B15</f>
        <v>-16413.600000000002</v>
      </c>
      <c r="M15" s="1">
        <f>'Kwh Consumption'!V16*' Kwh area wise $ '!B15</f>
        <v>3134776.1046000002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35620.200000000026</v>
      </c>
      <c r="D34" s="75">
        <f t="shared" si="0"/>
        <v>-49061.600000000006</v>
      </c>
      <c r="E34" s="75">
        <f t="shared" si="0"/>
        <v>-281918.00000000006</v>
      </c>
      <c r="F34" s="75">
        <f t="shared" si="0"/>
        <v>-27346.200000000004</v>
      </c>
      <c r="G34" s="75">
        <f t="shared" si="0"/>
        <v>-109239.20000000001</v>
      </c>
      <c r="H34" s="75">
        <f t="shared" si="0"/>
        <v>-30072.84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-2080054.8552000003</v>
      </c>
      <c r="L34" s="75">
        <f t="shared" si="0"/>
        <v>-16076.200000000003</v>
      </c>
      <c r="M34" s="75">
        <f>SUM(M3:M33)</f>
        <v>3144514.8952000001</v>
      </c>
      <c r="N34" s="84">
        <f>D34+E34+F34+G34+H34+I34+J34+K34+L34+M34</f>
        <v>35620.199999999255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5" sqref="R1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>
        <v>143390</v>
      </c>
      <c r="C14" s="56">
        <v>99910</v>
      </c>
      <c r="D14" s="55">
        <v>189328</v>
      </c>
      <c r="E14" s="55">
        <v>239588</v>
      </c>
      <c r="F14" s="55">
        <v>66845</v>
      </c>
      <c r="G14" s="55">
        <v>108997</v>
      </c>
      <c r="H14" s="33">
        <v>45922</v>
      </c>
      <c r="I14" s="55">
        <v>57823</v>
      </c>
      <c r="J14" s="55">
        <v>18456</v>
      </c>
      <c r="K14" s="55">
        <v>1024</v>
      </c>
      <c r="L14" s="55">
        <v>16311</v>
      </c>
      <c r="M14" s="55">
        <v>22184</v>
      </c>
      <c r="N14" s="55">
        <v>6693</v>
      </c>
      <c r="O14" s="55">
        <v>1552</v>
      </c>
      <c r="P14" s="55">
        <v>25888</v>
      </c>
      <c r="Q14" s="33">
        <v>99</v>
      </c>
      <c r="R14" s="55">
        <v>5529</v>
      </c>
    </row>
    <row r="15" spans="1:18" x14ac:dyDescent="0.25">
      <c r="A15" s="54">
        <v>44240</v>
      </c>
      <c r="B15" s="33">
        <v>143502</v>
      </c>
      <c r="C15" s="33">
        <v>100077</v>
      </c>
      <c r="D15" s="55">
        <v>189436</v>
      </c>
      <c r="E15" s="55">
        <v>239638</v>
      </c>
      <c r="F15" s="55">
        <v>66846</v>
      </c>
      <c r="G15" s="55">
        <v>109015</v>
      </c>
      <c r="H15" s="33">
        <v>45975</v>
      </c>
      <c r="I15" s="55">
        <v>57843</v>
      </c>
      <c r="J15" s="55">
        <v>18467</v>
      </c>
      <c r="K15" s="55">
        <v>1024</v>
      </c>
      <c r="L15" s="55">
        <v>16319</v>
      </c>
      <c r="M15" s="55">
        <v>22199</v>
      </c>
      <c r="N15" s="55">
        <v>6694</v>
      </c>
      <c r="O15" s="55">
        <v>1552</v>
      </c>
      <c r="P15" s="55">
        <v>25888</v>
      </c>
      <c r="Q15" s="33">
        <v>104</v>
      </c>
      <c r="R15" s="55">
        <v>5530</v>
      </c>
    </row>
    <row r="16" spans="1:18" x14ac:dyDescent="0.25">
      <c r="A16" s="54">
        <v>44241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44242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I14" sqref="I1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240</v>
      </c>
      <c r="C14" s="66">
        <f>('Water Reading'!B14-'Water Reading'!B13)+('Water Reading'!C14-'Water Reading'!C13)</f>
        <v>278</v>
      </c>
      <c r="D14" s="67">
        <f t="shared" si="2"/>
        <v>1.1583333333333334</v>
      </c>
      <c r="E14" s="88">
        <f>'Water Reading'!H14-'Water Reading'!H13</f>
        <v>34</v>
      </c>
      <c r="F14" s="89">
        <f t="shared" si="3"/>
        <v>0.1223021582733813</v>
      </c>
      <c r="G14" s="93">
        <f>('Water Reading'!D14-'Water Reading'!D13)-('Water Reading'!R14-'Water Reading'!R13)-('Water Reading'!Q14-'Water Reading'!Q13)</f>
        <v>97</v>
      </c>
      <c r="H14" s="89">
        <f t="shared" si="4"/>
        <v>0.34892086330935251</v>
      </c>
      <c r="I14" s="90">
        <f>'Water Reading'!P14-'Water Reading'!P13</f>
        <v>13</v>
      </c>
      <c r="J14" s="68">
        <f t="shared" si="5"/>
        <v>4.6762589928057555E-2</v>
      </c>
      <c r="K14" s="91">
        <f>('Water Reading'!I14-'Water Reading'!I13)</f>
        <v>33</v>
      </c>
      <c r="L14" s="68">
        <f t="shared" si="6"/>
        <v>0.11870503597122302</v>
      </c>
      <c r="M14" s="90">
        <f>'Water Reading'!R14-'Water Reading'!R13</f>
        <v>5</v>
      </c>
      <c r="N14" s="92">
        <f t="shared" si="7"/>
        <v>1.7985611510791366E-2</v>
      </c>
      <c r="O14" s="90">
        <f>'Water Reading'!Q14-'Water Reading'!Q13</f>
        <v>4</v>
      </c>
      <c r="P14" s="99">
        <f t="shared" si="8"/>
        <v>1.4388489208633094E-2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65</v>
      </c>
      <c r="T14" s="100">
        <f t="shared" si="10"/>
        <v>0.23381294964028776</v>
      </c>
      <c r="U14" s="90">
        <f>'Water Reading'!G14-'Water Reading'!G13</f>
        <v>20</v>
      </c>
      <c r="V14" s="100">
        <f t="shared" si="11"/>
        <v>7.1942446043165464E-2</v>
      </c>
      <c r="W14" s="90">
        <f>'Water Reading'!J14-'Water Reading'!J13</f>
        <v>11</v>
      </c>
      <c r="X14" s="100">
        <f t="shared" si="12"/>
        <v>3.9568345323741004E-2</v>
      </c>
      <c r="Y14" s="66">
        <f t="shared" si="0"/>
        <v>282</v>
      </c>
      <c r="Z14" s="67">
        <f t="shared" si="1"/>
        <v>1.175</v>
      </c>
    </row>
    <row r="15" spans="1:26" x14ac:dyDescent="0.25">
      <c r="A15" s="8">
        <f>'Water Reading'!A14</f>
        <v>44239</v>
      </c>
      <c r="B15" s="65">
        <f>TOTAL!I13</f>
        <v>257</v>
      </c>
      <c r="C15" s="66">
        <f>('Water Reading'!B15-'Water Reading'!B14)+('Water Reading'!C15-'Water Reading'!C14)</f>
        <v>279</v>
      </c>
      <c r="D15" s="67">
        <f t="shared" si="2"/>
        <v>1.0856031128404668</v>
      </c>
      <c r="E15" s="87">
        <f>'Water Reading'!H15-'Water Reading'!H14</f>
        <v>53</v>
      </c>
      <c r="F15" s="89">
        <f t="shared" si="3"/>
        <v>0.18996415770609318</v>
      </c>
      <c r="G15" s="93">
        <f>('Water Reading'!D15-'Water Reading'!D14)-('Water Reading'!R15-'Water Reading'!R14)-('Water Reading'!Q15-'Water Reading'!Q14)</f>
        <v>102</v>
      </c>
      <c r="H15" s="89">
        <f t="shared" si="4"/>
        <v>0.36559139784946237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20</v>
      </c>
      <c r="L15" s="68">
        <f t="shared" si="6"/>
        <v>7.1684587813620068E-2</v>
      </c>
      <c r="M15" s="90">
        <f>'Water Reading'!R15-'Water Reading'!R14</f>
        <v>1</v>
      </c>
      <c r="N15" s="92">
        <f t="shared" si="7"/>
        <v>3.5842293906810036E-3</v>
      </c>
      <c r="O15" s="90">
        <f>'Water Reading'!Q15-'Water Reading'!Q14</f>
        <v>5</v>
      </c>
      <c r="P15" s="99">
        <f t="shared" si="8"/>
        <v>1.7921146953405017E-2</v>
      </c>
      <c r="Q15" s="91">
        <f>'Water Reading'!F15-'Water Reading'!F14</f>
        <v>1</v>
      </c>
      <c r="R15" s="100">
        <f t="shared" si="9"/>
        <v>3.5842293906810036E-3</v>
      </c>
      <c r="S15" s="94">
        <f>'Water Reading'!E15-'Water Reading'!E14</f>
        <v>50</v>
      </c>
      <c r="T15" s="100">
        <f t="shared" si="10"/>
        <v>0.17921146953405018</v>
      </c>
      <c r="U15" s="90">
        <f>'Water Reading'!G15-'Water Reading'!G14</f>
        <v>18</v>
      </c>
      <c r="V15" s="100">
        <f t="shared" si="11"/>
        <v>6.4516129032258063E-2</v>
      </c>
      <c r="W15" s="90">
        <f>'Water Reading'!J15-'Water Reading'!J14</f>
        <v>11</v>
      </c>
      <c r="X15" s="100">
        <f t="shared" si="12"/>
        <v>3.9426523297491037E-2</v>
      </c>
      <c r="Y15" s="66">
        <f t="shared" si="0"/>
        <v>261</v>
      </c>
      <c r="Z15" s="67">
        <f t="shared" si="1"/>
        <v>1.0155642023346303</v>
      </c>
    </row>
    <row r="16" spans="1:26" x14ac:dyDescent="0.25">
      <c r="A16" s="8">
        <f>'Water Reading'!A15</f>
        <v>44240</v>
      </c>
      <c r="B16" s="65">
        <f>TOTAL!I14</f>
        <v>0</v>
      </c>
      <c r="C16" s="66">
        <f>('Water Reading'!B16-'Water Reading'!B15)+('Water Reading'!C16-'Water Reading'!C15)</f>
        <v>-243579</v>
      </c>
      <c r="D16" s="67" t="e">
        <f t="shared" si="2"/>
        <v>#DIV/0!</v>
      </c>
      <c r="E16" s="87">
        <f>'Water Reading'!H16-'Water Reading'!H15</f>
        <v>-45975</v>
      </c>
      <c r="F16" s="89">
        <f t="shared" si="3"/>
        <v>0.18874779845553188</v>
      </c>
      <c r="G16" s="93">
        <f>('Water Reading'!D16-'Water Reading'!D15)-('Water Reading'!R16-'Water Reading'!R15)-('Water Reading'!Q16-'Water Reading'!Q15)</f>
        <v>-183802</v>
      </c>
      <c r="H16" s="89">
        <f t="shared" si="4"/>
        <v>0.75458886028762739</v>
      </c>
      <c r="I16" s="90">
        <f>'Water Reading'!P16-'Water Reading'!P15</f>
        <v>-25888</v>
      </c>
      <c r="J16" s="68">
        <f t="shared" si="5"/>
        <v>0.10628174021570004</v>
      </c>
      <c r="K16" s="90">
        <f>('Water Reading'!I16-'Water Reading'!I15)-('Water Reading'!P16-'Water Reading'!P15)</f>
        <v>-31955</v>
      </c>
      <c r="L16" s="68">
        <f t="shared" si="6"/>
        <v>0.13118947035663994</v>
      </c>
      <c r="M16" s="90">
        <f>'Water Reading'!R16-'Water Reading'!R15</f>
        <v>-5530</v>
      </c>
      <c r="N16" s="92">
        <f t="shared" si="7"/>
        <v>2.2703106589648532E-2</v>
      </c>
      <c r="O16" s="90">
        <f>'Water Reading'!Q16-'Water Reading'!Q15</f>
        <v>-104</v>
      </c>
      <c r="P16" s="99">
        <f t="shared" si="8"/>
        <v>4.2696619987765775E-4</v>
      </c>
      <c r="Q16" s="91">
        <f>'Water Reading'!F16-'Water Reading'!F15</f>
        <v>-66846</v>
      </c>
      <c r="R16" s="100">
        <f t="shared" si="9"/>
        <v>0.2744325249713645</v>
      </c>
      <c r="S16" s="94">
        <f>'Water Reading'!E16-'Water Reading'!E15</f>
        <v>-239638</v>
      </c>
      <c r="T16" s="100">
        <f t="shared" si="10"/>
        <v>0.98382044429117455</v>
      </c>
      <c r="U16" s="90">
        <f>'Water Reading'!G16-'Water Reading'!G15</f>
        <v>-109015</v>
      </c>
      <c r="V16" s="100">
        <f t="shared" si="11"/>
        <v>0.44755500268906595</v>
      </c>
      <c r="W16" s="90">
        <f>'Water Reading'!J16-'Water Reading'!J15</f>
        <v>-18467</v>
      </c>
      <c r="X16" s="100">
        <f t="shared" si="12"/>
        <v>7.5815238587891409E-2</v>
      </c>
      <c r="Y16" s="66">
        <f t="shared" si="0"/>
        <v>-727220</v>
      </c>
      <c r="Z16" s="67" t="e">
        <f t="shared" si="1"/>
        <v>#DIV/0!</v>
      </c>
    </row>
    <row r="17" spans="1:26" x14ac:dyDescent="0.25">
      <c r="A17" s="8">
        <f>'Water Reading'!A16</f>
        <v>44241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2969</v>
      </c>
      <c r="C35" s="75">
        <f>SUM(C4:C34)</f>
        <v>-240046</v>
      </c>
      <c r="D35" s="96">
        <f>C35/B35</f>
        <v>-80.850791512293696</v>
      </c>
      <c r="E35" s="7">
        <f>SUM(E4:E34)</f>
        <v>-45508</v>
      </c>
      <c r="F35" s="95">
        <f>E35/C35</f>
        <v>0.18958033043666631</v>
      </c>
      <c r="G35" s="75">
        <f>SUM(G4:G34)</f>
        <v>-182356</v>
      </c>
      <c r="H35" s="95">
        <f>G35/C35</f>
        <v>0.75967106304624943</v>
      </c>
      <c r="I35" s="7">
        <f>SUM(I4:I34)</f>
        <v>-25830</v>
      </c>
      <c r="J35" s="95">
        <f>I35/C35</f>
        <v>0.10760437582796631</v>
      </c>
      <c r="K35" s="7">
        <f>SUM(K4:K34)</f>
        <v>-31700</v>
      </c>
      <c r="L35" s="95">
        <f>K35/C35</f>
        <v>0.13205802221240928</v>
      </c>
      <c r="M35" s="7">
        <f>SUM(M4:M34)</f>
        <v>-5466</v>
      </c>
      <c r="N35" s="95">
        <f>M35/C35</f>
        <v>2.2770635628171266E-2</v>
      </c>
      <c r="O35" s="7">
        <f>SUM(O4:O34)</f>
        <v>-61</v>
      </c>
      <c r="P35" s="95">
        <f>O35/C35</f>
        <v>2.5411796072419453E-4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-723805</v>
      </c>
      <c r="Z35" s="95">
        <f t="shared" si="1"/>
        <v>-243.78747052879757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2021-02-13T04:25:25Z</dcterms:modified>
  <cp:category/>
  <cp:contentStatus/>
</cp:coreProperties>
</file>