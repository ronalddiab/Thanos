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23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K18" i="4"/>
  <c r="L18" i="4"/>
  <c r="M18" i="4" s="1"/>
  <c r="K19" i="4"/>
  <c r="L19" i="4"/>
  <c r="M19" i="4" s="1"/>
  <c r="K20" i="4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K26" i="4"/>
  <c r="L26" i="4"/>
  <c r="M26" i="4" s="1"/>
  <c r="K27" i="4"/>
  <c r="L27" i="4"/>
  <c r="M27" i="4" s="1"/>
  <c r="K28" i="4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J19" i="4"/>
  <c r="J20" i="4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14" i="3" l="1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<sst xmlns="http://schemas.openxmlformats.org/spreadsheetml/2006/main" count="606" uniqueCount="76">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</sst>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C1" workbookViewId="0">
      <selection activeCell="Q7" sqref="Q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'!I14+'Electricity '!O13</f>
        <v>#VALUE!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E16" sqref="E1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2140</v>
      </c>
      <c r="O28" s="32">
        <f>SUM(M4:M34)</f>
        <v>28331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194.54545454545453</v>
      </c>
      <c r="O31" s="32">
        <f>AVERAGE(M4:M34)</f>
        <v>2575.5454545454545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8053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J17" sqref="J17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1.4052568492964287E-2</v>
      </c>
      <c r="Q24" s="69">
        <f>IF(L3="",0,+SUM(L3:L33)/SUM(I3:I33))</f>
        <v>1.4052568492964287E-2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-0.34795988482263107</v>
      </c>
      <c r="Q25" s="70">
        <f>IF(L3="",0,+(+(LOOKUP(9.99999999999999E+307,F3:F33)-F2))/(+(LOOKUP(9.99999999999999E+307,D3:D33)-D2)))</f>
        <v>2.1794586826055576E-2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2022-01-11T06:03:13Z</dcterms:modified>
  <cp:category/>
  <cp:contentStatus/>
</cp:coreProperties>
</file>