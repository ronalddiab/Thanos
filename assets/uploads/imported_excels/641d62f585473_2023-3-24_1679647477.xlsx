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Hotel\2021\"/>
    </mc:Choice>
  </mc:AlternateContent>
  <bookViews>
    <workbookView xWindow="0" yWindow="0" windowWidth="19035" windowHeight="10935" tabRatio="620"/>
  </bookViews>
  <sheets>
    <sheet name="TOTAL" sheetId="117" r:id="rId1"/>
    <sheet name="Macao Daily" sheetId="119" r:id="rId2"/>
  </sheets>
  <calcPr calcId="162913"/>
</workbook>
</file>

<file path=xl/calcChain.xml><?xml version="1.0" encoding="utf-8"?>
<calcChain xmlns="http://schemas.openxmlformats.org/spreadsheetml/2006/main">
  <c r="J35" i="119" l="1"/>
  <c r="K32" i="117" s="1"/>
  <c r="H35" i="119"/>
  <c r="I32" i="117" s="1"/>
  <c r="F35" i="119"/>
  <c r="G32" i="117" s="1"/>
  <c r="D35" i="119"/>
  <c r="E32" i="117" s="1"/>
  <c r="B32" i="117"/>
  <c r="M32" i="117"/>
  <c r="N32" i="117"/>
  <c r="H5" i="119" l="1"/>
  <c r="J5" i="119"/>
  <c r="F5" i="119" l="1"/>
  <c r="D5" i="119" l="1"/>
  <c r="D33" i="119" l="1"/>
  <c r="E30" i="117" s="1"/>
  <c r="F33" i="119"/>
  <c r="G30" i="117" s="1"/>
  <c r="H33" i="119"/>
  <c r="I30" i="117" s="1"/>
  <c r="J33" i="119"/>
  <c r="K30" i="117" s="1"/>
  <c r="D34" i="119"/>
  <c r="E31" i="117" s="1"/>
  <c r="F34" i="119"/>
  <c r="G31" i="117" s="1"/>
  <c r="H34" i="119"/>
  <c r="I31" i="117" s="1"/>
  <c r="J34" i="119"/>
  <c r="K31" i="117" s="1"/>
  <c r="M30" i="117"/>
  <c r="N30" i="117"/>
  <c r="M31" i="117"/>
  <c r="N31" i="117"/>
  <c r="H20" i="119"/>
  <c r="I17" i="117" s="1"/>
  <c r="J20" i="119"/>
  <c r="K17" i="117" s="1"/>
  <c r="G2" i="117"/>
  <c r="I2" i="117"/>
  <c r="K2" i="117"/>
  <c r="F20" i="119"/>
  <c r="G17" i="117" s="1"/>
  <c r="D20" i="119"/>
  <c r="E17" i="117" s="1"/>
  <c r="H6" i="119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H32" i="119"/>
  <c r="I29" i="117" s="1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 s="1"/>
  <c r="F32" i="119"/>
  <c r="G29" i="117" s="1"/>
  <c r="D32" i="119"/>
  <c r="E29" i="117" s="1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J19" i="119"/>
  <c r="K16" i="117" s="1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 s="1"/>
  <c r="F12" i="119"/>
  <c r="G9" i="117" s="1"/>
  <c r="D12" i="119"/>
  <c r="E9" i="117" s="1"/>
  <c r="J11" i="119"/>
  <c r="K8" i="117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E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<sst xmlns="http://schemas.openxmlformats.org/spreadsheetml/2006/main" count="61" uniqueCount="29">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</sst>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10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0"/>
        <bgColor theme="4" tint="0.7999816888943144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9" fillId="0" borderId="0"/>
    <xf numFmtId="0" fontId="6" fillId="0" borderId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5" fillId="0" borderId="0"/>
    <xf numFmtId="0" fontId="4" fillId="0" borderId="0"/>
    <xf numFmtId="0" fontId="6" fillId="0" borderId="0"/>
    <xf numFmtId="0" fontId="2" fillId="0" borderId="0"/>
  </cellStyleXfs>
  <cellXfs count="47">
    <xf numFmtId="0" fontId="0" fillId="0" borderId="0" xfId="0"/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2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3" fillId="2" borderId="0" xfId="11" applyFont="1" applyFill="1" applyAlignment="1">
      <alignment horizontal="center"/>
    </xf>
    <xf numFmtId="1" fontId="14" fillId="2" borderId="0" xfId="11" applyNumberFormat="1" applyFont="1" applyFill="1" applyAlignment="1">
      <alignment horizontal="center"/>
    </xf>
    <xf numFmtId="1" fontId="5" fillId="0" borderId="1" xfId="11" applyNumberFormat="1" applyBorder="1" applyAlignment="1">
      <alignment horizontal="center"/>
    </xf>
    <xf numFmtId="0" fontId="5" fillId="0" borderId="0" xfId="11"/>
    <xf numFmtId="0" fontId="15" fillId="3" borderId="3" xfId="11" applyFont="1" applyFill="1" applyBorder="1" applyAlignment="1">
      <alignment horizontal="center" vertical="center" wrapText="1"/>
    </xf>
    <xf numFmtId="1" fontId="5" fillId="0" borderId="0" xfId="11" applyNumberFormat="1"/>
    <xf numFmtId="0" fontId="10" fillId="6" borderId="2" xfId="11" applyFont="1" applyFill="1" applyBorder="1" applyAlignment="1">
      <alignment horizontal="center" vertical="center"/>
    </xf>
    <xf numFmtId="0" fontId="10" fillId="7" borderId="9" xfId="11" applyFont="1" applyFill="1" applyBorder="1" applyAlignment="1">
      <alignment horizontal="center" vertical="center" wrapText="1"/>
    </xf>
    <xf numFmtId="1" fontId="10" fillId="7" borderId="2" xfId="11" applyNumberFormat="1" applyFont="1" applyFill="1" applyBorder="1" applyAlignment="1">
      <alignment horizontal="center" vertical="center" wrapText="1"/>
    </xf>
    <xf numFmtId="0" fontId="10" fillId="7" borderId="2" xfId="11" applyFont="1" applyFill="1" applyBorder="1" applyAlignment="1">
      <alignment horizontal="center" vertical="center" wrapText="1"/>
    </xf>
    <xf numFmtId="0" fontId="10" fillId="7" borderId="2" xfId="11" applyFont="1" applyFill="1" applyBorder="1" applyAlignment="1">
      <alignment horizontal="center" wrapText="1"/>
    </xf>
    <xf numFmtId="1" fontId="10" fillId="8" borderId="1" xfId="11" applyNumberFormat="1" applyFont="1" applyFill="1" applyBorder="1" applyAlignment="1">
      <alignment horizontal="center" wrapText="1"/>
    </xf>
    <xf numFmtId="15" fontId="12" fillId="6" borderId="2" xfId="11" applyNumberFormat="1" applyFont="1" applyFill="1" applyBorder="1" applyAlignment="1">
      <alignment horizontal="center" vertical="center"/>
    </xf>
    <xf numFmtId="0" fontId="11" fillId="0" borderId="0" xfId="11" applyFont="1"/>
    <xf numFmtId="15" fontId="10" fillId="6" borderId="2" xfId="11" applyNumberFormat="1" applyFont="1" applyFill="1" applyBorder="1" applyAlignment="1">
      <alignment horizontal="center" vertical="center"/>
    </xf>
    <xf numFmtId="1" fontId="17" fillId="0" borderId="1" xfId="11" applyNumberFormat="1" applyFont="1" applyBorder="1" applyAlignment="1">
      <alignment horizontal="center" vertical="center"/>
    </xf>
    <xf numFmtId="0" fontId="5" fillId="0" borderId="0" xfId="11" applyAlignment="1">
      <alignment horizontal="center"/>
    </xf>
    <xf numFmtId="1" fontId="10" fillId="0" borderId="0" xfId="11" applyNumberFormat="1" applyFont="1" applyAlignment="1">
      <alignment horizontal="center"/>
    </xf>
    <xf numFmtId="1" fontId="5" fillId="0" borderId="0" xfId="11" applyNumberFormat="1" applyAlignment="1">
      <alignment horizontal="center"/>
    </xf>
    <xf numFmtId="1" fontId="10" fillId="0" borderId="1" xfId="12" applyNumberFormat="1" applyFont="1" applyBorder="1" applyAlignment="1">
      <alignment horizontal="center" wrapText="1"/>
    </xf>
    <xf numFmtId="0" fontId="12" fillId="0" borderId="1" xfId="12" applyFont="1" applyBorder="1" applyAlignment="1">
      <alignment horizontal="center" wrapText="1"/>
    </xf>
    <xf numFmtId="2" fontId="11" fillId="0" borderId="1" xfId="0" applyNumberFormat="1" applyFont="1" applyBorder="1" applyAlignment="1">
      <alignment horizontal="center"/>
    </xf>
    <xf numFmtId="0" fontId="3" fillId="0" borderId="0" xfId="11" applyFont="1" applyAlignment="1">
      <alignment horizontal="center"/>
    </xf>
    <xf numFmtId="1" fontId="17" fillId="0" borderId="14" xfId="11" applyNumberFormat="1" applyFont="1" applyBorder="1" applyAlignment="1">
      <alignment horizontal="center" vertical="center"/>
    </xf>
    <xf numFmtId="0" fontId="2" fillId="9" borderId="1" xfId="0" applyNumberFormat="1" applyFont="1" applyFill="1" applyBorder="1" applyAlignment="1">
      <alignment horizontal="center" vertical="center"/>
    </xf>
    <xf numFmtId="0" fontId="2" fillId="9" borderId="1" xfId="0" applyNumberFormat="1" applyFont="1" applyFill="1" applyBorder="1" applyAlignment="1">
      <alignment horizontal="center"/>
    </xf>
    <xf numFmtId="1" fontId="1" fillId="9" borderId="1" xfId="0" applyNumberFormat="1" applyFont="1" applyFill="1" applyBorder="1" applyAlignment="1">
      <alignment horizontal="center"/>
    </xf>
    <xf numFmtId="0" fontId="13" fillId="2" borderId="12" xfId="11" applyFont="1" applyFill="1" applyBorder="1" applyAlignment="1">
      <alignment horizontal="center"/>
    </xf>
    <xf numFmtId="0" fontId="13" fillId="2" borderId="13" xfId="11" applyFont="1" applyFill="1" applyBorder="1" applyAlignment="1">
      <alignment horizontal="center"/>
    </xf>
    <xf numFmtId="0" fontId="14" fillId="2" borderId="2" xfId="11" applyFont="1" applyFill="1" applyBorder="1" applyAlignment="1">
      <alignment horizontal="center"/>
    </xf>
    <xf numFmtId="0" fontId="16" fillId="4" borderId="4" xfId="11" applyFont="1" applyFill="1" applyBorder="1" applyAlignment="1">
      <alignment horizontal="center" vertical="center"/>
    </xf>
    <xf numFmtId="0" fontId="16" fillId="4" borderId="5" xfId="11" applyFont="1" applyFill="1" applyBorder="1" applyAlignment="1">
      <alignment horizontal="center" vertical="center"/>
    </xf>
    <xf numFmtId="0" fontId="16" fillId="4" borderId="6" xfId="11" applyFont="1" applyFill="1" applyBorder="1" applyAlignment="1">
      <alignment horizontal="center" vertical="center"/>
    </xf>
    <xf numFmtId="0" fontId="10" fillId="5" borderId="7" xfId="11" applyFont="1" applyFill="1" applyBorder="1" applyAlignment="1">
      <alignment horizontal="center" vertical="center" wrapText="1"/>
    </xf>
    <xf numFmtId="0" fontId="10" fillId="5" borderId="8" xfId="11" applyFont="1" applyFill="1" applyBorder="1" applyAlignment="1">
      <alignment horizontal="center" vertical="center" wrapText="1"/>
    </xf>
    <xf numFmtId="0" fontId="16" fillId="4" borderId="10" xfId="11" applyFont="1" applyFill="1" applyBorder="1" applyAlignment="1">
      <alignment horizontal="center" vertical="center"/>
    </xf>
    <xf numFmtId="0" fontId="16" fillId="4" borderId="11" xfId="11" applyFont="1" applyFill="1" applyBorder="1" applyAlignment="1">
      <alignment horizontal="center" vertical="center"/>
    </xf>
  </cellXfs>
  <cellStyles count="15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Normal 6" xfId="14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zoomScale="85" zoomScaleNormal="85" workbookViewId="0">
      <selection activeCell="K32" sqref="K2:K32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29" t="s">
        <v>7</v>
      </c>
      <c r="J1" s="30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12</v>
      </c>
      <c r="D2" s="7">
        <v>2021</v>
      </c>
      <c r="E2" s="9">
        <f>'Macao Daily'!D5</f>
        <v>32066</v>
      </c>
      <c r="F2" s="31">
        <v>1.2029000000000001</v>
      </c>
      <c r="G2" s="9">
        <f>'Macao Daily'!F5</f>
        <v>203.3548387096962</v>
      </c>
      <c r="H2" s="31">
        <v>10.7</v>
      </c>
      <c r="I2" s="9">
        <f>'Macao Daily'!H5</f>
        <v>20937</v>
      </c>
      <c r="J2" s="31">
        <v>0.21</v>
      </c>
      <c r="K2" s="9">
        <f>'Macao Daily'!J5</f>
        <v>198.15252148313448</v>
      </c>
      <c r="L2" s="31">
        <v>7.7594000000000003</v>
      </c>
      <c r="M2" s="9">
        <f>'Macao Daily'!K5</f>
        <v>154</v>
      </c>
      <c r="N2" s="9">
        <f>'Macao Daily'!L5</f>
        <v>235</v>
      </c>
    </row>
    <row r="3" spans="1:14" ht="15" x14ac:dyDescent="0.25">
      <c r="A3" s="6" t="s">
        <v>13</v>
      </c>
      <c r="B3" s="7">
        <f>B2+1</f>
        <v>2</v>
      </c>
      <c r="C3" s="8">
        <v>12</v>
      </c>
      <c r="D3" s="7">
        <v>2021</v>
      </c>
      <c r="E3" s="9">
        <f>'Macao Daily'!D6</f>
        <v>33434</v>
      </c>
      <c r="F3" s="31">
        <v>1.2029000000000001</v>
      </c>
      <c r="G3" s="9">
        <f>'Macao Daily'!F6</f>
        <v>220.3548387096962</v>
      </c>
      <c r="H3" s="31">
        <v>10.7</v>
      </c>
      <c r="I3" s="9">
        <f>'Macao Daily'!H6</f>
        <v>21516</v>
      </c>
      <c r="J3" s="31">
        <v>0.21</v>
      </c>
      <c r="K3" s="9">
        <f>'Macao Daily'!J6</f>
        <v>219.520547776483</v>
      </c>
      <c r="L3" s="31">
        <v>7.7594000000000003</v>
      </c>
      <c r="M3" s="9">
        <f>'Macao Daily'!K6</f>
        <v>186</v>
      </c>
      <c r="N3" s="9">
        <f>'Macao Daily'!L6</f>
        <v>432</v>
      </c>
    </row>
    <row r="4" spans="1:14" ht="15" x14ac:dyDescent="0.25">
      <c r="A4" s="6" t="s">
        <v>13</v>
      </c>
      <c r="B4" s="7">
        <f t="shared" ref="B4:B32" si="0">B3+1</f>
        <v>3</v>
      </c>
      <c r="C4" s="8">
        <v>12</v>
      </c>
      <c r="D4" s="7">
        <v>2021</v>
      </c>
      <c r="E4" s="9">
        <f>'Macao Daily'!D7</f>
        <v>35676</v>
      </c>
      <c r="F4" s="31">
        <v>1.2029000000000001</v>
      </c>
      <c r="G4" s="9">
        <f>'Macao Daily'!F7</f>
        <v>252.3548387096962</v>
      </c>
      <c r="H4" s="31">
        <v>10.7</v>
      </c>
      <c r="I4" s="9">
        <f>'Macao Daily'!H7</f>
        <v>25938</v>
      </c>
      <c r="J4" s="31">
        <v>0.21</v>
      </c>
      <c r="K4" s="9">
        <f>'Macao Daily'!J7</f>
        <v>227.95651477295905</v>
      </c>
      <c r="L4" s="31">
        <v>7.7594000000000003</v>
      </c>
      <c r="M4" s="9">
        <f>'Macao Daily'!K7</f>
        <v>244</v>
      </c>
      <c r="N4" s="9">
        <f>'Macao Daily'!L7</f>
        <v>821</v>
      </c>
    </row>
    <row r="5" spans="1:14" ht="15" x14ac:dyDescent="0.25">
      <c r="A5" s="6" t="s">
        <v>13</v>
      </c>
      <c r="B5" s="7">
        <f t="shared" si="0"/>
        <v>4</v>
      </c>
      <c r="C5" s="8">
        <v>12</v>
      </c>
      <c r="D5" s="7">
        <v>2021</v>
      </c>
      <c r="E5" s="9">
        <f>'Macao Daily'!D8</f>
        <v>34823</v>
      </c>
      <c r="F5" s="31">
        <v>1.2029000000000001</v>
      </c>
      <c r="G5" s="9">
        <f>'Macao Daily'!F8</f>
        <v>231.3548387096962</v>
      </c>
      <c r="H5" s="31">
        <v>10.7</v>
      </c>
      <c r="I5" s="9">
        <f>'Macao Daily'!H8</f>
        <v>22804</v>
      </c>
      <c r="J5" s="31">
        <v>0.21</v>
      </c>
      <c r="K5" s="9">
        <f>'Macao Daily'!J8</f>
        <v>239.35897565819323</v>
      </c>
      <c r="L5" s="31">
        <v>7.7594000000000003</v>
      </c>
      <c r="M5" s="9">
        <f>'Macao Daily'!K8</f>
        <v>286</v>
      </c>
      <c r="N5" s="9">
        <f>'Macao Daily'!L8</f>
        <v>776</v>
      </c>
    </row>
    <row r="6" spans="1:14" ht="15" x14ac:dyDescent="0.25">
      <c r="A6" s="6" t="s">
        <v>13</v>
      </c>
      <c r="B6" s="7">
        <f t="shared" si="0"/>
        <v>5</v>
      </c>
      <c r="C6" s="8">
        <v>12</v>
      </c>
      <c r="D6" s="7">
        <v>2021</v>
      </c>
      <c r="E6" s="9">
        <f>'Macao Daily'!D9</f>
        <v>31951</v>
      </c>
      <c r="F6" s="31">
        <v>1.2029000000000001</v>
      </c>
      <c r="G6" s="9">
        <f>'Macao Daily'!F9</f>
        <v>222.3548387096962</v>
      </c>
      <c r="H6" s="31">
        <v>10.7</v>
      </c>
      <c r="I6" s="9">
        <f>'Macao Daily'!H9</f>
        <v>22696</v>
      </c>
      <c r="J6" s="31">
        <v>0.21</v>
      </c>
      <c r="K6" s="9">
        <f>'Macao Daily'!J9</f>
        <v>234.90923482482322</v>
      </c>
      <c r="L6" s="31">
        <v>7.7594000000000003</v>
      </c>
      <c r="M6" s="9">
        <f>'Macao Daily'!K9</f>
        <v>205</v>
      </c>
      <c r="N6" s="9">
        <f>'Macao Daily'!L9</f>
        <v>664</v>
      </c>
    </row>
    <row r="7" spans="1:14" ht="15" x14ac:dyDescent="0.25">
      <c r="A7" s="6" t="s">
        <v>13</v>
      </c>
      <c r="B7" s="7">
        <f t="shared" si="0"/>
        <v>6</v>
      </c>
      <c r="C7" s="8">
        <v>12</v>
      </c>
      <c r="D7" s="7">
        <v>2021</v>
      </c>
      <c r="E7" s="9">
        <f>'Macao Daily'!D10</f>
        <v>32508</v>
      </c>
      <c r="F7" s="31">
        <v>1.2029000000000001</v>
      </c>
      <c r="G7" s="9">
        <f>'Macao Daily'!F10</f>
        <v>212.3548387096962</v>
      </c>
      <c r="H7" s="31">
        <v>10.7</v>
      </c>
      <c r="I7" s="9">
        <f>'Macao Daily'!H10</f>
        <v>23101</v>
      </c>
      <c r="J7" s="31">
        <v>0.21</v>
      </c>
      <c r="K7" s="9">
        <f>'Macao Daily'!J10</f>
        <v>210.06484850565903</v>
      </c>
      <c r="L7" s="31">
        <v>7.7594000000000003</v>
      </c>
      <c r="M7" s="9">
        <f>'Macao Daily'!K10</f>
        <v>174</v>
      </c>
      <c r="N7" s="9">
        <f>'Macao Daily'!L10</f>
        <v>184</v>
      </c>
    </row>
    <row r="8" spans="1:14" ht="15" x14ac:dyDescent="0.25">
      <c r="A8" s="6" t="s">
        <v>13</v>
      </c>
      <c r="B8" s="7">
        <f t="shared" si="0"/>
        <v>7</v>
      </c>
      <c r="C8" s="8">
        <v>12</v>
      </c>
      <c r="D8" s="7">
        <v>2021</v>
      </c>
      <c r="E8" s="9">
        <f>'Macao Daily'!D11</f>
        <v>34028</v>
      </c>
      <c r="F8" s="31">
        <v>1.2029000000000001</v>
      </c>
      <c r="G8" s="9">
        <f>'Macao Daily'!F11</f>
        <v>216.3548387096962</v>
      </c>
      <c r="H8" s="31">
        <v>10.7</v>
      </c>
      <c r="I8" s="9">
        <f>'Macao Daily'!H11</f>
        <v>25383</v>
      </c>
      <c r="J8" s="31">
        <v>0.21</v>
      </c>
      <c r="K8" s="9">
        <f>'Macao Daily'!J11</f>
        <v>197.13278920878656</v>
      </c>
      <c r="L8" s="31">
        <v>7.7594000000000003</v>
      </c>
      <c r="M8" s="9">
        <f>'Macao Daily'!K11</f>
        <v>151</v>
      </c>
      <c r="N8" s="9">
        <f>'Macao Daily'!L11</f>
        <v>240</v>
      </c>
    </row>
    <row r="9" spans="1:14" ht="15" x14ac:dyDescent="0.25">
      <c r="A9" s="6" t="s">
        <v>13</v>
      </c>
      <c r="B9" s="7">
        <f t="shared" si="0"/>
        <v>8</v>
      </c>
      <c r="C9" s="8">
        <v>12</v>
      </c>
      <c r="D9" s="7">
        <v>2021</v>
      </c>
      <c r="E9" s="9">
        <f>'Macao Daily'!D12</f>
        <v>34604</v>
      </c>
      <c r="F9" s="31">
        <v>1.2029000000000001</v>
      </c>
      <c r="G9" s="9">
        <f>'Macao Daily'!F12</f>
        <v>229.3548387096962</v>
      </c>
      <c r="H9" s="31">
        <v>10.7</v>
      </c>
      <c r="I9" s="9">
        <f>'Macao Daily'!H12</f>
        <v>30820</v>
      </c>
      <c r="J9" s="31">
        <v>0.21</v>
      </c>
      <c r="K9" s="9">
        <f>'Macao Daily'!J12</f>
        <v>198.01346708205529</v>
      </c>
      <c r="L9" s="31">
        <v>7.7594000000000003</v>
      </c>
      <c r="M9" s="9">
        <f>'Macao Daily'!K12</f>
        <v>142</v>
      </c>
      <c r="N9" s="9">
        <f>'Macao Daily'!L12</f>
        <v>691</v>
      </c>
    </row>
    <row r="10" spans="1:14" ht="15" x14ac:dyDescent="0.25">
      <c r="A10" s="6" t="s">
        <v>13</v>
      </c>
      <c r="B10" s="7">
        <f t="shared" si="0"/>
        <v>9</v>
      </c>
      <c r="C10" s="8">
        <v>12</v>
      </c>
      <c r="D10" s="7">
        <v>2021</v>
      </c>
      <c r="E10" s="9">
        <f>'Macao Daily'!D13</f>
        <v>35486</v>
      </c>
      <c r="F10" s="31">
        <v>1.2029000000000001</v>
      </c>
      <c r="G10" s="9">
        <f>'Macao Daily'!F13</f>
        <v>214.3548387096962</v>
      </c>
      <c r="H10" s="31">
        <v>10.7</v>
      </c>
      <c r="I10" s="9">
        <f>'Macao Daily'!H13</f>
        <v>32907</v>
      </c>
      <c r="J10" s="31">
        <v>0.21</v>
      </c>
      <c r="K10" s="9">
        <f>'Macao Daily'!J13</f>
        <v>203.66834605764598</v>
      </c>
      <c r="L10" s="31">
        <v>7.7594000000000003</v>
      </c>
      <c r="M10" s="9">
        <f>'Macao Daily'!K13</f>
        <v>134</v>
      </c>
      <c r="N10" s="9">
        <f>'Macao Daily'!L13</f>
        <v>378</v>
      </c>
    </row>
    <row r="11" spans="1:14" ht="15" x14ac:dyDescent="0.25">
      <c r="A11" s="6" t="s">
        <v>13</v>
      </c>
      <c r="B11" s="7">
        <f t="shared" si="0"/>
        <v>10</v>
      </c>
      <c r="C11" s="8">
        <v>12</v>
      </c>
      <c r="D11" s="7">
        <v>2021</v>
      </c>
      <c r="E11" s="9">
        <f>'Macao Daily'!D14</f>
        <v>35499</v>
      </c>
      <c r="F11" s="31">
        <v>1.2029000000000001</v>
      </c>
      <c r="G11" s="9">
        <f>'Macao Daily'!F14</f>
        <v>235.3548387096962</v>
      </c>
      <c r="H11" s="31">
        <v>10.7</v>
      </c>
      <c r="I11" s="9">
        <f>'Macao Daily'!H14</f>
        <v>32343</v>
      </c>
      <c r="J11" s="31">
        <v>0.21</v>
      </c>
      <c r="K11" s="9">
        <f>'Macao Daily'!J14</f>
        <v>208.07173542398959</v>
      </c>
      <c r="L11" s="31">
        <v>7.7594000000000003</v>
      </c>
      <c r="M11" s="9">
        <f>'Macao Daily'!K14</f>
        <v>225</v>
      </c>
      <c r="N11" s="9">
        <f>'Macao Daily'!L14</f>
        <v>521</v>
      </c>
    </row>
    <row r="12" spans="1:14" ht="15" x14ac:dyDescent="0.25">
      <c r="A12" s="6" t="s">
        <v>13</v>
      </c>
      <c r="B12" s="7">
        <f t="shared" si="0"/>
        <v>11</v>
      </c>
      <c r="C12" s="8">
        <v>12</v>
      </c>
      <c r="D12" s="7">
        <v>2021</v>
      </c>
      <c r="E12" s="9">
        <f>'Macao Daily'!D15</f>
        <v>36069</v>
      </c>
      <c r="F12" s="31">
        <v>1.2029000000000001</v>
      </c>
      <c r="G12" s="9">
        <f>'Macao Daily'!F15</f>
        <v>253.3548387096962</v>
      </c>
      <c r="H12" s="31">
        <v>10.7</v>
      </c>
      <c r="I12" s="9">
        <f>'Macao Daily'!H15</f>
        <v>36336</v>
      </c>
      <c r="J12" s="31">
        <v>0.21</v>
      </c>
      <c r="K12" s="9">
        <f>'Macao Daily'!J15</f>
        <v>229.57881611841731</v>
      </c>
      <c r="L12" s="31">
        <v>7.7594000000000003</v>
      </c>
      <c r="M12" s="9">
        <f>'Macao Daily'!K15</f>
        <v>257</v>
      </c>
      <c r="N12" s="9">
        <f>'Macao Daily'!L15</f>
        <v>1034</v>
      </c>
    </row>
    <row r="13" spans="1:14" ht="15" x14ac:dyDescent="0.25">
      <c r="A13" s="6" t="s">
        <v>13</v>
      </c>
      <c r="B13" s="7">
        <f t="shared" si="0"/>
        <v>12</v>
      </c>
      <c r="C13" s="8">
        <v>12</v>
      </c>
      <c r="D13" s="7">
        <v>2021</v>
      </c>
      <c r="E13" s="9">
        <f>'Macao Daily'!D16</f>
        <v>34194</v>
      </c>
      <c r="F13" s="31">
        <v>1.2029000000000001</v>
      </c>
      <c r="G13" s="9">
        <f>'Macao Daily'!F16</f>
        <v>227.3548387096962</v>
      </c>
      <c r="H13" s="31">
        <v>10.7</v>
      </c>
      <c r="I13" s="9">
        <f>'Macao Daily'!H16</f>
        <v>34656</v>
      </c>
      <c r="J13" s="31">
        <v>0.21</v>
      </c>
      <c r="K13" s="9">
        <f>'Macao Daily'!J16</f>
        <v>234.95558629184961</v>
      </c>
      <c r="L13" s="31">
        <v>7.7594000000000003</v>
      </c>
      <c r="M13" s="9">
        <f>'Macao Daily'!K16</f>
        <v>208</v>
      </c>
      <c r="N13" s="9">
        <f>'Macao Daily'!L16</f>
        <v>831</v>
      </c>
    </row>
    <row r="14" spans="1:14" ht="15" x14ac:dyDescent="0.25">
      <c r="A14" s="6" t="s">
        <v>13</v>
      </c>
      <c r="B14" s="7">
        <f t="shared" si="0"/>
        <v>13</v>
      </c>
      <c r="C14" s="8">
        <v>12</v>
      </c>
      <c r="D14" s="7">
        <v>2021</v>
      </c>
      <c r="E14" s="9">
        <f>'Macao Daily'!D17</f>
        <v>32744</v>
      </c>
      <c r="F14" s="31">
        <v>1.2029000000000001</v>
      </c>
      <c r="G14" s="9">
        <f>'Macao Daily'!F17</f>
        <v>216.3548387096962</v>
      </c>
      <c r="H14" s="31">
        <v>10.7</v>
      </c>
      <c r="I14" s="9">
        <f>'Macao Daily'!H17</f>
        <v>26633</v>
      </c>
      <c r="J14" s="31">
        <v>0.21</v>
      </c>
      <c r="K14" s="9">
        <f>'Macao Daily'!J17</f>
        <v>226.51961929537356</v>
      </c>
      <c r="L14" s="31">
        <v>7.7594000000000003</v>
      </c>
      <c r="M14" s="9">
        <f>'Macao Daily'!K17</f>
        <v>148</v>
      </c>
      <c r="N14" s="9">
        <f>'Macao Daily'!L17</f>
        <v>261</v>
      </c>
    </row>
    <row r="15" spans="1:14" ht="15" x14ac:dyDescent="0.25">
      <c r="A15" s="6" t="s">
        <v>13</v>
      </c>
      <c r="B15" s="7">
        <f t="shared" si="0"/>
        <v>14</v>
      </c>
      <c r="C15" s="8">
        <v>12</v>
      </c>
      <c r="D15" s="7">
        <v>2021</v>
      </c>
      <c r="E15" s="9">
        <f>'Macao Daily'!D18</f>
        <v>31914</v>
      </c>
      <c r="F15" s="31">
        <v>1.2029000000000001</v>
      </c>
      <c r="G15" s="9">
        <f>'Macao Daily'!F18</f>
        <v>197.3548387096962</v>
      </c>
      <c r="H15" s="31">
        <v>10.7</v>
      </c>
      <c r="I15" s="9">
        <f>'Macao Daily'!H18</f>
        <v>28102</v>
      </c>
      <c r="J15" s="31">
        <v>0.21</v>
      </c>
      <c r="K15" s="9">
        <f>'Macao Daily'!J18</f>
        <v>191.47791023319587</v>
      </c>
      <c r="L15" s="31">
        <v>7.7594000000000003</v>
      </c>
      <c r="M15" s="9">
        <f>'Macao Daily'!K18</f>
        <v>139</v>
      </c>
      <c r="N15" s="9">
        <f>'Macao Daily'!L18</f>
        <v>192</v>
      </c>
    </row>
    <row r="16" spans="1:14" ht="15" x14ac:dyDescent="0.25">
      <c r="A16" s="6" t="s">
        <v>13</v>
      </c>
      <c r="B16" s="7">
        <f t="shared" si="0"/>
        <v>15</v>
      </c>
      <c r="C16" s="8">
        <v>12</v>
      </c>
      <c r="D16" s="7">
        <v>2021</v>
      </c>
      <c r="E16" s="9">
        <f>'Macao Daily'!D19</f>
        <v>31988</v>
      </c>
      <c r="F16" s="31">
        <v>1.2029000000000001</v>
      </c>
      <c r="G16" s="9">
        <f>'Macao Daily'!F19</f>
        <v>197.3548387096962</v>
      </c>
      <c r="H16" s="31">
        <v>10.7</v>
      </c>
      <c r="I16" s="9">
        <f>'Macao Daily'!H19</f>
        <v>29930</v>
      </c>
      <c r="J16" s="31">
        <v>0.21</v>
      </c>
      <c r="K16" s="9">
        <f>'Macao Daily'!J19</f>
        <v>217.11027149157599</v>
      </c>
      <c r="L16" s="31">
        <v>7.7594000000000003</v>
      </c>
      <c r="M16" s="9">
        <f>'Macao Daily'!K19</f>
        <v>164</v>
      </c>
      <c r="N16" s="9">
        <f>'Macao Daily'!L19</f>
        <v>215</v>
      </c>
    </row>
    <row r="17" spans="1:14" ht="15" x14ac:dyDescent="0.25">
      <c r="A17" s="6" t="s">
        <v>13</v>
      </c>
      <c r="B17" s="7">
        <f t="shared" si="0"/>
        <v>16</v>
      </c>
      <c r="C17" s="8">
        <v>12</v>
      </c>
      <c r="D17" s="7">
        <v>2021</v>
      </c>
      <c r="E17" s="9">
        <f>'Macao Daily'!D20</f>
        <v>33042</v>
      </c>
      <c r="F17" s="31">
        <v>1.2029000000000001</v>
      </c>
      <c r="G17" s="9">
        <f>'Macao Daily'!F20</f>
        <v>208.3548387096962</v>
      </c>
      <c r="H17" s="31">
        <v>10.7</v>
      </c>
      <c r="I17" s="9">
        <f>'Macao Daily'!H20</f>
        <v>36875</v>
      </c>
      <c r="J17" s="31">
        <v>0.21</v>
      </c>
      <c r="K17" s="9">
        <f>'Macao Daily'!J20</f>
        <v>225.77799582318403</v>
      </c>
      <c r="L17" s="31">
        <v>7.7594000000000003</v>
      </c>
      <c r="M17" s="9">
        <f>'Macao Daily'!K20</f>
        <v>178</v>
      </c>
      <c r="N17" s="9">
        <f>'Macao Daily'!L20</f>
        <v>306</v>
      </c>
    </row>
    <row r="18" spans="1:14" ht="15" x14ac:dyDescent="0.25">
      <c r="A18" s="6" t="s">
        <v>13</v>
      </c>
      <c r="B18" s="7">
        <f t="shared" si="0"/>
        <v>17</v>
      </c>
      <c r="C18" s="8">
        <v>12</v>
      </c>
      <c r="D18" s="7">
        <v>2021</v>
      </c>
      <c r="E18" s="9">
        <f>'Macao Daily'!D21</f>
        <v>34544</v>
      </c>
      <c r="F18" s="31">
        <v>1.2029000000000001</v>
      </c>
      <c r="G18" s="9">
        <f>'Macao Daily'!F21</f>
        <v>215.3548387096962</v>
      </c>
      <c r="H18" s="31">
        <v>10.7</v>
      </c>
      <c r="I18" s="9">
        <f>'Macao Daily'!H21</f>
        <v>35523</v>
      </c>
      <c r="J18" s="31">
        <v>0.21</v>
      </c>
      <c r="K18" s="9">
        <f>'Macao Daily'!J21</f>
        <v>238.33924338384531</v>
      </c>
      <c r="L18" s="31">
        <v>7.7594000000000003</v>
      </c>
      <c r="M18" s="9">
        <f>'Macao Daily'!K21</f>
        <v>191</v>
      </c>
      <c r="N18" s="9">
        <f>'Macao Daily'!L21</f>
        <v>505</v>
      </c>
    </row>
    <row r="19" spans="1:14" ht="15" x14ac:dyDescent="0.25">
      <c r="A19" s="6" t="s">
        <v>13</v>
      </c>
      <c r="B19" s="7">
        <f t="shared" si="0"/>
        <v>18</v>
      </c>
      <c r="C19" s="8">
        <v>12</v>
      </c>
      <c r="D19" s="7">
        <v>2021</v>
      </c>
      <c r="E19" s="9">
        <f>'Macao Daily'!D22</f>
        <v>36032</v>
      </c>
      <c r="F19" s="31">
        <v>1.2029000000000001</v>
      </c>
      <c r="G19" s="9">
        <f>'Macao Daily'!F22</f>
        <v>241.3548387096962</v>
      </c>
      <c r="H19" s="31">
        <v>10.7</v>
      </c>
      <c r="I19" s="9">
        <f>'Macao Daily'!H22</f>
        <v>26367</v>
      </c>
      <c r="J19" s="31">
        <v>0.21</v>
      </c>
      <c r="K19" s="9">
        <f>'Macao Daily'!J22</f>
        <v>249.13913519796915</v>
      </c>
      <c r="L19" s="31">
        <v>7.7594000000000003</v>
      </c>
      <c r="M19" s="9">
        <f>'Macao Daily'!K22</f>
        <v>229</v>
      </c>
      <c r="N19" s="9">
        <f>'Macao Daily'!L22</f>
        <v>888</v>
      </c>
    </row>
    <row r="20" spans="1:14" ht="15" x14ac:dyDescent="0.25">
      <c r="A20" s="6" t="s">
        <v>13</v>
      </c>
      <c r="B20" s="7">
        <f t="shared" si="0"/>
        <v>19</v>
      </c>
      <c r="C20" s="8">
        <v>12</v>
      </c>
      <c r="D20" s="7">
        <v>2021</v>
      </c>
      <c r="E20" s="9">
        <f>'Macao Daily'!D23</f>
        <v>35653</v>
      </c>
      <c r="F20" s="31">
        <v>1.2029000000000001</v>
      </c>
      <c r="G20" s="9">
        <f>'Macao Daily'!F23</f>
        <v>241.3548387096962</v>
      </c>
      <c r="H20" s="31">
        <v>10.7</v>
      </c>
      <c r="I20" s="9">
        <f>'Macao Daily'!H23</f>
        <v>21860</v>
      </c>
      <c r="J20" s="31">
        <v>0.21</v>
      </c>
      <c r="K20" s="9">
        <f>'Macao Daily'!J23</f>
        <v>259.66091821016744</v>
      </c>
      <c r="L20" s="31">
        <v>7.7594000000000003</v>
      </c>
      <c r="M20" s="9">
        <f>'Macao Daily'!K23</f>
        <v>242</v>
      </c>
      <c r="N20" s="9">
        <f>'Macao Daily'!L23</f>
        <v>870</v>
      </c>
    </row>
    <row r="21" spans="1:14" ht="15" x14ac:dyDescent="0.25">
      <c r="A21" s="6" t="s">
        <v>13</v>
      </c>
      <c r="B21" s="7">
        <f t="shared" si="0"/>
        <v>20</v>
      </c>
      <c r="C21" s="8">
        <v>12</v>
      </c>
      <c r="D21" s="7">
        <v>2021</v>
      </c>
      <c r="E21" s="9">
        <f>'Macao Daily'!D24</f>
        <v>32691</v>
      </c>
      <c r="F21" s="31">
        <v>1.2029000000000001</v>
      </c>
      <c r="G21" s="9">
        <f>'Macao Daily'!F24</f>
        <v>219.3548387096962</v>
      </c>
      <c r="H21" s="31">
        <v>10.7</v>
      </c>
      <c r="I21" s="9">
        <f>'Macao Daily'!H24</f>
        <v>21187</v>
      </c>
      <c r="J21" s="31">
        <v>0.21</v>
      </c>
      <c r="K21" s="9">
        <f>'Macao Daily'!J24</f>
        <v>277.59893594449386</v>
      </c>
      <c r="L21" s="31">
        <v>7.7594000000000003</v>
      </c>
      <c r="M21" s="9">
        <f>'Macao Daily'!K24</f>
        <v>214</v>
      </c>
      <c r="N21" s="9">
        <f>'Macao Daily'!L24</f>
        <v>542</v>
      </c>
    </row>
    <row r="22" spans="1:14" ht="15" x14ac:dyDescent="0.25">
      <c r="A22" s="6" t="s">
        <v>13</v>
      </c>
      <c r="B22" s="7">
        <f t="shared" si="0"/>
        <v>21</v>
      </c>
      <c r="C22" s="8">
        <v>12</v>
      </c>
      <c r="D22" s="7">
        <v>2021</v>
      </c>
      <c r="E22" s="9">
        <f>'Macao Daily'!D25</f>
        <v>32715</v>
      </c>
      <c r="F22" s="31">
        <v>1.2029000000000001</v>
      </c>
      <c r="G22" s="9">
        <f>'Macao Daily'!F25</f>
        <v>198.3548387096962</v>
      </c>
      <c r="H22" s="31">
        <v>10.7</v>
      </c>
      <c r="I22" s="9">
        <f>'Macao Daily'!H25</f>
        <v>21203</v>
      </c>
      <c r="J22" s="31">
        <v>0.21</v>
      </c>
      <c r="K22" s="9">
        <f>'Macao Daily'!J25</f>
        <v>217.66648909589276</v>
      </c>
      <c r="L22" s="31">
        <v>7.7594000000000003</v>
      </c>
      <c r="M22" s="9">
        <f>'Macao Daily'!K25</f>
        <v>199</v>
      </c>
      <c r="N22" s="9">
        <f>'Macao Daily'!L25</f>
        <v>430</v>
      </c>
    </row>
    <row r="23" spans="1:14" ht="15" x14ac:dyDescent="0.25">
      <c r="A23" s="6" t="s">
        <v>13</v>
      </c>
      <c r="B23" s="7">
        <f t="shared" si="0"/>
        <v>22</v>
      </c>
      <c r="C23" s="8">
        <v>12</v>
      </c>
      <c r="D23" s="7">
        <v>2021</v>
      </c>
      <c r="E23" s="9">
        <f>'Macao Daily'!D26</f>
        <v>32602</v>
      </c>
      <c r="F23" s="31">
        <v>1.2029000000000001</v>
      </c>
      <c r="G23" s="9">
        <f>'Macao Daily'!F26</f>
        <v>204.3548387096962</v>
      </c>
      <c r="H23" s="31">
        <v>10.7</v>
      </c>
      <c r="I23" s="9">
        <f>'Macao Daily'!H26</f>
        <v>24399</v>
      </c>
      <c r="J23" s="31">
        <v>0.21</v>
      </c>
      <c r="K23" s="9">
        <f>'Macao Daily'!J26</f>
        <v>210.52836317569017</v>
      </c>
      <c r="L23" s="31">
        <v>7.7594000000000003</v>
      </c>
      <c r="M23" s="9">
        <f>'Macao Daily'!K26</f>
        <v>239</v>
      </c>
      <c r="N23" s="9">
        <f>'Macao Daily'!L26</f>
        <v>380</v>
      </c>
    </row>
    <row r="24" spans="1:14" ht="15" x14ac:dyDescent="0.25">
      <c r="A24" s="6" t="s">
        <v>13</v>
      </c>
      <c r="B24" s="7">
        <f t="shared" si="0"/>
        <v>23</v>
      </c>
      <c r="C24" s="8">
        <v>12</v>
      </c>
      <c r="D24" s="7">
        <v>2021</v>
      </c>
      <c r="E24" s="9">
        <f>'Macao Daily'!D27</f>
        <v>34246</v>
      </c>
      <c r="F24" s="31">
        <v>1.2029000000000001</v>
      </c>
      <c r="G24" s="9">
        <f>'Macao Daily'!F27</f>
        <v>230.3548387096962</v>
      </c>
      <c r="H24" s="31">
        <v>10.7</v>
      </c>
      <c r="I24" s="9">
        <f>'Macao Daily'!H27</f>
        <v>27961</v>
      </c>
      <c r="J24" s="31">
        <v>0.21</v>
      </c>
      <c r="K24" s="9">
        <f>'Macao Daily'!J27</f>
        <v>234.67747748992406</v>
      </c>
      <c r="L24" s="31">
        <v>7.7594000000000003</v>
      </c>
      <c r="M24" s="9">
        <f>'Macao Daily'!K27</f>
        <v>268</v>
      </c>
      <c r="N24" s="9">
        <f>'Macao Daily'!L27</f>
        <v>784</v>
      </c>
    </row>
    <row r="25" spans="1:14" ht="15" x14ac:dyDescent="0.25">
      <c r="A25" s="6" t="s">
        <v>13</v>
      </c>
      <c r="B25" s="7">
        <f t="shared" si="0"/>
        <v>24</v>
      </c>
      <c r="C25" s="8">
        <v>12</v>
      </c>
      <c r="D25" s="7">
        <v>2021</v>
      </c>
      <c r="E25" s="9">
        <f>'Macao Daily'!D28</f>
        <v>35069</v>
      </c>
      <c r="F25" s="31">
        <v>1.2029000000000001</v>
      </c>
      <c r="G25" s="9">
        <f>'Macao Daily'!F28</f>
        <v>240.3548387096962</v>
      </c>
      <c r="H25" s="31">
        <v>10.7</v>
      </c>
      <c r="I25" s="9">
        <f>'Macao Daily'!H28</f>
        <v>30164</v>
      </c>
      <c r="J25" s="31">
        <v>0.21</v>
      </c>
      <c r="K25" s="9">
        <f>'Macao Daily'!J28</f>
        <v>246.49710157839581</v>
      </c>
      <c r="L25" s="31">
        <v>7.7594000000000003</v>
      </c>
      <c r="M25" s="9">
        <f>'Macao Daily'!K28</f>
        <v>337</v>
      </c>
      <c r="N25" s="9">
        <f>'Macao Daily'!L28</f>
        <v>890</v>
      </c>
    </row>
    <row r="26" spans="1:14" ht="15" x14ac:dyDescent="0.25">
      <c r="A26" s="6" t="s">
        <v>13</v>
      </c>
      <c r="B26" s="7">
        <f>B25+1</f>
        <v>25</v>
      </c>
      <c r="C26" s="8">
        <v>12</v>
      </c>
      <c r="D26" s="7">
        <v>2021</v>
      </c>
      <c r="E26" s="9">
        <f>'Macao Daily'!D29</f>
        <v>33917</v>
      </c>
      <c r="F26" s="31">
        <v>1.2029000000000001</v>
      </c>
      <c r="G26" s="9">
        <f>'Macao Daily'!F29</f>
        <v>241.3548387096962</v>
      </c>
      <c r="H26" s="31">
        <v>10.7</v>
      </c>
      <c r="I26" s="9">
        <f>'Macao Daily'!H29</f>
        <v>26836</v>
      </c>
      <c r="J26" s="31">
        <v>0.21</v>
      </c>
      <c r="K26" s="9">
        <f>'Macao Daily'!J29</f>
        <v>243.48425622237846</v>
      </c>
      <c r="L26" s="31">
        <v>7.7594000000000003</v>
      </c>
      <c r="M26" s="9">
        <f>'Macao Daily'!K29</f>
        <v>349</v>
      </c>
      <c r="N26" s="9">
        <f>'Macao Daily'!L29</f>
        <v>1000</v>
      </c>
    </row>
    <row r="27" spans="1:14" ht="15" x14ac:dyDescent="0.25">
      <c r="A27" s="6" t="s">
        <v>13</v>
      </c>
      <c r="B27" s="7">
        <f t="shared" si="0"/>
        <v>26</v>
      </c>
      <c r="C27" s="8">
        <v>12</v>
      </c>
      <c r="D27" s="7">
        <v>2021</v>
      </c>
      <c r="E27" s="9">
        <f>'Macao Daily'!D30</f>
        <v>33328</v>
      </c>
      <c r="F27" s="31">
        <v>1.2029000000000001</v>
      </c>
      <c r="G27" s="9">
        <f>'Macao Daily'!F30</f>
        <v>236.3548387096962</v>
      </c>
      <c r="H27" s="31">
        <v>10.7</v>
      </c>
      <c r="I27" s="9">
        <f>'Macao Daily'!H30</f>
        <v>20828</v>
      </c>
      <c r="J27" s="31">
        <v>0.21</v>
      </c>
      <c r="K27" s="9">
        <f>'Macao Daily'!J30</f>
        <v>231.98909240309149</v>
      </c>
      <c r="L27" s="31">
        <v>7.7594000000000003</v>
      </c>
      <c r="M27" s="9">
        <f>'Macao Daily'!K30</f>
        <v>227</v>
      </c>
      <c r="N27" s="9">
        <f>'Macao Daily'!L30</f>
        <v>1054</v>
      </c>
    </row>
    <row r="28" spans="1:14" ht="15" x14ac:dyDescent="0.25">
      <c r="A28" s="6" t="s">
        <v>13</v>
      </c>
      <c r="B28" s="7">
        <f t="shared" si="0"/>
        <v>27</v>
      </c>
      <c r="C28" s="8">
        <v>12</v>
      </c>
      <c r="D28" s="7">
        <v>2021</v>
      </c>
      <c r="E28" s="9">
        <f>'Macao Daily'!D31</f>
        <v>34159</v>
      </c>
      <c r="F28" s="31">
        <v>1.2029000000000001</v>
      </c>
      <c r="G28" s="9">
        <f>'Macao Daily'!F31</f>
        <v>236.3548387096962</v>
      </c>
      <c r="H28" s="31">
        <v>10.7</v>
      </c>
      <c r="I28" s="9">
        <f>'Macao Daily'!H31</f>
        <v>16679</v>
      </c>
      <c r="J28" s="31">
        <v>0.21</v>
      </c>
      <c r="K28" s="9">
        <f>'Macao Daily'!J31</f>
        <v>236.71694203838706</v>
      </c>
      <c r="L28" s="31">
        <v>7.7594000000000003</v>
      </c>
      <c r="M28" s="9">
        <f>'Macao Daily'!K31</f>
        <v>241</v>
      </c>
      <c r="N28" s="9">
        <f>'Macao Daily'!L31</f>
        <v>552</v>
      </c>
    </row>
    <row r="29" spans="1:14" ht="15" x14ac:dyDescent="0.25">
      <c r="A29" s="6" t="s">
        <v>13</v>
      </c>
      <c r="B29" s="7">
        <f t="shared" si="0"/>
        <v>28</v>
      </c>
      <c r="C29" s="8">
        <v>12</v>
      </c>
      <c r="D29" s="7">
        <v>2021</v>
      </c>
      <c r="E29" s="9">
        <f>'Macao Daily'!D32</f>
        <v>32982</v>
      </c>
      <c r="F29" s="31">
        <v>1.2029000000000001</v>
      </c>
      <c r="G29" s="9">
        <f>'Macao Daily'!F32</f>
        <v>229.3548387096962</v>
      </c>
      <c r="H29" s="31">
        <v>10.7</v>
      </c>
      <c r="I29" s="9">
        <f>'Macao Daily'!H32</f>
        <v>16039</v>
      </c>
      <c r="J29" s="31">
        <v>0.21</v>
      </c>
      <c r="K29" s="9">
        <f>'Macao Daily'!J32</f>
        <v>237.22680817567743</v>
      </c>
      <c r="L29" s="31">
        <v>7.7594000000000003</v>
      </c>
      <c r="M29" s="9">
        <f>'Macao Daily'!K32</f>
        <v>196</v>
      </c>
      <c r="N29" s="9">
        <f>'Macao Daily'!L32</f>
        <v>404</v>
      </c>
    </row>
    <row r="30" spans="1:14" ht="15" x14ac:dyDescent="0.25">
      <c r="A30" s="6" t="s">
        <v>13</v>
      </c>
      <c r="B30" s="7">
        <f t="shared" si="0"/>
        <v>29</v>
      </c>
      <c r="C30" s="8">
        <v>12</v>
      </c>
      <c r="D30" s="7">
        <v>2021</v>
      </c>
      <c r="E30" s="9">
        <f>'Macao Daily'!D33</f>
        <v>32477</v>
      </c>
      <c r="F30" s="31">
        <v>1.2029000000000001</v>
      </c>
      <c r="G30" s="9">
        <f>'Macao Daily'!F33</f>
        <v>228.3548387096962</v>
      </c>
      <c r="H30" s="31">
        <v>10.7</v>
      </c>
      <c r="I30" s="9">
        <f>'Macao Daily'!H33</f>
        <v>18743</v>
      </c>
      <c r="J30" s="31">
        <v>0.21</v>
      </c>
      <c r="K30" s="9">
        <f>'Macao Daily'!J33</f>
        <v>219.14973604027182</v>
      </c>
      <c r="L30" s="31">
        <v>7.7594000000000003</v>
      </c>
      <c r="M30" s="9">
        <f>'Macao Daily'!K33</f>
        <v>186</v>
      </c>
      <c r="N30" s="9">
        <f>'Macao Daily'!L33</f>
        <v>405</v>
      </c>
    </row>
    <row r="31" spans="1:14" ht="15" x14ac:dyDescent="0.25">
      <c r="A31" s="6" t="s">
        <v>13</v>
      </c>
      <c r="B31" s="7">
        <f t="shared" si="0"/>
        <v>30</v>
      </c>
      <c r="C31" s="8">
        <v>12</v>
      </c>
      <c r="D31" s="7">
        <v>2021</v>
      </c>
      <c r="E31" s="9">
        <f>'Macao Daily'!D34</f>
        <v>33124</v>
      </c>
      <c r="F31" s="31">
        <v>1.2029000000000001</v>
      </c>
      <c r="G31" s="9">
        <f>'Macao Daily'!F34</f>
        <v>233.3548387096962</v>
      </c>
      <c r="H31" s="31">
        <v>10.7</v>
      </c>
      <c r="I31" s="9">
        <f>'Macao Daily'!H34</f>
        <v>20726</v>
      </c>
      <c r="J31" s="31">
        <v>0.21</v>
      </c>
      <c r="K31" s="9">
        <f>'Macao Daily'!J34</f>
        <v>228.09556917380542</v>
      </c>
      <c r="L31" s="31">
        <v>7.7594000000000003</v>
      </c>
      <c r="M31" s="9">
        <f>'Macao Daily'!K34</f>
        <v>241</v>
      </c>
      <c r="N31" s="9">
        <f>'Macao Daily'!L34</f>
        <v>449</v>
      </c>
    </row>
    <row r="32" spans="1:14" ht="15" x14ac:dyDescent="0.25">
      <c r="A32" s="6" t="s">
        <v>13</v>
      </c>
      <c r="B32" s="7">
        <f t="shared" si="0"/>
        <v>31</v>
      </c>
      <c r="C32" s="8">
        <v>12</v>
      </c>
      <c r="D32" s="7">
        <v>2021</v>
      </c>
      <c r="E32" s="9">
        <f>'Macao Daily'!D35</f>
        <v>34114</v>
      </c>
      <c r="F32" s="31">
        <v>1.2029000000000001</v>
      </c>
      <c r="G32" s="9">
        <f>'Macao Daily'!F35</f>
        <v>243.3548387096962</v>
      </c>
      <c r="H32" s="31">
        <v>10.7</v>
      </c>
      <c r="I32" s="9">
        <f>'Macao Daily'!H35</f>
        <v>20180</v>
      </c>
      <c r="J32" s="31">
        <v>0.21</v>
      </c>
      <c r="K32" s="9">
        <f>'Macao Daily'!J35</f>
        <v>236.90234790649265</v>
      </c>
      <c r="L32" s="31">
        <v>7.7594000000000003</v>
      </c>
      <c r="M32" s="9">
        <f>'Macao Daily'!K35</f>
        <v>341</v>
      </c>
      <c r="N32" s="9">
        <f>'Macao Daily'!L35</f>
        <v>762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44"/>
  <sheetViews>
    <sheetView topLeftCell="A25" zoomScale="85" zoomScaleNormal="85" workbookViewId="0">
      <pane xSplit="1" topLeftCell="B1" activePane="topRight" state="frozen"/>
      <selection pane="topRight" activeCell="J25" sqref="J1:J1048576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26" bestFit="1" customWidth="1"/>
    <col min="4" max="4" width="13.5703125" style="27" customWidth="1"/>
    <col min="5" max="5" width="14.85546875" style="13" customWidth="1"/>
    <col min="6" max="8" width="14.85546875" style="26" customWidth="1"/>
    <col min="9" max="9" width="11.7109375" style="13" customWidth="1"/>
    <col min="10" max="10" width="12.5703125" style="13" customWidth="1"/>
    <col min="11" max="12" width="13" style="28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7"/>
      <c r="C1" s="10"/>
      <c r="D1" s="11"/>
      <c r="E1" s="10"/>
      <c r="F1" s="10"/>
      <c r="G1" s="10"/>
      <c r="H1" s="10"/>
      <c r="I1" s="39"/>
      <c r="J1" s="39"/>
      <c r="K1" s="12"/>
      <c r="L1" s="12"/>
    </row>
    <row r="2" spans="1:12" ht="35.25" customHeight="1" thickBot="1" x14ac:dyDescent="0.3">
      <c r="A2" s="14" t="s">
        <v>14</v>
      </c>
      <c r="B2" s="38"/>
      <c r="C2" s="40" t="s">
        <v>15</v>
      </c>
      <c r="D2" s="41"/>
      <c r="E2" s="42" t="s">
        <v>16</v>
      </c>
      <c r="F2" s="42"/>
      <c r="G2" s="45" t="s">
        <v>17</v>
      </c>
      <c r="H2" s="46"/>
      <c r="I2" s="43" t="s">
        <v>18</v>
      </c>
      <c r="J2" s="44"/>
      <c r="K2" s="15"/>
      <c r="L2" s="15"/>
    </row>
    <row r="3" spans="1:12" ht="44.25" customHeight="1" x14ac:dyDescent="0.25">
      <c r="A3" s="16" t="s">
        <v>19</v>
      </c>
      <c r="B3" s="38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s="23" customFormat="1" ht="35.25" customHeight="1" x14ac:dyDescent="0.25">
      <c r="A4" s="22">
        <v>44530</v>
      </c>
      <c r="B4" s="38"/>
      <c r="C4" s="35">
        <v>33051847</v>
      </c>
      <c r="D4" s="25"/>
      <c r="E4" s="35">
        <v>573953.99999999534</v>
      </c>
      <c r="F4" s="25"/>
      <c r="G4" s="35">
        <v>111114901</v>
      </c>
      <c r="H4" s="25"/>
      <c r="I4" s="36">
        <v>1074581.4740851349</v>
      </c>
      <c r="J4" s="33"/>
      <c r="K4" s="34">
        <v>138</v>
      </c>
      <c r="L4" s="34">
        <v>238</v>
      </c>
    </row>
    <row r="5" spans="1:12" ht="33" customHeight="1" x14ac:dyDescent="0.25">
      <c r="A5" s="24">
        <v>44531</v>
      </c>
      <c r="B5" s="38"/>
      <c r="C5" s="35">
        <v>33083913</v>
      </c>
      <c r="D5" s="25">
        <f t="shared" ref="D5:D19" si="0">IF((C5-C4&lt;0), "0",C5-C4)</f>
        <v>32066</v>
      </c>
      <c r="E5" s="35">
        <v>574157.35483870504</v>
      </c>
      <c r="F5" s="25">
        <f>IF((E5-E4&lt;0), "0",E5-E4)</f>
        <v>203.3548387096962</v>
      </c>
      <c r="G5" s="35">
        <v>111135838</v>
      </c>
      <c r="H5" s="25">
        <f>IF((G5-G4&lt;0), "0",G5-G4)</f>
        <v>20937</v>
      </c>
      <c r="I5" s="12">
        <v>1074779.6266066181</v>
      </c>
      <c r="J5" s="33">
        <f>IF((I5-I4&lt;0), "0",I5-I4)</f>
        <v>198.15252148313448</v>
      </c>
      <c r="K5" s="34">
        <v>154</v>
      </c>
      <c r="L5" s="34">
        <v>235</v>
      </c>
    </row>
    <row r="6" spans="1:12" ht="45" customHeight="1" x14ac:dyDescent="0.25">
      <c r="A6" s="24">
        <v>44532</v>
      </c>
      <c r="B6" s="38"/>
      <c r="C6" s="35">
        <v>33117347</v>
      </c>
      <c r="D6" s="25">
        <f t="shared" si="0"/>
        <v>33434</v>
      </c>
      <c r="E6" s="35">
        <v>574377.70967741474</v>
      </c>
      <c r="F6" s="25">
        <f t="shared" ref="F6:F19" si="1">IF((E6-E5&lt;0), "0",E6-E5)</f>
        <v>220.3548387096962</v>
      </c>
      <c r="G6" s="35">
        <v>111157354</v>
      </c>
      <c r="H6" s="25">
        <f t="shared" ref="H6:H32" si="2">IF((G6-G5&lt;0), "0",G6-G5)</f>
        <v>21516</v>
      </c>
      <c r="I6" s="12">
        <v>1074999.1471543945</v>
      </c>
      <c r="J6" s="33">
        <f t="shared" ref="J6:J32" si="3">IF((I6-I5&lt;0), "0",I6-I5)</f>
        <v>219.520547776483</v>
      </c>
      <c r="K6" s="34">
        <v>186</v>
      </c>
      <c r="L6" s="34">
        <v>432</v>
      </c>
    </row>
    <row r="7" spans="1:12" ht="45" customHeight="1" x14ac:dyDescent="0.25">
      <c r="A7" s="24">
        <v>44533</v>
      </c>
      <c r="B7" s="38"/>
      <c r="C7" s="35">
        <v>33153023</v>
      </c>
      <c r="D7" s="25">
        <f t="shared" si="0"/>
        <v>35676</v>
      </c>
      <c r="E7" s="35">
        <v>574630.06451612443</v>
      </c>
      <c r="F7" s="25">
        <f t="shared" si="1"/>
        <v>252.3548387096962</v>
      </c>
      <c r="G7" s="35">
        <v>111183292</v>
      </c>
      <c r="H7" s="25">
        <f t="shared" si="2"/>
        <v>25938</v>
      </c>
      <c r="I7" s="12">
        <v>1075227.1036691675</v>
      </c>
      <c r="J7" s="33">
        <f t="shared" si="3"/>
        <v>227.95651477295905</v>
      </c>
      <c r="K7" s="34">
        <v>244</v>
      </c>
      <c r="L7" s="34">
        <v>821</v>
      </c>
    </row>
    <row r="8" spans="1:12" ht="45" customHeight="1" x14ac:dyDescent="0.25">
      <c r="A8" s="24">
        <v>44534</v>
      </c>
      <c r="B8" s="38"/>
      <c r="C8" s="35">
        <v>33187846</v>
      </c>
      <c r="D8" s="25">
        <f t="shared" si="0"/>
        <v>34823</v>
      </c>
      <c r="E8" s="35">
        <v>574861.41935483413</v>
      </c>
      <c r="F8" s="25">
        <f t="shared" si="1"/>
        <v>231.3548387096962</v>
      </c>
      <c r="G8" s="35">
        <v>111206096</v>
      </c>
      <c r="H8" s="25">
        <f t="shared" si="2"/>
        <v>22804</v>
      </c>
      <c r="I8" s="12">
        <v>1075466.4626448257</v>
      </c>
      <c r="J8" s="33">
        <f t="shared" si="3"/>
        <v>239.35897565819323</v>
      </c>
      <c r="K8" s="34">
        <v>286</v>
      </c>
      <c r="L8" s="34">
        <v>776</v>
      </c>
    </row>
    <row r="9" spans="1:12" ht="45" customHeight="1" x14ac:dyDescent="0.25">
      <c r="A9" s="24">
        <v>44535</v>
      </c>
      <c r="B9" s="38"/>
      <c r="C9" s="35">
        <v>33219797</v>
      </c>
      <c r="D9" s="25">
        <f t="shared" si="0"/>
        <v>31951</v>
      </c>
      <c r="E9" s="35">
        <v>575083.77419354382</v>
      </c>
      <c r="F9" s="25">
        <f t="shared" si="1"/>
        <v>222.3548387096962</v>
      </c>
      <c r="G9" s="35">
        <v>111228792</v>
      </c>
      <c r="H9" s="25">
        <f t="shared" si="2"/>
        <v>22696</v>
      </c>
      <c r="I9" s="12">
        <v>1075701.3718796505</v>
      </c>
      <c r="J9" s="33">
        <f t="shared" si="3"/>
        <v>234.90923482482322</v>
      </c>
      <c r="K9" s="34">
        <v>205</v>
      </c>
      <c r="L9" s="34">
        <v>664</v>
      </c>
    </row>
    <row r="10" spans="1:12" ht="45" customHeight="1" x14ac:dyDescent="0.25">
      <c r="A10" s="24">
        <v>44536</v>
      </c>
      <c r="B10" s="38"/>
      <c r="C10" s="35">
        <v>33252305</v>
      </c>
      <c r="D10" s="25">
        <f t="shared" si="0"/>
        <v>32508</v>
      </c>
      <c r="E10" s="35">
        <v>575296.12903225352</v>
      </c>
      <c r="F10" s="25">
        <f t="shared" si="1"/>
        <v>212.3548387096962</v>
      </c>
      <c r="G10" s="35">
        <v>111251893</v>
      </c>
      <c r="H10" s="25">
        <f t="shared" si="2"/>
        <v>23101</v>
      </c>
      <c r="I10" s="12">
        <v>1075911.4367281562</v>
      </c>
      <c r="J10" s="33">
        <f t="shared" si="3"/>
        <v>210.06484850565903</v>
      </c>
      <c r="K10" s="34">
        <v>174</v>
      </c>
      <c r="L10" s="34">
        <v>184</v>
      </c>
    </row>
    <row r="11" spans="1:12" ht="45" customHeight="1" x14ac:dyDescent="0.25">
      <c r="A11" s="24">
        <v>44537</v>
      </c>
      <c r="B11" s="38"/>
      <c r="C11" s="35">
        <v>33286333</v>
      </c>
      <c r="D11" s="25">
        <f t="shared" si="0"/>
        <v>34028</v>
      </c>
      <c r="E11" s="35">
        <v>575512.48387096322</v>
      </c>
      <c r="F11" s="25">
        <f t="shared" si="1"/>
        <v>216.3548387096962</v>
      </c>
      <c r="G11" s="35">
        <v>111277276</v>
      </c>
      <c r="H11" s="25">
        <f t="shared" si="2"/>
        <v>25383</v>
      </c>
      <c r="I11" s="12">
        <v>1076108.569517365</v>
      </c>
      <c r="J11" s="33">
        <f t="shared" si="3"/>
        <v>197.13278920878656</v>
      </c>
      <c r="K11" s="34">
        <v>151</v>
      </c>
      <c r="L11" s="34">
        <v>240</v>
      </c>
    </row>
    <row r="12" spans="1:12" ht="45" customHeight="1" x14ac:dyDescent="0.25">
      <c r="A12" s="24">
        <v>44538</v>
      </c>
      <c r="B12" s="38"/>
      <c r="C12" s="35">
        <v>33320937</v>
      </c>
      <c r="D12" s="25">
        <f t="shared" si="0"/>
        <v>34604</v>
      </c>
      <c r="E12" s="35">
        <v>575741.83870967291</v>
      </c>
      <c r="F12" s="25">
        <f t="shared" si="1"/>
        <v>229.3548387096962</v>
      </c>
      <c r="G12" s="35">
        <v>111308096</v>
      </c>
      <c r="H12" s="25">
        <f t="shared" si="2"/>
        <v>30820</v>
      </c>
      <c r="I12" s="12">
        <v>1076306.582984447</v>
      </c>
      <c r="J12" s="33">
        <f t="shared" si="3"/>
        <v>198.01346708205529</v>
      </c>
      <c r="K12" s="34">
        <v>142</v>
      </c>
      <c r="L12" s="34">
        <v>691</v>
      </c>
    </row>
    <row r="13" spans="1:12" ht="45" customHeight="1" x14ac:dyDescent="0.25">
      <c r="A13" s="24">
        <v>44539</v>
      </c>
      <c r="B13" s="38"/>
      <c r="C13" s="35">
        <v>33356423</v>
      </c>
      <c r="D13" s="25">
        <f t="shared" si="0"/>
        <v>35486</v>
      </c>
      <c r="E13" s="35">
        <v>575956.19354838261</v>
      </c>
      <c r="F13" s="25">
        <f t="shared" si="1"/>
        <v>214.3548387096962</v>
      </c>
      <c r="G13" s="35">
        <v>111341003</v>
      </c>
      <c r="H13" s="25">
        <f t="shared" si="2"/>
        <v>32907</v>
      </c>
      <c r="I13" s="12">
        <v>1076510.2513305047</v>
      </c>
      <c r="J13" s="33">
        <f t="shared" si="3"/>
        <v>203.66834605764598</v>
      </c>
      <c r="K13" s="34">
        <v>134</v>
      </c>
      <c r="L13" s="34">
        <v>378</v>
      </c>
    </row>
    <row r="14" spans="1:12" ht="45" customHeight="1" x14ac:dyDescent="0.25">
      <c r="A14" s="24">
        <v>44540</v>
      </c>
      <c r="B14" s="38"/>
      <c r="C14" s="35">
        <v>33391922</v>
      </c>
      <c r="D14" s="25">
        <f t="shared" si="0"/>
        <v>35499</v>
      </c>
      <c r="E14" s="35">
        <v>576191.54838709231</v>
      </c>
      <c r="F14" s="25">
        <f t="shared" si="1"/>
        <v>235.3548387096962</v>
      </c>
      <c r="G14" s="35">
        <v>111373346</v>
      </c>
      <c r="H14" s="25">
        <f t="shared" si="2"/>
        <v>32343</v>
      </c>
      <c r="I14" s="12">
        <v>1076718.3230659286</v>
      </c>
      <c r="J14" s="33">
        <f t="shared" si="3"/>
        <v>208.07173542398959</v>
      </c>
      <c r="K14" s="34">
        <v>225</v>
      </c>
      <c r="L14" s="34">
        <v>521</v>
      </c>
    </row>
    <row r="15" spans="1:12" ht="45" customHeight="1" x14ac:dyDescent="0.25">
      <c r="A15" s="24">
        <v>44541</v>
      </c>
      <c r="B15" s="38"/>
      <c r="C15" s="35">
        <v>33427991</v>
      </c>
      <c r="D15" s="25">
        <f t="shared" si="0"/>
        <v>36069</v>
      </c>
      <c r="E15" s="35">
        <v>576444.903225802</v>
      </c>
      <c r="F15" s="25">
        <f t="shared" si="1"/>
        <v>253.3548387096962</v>
      </c>
      <c r="G15" s="35">
        <v>111409682</v>
      </c>
      <c r="H15" s="25">
        <f t="shared" si="2"/>
        <v>36336</v>
      </c>
      <c r="I15" s="12">
        <v>1076947.9018820471</v>
      </c>
      <c r="J15" s="33">
        <f t="shared" si="3"/>
        <v>229.57881611841731</v>
      </c>
      <c r="K15" s="34">
        <v>257</v>
      </c>
      <c r="L15" s="34">
        <v>1034</v>
      </c>
    </row>
    <row r="16" spans="1:12" ht="45" customHeight="1" x14ac:dyDescent="0.25">
      <c r="A16" s="24">
        <v>44542</v>
      </c>
      <c r="B16" s="38"/>
      <c r="C16" s="35">
        <v>33462185</v>
      </c>
      <c r="D16" s="25">
        <f t="shared" si="0"/>
        <v>34194</v>
      </c>
      <c r="E16" s="35">
        <v>576672.2580645117</v>
      </c>
      <c r="F16" s="25">
        <f t="shared" si="1"/>
        <v>227.3548387096962</v>
      </c>
      <c r="G16" s="35">
        <v>111444338</v>
      </c>
      <c r="H16" s="25">
        <f t="shared" si="2"/>
        <v>34656</v>
      </c>
      <c r="I16" s="12">
        <v>1077182.8574683389</v>
      </c>
      <c r="J16" s="33">
        <f t="shared" si="3"/>
        <v>234.95558629184961</v>
      </c>
      <c r="K16" s="34">
        <v>208</v>
      </c>
      <c r="L16" s="34">
        <v>831</v>
      </c>
    </row>
    <row r="17" spans="1:12" ht="45" customHeight="1" x14ac:dyDescent="0.25">
      <c r="A17" s="24">
        <v>44543</v>
      </c>
      <c r="B17" s="38"/>
      <c r="C17" s="35">
        <v>33494929</v>
      </c>
      <c r="D17" s="25">
        <f t="shared" si="0"/>
        <v>32744</v>
      </c>
      <c r="E17" s="35">
        <v>576888.61290322139</v>
      </c>
      <c r="F17" s="25">
        <f t="shared" si="1"/>
        <v>216.3548387096962</v>
      </c>
      <c r="G17" s="35">
        <v>111470971</v>
      </c>
      <c r="H17" s="25">
        <f t="shared" si="2"/>
        <v>26633</v>
      </c>
      <c r="I17" s="12">
        <v>1077409.3770876343</v>
      </c>
      <c r="J17" s="33">
        <f t="shared" si="3"/>
        <v>226.51961929537356</v>
      </c>
      <c r="K17" s="34">
        <v>148</v>
      </c>
      <c r="L17" s="34">
        <v>261</v>
      </c>
    </row>
    <row r="18" spans="1:12" ht="45" customHeight="1" x14ac:dyDescent="0.25">
      <c r="A18" s="24">
        <v>44544</v>
      </c>
      <c r="B18" s="38"/>
      <c r="C18" s="35">
        <v>33526843</v>
      </c>
      <c r="D18" s="25">
        <f t="shared" si="0"/>
        <v>31914</v>
      </c>
      <c r="E18" s="35">
        <v>577085.96774193109</v>
      </c>
      <c r="F18" s="25">
        <f t="shared" si="1"/>
        <v>197.3548387096962</v>
      </c>
      <c r="G18" s="35">
        <v>111499073</v>
      </c>
      <c r="H18" s="25">
        <f t="shared" si="2"/>
        <v>28102</v>
      </c>
      <c r="I18" s="12">
        <v>1077600.8549978675</v>
      </c>
      <c r="J18" s="33">
        <f t="shared" si="3"/>
        <v>191.47791023319587</v>
      </c>
      <c r="K18" s="34">
        <v>139</v>
      </c>
      <c r="L18" s="34">
        <v>192</v>
      </c>
    </row>
    <row r="19" spans="1:12" ht="45" customHeight="1" x14ac:dyDescent="0.25">
      <c r="A19" s="24">
        <v>44545</v>
      </c>
      <c r="B19" s="38"/>
      <c r="C19" s="35">
        <v>33558831</v>
      </c>
      <c r="D19" s="25">
        <f t="shared" si="0"/>
        <v>31988</v>
      </c>
      <c r="E19" s="35">
        <v>577283.32258064079</v>
      </c>
      <c r="F19" s="25">
        <f t="shared" si="1"/>
        <v>197.3548387096962</v>
      </c>
      <c r="G19" s="35">
        <v>111529003</v>
      </c>
      <c r="H19" s="25">
        <f t="shared" si="2"/>
        <v>29930</v>
      </c>
      <c r="I19" s="12">
        <v>1077817.9652693591</v>
      </c>
      <c r="J19" s="33">
        <f t="shared" si="3"/>
        <v>217.11027149157599</v>
      </c>
      <c r="K19" s="34">
        <v>164</v>
      </c>
      <c r="L19" s="34">
        <v>215</v>
      </c>
    </row>
    <row r="20" spans="1:12" ht="45" customHeight="1" x14ac:dyDescent="0.25">
      <c r="A20" s="24">
        <v>44546</v>
      </c>
      <c r="B20" s="38"/>
      <c r="C20" s="35">
        <v>33591873</v>
      </c>
      <c r="D20" s="25">
        <f t="shared" ref="D20:D32" si="4">IF((C20-C19&lt;0), "0",C20-C19)</f>
        <v>33042</v>
      </c>
      <c r="E20" s="35">
        <v>577491.67741935048</v>
      </c>
      <c r="F20" s="25">
        <f t="shared" ref="F20:F32" si="5">IF((E20-E19&lt;0), "0",E20-E19)</f>
        <v>208.3548387096962</v>
      </c>
      <c r="G20" s="35">
        <v>111565878</v>
      </c>
      <c r="H20" s="25">
        <f t="shared" si="2"/>
        <v>36875</v>
      </c>
      <c r="I20" s="12">
        <v>1078043.7432651822</v>
      </c>
      <c r="J20" s="33">
        <f t="shared" si="3"/>
        <v>225.77799582318403</v>
      </c>
      <c r="K20" s="34">
        <v>178</v>
      </c>
      <c r="L20" s="34">
        <v>306</v>
      </c>
    </row>
    <row r="21" spans="1:12" ht="45" customHeight="1" x14ac:dyDescent="0.25">
      <c r="A21" s="24">
        <v>44547</v>
      </c>
      <c r="B21" s="38"/>
      <c r="C21" s="35">
        <v>33626417</v>
      </c>
      <c r="D21" s="25">
        <f t="shared" si="4"/>
        <v>34544</v>
      </c>
      <c r="E21" s="35">
        <v>577707.03225806018</v>
      </c>
      <c r="F21" s="25">
        <f t="shared" si="5"/>
        <v>215.3548387096962</v>
      </c>
      <c r="G21" s="35">
        <v>111601401</v>
      </c>
      <c r="H21" s="25">
        <f t="shared" si="2"/>
        <v>35523</v>
      </c>
      <c r="I21" s="12">
        <v>1078282.0825085661</v>
      </c>
      <c r="J21" s="33">
        <f t="shared" si="3"/>
        <v>238.33924338384531</v>
      </c>
      <c r="K21" s="34">
        <v>191</v>
      </c>
      <c r="L21" s="34">
        <v>505</v>
      </c>
    </row>
    <row r="22" spans="1:12" ht="45" customHeight="1" x14ac:dyDescent="0.25">
      <c r="A22" s="24">
        <v>44548</v>
      </c>
      <c r="B22" s="38"/>
      <c r="C22" s="35">
        <v>33662449</v>
      </c>
      <c r="D22" s="25">
        <f t="shared" si="4"/>
        <v>36032</v>
      </c>
      <c r="E22" s="35">
        <v>577948.38709676987</v>
      </c>
      <c r="F22" s="25">
        <f t="shared" si="5"/>
        <v>241.3548387096962</v>
      </c>
      <c r="G22" s="35">
        <v>111627768</v>
      </c>
      <c r="H22" s="25">
        <f t="shared" si="2"/>
        <v>26367</v>
      </c>
      <c r="I22" s="12">
        <v>1078531.2216437641</v>
      </c>
      <c r="J22" s="33">
        <f t="shared" si="3"/>
        <v>249.13913519796915</v>
      </c>
      <c r="K22" s="34">
        <v>229</v>
      </c>
      <c r="L22" s="34">
        <v>888</v>
      </c>
    </row>
    <row r="23" spans="1:12" ht="45" customHeight="1" x14ac:dyDescent="0.25">
      <c r="A23" s="24">
        <v>44549</v>
      </c>
      <c r="B23" s="38"/>
      <c r="C23" s="35">
        <v>33698102</v>
      </c>
      <c r="D23" s="25">
        <f t="shared" si="4"/>
        <v>35653</v>
      </c>
      <c r="E23" s="35">
        <v>578189.74193547957</v>
      </c>
      <c r="F23" s="25">
        <f t="shared" si="5"/>
        <v>241.3548387096962</v>
      </c>
      <c r="G23" s="35">
        <v>111649628</v>
      </c>
      <c r="H23" s="25">
        <f t="shared" si="2"/>
        <v>21860</v>
      </c>
      <c r="I23" s="12">
        <v>1078790.8825619742</v>
      </c>
      <c r="J23" s="33">
        <f t="shared" si="3"/>
        <v>259.66091821016744</v>
      </c>
      <c r="K23" s="34">
        <v>242</v>
      </c>
      <c r="L23" s="34">
        <v>870</v>
      </c>
    </row>
    <row r="24" spans="1:12" ht="45" customHeight="1" x14ac:dyDescent="0.25">
      <c r="A24" s="24">
        <v>44550</v>
      </c>
      <c r="B24" s="38"/>
      <c r="C24" s="35">
        <v>33730793</v>
      </c>
      <c r="D24" s="25">
        <f t="shared" si="4"/>
        <v>32691</v>
      </c>
      <c r="E24" s="35">
        <v>578409.09677418927</v>
      </c>
      <c r="F24" s="25">
        <f t="shared" si="5"/>
        <v>219.3548387096962</v>
      </c>
      <c r="G24" s="35">
        <v>111670815</v>
      </c>
      <c r="H24" s="25">
        <f t="shared" si="2"/>
        <v>21187</v>
      </c>
      <c r="I24" s="12">
        <v>1079068.4814979187</v>
      </c>
      <c r="J24" s="33">
        <f t="shared" si="3"/>
        <v>277.59893594449386</v>
      </c>
      <c r="K24" s="34">
        <v>214</v>
      </c>
      <c r="L24" s="34">
        <v>542</v>
      </c>
    </row>
    <row r="25" spans="1:12" ht="45" customHeight="1" x14ac:dyDescent="0.25">
      <c r="A25" s="24">
        <v>44551</v>
      </c>
      <c r="B25" s="38"/>
      <c r="C25" s="35">
        <v>33763508</v>
      </c>
      <c r="D25" s="25">
        <f t="shared" si="4"/>
        <v>32715</v>
      </c>
      <c r="E25" s="35">
        <v>578607.45161289896</v>
      </c>
      <c r="F25" s="25">
        <f t="shared" si="5"/>
        <v>198.3548387096962</v>
      </c>
      <c r="G25" s="35">
        <v>111692018</v>
      </c>
      <c r="H25" s="25">
        <f t="shared" si="2"/>
        <v>21203</v>
      </c>
      <c r="I25" s="12">
        <v>1079286.1479870146</v>
      </c>
      <c r="J25" s="33">
        <f t="shared" si="3"/>
        <v>217.66648909589276</v>
      </c>
      <c r="K25" s="34">
        <v>199</v>
      </c>
      <c r="L25" s="34">
        <v>430</v>
      </c>
    </row>
    <row r="26" spans="1:12" ht="45" customHeight="1" x14ac:dyDescent="0.25">
      <c r="A26" s="24">
        <v>44552</v>
      </c>
      <c r="B26" s="38"/>
      <c r="C26" s="35">
        <v>33796110</v>
      </c>
      <c r="D26" s="25">
        <f t="shared" si="4"/>
        <v>32602</v>
      </c>
      <c r="E26" s="35">
        <v>578811.80645160866</v>
      </c>
      <c r="F26" s="25">
        <f t="shared" si="5"/>
        <v>204.3548387096962</v>
      </c>
      <c r="G26" s="35">
        <v>111716417</v>
      </c>
      <c r="H26" s="25">
        <f t="shared" si="2"/>
        <v>24399</v>
      </c>
      <c r="I26" s="12">
        <v>1079496.6763501903</v>
      </c>
      <c r="J26" s="33">
        <f t="shared" si="3"/>
        <v>210.52836317569017</v>
      </c>
      <c r="K26" s="34">
        <v>239</v>
      </c>
      <c r="L26" s="34">
        <v>380</v>
      </c>
    </row>
    <row r="27" spans="1:12" ht="45" customHeight="1" x14ac:dyDescent="0.25">
      <c r="A27" s="24">
        <v>44553</v>
      </c>
      <c r="B27" s="38"/>
      <c r="C27" s="35">
        <v>33830356</v>
      </c>
      <c r="D27" s="25">
        <f t="shared" si="4"/>
        <v>34246</v>
      </c>
      <c r="E27" s="35">
        <v>579042.16129031836</v>
      </c>
      <c r="F27" s="25">
        <f t="shared" si="5"/>
        <v>230.3548387096962</v>
      </c>
      <c r="G27" s="35">
        <v>111744378</v>
      </c>
      <c r="H27" s="25">
        <f t="shared" si="2"/>
        <v>27961</v>
      </c>
      <c r="I27" s="12">
        <v>1079731.3538276802</v>
      </c>
      <c r="J27" s="33">
        <f t="shared" si="3"/>
        <v>234.67747748992406</v>
      </c>
      <c r="K27" s="34">
        <v>268</v>
      </c>
      <c r="L27" s="34">
        <v>784</v>
      </c>
    </row>
    <row r="28" spans="1:12" ht="45" customHeight="1" x14ac:dyDescent="0.25">
      <c r="A28" s="24">
        <v>44554</v>
      </c>
      <c r="B28" s="38"/>
      <c r="C28" s="35">
        <v>33865425</v>
      </c>
      <c r="D28" s="25">
        <f t="shared" si="4"/>
        <v>35069</v>
      </c>
      <c r="E28" s="35">
        <v>579282.51612902805</v>
      </c>
      <c r="F28" s="25">
        <f t="shared" si="5"/>
        <v>240.3548387096962</v>
      </c>
      <c r="G28" s="35">
        <v>111774542</v>
      </c>
      <c r="H28" s="25">
        <f t="shared" si="2"/>
        <v>30164</v>
      </c>
      <c r="I28" s="12">
        <v>1079977.8509292586</v>
      </c>
      <c r="J28" s="33">
        <f t="shared" si="3"/>
        <v>246.49710157839581</v>
      </c>
      <c r="K28" s="34">
        <v>337</v>
      </c>
      <c r="L28" s="34">
        <v>890</v>
      </c>
    </row>
    <row r="29" spans="1:12" ht="45" customHeight="1" x14ac:dyDescent="0.25">
      <c r="A29" s="24">
        <v>44555</v>
      </c>
      <c r="B29" s="38"/>
      <c r="C29" s="35">
        <v>33899342</v>
      </c>
      <c r="D29" s="25">
        <f t="shared" si="4"/>
        <v>33917</v>
      </c>
      <c r="E29" s="35">
        <v>579523.87096773775</v>
      </c>
      <c r="F29" s="25">
        <f t="shared" si="5"/>
        <v>241.3548387096962</v>
      </c>
      <c r="G29" s="35">
        <v>111801378</v>
      </c>
      <c r="H29" s="25">
        <f t="shared" si="2"/>
        <v>26836</v>
      </c>
      <c r="I29" s="12">
        <v>1080221.335185481</v>
      </c>
      <c r="J29" s="33">
        <f t="shared" si="3"/>
        <v>243.48425622237846</v>
      </c>
      <c r="K29" s="34">
        <v>349</v>
      </c>
      <c r="L29" s="34">
        <v>1000</v>
      </c>
    </row>
    <row r="30" spans="1:12" ht="45" customHeight="1" x14ac:dyDescent="0.25">
      <c r="A30" s="24">
        <v>44556</v>
      </c>
      <c r="B30" s="38"/>
      <c r="C30" s="35">
        <v>33932670</v>
      </c>
      <c r="D30" s="25">
        <f t="shared" si="4"/>
        <v>33328</v>
      </c>
      <c r="E30" s="35">
        <v>579760.22580644744</v>
      </c>
      <c r="F30" s="25">
        <f t="shared" si="5"/>
        <v>236.3548387096962</v>
      </c>
      <c r="G30" s="35">
        <v>111822206</v>
      </c>
      <c r="H30" s="25">
        <f t="shared" si="2"/>
        <v>20828</v>
      </c>
      <c r="I30" s="12">
        <v>1080453.3242778841</v>
      </c>
      <c r="J30" s="33">
        <f t="shared" si="3"/>
        <v>231.98909240309149</v>
      </c>
      <c r="K30" s="34">
        <v>227</v>
      </c>
      <c r="L30" s="34">
        <v>1054</v>
      </c>
    </row>
    <row r="31" spans="1:12" ht="45" customHeight="1" x14ac:dyDescent="0.25">
      <c r="A31" s="24">
        <v>44557</v>
      </c>
      <c r="B31" s="38"/>
      <c r="C31" s="35">
        <v>33966829</v>
      </c>
      <c r="D31" s="25">
        <f t="shared" si="4"/>
        <v>34159</v>
      </c>
      <c r="E31" s="35">
        <v>579996.58064515714</v>
      </c>
      <c r="F31" s="25">
        <f t="shared" si="5"/>
        <v>236.3548387096962</v>
      </c>
      <c r="G31" s="35">
        <v>111838885</v>
      </c>
      <c r="H31" s="25">
        <f t="shared" si="2"/>
        <v>16679</v>
      </c>
      <c r="I31" s="12">
        <v>1080690.0412199225</v>
      </c>
      <c r="J31" s="33">
        <f t="shared" si="3"/>
        <v>236.71694203838706</v>
      </c>
      <c r="K31" s="34">
        <v>241</v>
      </c>
      <c r="L31" s="34">
        <v>552</v>
      </c>
    </row>
    <row r="32" spans="1:12" ht="45" customHeight="1" x14ac:dyDescent="0.25">
      <c r="A32" s="24">
        <v>44558</v>
      </c>
      <c r="B32" s="38"/>
      <c r="C32" s="35">
        <v>33999811</v>
      </c>
      <c r="D32" s="25">
        <f t="shared" si="4"/>
        <v>32982</v>
      </c>
      <c r="E32" s="35">
        <v>580225.93548386684</v>
      </c>
      <c r="F32" s="25">
        <f t="shared" si="5"/>
        <v>229.3548387096962</v>
      </c>
      <c r="G32" s="35">
        <v>111854924</v>
      </c>
      <c r="H32" s="25">
        <f t="shared" si="2"/>
        <v>16039</v>
      </c>
      <c r="I32" s="12">
        <v>1080927.2680280982</v>
      </c>
      <c r="J32" s="33">
        <f t="shared" si="3"/>
        <v>237.22680817567743</v>
      </c>
      <c r="K32" s="34">
        <v>196</v>
      </c>
      <c r="L32" s="34">
        <v>404</v>
      </c>
    </row>
    <row r="33" spans="1:12" ht="45" customHeight="1" x14ac:dyDescent="0.25">
      <c r="A33" s="24">
        <v>44559</v>
      </c>
      <c r="B33" s="38"/>
      <c r="C33" s="35">
        <v>34032288</v>
      </c>
      <c r="D33" s="25">
        <f t="shared" ref="D33:D35" si="6">IF((C33-C32&lt;0), "0",C33-C32)</f>
        <v>32477</v>
      </c>
      <c r="E33" s="35">
        <v>580454.29032257653</v>
      </c>
      <c r="F33" s="25">
        <f t="shared" ref="F33:F35" si="7">IF((E33-E32&lt;0), "0",E33-E32)</f>
        <v>228.3548387096962</v>
      </c>
      <c r="G33" s="35">
        <v>111873667</v>
      </c>
      <c r="H33" s="25">
        <f t="shared" ref="H33:H35" si="8">IF((G33-G32&lt;0), "0",G33-G32)</f>
        <v>18743</v>
      </c>
      <c r="I33" s="12">
        <v>1081146.4177641384</v>
      </c>
      <c r="J33" s="33">
        <f t="shared" ref="J33:J35" si="9">IF((I33-I32&lt;0), "0",I33-I32)</f>
        <v>219.14973604027182</v>
      </c>
      <c r="K33" s="34">
        <v>186</v>
      </c>
      <c r="L33" s="34">
        <v>405</v>
      </c>
    </row>
    <row r="34" spans="1:12" ht="45" customHeight="1" x14ac:dyDescent="0.25">
      <c r="A34" s="24">
        <v>44560</v>
      </c>
      <c r="B34" s="38"/>
      <c r="C34" s="35">
        <v>34065412</v>
      </c>
      <c r="D34" s="25">
        <f t="shared" si="6"/>
        <v>33124</v>
      </c>
      <c r="E34" s="35">
        <v>580687.64516128623</v>
      </c>
      <c r="F34" s="25">
        <f t="shared" si="7"/>
        <v>233.3548387096962</v>
      </c>
      <c r="G34" s="35">
        <v>111894393</v>
      </c>
      <c r="H34" s="25">
        <f t="shared" si="8"/>
        <v>20726</v>
      </c>
      <c r="I34" s="12">
        <v>1081374.5133333122</v>
      </c>
      <c r="J34" s="33">
        <f t="shared" si="9"/>
        <v>228.09556917380542</v>
      </c>
      <c r="K34" s="34">
        <v>241</v>
      </c>
      <c r="L34" s="34">
        <v>449</v>
      </c>
    </row>
    <row r="35" spans="1:12" ht="45" customHeight="1" x14ac:dyDescent="0.25">
      <c r="A35" s="24">
        <v>44561</v>
      </c>
      <c r="B35" s="38"/>
      <c r="C35" s="35">
        <v>34099526</v>
      </c>
      <c r="D35" s="25">
        <f t="shared" si="6"/>
        <v>34114</v>
      </c>
      <c r="E35" s="35">
        <v>580930.99999999593</v>
      </c>
      <c r="F35" s="25">
        <f t="shared" si="7"/>
        <v>243.3548387096962</v>
      </c>
      <c r="G35" s="35">
        <v>111914573</v>
      </c>
      <c r="H35" s="25">
        <f t="shared" si="8"/>
        <v>20180</v>
      </c>
      <c r="I35" s="12">
        <v>1081611.4156812187</v>
      </c>
      <c r="J35" s="33">
        <f t="shared" si="9"/>
        <v>236.90234790649265</v>
      </c>
      <c r="K35" s="34">
        <v>341</v>
      </c>
      <c r="L35" s="34">
        <v>762</v>
      </c>
    </row>
    <row r="44" spans="1:12" ht="15.75" customHeight="1" x14ac:dyDescent="0.25">
      <c r="C44" s="32"/>
    </row>
  </sheetData>
  <mergeCells count="6">
    <mergeCell ref="B1:B35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2023-03-24T08:32:25Z</dcterms:modified>
  <cp:category/>
  <cp:contentStatus/>
</cp:coreProperties>
</file>