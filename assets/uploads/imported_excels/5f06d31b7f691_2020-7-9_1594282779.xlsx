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7.xml" ContentType="application/vnd.openxmlformats-officedocument.spreadsheetml.externalLink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Override PartName="/xl/worksheets/sheet14.xml" ContentType="application/vnd.openxmlformats-officedocument.spreadsheetml.worksheet+xml"/>
  <Override PartName="/xl/externalLinks/externalLink8.xml" ContentType="application/vnd.openxmlformats-officedocument.spreadsheetml.externalLink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omments3.xml" ContentType="application/vnd.openxmlformats-officedocument.spreadsheetml.comments+xml"/>
  <Override PartName="/xl/charts/chart28.xml" ContentType="application/vnd.openxmlformats-officedocument.drawingml.chart+xml"/>
  <Default Extension="vml" ContentType="application/vnd.openxmlformats-officedocument.vmlDrawing"/>
  <Override PartName="/xl/comments1.xml" ContentType="application/vnd.openxmlformats-officedocument.spreadsheetml.comments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13275" yWindow="210" windowWidth="14505" windowHeight="10530" tabRatio="580" firstSheet="1" activeTab="3"/>
  </bookViews>
  <sheets>
    <sheet name="Total" sheetId="81" r:id="rId1"/>
    <sheet name="Submetering" sheetId="82" r:id="rId2"/>
    <sheet name="ELEC" sheetId="2" r:id="rId3"/>
    <sheet name="B5" sheetId="1" r:id="rId4"/>
    <sheet name="WATER" sheetId="5" r:id="rId5"/>
    <sheet name="graphic" sheetId="4" r:id="rId6"/>
    <sheet name="General information " sheetId="73" r:id="rId7"/>
    <sheet name="tanks" sheetId="7" r:id="rId8"/>
    <sheet name="GEN" sheetId="3" r:id="rId9"/>
    <sheet name="Sheet1" sheetId="63" state="hidden" r:id="rId10"/>
    <sheet name="Report" sheetId="65" state="hidden" r:id="rId11"/>
    <sheet name="Sheet5" sheetId="75" state="hidden" r:id="rId12"/>
    <sheet name="EDl log" sheetId="76" r:id="rId13"/>
    <sheet name="Swimming Pool quality check " sheetId="79" r:id="rId14"/>
    <sheet name="Degree Days 2020" sheetId="74" r:id="rId15"/>
    <sheet name="Utility Cost " sheetId="77" r:id="rId16"/>
    <sheet name="MDB" sheetId="78" r:id="rId17"/>
    <sheet name="Sheet7" sheetId="85" r:id="rId18"/>
    <sheet name="Sheet6" sheetId="84" r:id="rId19"/>
    <sheet name="Sheet2" sheetId="83" state="hidden" r:id="rId20"/>
    <sheet name="Sheet3" sheetId="86" r:id="rId21"/>
    <sheet name="Sheet4" sheetId="87" r:id="rId22"/>
  </sheets>
  <externalReferences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_xlnm.Print_Area" localSheetId="14">'Degree Days 2020'!$A$38:$AJ$92</definedName>
    <definedName name="_xlnm.Print_Area" localSheetId="4">WATER!$A$3:$C$37</definedName>
  </definedNames>
  <calcPr calcId="125725"/>
</workbook>
</file>

<file path=xl/calcChain.xml><?xml version="1.0" encoding="utf-8"?>
<calcChain xmlns="http://schemas.openxmlformats.org/spreadsheetml/2006/main">
  <c r="Q13" i="2"/>
  <c r="Z12" i="1"/>
  <c r="Z11"/>
  <c r="D12" i="73"/>
  <c r="AB7" i="2"/>
  <c r="G5" i="76"/>
  <c r="AC12" l="1"/>
  <c r="AC19"/>
  <c r="AC18"/>
  <c r="AC17"/>
  <c r="AC16"/>
  <c r="AC15"/>
  <c r="AB17"/>
  <c r="AB16"/>
  <c r="AB15"/>
  <c r="AB12"/>
  <c r="AA12"/>
  <c r="AA11"/>
  <c r="AA10"/>
  <c r="W11"/>
  <c r="V28" s="1"/>
  <c r="W10"/>
  <c r="V27" s="1"/>
  <c r="W9"/>
  <c r="V26" s="1"/>
  <c r="V11"/>
  <c r="V10"/>
  <c r="V9"/>
  <c r="D18" i="77" l="1"/>
  <c r="D17"/>
  <c r="C17" l="1"/>
  <c r="C15"/>
  <c r="C14"/>
  <c r="C16" l="1"/>
  <c r="C18" l="1"/>
  <c r="C19" l="1"/>
  <c r="H6" l="1"/>
  <c r="I6" l="1"/>
  <c r="C48" i="74"/>
  <c r="B48"/>
  <c r="W40"/>
  <c r="W39"/>
  <c r="W38"/>
  <c r="W37"/>
  <c r="W36"/>
  <c r="W35"/>
  <c r="W34"/>
  <c r="W33"/>
  <c r="W32"/>
  <c r="W31"/>
  <c r="W30"/>
  <c r="W29"/>
  <c r="W28"/>
  <c r="W27"/>
  <c r="W26"/>
  <c r="W25"/>
  <c r="W24"/>
  <c r="W23"/>
  <c r="W22"/>
  <c r="W21"/>
  <c r="W20"/>
  <c r="W19"/>
  <c r="W18"/>
  <c r="W17"/>
  <c r="W16"/>
  <c r="W15"/>
  <c r="W14"/>
  <c r="W13"/>
  <c r="W12"/>
  <c r="W11"/>
  <c r="W10"/>
  <c r="V40"/>
  <c r="V39"/>
  <c r="V38"/>
  <c r="V37"/>
  <c r="V36"/>
  <c r="V35"/>
  <c r="V34"/>
  <c r="V33"/>
  <c r="V32"/>
  <c r="V31"/>
  <c r="V30"/>
  <c r="V29"/>
  <c r="V28"/>
  <c r="V27"/>
  <c r="V26"/>
  <c r="V25"/>
  <c r="V24"/>
  <c r="V23"/>
  <c r="V22"/>
  <c r="V21"/>
  <c r="V20"/>
  <c r="V19"/>
  <c r="V18"/>
  <c r="V17"/>
  <c r="V16"/>
  <c r="V15"/>
  <c r="V14"/>
  <c r="V13"/>
  <c r="V12"/>
  <c r="V11"/>
  <c r="V10"/>
  <c r="X15" i="76"/>
  <c r="H7" i="79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H36" s="1"/>
  <c r="C5"/>
  <c r="D5"/>
  <c r="E5"/>
  <c r="F5"/>
  <c r="G5"/>
  <c r="H5"/>
  <c r="B5"/>
  <c r="C3" i="76"/>
  <c r="D3"/>
  <c r="E3"/>
  <c r="F3"/>
  <c r="F11" s="1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G3"/>
  <c r="H3"/>
  <c r="I3"/>
  <c r="J3"/>
  <c r="K3"/>
  <c r="L3"/>
  <c r="M3"/>
  <c r="N3"/>
  <c r="Q3"/>
  <c r="S3"/>
  <c r="B3"/>
  <c r="C2" i="3"/>
  <c r="D2"/>
  <c r="D4" s="1"/>
  <c r="D10" s="1"/>
  <c r="D11" s="1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2"/>
  <c r="F2"/>
  <c r="G2"/>
  <c r="H2"/>
  <c r="I2"/>
  <c r="J2"/>
  <c r="J3" s="1"/>
  <c r="J4" s="1"/>
  <c r="J5" s="1"/>
  <c r="J6" s="1"/>
  <c r="K2"/>
  <c r="L2"/>
  <c r="L3" s="1"/>
  <c r="L4" s="1"/>
  <c r="L5" s="1"/>
  <c r="L6" s="1"/>
  <c r="L7" s="1"/>
  <c r="L9" s="1"/>
  <c r="L10" s="1"/>
  <c r="L11" s="1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2"/>
  <c r="N2"/>
  <c r="O2"/>
  <c r="P2"/>
  <c r="Q2"/>
  <c r="R2"/>
  <c r="R10" s="1"/>
  <c r="R11" s="1"/>
  <c r="R12" s="1"/>
  <c r="R13" s="1"/>
  <c r="R14" s="1"/>
  <c r="R15" s="1"/>
  <c r="R16" s="1"/>
  <c r="R17" s="1"/>
  <c r="R18" s="1"/>
  <c r="R19" s="1"/>
  <c r="R20" s="1"/>
  <c r="R21" s="1"/>
  <c r="R22" s="1"/>
  <c r="R23" s="1"/>
  <c r="R24" s="1"/>
  <c r="R25" s="1"/>
  <c r="R26" s="1"/>
  <c r="R27" s="1"/>
  <c r="R28" s="1"/>
  <c r="R29" s="1"/>
  <c r="R30" s="1"/>
  <c r="R31" s="1"/>
  <c r="R32" s="1"/>
  <c r="R33" s="1"/>
  <c r="S2"/>
  <c r="T2"/>
  <c r="T3" s="1"/>
  <c r="T9" s="1"/>
  <c r="T10" s="1"/>
  <c r="T11" s="1"/>
  <c r="T12" s="1"/>
  <c r="T13" s="1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U2"/>
  <c r="V2"/>
  <c r="W2"/>
  <c r="Z2"/>
  <c r="AA2"/>
  <c r="AB2"/>
  <c r="AC2"/>
  <c r="AD2"/>
  <c r="AE2"/>
  <c r="AF2"/>
  <c r="AG2"/>
  <c r="AH2"/>
  <c r="AI2"/>
  <c r="AJ2"/>
  <c r="AK2"/>
  <c r="B2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AP5" i="7"/>
  <c r="AQ5"/>
  <c r="AR5"/>
  <c r="AS5"/>
  <c r="AT5"/>
  <c r="AU5"/>
  <c r="AW5"/>
  <c r="AX5"/>
  <c r="AY5"/>
  <c r="AZ5"/>
  <c r="BA5"/>
  <c r="BB5"/>
  <c r="AN5"/>
  <c r="AO5"/>
  <c r="C5"/>
  <c r="D5"/>
  <c r="E5"/>
  <c r="F5"/>
  <c r="G5"/>
  <c r="H5"/>
  <c r="I5"/>
  <c r="J5"/>
  <c r="K5"/>
  <c r="L5"/>
  <c r="M5"/>
  <c r="N5"/>
  <c r="O5"/>
  <c r="P5"/>
  <c r="Q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B5"/>
  <c r="C5" i="73"/>
  <c r="D5"/>
  <c r="E5"/>
  <c r="F5"/>
  <c r="G5"/>
  <c r="H5"/>
  <c r="I5"/>
  <c r="J5"/>
  <c r="K5"/>
  <c r="L5"/>
  <c r="M5"/>
  <c r="N5"/>
  <c r="O5"/>
  <c r="B5"/>
  <c r="C5" i="5"/>
  <c r="D5"/>
  <c r="E5"/>
  <c r="F5"/>
  <c r="G5"/>
  <c r="H5"/>
  <c r="I5"/>
  <c r="J5"/>
  <c r="K5"/>
  <c r="L5"/>
  <c r="R5"/>
  <c r="S5"/>
  <c r="T5"/>
  <c r="U5"/>
  <c r="V5"/>
  <c r="W5"/>
  <c r="X5"/>
  <c r="Y5"/>
  <c r="Z5"/>
  <c r="AA5"/>
  <c r="AB5"/>
  <c r="AC5"/>
  <c r="AD5"/>
  <c r="AE5"/>
  <c r="AF5"/>
  <c r="AG5"/>
  <c r="AH5"/>
  <c r="AI5"/>
  <c r="AJ5"/>
  <c r="AK5"/>
  <c r="AL5"/>
  <c r="AM5"/>
  <c r="AN5"/>
  <c r="AO5"/>
  <c r="AP5"/>
  <c r="AQ5"/>
  <c r="AR5"/>
  <c r="AT5"/>
  <c r="AU5"/>
  <c r="AV5"/>
  <c r="AW5"/>
  <c r="AX5"/>
  <c r="AZ5"/>
  <c r="BA5"/>
  <c r="BC5"/>
  <c r="BD5"/>
  <c r="B5"/>
  <c r="A5"/>
  <c r="C4" i="1"/>
  <c r="D4"/>
  <c r="E4"/>
  <c r="F4"/>
  <c r="G4"/>
  <c r="H4"/>
  <c r="I4"/>
  <c r="J4"/>
  <c r="K4"/>
  <c r="L4"/>
  <c r="M4"/>
  <c r="N4"/>
  <c r="O4"/>
  <c r="P4"/>
  <c r="Q4"/>
  <c r="R4"/>
  <c r="S4"/>
  <c r="T4"/>
  <c r="U4"/>
  <c r="V4"/>
  <c r="W4"/>
  <c r="X4"/>
  <c r="Y4"/>
  <c r="Z4"/>
  <c r="AA4"/>
  <c r="AB4"/>
  <c r="AC4"/>
  <c r="AD4"/>
  <c r="AE4"/>
  <c r="AF4"/>
  <c r="AG4"/>
  <c r="AH4"/>
  <c r="AI4"/>
  <c r="AJ4"/>
  <c r="AK4"/>
  <c r="AL4"/>
  <c r="AM4"/>
  <c r="AN4"/>
  <c r="AO4"/>
  <c r="AP4"/>
  <c r="AQ4"/>
  <c r="AR4"/>
  <c r="AS4"/>
  <c r="AT4"/>
  <c r="AU4"/>
  <c r="AV4"/>
  <c r="AW4"/>
  <c r="AX4"/>
  <c r="B4"/>
  <c r="E2" i="2"/>
  <c r="F2"/>
  <c r="G2"/>
  <c r="H2"/>
  <c r="I2"/>
  <c r="J2"/>
  <c r="K2"/>
  <c r="L2"/>
  <c r="M2"/>
  <c r="N2"/>
  <c r="O2"/>
  <c r="P2"/>
  <c r="Q2"/>
  <c r="R2"/>
  <c r="S2"/>
  <c r="T2"/>
  <c r="U2"/>
  <c r="V2"/>
  <c r="W2"/>
  <c r="X2"/>
  <c r="Y2"/>
  <c r="Y3" s="1"/>
  <c r="Y4" s="1"/>
  <c r="Y5" s="1"/>
  <c r="Y6" s="1"/>
  <c r="Y7" s="1"/>
  <c r="Y8" s="1"/>
  <c r="Y9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Z2"/>
  <c r="AA2"/>
  <c r="AA4" s="1"/>
  <c r="AB2"/>
  <c r="AC2"/>
  <c r="AC3" s="1"/>
  <c r="AC4" s="1"/>
  <c r="AC6" s="1"/>
  <c r="AC11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D2"/>
  <c r="AE2"/>
  <c r="AF2"/>
  <c r="AG2"/>
  <c r="AH2"/>
  <c r="AI2"/>
  <c r="D2"/>
  <c r="B2"/>
  <c r="A2"/>
  <c r="J10" i="3" l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Q33" s="1"/>
  <c r="J7"/>
  <c r="B11" i="76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C4"/>
  <c r="AB8" i="2"/>
  <c r="H11" i="76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J10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J34" s="1"/>
  <c r="G14"/>
  <c r="L14" s="1"/>
  <c r="C14"/>
  <c r="AD33" i="2"/>
  <c r="Z33"/>
  <c r="I36" i="79"/>
  <c r="A36"/>
  <c r="L36" s="1"/>
  <c r="W34" i="76"/>
  <c r="A34"/>
  <c r="AJ33" i="3"/>
  <c r="U33"/>
  <c r="P33"/>
  <c r="M33"/>
  <c r="H33"/>
  <c r="E33"/>
  <c r="C33"/>
  <c r="A33"/>
  <c r="BE36" i="7"/>
  <c r="BG36" s="1"/>
  <c r="BB36"/>
  <c r="BA36"/>
  <c r="A36"/>
  <c r="K36" i="73"/>
  <c r="G36"/>
  <c r="D36"/>
  <c r="A36"/>
  <c r="AU36" i="5"/>
  <c r="AR36"/>
  <c r="AP36"/>
  <c r="AN36"/>
  <c r="AM36"/>
  <c r="K36"/>
  <c r="A36"/>
  <c r="AJ35" i="1"/>
  <c r="A35"/>
  <c r="X33" i="2"/>
  <c r="W33"/>
  <c r="L32" i="81"/>
  <c r="J32"/>
  <c r="H32"/>
  <c r="G32"/>
  <c r="F32"/>
  <c r="B32"/>
  <c r="B32" i="82"/>
  <c r="K33" i="3" l="1"/>
  <c r="N33" s="1"/>
  <c r="AB9" i="2"/>
  <c r="K14" i="76"/>
  <c r="N14" s="1"/>
  <c r="I14"/>
  <c r="M14" s="1"/>
  <c r="K16"/>
  <c r="N16" s="1"/>
  <c r="K17"/>
  <c r="N17" s="1"/>
  <c r="K15"/>
  <c r="N15" s="1"/>
  <c r="G15"/>
  <c r="L15" s="1"/>
  <c r="C15"/>
  <c r="I15"/>
  <c r="M15" s="1"/>
  <c r="AA33" i="3"/>
  <c r="F33"/>
  <c r="S33"/>
  <c r="V33" s="1"/>
  <c r="I33"/>
  <c r="AA11" i="2" l="1"/>
  <c r="AA12" s="1"/>
  <c r="AA13" s="1"/>
  <c r="AA14" s="1"/>
  <c r="AA15" s="1"/>
  <c r="AA16" s="1"/>
  <c r="AA17" s="1"/>
  <c r="AA18" s="1"/>
  <c r="AA19" s="1"/>
  <c r="AA20" s="1"/>
  <c r="AA21" s="1"/>
  <c r="AA22" s="1"/>
  <c r="AA23" s="1"/>
  <c r="AA24" s="1"/>
  <c r="AA25" s="1"/>
  <c r="AA26" s="1"/>
  <c r="AA27" s="1"/>
  <c r="AA28" s="1"/>
  <c r="AA29" s="1"/>
  <c r="AA30" s="1"/>
  <c r="AA31" s="1"/>
  <c r="AA32" s="1"/>
  <c r="AA33" s="1"/>
  <c r="AB33" s="1"/>
  <c r="AB10"/>
  <c r="Z33" i="3"/>
  <c r="AK33" s="1"/>
  <c r="D14" i="76"/>
  <c r="E14" s="1"/>
  <c r="G16"/>
  <c r="L16" s="1"/>
  <c r="C16"/>
  <c r="I16"/>
  <c r="M16" s="1"/>
  <c r="AB33" i="3"/>
  <c r="X40" i="74"/>
  <c r="AC33" i="3" l="1"/>
  <c r="K34" i="76"/>
  <c r="N34" s="1"/>
  <c r="W26"/>
  <c r="C17"/>
  <c r="G17"/>
  <c r="L17" s="1"/>
  <c r="I17"/>
  <c r="M17" s="1"/>
  <c r="D15"/>
  <c r="E15" s="1"/>
  <c r="G18" l="1"/>
  <c r="I18"/>
  <c r="C18"/>
  <c r="D17"/>
  <c r="E17" s="1"/>
  <c r="D16"/>
  <c r="E16" s="1"/>
  <c r="S12" i="3"/>
  <c r="C19" i="76" l="1"/>
  <c r="G19"/>
  <c r="I19"/>
  <c r="K18"/>
  <c r="N18" s="1"/>
  <c r="W5" i="2"/>
  <c r="G34" i="76" l="1"/>
  <c r="L34" s="1"/>
  <c r="W28"/>
  <c r="C20"/>
  <c r="I20"/>
  <c r="M18"/>
  <c r="D18"/>
  <c r="E18" s="1"/>
  <c r="L18"/>
  <c r="K19"/>
  <c r="N19" s="1"/>
  <c r="C49" i="74"/>
  <c r="C50"/>
  <c r="C51"/>
  <c r="C52"/>
  <c r="C53"/>
  <c r="C54"/>
  <c r="C55"/>
  <c r="C56"/>
  <c r="C57"/>
  <c r="C58"/>
  <c r="C59"/>
  <c r="C60"/>
  <c r="C61"/>
  <c r="C62"/>
  <c r="C63"/>
  <c r="C64"/>
  <c r="C65"/>
  <c r="C66"/>
  <c r="C67"/>
  <c r="C68"/>
  <c r="C69"/>
  <c r="C70"/>
  <c r="C71"/>
  <c r="C72"/>
  <c r="C73"/>
  <c r="C74"/>
  <c r="C75"/>
  <c r="C76"/>
  <c r="C77"/>
  <c r="B49"/>
  <c r="B50"/>
  <c r="B51"/>
  <c r="B52"/>
  <c r="B53"/>
  <c r="B54"/>
  <c r="B55"/>
  <c r="B56"/>
  <c r="B57"/>
  <c r="B58"/>
  <c r="B59"/>
  <c r="B60"/>
  <c r="B61"/>
  <c r="B62"/>
  <c r="B63"/>
  <c r="B64"/>
  <c r="B65"/>
  <c r="B66"/>
  <c r="B67"/>
  <c r="B68"/>
  <c r="B69"/>
  <c r="B70"/>
  <c r="B71"/>
  <c r="B72"/>
  <c r="B73"/>
  <c r="B74"/>
  <c r="B75"/>
  <c r="B76"/>
  <c r="B77"/>
  <c r="C34" i="76" l="1"/>
  <c r="C21"/>
  <c r="I21"/>
  <c r="M19"/>
  <c r="D19"/>
  <c r="E19" s="1"/>
  <c r="G20"/>
  <c r="K20"/>
  <c r="N20" s="1"/>
  <c r="L19"/>
  <c r="I22" l="1"/>
  <c r="M20"/>
  <c r="D20"/>
  <c r="E20" s="1"/>
  <c r="L20"/>
  <c r="G21"/>
  <c r="K21"/>
  <c r="N21" s="1"/>
  <c r="O5" i="79"/>
  <c r="N5"/>
  <c r="M5"/>
  <c r="I5"/>
  <c r="AA5" i="76"/>
  <c r="Z18"/>
  <c r="AA18"/>
  <c r="Y16"/>
  <c r="Y15"/>
  <c r="V16"/>
  <c r="V15"/>
  <c r="V14"/>
  <c r="V13"/>
  <c r="Y13"/>
  <c r="BH5" i="7"/>
  <c r="BG5"/>
  <c r="BF5"/>
  <c r="BE5"/>
  <c r="BD5"/>
  <c r="BC5"/>
  <c r="AX13" i="5"/>
  <c r="AX14" s="1"/>
  <c r="AX15" s="1"/>
  <c r="AX16" s="1"/>
  <c r="AX17" s="1"/>
  <c r="AX18" s="1"/>
  <c r="AX19" s="1"/>
  <c r="AX20" s="1"/>
  <c r="AX21" s="1"/>
  <c r="AX22" s="1"/>
  <c r="AX23" s="1"/>
  <c r="AX24" s="1"/>
  <c r="AX25" s="1"/>
  <c r="AX26" s="1"/>
  <c r="AX27" s="1"/>
  <c r="AX28" s="1"/>
  <c r="AX29" s="1"/>
  <c r="AX30" s="1"/>
  <c r="AX31" s="1"/>
  <c r="AX32" s="1"/>
  <c r="AX33" s="1"/>
  <c r="AX34" s="1"/>
  <c r="AX35" s="1"/>
  <c r="AX36" s="1"/>
  <c r="BA36" s="1"/>
  <c r="AV13"/>
  <c r="AV14" s="1"/>
  <c r="AV15" s="1"/>
  <c r="AV16" s="1"/>
  <c r="AV17" s="1"/>
  <c r="AV18" s="1"/>
  <c r="AV19" s="1"/>
  <c r="AV20" s="1"/>
  <c r="AV21" s="1"/>
  <c r="AV22" s="1"/>
  <c r="AV23" s="1"/>
  <c r="AV24" s="1"/>
  <c r="AV25" s="1"/>
  <c r="AV26" s="1"/>
  <c r="AV27" s="1"/>
  <c r="AV28" s="1"/>
  <c r="AV29" s="1"/>
  <c r="AV30" s="1"/>
  <c r="AV31" s="1"/>
  <c r="AV32" s="1"/>
  <c r="AV33" s="1"/>
  <c r="AV34" s="1"/>
  <c r="AV35" s="1"/>
  <c r="AV36" s="1"/>
  <c r="AZ36" s="1"/>
  <c r="AT13"/>
  <c r="AT14" s="1"/>
  <c r="AT15" s="1"/>
  <c r="AT16" s="1"/>
  <c r="AT17" s="1"/>
  <c r="AT18" s="1"/>
  <c r="AT19" s="1"/>
  <c r="AT20" s="1"/>
  <c r="AT21" s="1"/>
  <c r="AT22" s="1"/>
  <c r="AT23" s="1"/>
  <c r="AT24" s="1"/>
  <c r="AT25" s="1"/>
  <c r="AT26" s="1"/>
  <c r="AT27" s="1"/>
  <c r="AT28" s="1"/>
  <c r="AT29" s="1"/>
  <c r="AT30" s="1"/>
  <c r="AT31" s="1"/>
  <c r="AT32" s="1"/>
  <c r="AT33" s="1"/>
  <c r="AT34" s="1"/>
  <c r="AT35" s="1"/>
  <c r="AT36" s="1"/>
  <c r="AG6"/>
  <c r="AG13" s="1"/>
  <c r="AG14" s="1"/>
  <c r="AG15" s="1"/>
  <c r="AG16" s="1"/>
  <c r="AG17" s="1"/>
  <c r="AG18" s="1"/>
  <c r="AG19" s="1"/>
  <c r="AG20" s="1"/>
  <c r="AG21" s="1"/>
  <c r="AG22" s="1"/>
  <c r="AG23" s="1"/>
  <c r="AG24" s="1"/>
  <c r="AG25" s="1"/>
  <c r="AG26" s="1"/>
  <c r="AG27" s="1"/>
  <c r="AG28" s="1"/>
  <c r="AG29" s="1"/>
  <c r="AG30" s="1"/>
  <c r="AG31" s="1"/>
  <c r="AG32" s="1"/>
  <c r="AG33" s="1"/>
  <c r="AG34" s="1"/>
  <c r="AG35" s="1"/>
  <c r="AG36" s="1"/>
  <c r="AH36" s="1"/>
  <c r="AE6"/>
  <c r="AE8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E36" s="1"/>
  <c r="AF36" s="1"/>
  <c r="AC6"/>
  <c r="AC7" s="1"/>
  <c r="AC8" s="1"/>
  <c r="AC9" s="1"/>
  <c r="AC10" s="1"/>
  <c r="AC12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AC36" s="1"/>
  <c r="AD36" s="1"/>
  <c r="AB6"/>
  <c r="AB7" s="1"/>
  <c r="AB8" s="1"/>
  <c r="AB9" s="1"/>
  <c r="AB10" s="1"/>
  <c r="AB12" s="1"/>
  <c r="AB13" s="1"/>
  <c r="AB14" s="1"/>
  <c r="AB15" s="1"/>
  <c r="AB16" s="1"/>
  <c r="AB17" s="1"/>
  <c r="AB18" s="1"/>
  <c r="AB19" s="1"/>
  <c r="AB20" s="1"/>
  <c r="AB21" s="1"/>
  <c r="AB22" s="1"/>
  <c r="AB23" s="1"/>
  <c r="AB24" s="1"/>
  <c r="AB25" s="1"/>
  <c r="AB26" s="1"/>
  <c r="AB27" s="1"/>
  <c r="AB28" s="1"/>
  <c r="AB29" s="1"/>
  <c r="AB30" s="1"/>
  <c r="AB31" s="1"/>
  <c r="AB32" s="1"/>
  <c r="AB33" s="1"/>
  <c r="AB34" s="1"/>
  <c r="AB35" s="1"/>
  <c r="AB36" s="1"/>
  <c r="Z13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36" s="1"/>
  <c r="X13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X36" s="1"/>
  <c r="Y36" s="1"/>
  <c r="J32" i="82" s="1"/>
  <c r="V7" i="5"/>
  <c r="V9" s="1"/>
  <c r="V13" s="1"/>
  <c r="V14" s="1"/>
  <c r="V15" s="1"/>
  <c r="V16" s="1"/>
  <c r="V17" s="1"/>
  <c r="V18" s="1"/>
  <c r="V19" s="1"/>
  <c r="V20" s="1"/>
  <c r="V21" s="1"/>
  <c r="V22" s="1"/>
  <c r="V23" s="1"/>
  <c r="V24" s="1"/>
  <c r="V25" s="1"/>
  <c r="V26" s="1"/>
  <c r="V27" s="1"/>
  <c r="V28" s="1"/>
  <c r="V29" s="1"/>
  <c r="V30" s="1"/>
  <c r="V31" s="1"/>
  <c r="V32" s="1"/>
  <c r="V33" s="1"/>
  <c r="V34" s="1"/>
  <c r="V35" s="1"/>
  <c r="V36" s="1"/>
  <c r="W36" s="1"/>
  <c r="T13"/>
  <c r="T14" s="1"/>
  <c r="T15" s="1"/>
  <c r="T16" s="1"/>
  <c r="T17" s="1"/>
  <c r="T18" s="1"/>
  <c r="T19" s="1"/>
  <c r="T20" s="1"/>
  <c r="T21" s="1"/>
  <c r="T22" s="1"/>
  <c r="T23" s="1"/>
  <c r="T24" s="1"/>
  <c r="T25" s="1"/>
  <c r="T26" s="1"/>
  <c r="T27" s="1"/>
  <c r="T28" s="1"/>
  <c r="T29" s="1"/>
  <c r="T30" s="1"/>
  <c r="T31" s="1"/>
  <c r="T32" s="1"/>
  <c r="T33" s="1"/>
  <c r="T34" s="1"/>
  <c r="T35" s="1"/>
  <c r="T36" s="1"/>
  <c r="U36" s="1"/>
  <c r="G8"/>
  <c r="G13" s="1"/>
  <c r="G14" s="1"/>
  <c r="G15" s="1"/>
  <c r="G16" s="1"/>
  <c r="G17" s="1"/>
  <c r="G18" s="1"/>
  <c r="G19" s="1"/>
  <c r="G20" s="1"/>
  <c r="G21" s="1"/>
  <c r="G22" s="1"/>
  <c r="G23" s="1"/>
  <c r="G24" s="1"/>
  <c r="G25" s="1"/>
  <c r="G26" s="1"/>
  <c r="G27" s="1"/>
  <c r="G28" s="1"/>
  <c r="G29" s="1"/>
  <c r="G30" s="1"/>
  <c r="G31" s="1"/>
  <c r="G32" s="1"/>
  <c r="G33" s="1"/>
  <c r="G34" s="1"/>
  <c r="G35" s="1"/>
  <c r="G36" s="1"/>
  <c r="H36" s="1"/>
  <c r="B7"/>
  <c r="B8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B36" s="1"/>
  <c r="C36" s="1"/>
  <c r="AR13" i="1"/>
  <c r="AR14" s="1"/>
  <c r="AR15" s="1"/>
  <c r="AR16" s="1"/>
  <c r="AR17" s="1"/>
  <c r="AR18" s="1"/>
  <c r="AR19" s="1"/>
  <c r="AR20" s="1"/>
  <c r="AR21" s="1"/>
  <c r="AR22" s="1"/>
  <c r="AR23" s="1"/>
  <c r="AR24" s="1"/>
  <c r="AR25" s="1"/>
  <c r="AR26" s="1"/>
  <c r="AR27" s="1"/>
  <c r="AR28" s="1"/>
  <c r="AR29" s="1"/>
  <c r="AR30" s="1"/>
  <c r="AR31" s="1"/>
  <c r="AR32" s="1"/>
  <c r="AR33" s="1"/>
  <c r="AR34" s="1"/>
  <c r="AR35" s="1"/>
  <c r="AN13"/>
  <c r="AN14" s="1"/>
  <c r="AN15" s="1"/>
  <c r="AN16" s="1"/>
  <c r="AN17" s="1"/>
  <c r="AN18" s="1"/>
  <c r="AN19" s="1"/>
  <c r="AN20" s="1"/>
  <c r="AN21" s="1"/>
  <c r="AN22" s="1"/>
  <c r="AN23" s="1"/>
  <c r="AN24" s="1"/>
  <c r="AN25" s="1"/>
  <c r="AN26" s="1"/>
  <c r="AN27" s="1"/>
  <c r="AN28" s="1"/>
  <c r="AN29" s="1"/>
  <c r="AN30" s="1"/>
  <c r="AN31" s="1"/>
  <c r="AN32" s="1"/>
  <c r="AN33" s="1"/>
  <c r="AN34" s="1"/>
  <c r="AN35" s="1"/>
  <c r="AE5"/>
  <c r="AE7" s="1"/>
  <c r="AE8" s="1"/>
  <c r="AE13" s="1"/>
  <c r="AE14" s="1"/>
  <c r="AE15" s="1"/>
  <c r="AE16" s="1"/>
  <c r="AE17" s="1"/>
  <c r="AE18" s="1"/>
  <c r="AE19" s="1"/>
  <c r="AE20" s="1"/>
  <c r="AE21" s="1"/>
  <c r="AE22" s="1"/>
  <c r="AE23" s="1"/>
  <c r="AE24" s="1"/>
  <c r="AE25" s="1"/>
  <c r="AE26" s="1"/>
  <c r="AE27" s="1"/>
  <c r="AE28" s="1"/>
  <c r="AE29" s="1"/>
  <c r="AE30" s="1"/>
  <c r="AE31" s="1"/>
  <c r="AE32" s="1"/>
  <c r="AE33" s="1"/>
  <c r="AE34" s="1"/>
  <c r="AE35" s="1"/>
  <c r="AC5"/>
  <c r="AC7" s="1"/>
  <c r="AC8" s="1"/>
  <c r="AC13" s="1"/>
  <c r="AC14" s="1"/>
  <c r="AC15" s="1"/>
  <c r="AC16" s="1"/>
  <c r="AC17" s="1"/>
  <c r="AC18" s="1"/>
  <c r="AC19" s="1"/>
  <c r="AC20" s="1"/>
  <c r="AC21" s="1"/>
  <c r="AC22" s="1"/>
  <c r="AC23" s="1"/>
  <c r="AC24" s="1"/>
  <c r="AC25" s="1"/>
  <c r="AC26" s="1"/>
  <c r="AC27" s="1"/>
  <c r="AC28" s="1"/>
  <c r="AC29" s="1"/>
  <c r="AC30" s="1"/>
  <c r="AC31" s="1"/>
  <c r="AC32" s="1"/>
  <c r="AC33" s="1"/>
  <c r="AC34" s="1"/>
  <c r="AC35" s="1"/>
  <c r="Z5"/>
  <c r="Z6" s="1"/>
  <c r="Z7" s="1"/>
  <c r="Z8" s="1"/>
  <c r="X6"/>
  <c r="X7" s="1"/>
  <c r="X8" s="1"/>
  <c r="X13" s="1"/>
  <c r="X14" s="1"/>
  <c r="X15" s="1"/>
  <c r="X16" s="1"/>
  <c r="X17" s="1"/>
  <c r="X18" s="1"/>
  <c r="X19" s="1"/>
  <c r="X20" s="1"/>
  <c r="X21" s="1"/>
  <c r="X22" s="1"/>
  <c r="X23" s="1"/>
  <c r="X24" s="1"/>
  <c r="X25" s="1"/>
  <c r="X26" s="1"/>
  <c r="X27" s="1"/>
  <c r="X28" s="1"/>
  <c r="X29" s="1"/>
  <c r="X30" s="1"/>
  <c r="X31" s="1"/>
  <c r="X32" s="1"/>
  <c r="X33" s="1"/>
  <c r="X34" s="1"/>
  <c r="X35" s="1"/>
  <c r="Q13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P13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P34" s="1"/>
  <c r="P35" s="1"/>
  <c r="O5"/>
  <c r="O6" s="1"/>
  <c r="O7" s="1"/>
  <c r="O8" s="1"/>
  <c r="O9" s="1"/>
  <c r="O10" s="1"/>
  <c r="O11" s="1"/>
  <c r="O12" s="1"/>
  <c r="O13" s="1"/>
  <c r="O14" s="1"/>
  <c r="O15" s="1"/>
  <c r="O16" s="1"/>
  <c r="O17" s="1"/>
  <c r="O18" s="1"/>
  <c r="O19" s="1"/>
  <c r="O20" s="1"/>
  <c r="O21" s="1"/>
  <c r="O22" s="1"/>
  <c r="O23" s="1"/>
  <c r="O24" s="1"/>
  <c r="O25" s="1"/>
  <c r="O26" s="1"/>
  <c r="O27" s="1"/>
  <c r="O28" s="1"/>
  <c r="O29" s="1"/>
  <c r="O30" s="1"/>
  <c r="O31" s="1"/>
  <c r="O32" s="1"/>
  <c r="O33" s="1"/>
  <c r="O34" s="1"/>
  <c r="O35" s="1"/>
  <c r="M5"/>
  <c r="M6" s="1"/>
  <c r="M7" s="1"/>
  <c r="M13" s="1"/>
  <c r="M14" s="1"/>
  <c r="M15" s="1"/>
  <c r="M16" s="1"/>
  <c r="M17" s="1"/>
  <c r="M18" s="1"/>
  <c r="M19" s="1"/>
  <c r="M20" s="1"/>
  <c r="M21" s="1"/>
  <c r="M22" s="1"/>
  <c r="M23" s="1"/>
  <c r="M24" s="1"/>
  <c r="M25" s="1"/>
  <c r="M26" s="1"/>
  <c r="M27" s="1"/>
  <c r="M28" s="1"/>
  <c r="M29" s="1"/>
  <c r="M30" s="1"/>
  <c r="M31" s="1"/>
  <c r="M32" s="1"/>
  <c r="M33" s="1"/>
  <c r="M34" s="1"/>
  <c r="M35" s="1"/>
  <c r="K5"/>
  <c r="K6" s="1"/>
  <c r="K7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H6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H34" s="1"/>
  <c r="H35" s="1"/>
  <c r="F6"/>
  <c r="F10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F34" s="1"/>
  <c r="F35" s="1"/>
  <c r="C13"/>
  <c r="C14" s="1"/>
  <c r="C15" s="1"/>
  <c r="C16" s="1"/>
  <c r="C17" s="1"/>
  <c r="C18" s="1"/>
  <c r="C19" s="1"/>
  <c r="C20" s="1"/>
  <c r="C21" s="1"/>
  <c r="C22" s="1"/>
  <c r="C23" s="1"/>
  <c r="C24" s="1"/>
  <c r="C25" s="1"/>
  <c r="C26" s="1"/>
  <c r="C27" s="1"/>
  <c r="C28" s="1"/>
  <c r="C29" s="1"/>
  <c r="C30" s="1"/>
  <c r="C31" s="1"/>
  <c r="C32" s="1"/>
  <c r="C33" s="1"/>
  <c r="C34" s="1"/>
  <c r="C35" s="1"/>
  <c r="B13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2" s="1"/>
  <c r="B33" s="1"/>
  <c r="B34" s="1"/>
  <c r="B35" s="1"/>
  <c r="U11" i="2"/>
  <c r="U12" s="1"/>
  <c r="U13" s="1"/>
  <c r="U14" s="1"/>
  <c r="U15" s="1"/>
  <c r="U16" s="1"/>
  <c r="U17" s="1"/>
  <c r="U18" s="1"/>
  <c r="U19" s="1"/>
  <c r="U20" s="1"/>
  <c r="U21" s="1"/>
  <c r="U22" s="1"/>
  <c r="U23" s="1"/>
  <c r="U24" s="1"/>
  <c r="U25" s="1"/>
  <c r="U26" s="1"/>
  <c r="U27" s="1"/>
  <c r="U28" s="1"/>
  <c r="U29" s="1"/>
  <c r="U30" s="1"/>
  <c r="U31" s="1"/>
  <c r="U32" s="1"/>
  <c r="U33" s="1"/>
  <c r="V33" s="1"/>
  <c r="AF33" s="1"/>
  <c r="S11"/>
  <c r="S12" s="1"/>
  <c r="S13" s="1"/>
  <c r="S14" s="1"/>
  <c r="S15" s="1"/>
  <c r="S16" s="1"/>
  <c r="S17" s="1"/>
  <c r="S18" s="1"/>
  <c r="S19" s="1"/>
  <c r="S20" s="1"/>
  <c r="S21" s="1"/>
  <c r="S22" s="1"/>
  <c r="S23" s="1"/>
  <c r="S24" s="1"/>
  <c r="S25" s="1"/>
  <c r="S26" s="1"/>
  <c r="S27" s="1"/>
  <c r="S28" s="1"/>
  <c r="S29" s="1"/>
  <c r="S30" s="1"/>
  <c r="S31" s="1"/>
  <c r="S32" s="1"/>
  <c r="S33" s="1"/>
  <c r="T33" s="1"/>
  <c r="AE33" s="1"/>
  <c r="AG33" s="1"/>
  <c r="P11"/>
  <c r="P12" s="1"/>
  <c r="P13" s="1"/>
  <c r="P14" s="1"/>
  <c r="P15" s="1"/>
  <c r="P16" s="1"/>
  <c r="P17" s="1"/>
  <c r="P18" s="1"/>
  <c r="P19" s="1"/>
  <c r="P20" s="1"/>
  <c r="P21" s="1"/>
  <c r="P22" s="1"/>
  <c r="P23" s="1"/>
  <c r="P24" s="1"/>
  <c r="P25" s="1"/>
  <c r="P26" s="1"/>
  <c r="P27" s="1"/>
  <c r="P28" s="1"/>
  <c r="P29" s="1"/>
  <c r="P30" s="1"/>
  <c r="P31" s="1"/>
  <c r="P32" s="1"/>
  <c r="P33" s="1"/>
  <c r="Q33" s="1"/>
  <c r="AD33" i="3" s="1"/>
  <c r="L11" i="2"/>
  <c r="L12" s="1"/>
  <c r="L13" s="1"/>
  <c r="L14" s="1"/>
  <c r="L15" s="1"/>
  <c r="L16" s="1"/>
  <c r="L17" s="1"/>
  <c r="L18" s="1"/>
  <c r="L19" s="1"/>
  <c r="L20" s="1"/>
  <c r="L21" s="1"/>
  <c r="L22" s="1"/>
  <c r="L23" s="1"/>
  <c r="L24" s="1"/>
  <c r="L25" s="1"/>
  <c r="L26" s="1"/>
  <c r="L27" s="1"/>
  <c r="L28" s="1"/>
  <c r="L29" s="1"/>
  <c r="L30" s="1"/>
  <c r="L31" s="1"/>
  <c r="L32" s="1"/>
  <c r="L33" s="1"/>
  <c r="M33" s="1"/>
  <c r="J1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J32" s="1"/>
  <c r="J33" s="1"/>
  <c r="K33" s="1"/>
  <c r="F32" i="82" s="1"/>
  <c r="H11" i="2"/>
  <c r="H12" s="1"/>
  <c r="H13" s="1"/>
  <c r="H14" s="1"/>
  <c r="H15" s="1"/>
  <c r="H16" s="1"/>
  <c r="H17" s="1"/>
  <c r="H18" s="1"/>
  <c r="H19" s="1"/>
  <c r="H20" s="1"/>
  <c r="H21" s="1"/>
  <c r="H22" s="1"/>
  <c r="H23" s="1"/>
  <c r="H24" s="1"/>
  <c r="H25" s="1"/>
  <c r="H26" s="1"/>
  <c r="H27" s="1"/>
  <c r="H28" s="1"/>
  <c r="H29" s="1"/>
  <c r="H30" s="1"/>
  <c r="H31" s="1"/>
  <c r="H32" s="1"/>
  <c r="H33" s="1"/>
  <c r="I33" s="1"/>
  <c r="G32" i="82" s="1"/>
  <c r="F11" i="2"/>
  <c r="F12" s="1"/>
  <c r="F13" s="1"/>
  <c r="F14" s="1"/>
  <c r="F15" s="1"/>
  <c r="F16" s="1"/>
  <c r="F17" s="1"/>
  <c r="F18" s="1"/>
  <c r="F19" s="1"/>
  <c r="F20" s="1"/>
  <c r="F21" s="1"/>
  <c r="F22" s="1"/>
  <c r="F23" s="1"/>
  <c r="F24" s="1"/>
  <c r="F25" s="1"/>
  <c r="F26" s="1"/>
  <c r="F27" s="1"/>
  <c r="F28" s="1"/>
  <c r="F29" s="1"/>
  <c r="F30" s="1"/>
  <c r="F31" s="1"/>
  <c r="F32" s="1"/>
  <c r="F33" s="1"/>
  <c r="G33" s="1"/>
  <c r="I32" i="82" s="1"/>
  <c r="D11" i="2"/>
  <c r="D12" s="1"/>
  <c r="D13" s="1"/>
  <c r="D14" s="1"/>
  <c r="D15" s="1"/>
  <c r="D16" s="1"/>
  <c r="D17" s="1"/>
  <c r="D18" s="1"/>
  <c r="D19" s="1"/>
  <c r="D20" s="1"/>
  <c r="D21" s="1"/>
  <c r="D22" s="1"/>
  <c r="D23" s="1"/>
  <c r="D24" s="1"/>
  <c r="D25" s="1"/>
  <c r="D26" s="1"/>
  <c r="D27" s="1"/>
  <c r="D28" s="1"/>
  <c r="D29" s="1"/>
  <c r="D30" s="1"/>
  <c r="D31" s="1"/>
  <c r="D32" s="1"/>
  <c r="D33" s="1"/>
  <c r="E33" s="1"/>
  <c r="H32" i="82" s="1"/>
  <c r="Z13" i="1" l="1"/>
  <c r="Z14" s="1"/>
  <c r="Z15" s="1"/>
  <c r="Z16" s="1"/>
  <c r="Z17" s="1"/>
  <c r="Z18" s="1"/>
  <c r="Z19" s="1"/>
  <c r="Z20" s="1"/>
  <c r="Z21" s="1"/>
  <c r="Z22" s="1"/>
  <c r="Z23" s="1"/>
  <c r="Z24" s="1"/>
  <c r="Z25" s="1"/>
  <c r="Z26" s="1"/>
  <c r="Z27" s="1"/>
  <c r="Z28" s="1"/>
  <c r="Z29" s="1"/>
  <c r="Z30" s="1"/>
  <c r="Z31" s="1"/>
  <c r="Z32" s="1"/>
  <c r="Z33" s="1"/>
  <c r="Z34" s="1"/>
  <c r="Z35" s="1"/>
  <c r="Z9"/>
  <c r="I34" i="76"/>
  <c r="M34" s="1"/>
  <c r="W27"/>
  <c r="M21"/>
  <c r="D21"/>
  <c r="E21" s="1"/>
  <c r="AA36" i="5"/>
  <c r="AJ36"/>
  <c r="AL36" s="1"/>
  <c r="AP13" i="1"/>
  <c r="AP14" s="1"/>
  <c r="AP15" s="1"/>
  <c r="AP16" s="1"/>
  <c r="AP17" s="1"/>
  <c r="AP18" s="1"/>
  <c r="AP19" s="1"/>
  <c r="AP20" s="1"/>
  <c r="AP21" s="1"/>
  <c r="AP22" s="1"/>
  <c r="AP23" s="1"/>
  <c r="AP24" s="1"/>
  <c r="AP25" s="1"/>
  <c r="AP26" s="1"/>
  <c r="AP27" s="1"/>
  <c r="AP28" s="1"/>
  <c r="AP29" s="1"/>
  <c r="AP30" s="1"/>
  <c r="AP31" s="1"/>
  <c r="AP32" s="1"/>
  <c r="AP33" s="1"/>
  <c r="AP34" s="1"/>
  <c r="AP35" s="1"/>
  <c r="AQ11"/>
  <c r="D36" i="5"/>
  <c r="I36"/>
  <c r="J36" s="1"/>
  <c r="E36"/>
  <c r="AI36"/>
  <c r="AI33" i="3"/>
  <c r="AE33"/>
  <c r="AF33" s="1"/>
  <c r="AG33" s="1"/>
  <c r="AH33" s="1"/>
  <c r="E32" i="82"/>
  <c r="N33" i="2"/>
  <c r="X34" i="74"/>
  <c r="X19"/>
  <c r="X20"/>
  <c r="K22" i="76"/>
  <c r="N22" s="1"/>
  <c r="G22"/>
  <c r="L21"/>
  <c r="C22"/>
  <c r="X10" i="74"/>
  <c r="X39"/>
  <c r="X38"/>
  <c r="X37"/>
  <c r="X36"/>
  <c r="X35"/>
  <c r="X33"/>
  <c r="X32"/>
  <c r="X31"/>
  <c r="X30"/>
  <c r="X29"/>
  <c r="X28"/>
  <c r="X27"/>
  <c r="X26"/>
  <c r="X25"/>
  <c r="X24"/>
  <c r="X23"/>
  <c r="X22"/>
  <c r="X21"/>
  <c r="X18"/>
  <c r="X17"/>
  <c r="X16"/>
  <c r="X15"/>
  <c r="X14"/>
  <c r="X13"/>
  <c r="X12"/>
  <c r="X11"/>
  <c r="AK38" i="5"/>
  <c r="A31" i="76"/>
  <c r="D34" l="1"/>
  <c r="E34" s="1"/>
  <c r="M22"/>
  <c r="D22"/>
  <c r="E22" s="1"/>
  <c r="S34"/>
  <c r="T34" s="1"/>
  <c r="R33" i="2"/>
  <c r="AI33" s="1"/>
  <c r="E32" i="81"/>
  <c r="I23" i="76"/>
  <c r="K23"/>
  <c r="N23" s="1"/>
  <c r="L22"/>
  <c r="C23"/>
  <c r="G23"/>
  <c r="G30" i="73"/>
  <c r="D30"/>
  <c r="M23" i="76" l="1"/>
  <c r="D23"/>
  <c r="E23" s="1"/>
  <c r="I24"/>
  <c r="G24"/>
  <c r="C24"/>
  <c r="L23"/>
  <c r="K24"/>
  <c r="N24" s="1"/>
  <c r="W4" i="2"/>
  <c r="W6" s="1"/>
  <c r="W8" s="1"/>
  <c r="W14" s="1"/>
  <c r="W15" s="1"/>
  <c r="W16" s="1"/>
  <c r="W17" s="1"/>
  <c r="W18" s="1"/>
  <c r="W19" s="1"/>
  <c r="W21" s="1"/>
  <c r="W22" s="1"/>
  <c r="W23" s="1"/>
  <c r="W25" s="1"/>
  <c r="W27" s="1"/>
  <c r="W28" s="1"/>
  <c r="W29" s="1"/>
  <c r="W30" s="1"/>
  <c r="W31" s="1"/>
  <c r="G35" i="1"/>
  <c r="I35"/>
  <c r="L35"/>
  <c r="N35"/>
  <c r="S35"/>
  <c r="R35"/>
  <c r="Y35"/>
  <c r="AD35"/>
  <c r="AG35" s="1"/>
  <c r="AF35"/>
  <c r="AO35"/>
  <c r="AQ35"/>
  <c r="AS35"/>
  <c r="B36" i="7"/>
  <c r="M24" i="76" l="1"/>
  <c r="D24"/>
  <c r="E24" s="1"/>
  <c r="AB35" i="1"/>
  <c r="AM35"/>
  <c r="D35"/>
  <c r="E35" s="1"/>
  <c r="Z36" i="7"/>
  <c r="J35" i="1"/>
  <c r="U35"/>
  <c r="AT35"/>
  <c r="D36" i="7"/>
  <c r="C36"/>
  <c r="V35" i="1"/>
  <c r="T35"/>
  <c r="AL35"/>
  <c r="I25" i="76"/>
  <c r="G25"/>
  <c r="L24"/>
  <c r="K25"/>
  <c r="N25" s="1"/>
  <c r="C25"/>
  <c r="AA35" i="1"/>
  <c r="AH35" s="1"/>
  <c r="AA8"/>
  <c r="X31" i="2"/>
  <c r="W32"/>
  <c r="AH31" i="5"/>
  <c r="U8"/>
  <c r="M25" i="76" l="1"/>
  <c r="D25"/>
  <c r="E25" s="1"/>
  <c r="AI35" i="1"/>
  <c r="AK35" s="1"/>
  <c r="E36" i="7"/>
  <c r="F36"/>
  <c r="AB36"/>
  <c r="AA36"/>
  <c r="I26" i="76"/>
  <c r="K26"/>
  <c r="N26" s="1"/>
  <c r="G26"/>
  <c r="C26"/>
  <c r="L25"/>
  <c r="U9" i="5"/>
  <c r="M26" i="76" l="1"/>
  <c r="D26"/>
  <c r="E26" s="1"/>
  <c r="AW36" i="7"/>
  <c r="H36"/>
  <c r="G36"/>
  <c r="AD36"/>
  <c r="AC36"/>
  <c r="I27" i="76"/>
  <c r="C27"/>
  <c r="G27"/>
  <c r="K27"/>
  <c r="N27" s="1"/>
  <c r="L26"/>
  <c r="U10" i="5"/>
  <c r="M27" i="76" l="1"/>
  <c r="D27"/>
  <c r="E27" s="1"/>
  <c r="J36" i="7"/>
  <c r="I36"/>
  <c r="AE36"/>
  <c r="AF36"/>
  <c r="I28" i="76"/>
  <c r="G28"/>
  <c r="K28"/>
  <c r="N28" s="1"/>
  <c r="L27"/>
  <c r="C28"/>
  <c r="I40" i="74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AB8" i="76"/>
  <c r="M28" l="1"/>
  <c r="D28"/>
  <c r="E28" s="1"/>
  <c r="L36" i="7"/>
  <c r="K36"/>
  <c r="AH36"/>
  <c r="AG36"/>
  <c r="I29" i="76"/>
  <c r="C29"/>
  <c r="G29"/>
  <c r="L28"/>
  <c r="K29"/>
  <c r="N29" s="1"/>
  <c r="M6" i="79"/>
  <c r="I6" s="1"/>
  <c r="M29" i="76" l="1"/>
  <c r="D29"/>
  <c r="E29" s="1"/>
  <c r="N36" i="7"/>
  <c r="M36"/>
  <c r="AJ36"/>
  <c r="AI36"/>
  <c r="I30" i="76"/>
  <c r="G30"/>
  <c r="K30"/>
  <c r="N30" s="1"/>
  <c r="C30"/>
  <c r="L29"/>
  <c r="M7" i="79"/>
  <c r="O6"/>
  <c r="AF14" i="1"/>
  <c r="R29"/>
  <c r="AA7"/>
  <c r="L34"/>
  <c r="D30"/>
  <c r="E30" s="1"/>
  <c r="D29"/>
  <c r="E29" s="1"/>
  <c r="D28"/>
  <c r="E28" s="1"/>
  <c r="D27"/>
  <c r="E27" s="1"/>
  <c r="D26"/>
  <c r="E26" s="1"/>
  <c r="D25"/>
  <c r="E25" s="1"/>
  <c r="D24"/>
  <c r="E24" s="1"/>
  <c r="D23"/>
  <c r="E23" s="1"/>
  <c r="D22"/>
  <c r="E22" s="1"/>
  <c r="M30" i="76" l="1"/>
  <c r="D30"/>
  <c r="E30" s="1"/>
  <c r="O36" i="7"/>
  <c r="P36"/>
  <c r="AL36"/>
  <c r="AM36" s="1"/>
  <c r="AK36"/>
  <c r="I31" i="76"/>
  <c r="C31"/>
  <c r="G31"/>
  <c r="L30"/>
  <c r="K31"/>
  <c r="N31" s="1"/>
  <c r="M8" i="79"/>
  <c r="O7"/>
  <c r="AS29" i="1"/>
  <c r="E26" i="2"/>
  <c r="U24" i="3"/>
  <c r="U25"/>
  <c r="M31" i="76" l="1"/>
  <c r="D31"/>
  <c r="E31" s="1"/>
  <c r="R36" i="7"/>
  <c r="Q36"/>
  <c r="AO36"/>
  <c r="I32" i="76"/>
  <c r="K32"/>
  <c r="N32" s="1"/>
  <c r="G32"/>
  <c r="C33"/>
  <c r="C32"/>
  <c r="L31"/>
  <c r="M9" i="79"/>
  <c r="O8"/>
  <c r="I7"/>
  <c r="K7" i="5"/>
  <c r="D21" i="1"/>
  <c r="E21" s="1"/>
  <c r="Q19" i="2"/>
  <c r="M32" i="76" l="1"/>
  <c r="D32"/>
  <c r="E32" s="1"/>
  <c r="T36" i="7"/>
  <c r="S36"/>
  <c r="AN36"/>
  <c r="K33" i="76"/>
  <c r="N33" s="1"/>
  <c r="I33"/>
  <c r="G33"/>
  <c r="L33" s="1"/>
  <c r="L32"/>
  <c r="M10" i="79"/>
  <c r="O9"/>
  <c r="I8"/>
  <c r="K8" i="5"/>
  <c r="I12" i="77"/>
  <c r="Q3" i="2"/>
  <c r="M33" i="76" l="1"/>
  <c r="D33"/>
  <c r="E33" s="1"/>
  <c r="V36" i="7"/>
  <c r="W36" s="1"/>
  <c r="U36"/>
  <c r="M11" i="79"/>
  <c r="O10"/>
  <c r="K9" i="5"/>
  <c r="I9" i="79"/>
  <c r="H12" i="77"/>
  <c r="Y36" i="7" l="1"/>
  <c r="AR36" s="1"/>
  <c r="K10" i="5"/>
  <c r="I10" i="79"/>
  <c r="M12"/>
  <c r="O11"/>
  <c r="K13" i="73"/>
  <c r="A34" i="1"/>
  <c r="A33"/>
  <c r="A32"/>
  <c r="A31"/>
  <c r="A30"/>
  <c r="A29"/>
  <c r="A28"/>
  <c r="A27"/>
  <c r="A26"/>
  <c r="A25"/>
  <c r="A24"/>
  <c r="A23"/>
  <c r="A22"/>
  <c r="A21"/>
  <c r="A20"/>
  <c r="A19"/>
  <c r="A18"/>
  <c r="A17"/>
  <c r="A16"/>
  <c r="A15"/>
  <c r="A14"/>
  <c r="A13"/>
  <c r="A12"/>
  <c r="A11"/>
  <c r="A10"/>
  <c r="A9"/>
  <c r="A8"/>
  <c r="A7"/>
  <c r="A6"/>
  <c r="A5"/>
  <c r="A4"/>
  <c r="X36" i="7" l="1"/>
  <c r="AQ36"/>
  <c r="Q10" i="3"/>
  <c r="M13" i="79"/>
  <c r="O12"/>
  <c r="K11" i="5"/>
  <c r="I11" i="79"/>
  <c r="D31" i="1"/>
  <c r="E31" s="1"/>
  <c r="E23" i="3"/>
  <c r="U16"/>
  <c r="M14" i="79" l="1"/>
  <c r="O13"/>
  <c r="K12" i="5"/>
  <c r="I12" i="79"/>
  <c r="E24" i="3"/>
  <c r="U17"/>
  <c r="M15" i="79" l="1"/>
  <c r="O14"/>
  <c r="I13"/>
  <c r="K13" i="5"/>
  <c r="E25" i="3"/>
  <c r="U18"/>
  <c r="M16" i="79" l="1"/>
  <c r="O15"/>
  <c r="I14"/>
  <c r="K14" i="5"/>
  <c r="U19" i="3"/>
  <c r="E26"/>
  <c r="K15" i="5" l="1"/>
  <c r="I15" i="79"/>
  <c r="M17"/>
  <c r="O16"/>
  <c r="BB7" i="7"/>
  <c r="BB8"/>
  <c r="BB9"/>
  <c r="BB10"/>
  <c r="BB11"/>
  <c r="BB12"/>
  <c r="BB13"/>
  <c r="BB14"/>
  <c r="BB15"/>
  <c r="BB16"/>
  <c r="BB17"/>
  <c r="BB18"/>
  <c r="BB19"/>
  <c r="BB20"/>
  <c r="BB21"/>
  <c r="BB22"/>
  <c r="BB23"/>
  <c r="BB24"/>
  <c r="BB25"/>
  <c r="BB26"/>
  <c r="BB27"/>
  <c r="BB28"/>
  <c r="BB29"/>
  <c r="BB30"/>
  <c r="BB31"/>
  <c r="BB32"/>
  <c r="J5" i="79"/>
  <c r="I16" l="1"/>
  <c r="K16" i="5"/>
  <c r="M18" i="79"/>
  <c r="O17"/>
  <c r="W43" i="74"/>
  <c r="A10" i="3"/>
  <c r="A11"/>
  <c r="A12"/>
  <c r="A13"/>
  <c r="AB15" i="74" l="1"/>
  <c r="M19" i="79"/>
  <c r="O18"/>
  <c r="K17" i="5"/>
  <c r="I17" i="79"/>
  <c r="A3" i="76"/>
  <c r="A5" i="7"/>
  <c r="M20" i="79" l="1"/>
  <c r="O19"/>
  <c r="K18" i="5"/>
  <c r="I18" i="79"/>
  <c r="M21" l="1"/>
  <c r="O20"/>
  <c r="K19" i="5"/>
  <c r="I19" i="79"/>
  <c r="M22" l="1"/>
  <c r="O21"/>
  <c r="K20" i="5"/>
  <c r="I20" i="79"/>
  <c r="A2" i="3"/>
  <c r="A5" i="73"/>
  <c r="K21" i="5" l="1"/>
  <c r="I21" i="79"/>
  <c r="M23"/>
  <c r="O22"/>
  <c r="N7" i="1"/>
  <c r="K22" i="5" l="1"/>
  <c r="I22" i="79"/>
  <c r="M24"/>
  <c r="O23"/>
  <c r="AS37" i="7"/>
  <c r="AU37" s="1"/>
  <c r="B6"/>
  <c r="F38" i="5"/>
  <c r="F39"/>
  <c r="F37"/>
  <c r="B39"/>
  <c r="AH7"/>
  <c r="AH6"/>
  <c r="AF6"/>
  <c r="K23" l="1"/>
  <c r="I23" i="79"/>
  <c r="M25"/>
  <c r="O24"/>
  <c r="AI6" i="5"/>
  <c r="AF8"/>
  <c r="AF7"/>
  <c r="AI7" s="1"/>
  <c r="AF30"/>
  <c r="AF22"/>
  <c r="AF33"/>
  <c r="AF31"/>
  <c r="AI31" s="1"/>
  <c r="AF23"/>
  <c r="AF35"/>
  <c r="AF26"/>
  <c r="AF18"/>
  <c r="AF21"/>
  <c r="AF34"/>
  <c r="AF25"/>
  <c r="AF27"/>
  <c r="AF19"/>
  <c r="AF29"/>
  <c r="AF32"/>
  <c r="AF24"/>
  <c r="AF28"/>
  <c r="AF20"/>
  <c r="AH33"/>
  <c r="AH17"/>
  <c r="AH23"/>
  <c r="AH28"/>
  <c r="AH12"/>
  <c r="N8" i="1"/>
  <c r="AH25" i="5"/>
  <c r="AH20"/>
  <c r="AH15"/>
  <c r="AH9"/>
  <c r="AH32"/>
  <c r="AH27"/>
  <c r="AH22"/>
  <c r="AH16"/>
  <c r="AH11"/>
  <c r="AH35"/>
  <c r="AH30"/>
  <c r="AH24"/>
  <c r="AH19"/>
  <c r="AH14"/>
  <c r="AH8"/>
  <c r="AH29"/>
  <c r="AH21"/>
  <c r="AH13"/>
  <c r="AH34"/>
  <c r="AH26"/>
  <c r="AH18"/>
  <c r="AH10"/>
  <c r="D6" i="73"/>
  <c r="AM6" i="5" s="1"/>
  <c r="D7" i="73"/>
  <c r="D8"/>
  <c r="D9"/>
  <c r="D10"/>
  <c r="D11"/>
  <c r="D13"/>
  <c r="D14"/>
  <c r="D15"/>
  <c r="D16"/>
  <c r="D17"/>
  <c r="D18"/>
  <c r="D19"/>
  <c r="D20"/>
  <c r="D21"/>
  <c r="D22"/>
  <c r="D23"/>
  <c r="BA23" i="7" s="1"/>
  <c r="D24" i="73"/>
  <c r="BA24" i="7" s="1"/>
  <c r="D25" i="73"/>
  <c r="BA25" i="7" s="1"/>
  <c r="D26" i="73"/>
  <c r="BA26" i="7" s="1"/>
  <c r="D27" i="73"/>
  <c r="BA27" i="7" s="1"/>
  <c r="D28" i="73"/>
  <c r="BA28" i="7" s="1"/>
  <c r="D29" i="73"/>
  <c r="BA29" i="7" s="1"/>
  <c r="BA30"/>
  <c r="D31" i="73"/>
  <c r="BA31" i="7" s="1"/>
  <c r="D32" i="73"/>
  <c r="BA32" i="7" s="1"/>
  <c r="D33" i="73"/>
  <c r="D34"/>
  <c r="D35"/>
  <c r="A4" i="76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2"/>
  <c r="A33"/>
  <c r="A3" i="3"/>
  <c r="A4"/>
  <c r="A5"/>
  <c r="A6"/>
  <c r="A7"/>
  <c r="A8"/>
  <c r="A9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6" i="7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6" i="73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O32" i="1"/>
  <c r="I24" i="79" l="1"/>
  <c r="K24" i="5"/>
  <c r="M26" i="79"/>
  <c r="O25"/>
  <c r="AM20" i="5"/>
  <c r="BA20" i="7"/>
  <c r="AM12" i="5"/>
  <c r="BA12" i="7"/>
  <c r="AM13" i="5"/>
  <c r="BA13" i="7"/>
  <c r="AM21" i="5"/>
  <c r="BA21" i="7"/>
  <c r="AM22" i="5"/>
  <c r="BA22" i="7"/>
  <c r="AM14" i="5"/>
  <c r="BA14" i="7"/>
  <c r="AM15" i="5"/>
  <c r="BA15" i="7"/>
  <c r="AM7" i="5"/>
  <c r="BA7" i="7"/>
  <c r="AM16" i="5"/>
  <c r="BA16" i="7"/>
  <c r="AM8" i="5"/>
  <c r="BA8" i="7"/>
  <c r="AM17" i="5"/>
  <c r="BA17" i="7"/>
  <c r="AM9" i="5"/>
  <c r="BA9" i="7"/>
  <c r="AM18" i="5"/>
  <c r="BA18" i="7"/>
  <c r="AM10" i="5"/>
  <c r="BA10" i="7"/>
  <c r="AM19" i="5"/>
  <c r="BA19" i="7"/>
  <c r="AM11" i="5"/>
  <c r="BA11" i="7"/>
  <c r="AI25" i="5"/>
  <c r="AI29"/>
  <c r="AF11"/>
  <c r="AI11" s="1"/>
  <c r="AF9"/>
  <c r="AI9" s="1"/>
  <c r="AF10"/>
  <c r="AI10" s="1"/>
  <c r="AI8"/>
  <c r="AI32"/>
  <c r="AI22"/>
  <c r="AI35"/>
  <c r="AI20"/>
  <c r="AI33"/>
  <c r="AI21"/>
  <c r="AI34"/>
  <c r="AI30"/>
  <c r="AI26"/>
  <c r="AI24"/>
  <c r="AI23"/>
  <c r="AI18"/>
  <c r="AI19"/>
  <c r="AI28"/>
  <c r="AI27"/>
  <c r="N9" i="1"/>
  <c r="K15" i="73"/>
  <c r="G15"/>
  <c r="AP14" i="5"/>
  <c r="Y11"/>
  <c r="J7" i="82" s="1"/>
  <c r="AD7" i="1"/>
  <c r="AB21" i="74"/>
  <c r="AA21"/>
  <c r="I4" i="76"/>
  <c r="M4" s="1"/>
  <c r="U3" i="3"/>
  <c r="S3"/>
  <c r="P3"/>
  <c r="Q3" s="1"/>
  <c r="M3"/>
  <c r="H3"/>
  <c r="I3" s="1"/>
  <c r="E3"/>
  <c r="AD7" i="5"/>
  <c r="AJ6"/>
  <c r="Y6"/>
  <c r="J2" i="82" s="1"/>
  <c r="W6" i="5"/>
  <c r="U6"/>
  <c r="G2" i="63"/>
  <c r="H6" i="5"/>
  <c r="AX5" i="1"/>
  <c r="D5" i="75"/>
  <c r="E5" s="1"/>
  <c r="AD5" i="1"/>
  <c r="Y5"/>
  <c r="R5"/>
  <c r="G5"/>
  <c r="AD3" i="2"/>
  <c r="AB3"/>
  <c r="Z3"/>
  <c r="V3"/>
  <c r="T3"/>
  <c r="K3"/>
  <c r="G3"/>
  <c r="I2" i="82" s="1"/>
  <c r="I13" i="76"/>
  <c r="M13" s="1"/>
  <c r="C12"/>
  <c r="U11" i="3"/>
  <c r="K7"/>
  <c r="E4"/>
  <c r="AJ14" i="5"/>
  <c r="K10" i="82" s="1"/>
  <c r="W14" i="5"/>
  <c r="H8"/>
  <c r="H10"/>
  <c r="AO9" i="1"/>
  <c r="AF13"/>
  <c r="AA6"/>
  <c r="Y6"/>
  <c r="Y15"/>
  <c r="AB15" s="1"/>
  <c r="R13"/>
  <c r="S10"/>
  <c r="T10" s="1"/>
  <c r="L5"/>
  <c r="V4" i="2"/>
  <c r="F37" i="73"/>
  <c r="B17" i="77" s="1"/>
  <c r="J9" i="63"/>
  <c r="K9" i="73"/>
  <c r="G9"/>
  <c r="C6" i="76"/>
  <c r="K4"/>
  <c r="N4" s="1"/>
  <c r="K3" i="3"/>
  <c r="C6" i="5"/>
  <c r="E6" s="1"/>
  <c r="AS36" i="1"/>
  <c r="AW38" s="1"/>
  <c r="AS5"/>
  <c r="AQ6"/>
  <c r="AO5"/>
  <c r="AA5"/>
  <c r="S6"/>
  <c r="T6" s="1"/>
  <c r="S5"/>
  <c r="B7" i="7"/>
  <c r="D7" s="1"/>
  <c r="F5" i="75"/>
  <c r="G5" s="1"/>
  <c r="K25" i="73"/>
  <c r="X3" i="2"/>
  <c r="M3"/>
  <c r="E2" i="82" s="1"/>
  <c r="I3" i="2"/>
  <c r="G2" i="82" s="1"/>
  <c r="A34" i="79"/>
  <c r="L34" s="1"/>
  <c r="J30" i="63"/>
  <c r="AP31" i="5"/>
  <c r="AT37" i="7"/>
  <c r="B8" i="77" s="1"/>
  <c r="J11" i="63"/>
  <c r="D7" i="77"/>
  <c r="P34" i="3"/>
  <c r="F2" i="63"/>
  <c r="AU6" i="5"/>
  <c r="AZ6" s="1"/>
  <c r="BC6" s="1"/>
  <c r="AV36" i="1"/>
  <c r="AV39" s="1"/>
  <c r="BA6" i="5"/>
  <c r="BA7"/>
  <c r="BA8"/>
  <c r="BA9"/>
  <c r="BA10"/>
  <c r="BA13"/>
  <c r="A34" i="65"/>
  <c r="G6" i="73"/>
  <c r="K6"/>
  <c r="G7"/>
  <c r="K7"/>
  <c r="G8"/>
  <c r="K8"/>
  <c r="G10"/>
  <c r="K10"/>
  <c r="G11"/>
  <c r="K11"/>
  <c r="G12"/>
  <c r="K12"/>
  <c r="G13"/>
  <c r="G14"/>
  <c r="G16"/>
  <c r="K16"/>
  <c r="G17"/>
  <c r="K17"/>
  <c r="G18"/>
  <c r="K18"/>
  <c r="G19"/>
  <c r="K19"/>
  <c r="G20"/>
  <c r="K20"/>
  <c r="G21"/>
  <c r="K21"/>
  <c r="G22"/>
  <c r="K22"/>
  <c r="G23"/>
  <c r="K23"/>
  <c r="AM24" i="5"/>
  <c r="G24" i="73"/>
  <c r="K24"/>
  <c r="G25"/>
  <c r="G26"/>
  <c r="K26"/>
  <c r="AM27" i="5"/>
  <c r="G27" i="73"/>
  <c r="K27"/>
  <c r="AM28" i="5"/>
  <c r="G28" i="73"/>
  <c r="K28"/>
  <c r="AM29" i="5"/>
  <c r="G29" i="73"/>
  <c r="K29"/>
  <c r="AM30" i="5"/>
  <c r="K30" i="73"/>
  <c r="AM31" i="5"/>
  <c r="G31" i="73"/>
  <c r="AM32" i="5"/>
  <c r="G32" i="73"/>
  <c r="K32"/>
  <c r="AM33" i="5"/>
  <c r="G33" i="73"/>
  <c r="K33"/>
  <c r="A19" i="65"/>
  <c r="A14" i="5"/>
  <c r="AR14" s="1"/>
  <c r="AP18"/>
  <c r="AP17"/>
  <c r="AP13"/>
  <c r="I4" i="2"/>
  <c r="G3" i="82" s="1"/>
  <c r="K35" i="73"/>
  <c r="AP26" i="5"/>
  <c r="AP22"/>
  <c r="AP21"/>
  <c r="AP12"/>
  <c r="AP8"/>
  <c r="AP16"/>
  <c r="T77" i="74"/>
  <c r="T76"/>
  <c r="T75"/>
  <c r="T74"/>
  <c r="T72"/>
  <c r="T71"/>
  <c r="T70"/>
  <c r="T69"/>
  <c r="T68"/>
  <c r="T67"/>
  <c r="T65"/>
  <c r="T64"/>
  <c r="T63"/>
  <c r="T61"/>
  <c r="T59"/>
  <c r="T58"/>
  <c r="T57"/>
  <c r="T55"/>
  <c r="T52"/>
  <c r="T51"/>
  <c r="T50"/>
  <c r="T49"/>
  <c r="AP7" i="5"/>
  <c r="AP34"/>
  <c r="AP27"/>
  <c r="A35"/>
  <c r="AR35" s="1"/>
  <c r="AP35"/>
  <c r="A6" i="79"/>
  <c r="L6" s="1"/>
  <c r="A7"/>
  <c r="L7" s="1"/>
  <c r="A8"/>
  <c r="L8" s="1"/>
  <c r="A9"/>
  <c r="L9" s="1"/>
  <c r="A10"/>
  <c r="L10" s="1"/>
  <c r="A11"/>
  <c r="L11" s="1"/>
  <c r="A12"/>
  <c r="L12" s="1"/>
  <c r="A13"/>
  <c r="L13" s="1"/>
  <c r="A14"/>
  <c r="L14" s="1"/>
  <c r="A15"/>
  <c r="L15" s="1"/>
  <c r="A16"/>
  <c r="L16" s="1"/>
  <c r="A17"/>
  <c r="L17" s="1"/>
  <c r="A18"/>
  <c r="L18" s="1"/>
  <c r="A19"/>
  <c r="L19" s="1"/>
  <c r="A20"/>
  <c r="L20" s="1"/>
  <c r="A21"/>
  <c r="L21" s="1"/>
  <c r="A22"/>
  <c r="L22" s="1"/>
  <c r="A23"/>
  <c r="L23" s="1"/>
  <c r="A24"/>
  <c r="L24" s="1"/>
  <c r="A25"/>
  <c r="L25" s="1"/>
  <c r="A26"/>
  <c r="L26" s="1"/>
  <c r="A27"/>
  <c r="L27" s="1"/>
  <c r="A28"/>
  <c r="L28" s="1"/>
  <c r="A29"/>
  <c r="L29" s="1"/>
  <c r="A30"/>
  <c r="L30" s="1"/>
  <c r="A31"/>
  <c r="L31" s="1"/>
  <c r="A32"/>
  <c r="L32" s="1"/>
  <c r="A33"/>
  <c r="L33" s="1"/>
  <c r="A35"/>
  <c r="L35" s="1"/>
  <c r="A31" i="5"/>
  <c r="AR31" s="1"/>
  <c r="AL4" i="7"/>
  <c r="AK4"/>
  <c r="AJ4"/>
  <c r="AI4"/>
  <c r="AH4"/>
  <c r="AG4"/>
  <c r="AF4"/>
  <c r="AE4"/>
  <c r="AD4"/>
  <c r="AC4"/>
  <c r="AB4"/>
  <c r="AA4"/>
  <c r="Z4"/>
  <c r="B4"/>
  <c r="D4" s="1"/>
  <c r="F4" s="1"/>
  <c r="H4" s="1"/>
  <c r="J4" s="1"/>
  <c r="L4" s="1"/>
  <c r="N4" s="1"/>
  <c r="P4" s="1"/>
  <c r="R4" s="1"/>
  <c r="T4" s="1"/>
  <c r="V4" s="1"/>
  <c r="A23" i="5"/>
  <c r="AR23" s="1"/>
  <c r="AH38" i="1"/>
  <c r="AH37"/>
  <c r="AP9" i="5"/>
  <c r="V4" i="76"/>
  <c r="D36" i="75"/>
  <c r="E36" s="1"/>
  <c r="F36"/>
  <c r="G36" s="1"/>
  <c r="D37"/>
  <c r="E37" s="1"/>
  <c r="F37"/>
  <c r="G37" s="1"/>
  <c r="G34" i="73"/>
  <c r="G35"/>
  <c r="B3" i="65"/>
  <c r="C3"/>
  <c r="H34"/>
  <c r="I34"/>
  <c r="J34"/>
  <c r="F32" i="63"/>
  <c r="G32"/>
  <c r="I32" s="1"/>
  <c r="H32"/>
  <c r="D3" i="7"/>
  <c r="F3" s="1"/>
  <c r="H3" s="1"/>
  <c r="AM3"/>
  <c r="BB6"/>
  <c r="BB33"/>
  <c r="BB34"/>
  <c r="BE34"/>
  <c r="BG34" s="1"/>
  <c r="BB35"/>
  <c r="BE35"/>
  <c r="BG35" s="1"/>
  <c r="G3" i="3"/>
  <c r="O3"/>
  <c r="W3"/>
  <c r="AJ3"/>
  <c r="AJ4"/>
  <c r="AJ5"/>
  <c r="AJ6"/>
  <c r="AJ7"/>
  <c r="AJ8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Y4" i="5"/>
  <c r="AZ4"/>
  <c r="BA4"/>
  <c r="A6"/>
  <c r="AR6" s="1"/>
  <c r="AN6"/>
  <c r="AP6"/>
  <c r="A7"/>
  <c r="AR7" s="1"/>
  <c r="AN7"/>
  <c r="A8"/>
  <c r="AR8" s="1"/>
  <c r="AN8"/>
  <c r="A9"/>
  <c r="AR9" s="1"/>
  <c r="AN9"/>
  <c r="AU9"/>
  <c r="AU10" s="1"/>
  <c r="A10"/>
  <c r="AR10" s="1"/>
  <c r="AN10"/>
  <c r="A11"/>
  <c r="AR11" s="1"/>
  <c r="AN11"/>
  <c r="A12"/>
  <c r="AR12" s="1"/>
  <c r="AN12"/>
  <c r="A13"/>
  <c r="AR13" s="1"/>
  <c r="AN14"/>
  <c r="A15"/>
  <c r="AR15" s="1"/>
  <c r="AN15"/>
  <c r="A16"/>
  <c r="AR16" s="1"/>
  <c r="AN16"/>
  <c r="A17"/>
  <c r="AR17" s="1"/>
  <c r="AN17"/>
  <c r="A18"/>
  <c r="AR18" s="1"/>
  <c r="AN18"/>
  <c r="A19"/>
  <c r="AR19" s="1"/>
  <c r="AN19"/>
  <c r="A20"/>
  <c r="AR20" s="1"/>
  <c r="AN20"/>
  <c r="A21"/>
  <c r="AR21" s="1"/>
  <c r="AN21"/>
  <c r="A22"/>
  <c r="AR22" s="1"/>
  <c r="AN22"/>
  <c r="AN23"/>
  <c r="AP23"/>
  <c r="A24"/>
  <c r="AR24" s="1"/>
  <c r="AN24"/>
  <c r="AP24"/>
  <c r="A25"/>
  <c r="AR25" s="1"/>
  <c r="AN25"/>
  <c r="A26"/>
  <c r="AR26" s="1"/>
  <c r="AN26"/>
  <c r="A27"/>
  <c r="AR27" s="1"/>
  <c r="AN27"/>
  <c r="A28"/>
  <c r="AR28" s="1"/>
  <c r="AN28"/>
  <c r="A29"/>
  <c r="AR29" s="1"/>
  <c r="AN29"/>
  <c r="A30"/>
  <c r="AR30" s="1"/>
  <c r="AN30"/>
  <c r="AN31"/>
  <c r="A32"/>
  <c r="AR32" s="1"/>
  <c r="AN32"/>
  <c r="A33"/>
  <c r="AR33" s="1"/>
  <c r="AN33"/>
  <c r="AP33"/>
  <c r="A34"/>
  <c r="AR34" s="1"/>
  <c r="AN34"/>
  <c r="AN35"/>
  <c r="A6" i="65"/>
  <c r="J6" i="63"/>
  <c r="A9" i="65"/>
  <c r="J8" i="63"/>
  <c r="A12" i="65"/>
  <c r="J12" i="63"/>
  <c r="A16" i="65"/>
  <c r="J15" i="63"/>
  <c r="J16"/>
  <c r="J18"/>
  <c r="A21" i="65"/>
  <c r="A23"/>
  <c r="A25"/>
  <c r="A27"/>
  <c r="J26" i="63"/>
  <c r="A29" i="65"/>
  <c r="J28" i="63"/>
  <c r="A33" i="65"/>
  <c r="A3" i="2"/>
  <c r="AZ6" i="7" s="1"/>
  <c r="A4" i="2"/>
  <c r="AZ7" i="7" s="1"/>
  <c r="A5" i="2"/>
  <c r="AZ8" i="7" s="1"/>
  <c r="A6" i="2"/>
  <c r="A7"/>
  <c r="AZ10" i="7" s="1"/>
  <c r="A8" i="2"/>
  <c r="AZ11" i="7" s="1"/>
  <c r="A9" i="2"/>
  <c r="AZ12" i="7" s="1"/>
  <c r="A10" i="2"/>
  <c r="AZ13" i="7" s="1"/>
  <c r="A11" i="2"/>
  <c r="A12"/>
  <c r="A13"/>
  <c r="AZ16" i="7" s="1"/>
  <c r="A14" i="2"/>
  <c r="AZ17" i="7" s="1"/>
  <c r="A15" i="2"/>
  <c r="AZ18" i="7" s="1"/>
  <c r="A16" i="2"/>
  <c r="A17"/>
  <c r="AZ20" i="7" s="1"/>
  <c r="A18" i="2"/>
  <c r="A19"/>
  <c r="AZ22" i="7" s="1"/>
  <c r="A20" i="2"/>
  <c r="AZ23" i="7" s="1"/>
  <c r="A21" i="2"/>
  <c r="A22"/>
  <c r="AZ25" i="7" s="1"/>
  <c r="A23" i="2"/>
  <c r="A24"/>
  <c r="AZ27" i="7" s="1"/>
  <c r="A25" i="2"/>
  <c r="AZ28" i="7" s="1"/>
  <c r="A26" i="2"/>
  <c r="A27"/>
  <c r="A28"/>
  <c r="AZ31" i="7" s="1"/>
  <c r="A29" i="2"/>
  <c r="AZ32" i="7" s="1"/>
  <c r="A30" i="2"/>
  <c r="AZ33" i="7" s="1"/>
  <c r="A31" i="2"/>
  <c r="AZ34" i="7" s="1"/>
  <c r="A32" i="2"/>
  <c r="B3" i="82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B3" i="8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AP20" i="5"/>
  <c r="AP32"/>
  <c r="AP30"/>
  <c r="K34" i="73"/>
  <c r="T66" i="74"/>
  <c r="T62"/>
  <c r="T54"/>
  <c r="T60"/>
  <c r="T48"/>
  <c r="T53"/>
  <c r="T56"/>
  <c r="T73"/>
  <c r="AZ8" i="5"/>
  <c r="AP11"/>
  <c r="AP19"/>
  <c r="AP25"/>
  <c r="AP28"/>
  <c r="AP29"/>
  <c r="BA34" i="7"/>
  <c r="AM35" i="5"/>
  <c r="AN13"/>
  <c r="AP10"/>
  <c r="E7" i="77"/>
  <c r="B32" i="63"/>
  <c r="A32"/>
  <c r="E32"/>
  <c r="C32"/>
  <c r="Z44" i="76"/>
  <c r="BA33" i="7"/>
  <c r="M5" i="3"/>
  <c r="AJ7" i="5"/>
  <c r="AQ5" i="1"/>
  <c r="AS6"/>
  <c r="M4" i="2"/>
  <c r="E3" i="82" s="1"/>
  <c r="K4" i="2"/>
  <c r="F3" i="82" s="1"/>
  <c r="E5" i="2"/>
  <c r="H4" i="82" s="1"/>
  <c r="E4" i="2"/>
  <c r="I6" i="76"/>
  <c r="M6" s="1"/>
  <c r="I5"/>
  <c r="M5" s="1"/>
  <c r="G6"/>
  <c r="L6" s="1"/>
  <c r="G4"/>
  <c r="C5"/>
  <c r="S5" i="3"/>
  <c r="S4"/>
  <c r="M4"/>
  <c r="C4"/>
  <c r="F4" s="1"/>
  <c r="C3"/>
  <c r="W8" i="5"/>
  <c r="W7"/>
  <c r="Y8"/>
  <c r="J4" i="82" s="1"/>
  <c r="Y7" i="5"/>
  <c r="J3" i="82" s="1"/>
  <c r="U7" i="5"/>
  <c r="R7" i="1"/>
  <c r="R6"/>
  <c r="D7"/>
  <c r="E7" s="1"/>
  <c r="Z7" i="7"/>
  <c r="AA7" s="1"/>
  <c r="D6" i="1"/>
  <c r="E6" s="1"/>
  <c r="D5"/>
  <c r="E5" s="1"/>
  <c r="Z6" i="7"/>
  <c r="AB6" s="1"/>
  <c r="AD6" s="1"/>
  <c r="AM26" i="5"/>
  <c r="AM34"/>
  <c r="AD5" i="2"/>
  <c r="AB5"/>
  <c r="Z5"/>
  <c r="Z4"/>
  <c r="T5"/>
  <c r="T4"/>
  <c r="Q5"/>
  <c r="BE7" i="7" s="1"/>
  <c r="BG7" s="1"/>
  <c r="Q4" i="2"/>
  <c r="BE6" i="7" s="1"/>
  <c r="BG6" s="1"/>
  <c r="I5" i="65"/>
  <c r="I5" i="2"/>
  <c r="G4" i="82" s="1"/>
  <c r="G5" i="2"/>
  <c r="I4" i="82" s="1"/>
  <c r="G4" i="2"/>
  <c r="E3"/>
  <c r="H2" i="82" s="1"/>
  <c r="A5" i="79"/>
  <c r="L5" s="1"/>
  <c r="J2" i="63"/>
  <c r="K31" i="73"/>
  <c r="AB4" i="2"/>
  <c r="AD6" i="1"/>
  <c r="H7" i="5"/>
  <c r="AD4" i="2"/>
  <c r="I5" i="1"/>
  <c r="AF5"/>
  <c r="AA6" i="5"/>
  <c r="J4" i="63"/>
  <c r="AD8" i="5"/>
  <c r="M6" i="3"/>
  <c r="U5"/>
  <c r="U4"/>
  <c r="K6" i="76"/>
  <c r="N6" s="1"/>
  <c r="K5"/>
  <c r="N5" s="1"/>
  <c r="K4" i="3"/>
  <c r="K5"/>
  <c r="N5" s="1"/>
  <c r="AA7" i="5"/>
  <c r="C8"/>
  <c r="E8" s="1"/>
  <c r="C7"/>
  <c r="E7" s="1"/>
  <c r="AO6" i="1"/>
  <c r="AS7"/>
  <c r="M5" i="2"/>
  <c r="E4" i="82" s="1"/>
  <c r="X4" i="2"/>
  <c r="K7" i="76"/>
  <c r="N7" s="1"/>
  <c r="I7"/>
  <c r="M7" s="1"/>
  <c r="G7"/>
  <c r="L7" s="1"/>
  <c r="C7"/>
  <c r="U6" i="3"/>
  <c r="S6"/>
  <c r="K6"/>
  <c r="AD9" i="5"/>
  <c r="AA8"/>
  <c r="AJ8"/>
  <c r="K4" i="82" s="1"/>
  <c r="W9" i="5"/>
  <c r="Y9"/>
  <c r="J5" i="82" s="1"/>
  <c r="H9" i="5"/>
  <c r="C9"/>
  <c r="E9" s="1"/>
  <c r="AQ7" i="1"/>
  <c r="AD8"/>
  <c r="R8"/>
  <c r="S7"/>
  <c r="T7" s="1"/>
  <c r="Z8" i="7"/>
  <c r="B8"/>
  <c r="AD6" i="2"/>
  <c r="AB6"/>
  <c r="Z6"/>
  <c r="Q6"/>
  <c r="BE8" i="7" s="1"/>
  <c r="BG8" s="1"/>
  <c r="K5" i="2"/>
  <c r="F4" i="82" s="1"/>
  <c r="I6" i="2"/>
  <c r="G5" i="82" s="1"/>
  <c r="G6" i="2"/>
  <c r="G6" i="1"/>
  <c r="I6"/>
  <c r="G7"/>
  <c r="AF6"/>
  <c r="AO7"/>
  <c r="X5" i="2"/>
  <c r="E6"/>
  <c r="H5" i="82" s="1"/>
  <c r="K8" i="76"/>
  <c r="N8" s="1"/>
  <c r="I8"/>
  <c r="G8"/>
  <c r="L8" s="1"/>
  <c r="M7" i="3"/>
  <c r="AD10" i="5"/>
  <c r="AA9"/>
  <c r="AJ9"/>
  <c r="K5" i="82" s="1"/>
  <c r="W10" i="5"/>
  <c r="Y10"/>
  <c r="J6" i="82" s="1"/>
  <c r="C10" i="5"/>
  <c r="E10" s="1"/>
  <c r="AS8" i="1"/>
  <c r="AQ8"/>
  <c r="R9"/>
  <c r="S8"/>
  <c r="T8" s="1"/>
  <c r="Z9" i="7"/>
  <c r="AB9" s="1"/>
  <c r="D8" i="1"/>
  <c r="E8" s="1"/>
  <c r="B9" i="7"/>
  <c r="C9" s="1"/>
  <c r="AD7" i="2"/>
  <c r="Z7"/>
  <c r="Q7"/>
  <c r="BE9" i="7" s="1"/>
  <c r="BG9" s="1"/>
  <c r="M6" i="2"/>
  <c r="E5" i="82" s="1"/>
  <c r="K6" i="2"/>
  <c r="F5" i="82" s="1"/>
  <c r="I7" i="2"/>
  <c r="G6" i="82" s="1"/>
  <c r="G7" i="2"/>
  <c r="I6" i="82" s="1"/>
  <c r="E7" i="2"/>
  <c r="H6" i="82" s="1"/>
  <c r="I7" i="1"/>
  <c r="AF7"/>
  <c r="G8"/>
  <c r="AO8"/>
  <c r="X6" i="2"/>
  <c r="AD11" i="5"/>
  <c r="AJ10"/>
  <c r="K6" i="82" s="1"/>
  <c r="AA10" i="5"/>
  <c r="W11"/>
  <c r="C11"/>
  <c r="E11" s="1"/>
  <c r="AS9" i="1"/>
  <c r="AQ9"/>
  <c r="R10"/>
  <c r="Z10" i="7"/>
  <c r="AA10" s="1"/>
  <c r="D9" i="1"/>
  <c r="E9" s="1"/>
  <c r="B10" i="7"/>
  <c r="Z8" i="2"/>
  <c r="Q8"/>
  <c r="I10" i="65" s="1"/>
  <c r="M7" i="2"/>
  <c r="E6" i="82" s="1"/>
  <c r="I8" i="1"/>
  <c r="G9"/>
  <c r="AF8"/>
  <c r="X7" i="2"/>
  <c r="AA11" i="5"/>
  <c r="AJ11"/>
  <c r="C12"/>
  <c r="AS10" i="1"/>
  <c r="AQ10"/>
  <c r="AD11"/>
  <c r="R11"/>
  <c r="B11" i="7"/>
  <c r="Q9" i="2"/>
  <c r="BE11" i="7" s="1"/>
  <c r="BG11" s="1"/>
  <c r="M8" i="2"/>
  <c r="E7" i="82" s="1"/>
  <c r="I9" i="1"/>
  <c r="G10"/>
  <c r="X8" i="2"/>
  <c r="C13" i="5"/>
  <c r="E13" s="1"/>
  <c r="D12" i="1"/>
  <c r="E12" s="1"/>
  <c r="B12" i="7"/>
  <c r="D12" s="1"/>
  <c r="I11" i="1"/>
  <c r="I10"/>
  <c r="X9" i="2"/>
  <c r="C14" i="5"/>
  <c r="E14" s="1"/>
  <c r="D13" i="1"/>
  <c r="E13" s="1"/>
  <c r="M10" i="2"/>
  <c r="E9" i="82" s="1"/>
  <c r="E12" i="3"/>
  <c r="C12"/>
  <c r="Y14" i="1"/>
  <c r="AB14" s="1"/>
  <c r="M11" i="2"/>
  <c r="E10" i="82" s="1"/>
  <c r="E13" i="3"/>
  <c r="U13" i="5"/>
  <c r="AA13"/>
  <c r="AJ13"/>
  <c r="K9" i="82" s="1"/>
  <c r="W12" i="5"/>
  <c r="AJ12"/>
  <c r="K8" i="82" s="1"/>
  <c r="AA14" i="5"/>
  <c r="AA12"/>
  <c r="Y13"/>
  <c r="J9" i="82" s="1"/>
  <c r="Y12" i="5"/>
  <c r="J8" i="82" s="1"/>
  <c r="K10" i="76"/>
  <c r="N10" s="1"/>
  <c r="M11" i="3"/>
  <c r="G14" i="1"/>
  <c r="G13"/>
  <c r="G12"/>
  <c r="G11"/>
  <c r="D11"/>
  <c r="E11" s="1"/>
  <c r="Z14" i="7"/>
  <c r="AB14" s="1"/>
  <c r="Q10" i="2"/>
  <c r="BE12" i="7" s="1"/>
  <c r="BG12" s="1"/>
  <c r="M9" i="2"/>
  <c r="E8" i="82" s="1"/>
  <c r="K12" i="76"/>
  <c r="N12" s="1"/>
  <c r="K11"/>
  <c r="N11" s="1"/>
  <c r="K9"/>
  <c r="N9" s="1"/>
  <c r="I11"/>
  <c r="I10"/>
  <c r="M10" s="1"/>
  <c r="I9"/>
  <c r="M9" s="1"/>
  <c r="I12"/>
  <c r="M12" s="1"/>
  <c r="G11"/>
  <c r="L11" s="1"/>
  <c r="G12"/>
  <c r="L12" s="1"/>
  <c r="G10"/>
  <c r="G9"/>
  <c r="L9" s="1"/>
  <c r="C9"/>
  <c r="C11"/>
  <c r="C10"/>
  <c r="C8"/>
  <c r="U9" i="3"/>
  <c r="U10"/>
  <c r="U8"/>
  <c r="U7"/>
  <c r="S8"/>
  <c r="S7"/>
  <c r="M10"/>
  <c r="M8"/>
  <c r="M9"/>
  <c r="BA11" i="5"/>
  <c r="BA12"/>
  <c r="AD12"/>
  <c r="Y15"/>
  <c r="J11" i="82" s="1"/>
  <c r="Y14" i="5"/>
  <c r="J10" i="82" s="1"/>
  <c r="W13" i="5"/>
  <c r="U15"/>
  <c r="U14"/>
  <c r="U12"/>
  <c r="U11"/>
  <c r="AS11" i="1"/>
  <c r="AF12"/>
  <c r="AF9"/>
  <c r="AF11"/>
  <c r="AF10"/>
  <c r="AD10"/>
  <c r="AD9"/>
  <c r="AG9" s="1"/>
  <c r="AD12"/>
  <c r="S9"/>
  <c r="T9" s="1"/>
  <c r="D10"/>
  <c r="E10" s="1"/>
  <c r="Z13" i="7"/>
  <c r="AA13" s="1"/>
  <c r="Z12"/>
  <c r="AA12" s="1"/>
  <c r="Z11"/>
  <c r="AA11" s="1"/>
  <c r="B14"/>
  <c r="C14" s="1"/>
  <c r="B13"/>
  <c r="AD8" i="2"/>
  <c r="Z9"/>
  <c r="X10"/>
  <c r="K8"/>
  <c r="F7" i="82" s="1"/>
  <c r="K7" i="2"/>
  <c r="F6" i="82" s="1"/>
  <c r="I8" i="2"/>
  <c r="G7" i="82" s="1"/>
  <c r="G8" i="2"/>
  <c r="I7" i="82" s="1"/>
  <c r="J23" i="63"/>
  <c r="J17"/>
  <c r="A13" i="65"/>
  <c r="R14" i="1"/>
  <c r="H2" i="63"/>
  <c r="F5" i="65"/>
  <c r="R12" i="1"/>
  <c r="E8" i="2"/>
  <c r="H7" i="82" s="1"/>
  <c r="AM25" i="5"/>
  <c r="A30" i="65"/>
  <c r="I12" i="1"/>
  <c r="A24" i="65"/>
  <c r="J22" i="63"/>
  <c r="BA6" i="7"/>
  <c r="S9" i="3"/>
  <c r="V9" s="1"/>
  <c r="K8"/>
  <c r="N8" s="1"/>
  <c r="AD13" i="5"/>
  <c r="AD14"/>
  <c r="AD16"/>
  <c r="AD15"/>
  <c r="H11"/>
  <c r="AS12" i="1"/>
  <c r="AQ12"/>
  <c r="AO10"/>
  <c r="S11"/>
  <c r="T11" s="1"/>
  <c r="AD9" i="2"/>
  <c r="AB13"/>
  <c r="AB11"/>
  <c r="Z11"/>
  <c r="Z10"/>
  <c r="X11"/>
  <c r="K9"/>
  <c r="F8" i="82" s="1"/>
  <c r="I9" i="2"/>
  <c r="G8" i="82" s="1"/>
  <c r="G9" i="2"/>
  <c r="E9"/>
  <c r="H8" i="82" s="1"/>
  <c r="I14" i="1"/>
  <c r="I13"/>
  <c r="L14"/>
  <c r="S10" i="3"/>
  <c r="K9"/>
  <c r="N9" s="1"/>
  <c r="AD17" i="5"/>
  <c r="H12"/>
  <c r="AS13" i="1"/>
  <c r="AQ14"/>
  <c r="AQ13"/>
  <c r="AO11"/>
  <c r="S12"/>
  <c r="T12" s="1"/>
  <c r="AD10" i="2"/>
  <c r="AB12"/>
  <c r="X12"/>
  <c r="X13"/>
  <c r="K10"/>
  <c r="F9" i="82" s="1"/>
  <c r="I10" i="2"/>
  <c r="G9" i="82" s="1"/>
  <c r="G10" i="2"/>
  <c r="L16" i="1"/>
  <c r="L15"/>
  <c r="E11" i="2"/>
  <c r="E10"/>
  <c r="H9" i="82" s="1"/>
  <c r="S11" i="3"/>
  <c r="K11"/>
  <c r="K10"/>
  <c r="AD18" i="5"/>
  <c r="H13"/>
  <c r="AS14" i="1"/>
  <c r="AO12"/>
  <c r="S14"/>
  <c r="T14" s="1"/>
  <c r="S13"/>
  <c r="AD12" i="2"/>
  <c r="AD11"/>
  <c r="K13"/>
  <c r="F12" i="82" s="1"/>
  <c r="K11" i="2"/>
  <c r="F10" i="82" s="1"/>
  <c r="I11" i="2"/>
  <c r="G10" i="82" s="1"/>
  <c r="G11" i="2"/>
  <c r="I10" i="82" s="1"/>
  <c r="G12" i="2"/>
  <c r="I11" i="82" s="1"/>
  <c r="V7" i="2"/>
  <c r="AD19" i="5"/>
  <c r="H14"/>
  <c r="AS15" i="1"/>
  <c r="AO13"/>
  <c r="K12" i="2"/>
  <c r="F11" i="82" s="1"/>
  <c r="I12" i="2"/>
  <c r="G11" i="82" s="1"/>
  <c r="I13" i="2"/>
  <c r="G12" i="82" s="1"/>
  <c r="V8" i="2"/>
  <c r="AD20" i="5"/>
  <c r="H16"/>
  <c r="H15"/>
  <c r="AO14" i="1"/>
  <c r="V9" i="2"/>
  <c r="AD21" i="5"/>
  <c r="T12" i="2"/>
  <c r="T14"/>
  <c r="V10"/>
  <c r="AD22" i="5"/>
  <c r="V12" i="2"/>
  <c r="V11"/>
  <c r="AD23" i="5"/>
  <c r="AD24"/>
  <c r="AD25"/>
  <c r="AD26"/>
  <c r="AD27"/>
  <c r="AD28"/>
  <c r="AD29"/>
  <c r="AD30"/>
  <c r="AD31"/>
  <c r="AD32"/>
  <c r="L4" i="76" l="1"/>
  <c r="D4"/>
  <c r="E4" s="1"/>
  <c r="A33" i="2"/>
  <c r="AZ36" i="7" s="1"/>
  <c r="AL6" i="5"/>
  <c r="AZ9"/>
  <c r="BC9" s="1"/>
  <c r="M27" i="79"/>
  <c r="O26"/>
  <c r="K25" i="5"/>
  <c r="I25" i="79"/>
  <c r="H3" i="82"/>
  <c r="N4" i="2"/>
  <c r="S5" i="76" s="1"/>
  <c r="J11" i="1"/>
  <c r="V7" i="3"/>
  <c r="V5"/>
  <c r="J10" i="1"/>
  <c r="D12" i="5"/>
  <c r="E12"/>
  <c r="B26" i="2"/>
  <c r="L25" i="82" s="1"/>
  <c r="AZ29" i="7"/>
  <c r="B18" i="2"/>
  <c r="L17" i="82" s="1"/>
  <c r="AZ21" i="7"/>
  <c r="B27" i="2"/>
  <c r="O26" i="81" s="1"/>
  <c r="AZ30" i="7"/>
  <c r="B11" i="2"/>
  <c r="L10" i="82" s="1"/>
  <c r="AZ14" i="7"/>
  <c r="B12" i="2"/>
  <c r="L11" i="82" s="1"/>
  <c r="AZ15" i="7"/>
  <c r="B21" i="2"/>
  <c r="AZ24" i="7"/>
  <c r="B6" i="2"/>
  <c r="O5" i="81" s="1"/>
  <c r="AZ9" i="7"/>
  <c r="B23" i="2"/>
  <c r="O22" i="81" s="1"/>
  <c r="AZ26" i="7"/>
  <c r="B16" i="2"/>
  <c r="O15" i="81" s="1"/>
  <c r="AZ19" i="7"/>
  <c r="W30" i="76"/>
  <c r="D13" i="5"/>
  <c r="AG7" i="1"/>
  <c r="V4" i="3"/>
  <c r="AG6" i="1"/>
  <c r="AG5"/>
  <c r="AD5" i="3"/>
  <c r="AI5" s="1"/>
  <c r="E4" i="63"/>
  <c r="I7" i="65"/>
  <c r="P72" i="74"/>
  <c r="J6" i="1"/>
  <c r="P77" i="74"/>
  <c r="P68"/>
  <c r="F12" i="3"/>
  <c r="V8"/>
  <c r="J12" i="1"/>
  <c r="H48" i="74"/>
  <c r="H56"/>
  <c r="H64"/>
  <c r="H72"/>
  <c r="L58"/>
  <c r="L66"/>
  <c r="L53"/>
  <c r="L61"/>
  <c r="L69"/>
  <c r="L77"/>
  <c r="J7" i="1"/>
  <c r="H4" i="3"/>
  <c r="F3"/>
  <c r="H54" i="74"/>
  <c r="H62"/>
  <c r="H70"/>
  <c r="H78"/>
  <c r="D52"/>
  <c r="D55"/>
  <c r="D63"/>
  <c r="H49"/>
  <c r="H57"/>
  <c r="L51"/>
  <c r="L59"/>
  <c r="L67"/>
  <c r="L75"/>
  <c r="I14" i="5"/>
  <c r="K10" i="81" s="1"/>
  <c r="G7" i="63"/>
  <c r="G5"/>
  <c r="D8" i="5"/>
  <c r="D7"/>
  <c r="AT6" i="1"/>
  <c r="AG8"/>
  <c r="BE10" i="7"/>
  <c r="BG10" s="1"/>
  <c r="AF12" i="5"/>
  <c r="AI12" s="1"/>
  <c r="AH5" i="1"/>
  <c r="C5" i="65" s="1"/>
  <c r="AT5" i="1"/>
  <c r="AH6"/>
  <c r="C6" i="65" s="1"/>
  <c r="X73" i="74"/>
  <c r="P65"/>
  <c r="D61"/>
  <c r="H55"/>
  <c r="D66"/>
  <c r="D74"/>
  <c r="H60"/>
  <c r="H76"/>
  <c r="D48"/>
  <c r="D56"/>
  <c r="D64"/>
  <c r="D72"/>
  <c r="H50"/>
  <c r="L74"/>
  <c r="X57"/>
  <c r="AG11" i="1"/>
  <c r="H65" i="74"/>
  <c r="L64"/>
  <c r="D59"/>
  <c r="D67"/>
  <c r="D75"/>
  <c r="AG10" i="1"/>
  <c r="N7" i="3"/>
  <c r="J9" i="1"/>
  <c r="V6" i="3"/>
  <c r="N6"/>
  <c r="BD11" i="5"/>
  <c r="J8" i="1"/>
  <c r="AF9" i="2"/>
  <c r="B8" i="63" s="1"/>
  <c r="E5"/>
  <c r="D7" i="76"/>
  <c r="E7" s="1"/>
  <c r="AF8" i="2"/>
  <c r="H10" i="65" s="1"/>
  <c r="N10" i="1"/>
  <c r="E7" i="63"/>
  <c r="AD9" i="3"/>
  <c r="AI9" s="1"/>
  <c r="E9" i="63"/>
  <c r="D49" i="74"/>
  <c r="D57"/>
  <c r="D65"/>
  <c r="D73"/>
  <c r="H66"/>
  <c r="H74"/>
  <c r="L52"/>
  <c r="L60"/>
  <c r="L68"/>
  <c r="D78"/>
  <c r="D60"/>
  <c r="D76"/>
  <c r="H69"/>
  <c r="H77"/>
  <c r="L63"/>
  <c r="N4" i="3"/>
  <c r="Z4"/>
  <c r="F4" i="63" s="1"/>
  <c r="BD8" i="5"/>
  <c r="BD10"/>
  <c r="BD13"/>
  <c r="AT9" i="1"/>
  <c r="V3" i="3"/>
  <c r="BD12" i="5"/>
  <c r="AL11"/>
  <c r="D6"/>
  <c r="G8" i="63"/>
  <c r="AT10" i="1"/>
  <c r="AF10" i="2"/>
  <c r="H12" i="65" s="1"/>
  <c r="AF7" i="2"/>
  <c r="H9" i="65" s="1"/>
  <c r="A11" i="63"/>
  <c r="I12" i="65"/>
  <c r="I11"/>
  <c r="I6"/>
  <c r="AD4" i="3"/>
  <c r="E3" i="63"/>
  <c r="I9" i="65"/>
  <c r="X48" i="74"/>
  <c r="D77"/>
  <c r="L55"/>
  <c r="H53"/>
  <c r="L62"/>
  <c r="L70"/>
  <c r="D53"/>
  <c r="H67"/>
  <c r="L72"/>
  <c r="H59"/>
  <c r="D69"/>
  <c r="L50"/>
  <c r="D62"/>
  <c r="H51"/>
  <c r="D71"/>
  <c r="H71"/>
  <c r="L49"/>
  <c r="D8" i="76"/>
  <c r="E8" s="1"/>
  <c r="M8"/>
  <c r="D6"/>
  <c r="E6" s="1"/>
  <c r="D5"/>
  <c r="E5" s="1"/>
  <c r="D10"/>
  <c r="E10" s="1"/>
  <c r="L10"/>
  <c r="D9"/>
  <c r="E9" s="1"/>
  <c r="L5"/>
  <c r="AA4" i="3"/>
  <c r="C5"/>
  <c r="BD7" i="5"/>
  <c r="AZ10"/>
  <c r="AU11"/>
  <c r="BD9"/>
  <c r="AL7"/>
  <c r="K7" i="82"/>
  <c r="I12" i="5"/>
  <c r="I10"/>
  <c r="K6" i="81" s="1"/>
  <c r="D10" i="5"/>
  <c r="G10" i="63"/>
  <c r="G4"/>
  <c r="G9"/>
  <c r="BD6" i="5"/>
  <c r="AL10"/>
  <c r="I8"/>
  <c r="K4" i="81" s="1"/>
  <c r="AL8" i="5"/>
  <c r="AL9"/>
  <c r="AL12"/>
  <c r="K3" i="82"/>
  <c r="I13" i="5"/>
  <c r="K9" i="81" s="1"/>
  <c r="I11" i="5"/>
  <c r="K7" i="81" s="1"/>
  <c r="I7" i="5"/>
  <c r="K3" i="81" s="1"/>
  <c r="I9" i="5"/>
  <c r="K5" i="81" s="1"/>
  <c r="D11" i="5"/>
  <c r="G6" i="63"/>
  <c r="D9" i="5"/>
  <c r="AT7" i="1"/>
  <c r="AT11"/>
  <c r="AT8"/>
  <c r="AB6"/>
  <c r="AM6"/>
  <c r="F7" i="75" s="1"/>
  <c r="G7" s="1"/>
  <c r="AF4" i="2"/>
  <c r="B3" i="63" s="1"/>
  <c r="A2"/>
  <c r="A4"/>
  <c r="AE4" i="2"/>
  <c r="A3" i="63"/>
  <c r="T7" i="2"/>
  <c r="AE5"/>
  <c r="T6"/>
  <c r="AD6" i="3"/>
  <c r="AD7"/>
  <c r="E8" i="63"/>
  <c r="AD8" i="3"/>
  <c r="I8" i="65"/>
  <c r="N6" i="2"/>
  <c r="C5" i="63" s="1"/>
  <c r="N10" i="2"/>
  <c r="S11" i="76" s="1"/>
  <c r="N9" i="2"/>
  <c r="S10" i="76" s="1"/>
  <c r="B29" i="2"/>
  <c r="L28" i="82" s="1"/>
  <c r="X50" i="74"/>
  <c r="R81"/>
  <c r="S81"/>
  <c r="L6" i="1"/>
  <c r="N8" i="2"/>
  <c r="S9" i="76" s="1"/>
  <c r="N7" i="2"/>
  <c r="I8" i="82"/>
  <c r="I5"/>
  <c r="I3"/>
  <c r="N5" i="2"/>
  <c r="AF3"/>
  <c r="H5" i="65" s="1"/>
  <c r="E2" i="63"/>
  <c r="J21"/>
  <c r="BA35" i="7"/>
  <c r="X76" i="74"/>
  <c r="AT38" i="7"/>
  <c r="X58" i="74"/>
  <c r="X51"/>
  <c r="A28" i="65"/>
  <c r="B31" i="2"/>
  <c r="L30" i="82" s="1"/>
  <c r="B25" i="2"/>
  <c r="L24" i="82" s="1"/>
  <c r="X72" i="74"/>
  <c r="X67"/>
  <c r="X60"/>
  <c r="X65"/>
  <c r="AB11" i="7"/>
  <c r="A17" i="65"/>
  <c r="P50" i="74"/>
  <c r="P54"/>
  <c r="X53"/>
  <c r="J19" i="63"/>
  <c r="B5" i="2"/>
  <c r="O4" i="81" s="1"/>
  <c r="A10" i="65"/>
  <c r="P52" i="74"/>
  <c r="AA6" i="7"/>
  <c r="J7" i="63"/>
  <c r="A32" i="65"/>
  <c r="P63" i="74"/>
  <c r="P75"/>
  <c r="A18" i="65"/>
  <c r="D32" i="63"/>
  <c r="P48" i="74"/>
  <c r="B13" i="2"/>
  <c r="O12" i="81" s="1"/>
  <c r="X77" i="74"/>
  <c r="X70"/>
  <c r="P66"/>
  <c r="P78"/>
  <c r="J31" i="63"/>
  <c r="X75" i="74"/>
  <c r="X68"/>
  <c r="X59"/>
  <c r="E3" i="65"/>
  <c r="P74" i="74"/>
  <c r="AD33" i="5"/>
  <c r="H61" i="74"/>
  <c r="L57"/>
  <c r="D54"/>
  <c r="D68"/>
  <c r="H73"/>
  <c r="L56"/>
  <c r="L65"/>
  <c r="H75"/>
  <c r="H58"/>
  <c r="L48"/>
  <c r="L76"/>
  <c r="L73"/>
  <c r="H63"/>
  <c r="H68"/>
  <c r="D70"/>
  <c r="H52"/>
  <c r="L71"/>
  <c r="D51"/>
  <c r="D58"/>
  <c r="L54"/>
  <c r="P71"/>
  <c r="B9" i="77"/>
  <c r="D9" s="1"/>
  <c r="P70" i="74"/>
  <c r="X69"/>
  <c r="B14" i="2"/>
  <c r="A20" i="65"/>
  <c r="AB10" i="7"/>
  <c r="AC10" s="1"/>
  <c r="B30" i="2"/>
  <c r="O29" i="81" s="1"/>
  <c r="J27" i="63"/>
  <c r="A11" i="65"/>
  <c r="P49" i="74"/>
  <c r="P53"/>
  <c r="X55"/>
  <c r="B8" i="2"/>
  <c r="B4"/>
  <c r="AB12" i="7"/>
  <c r="AC12" s="1"/>
  <c r="B15" i="2"/>
  <c r="AA9" i="7"/>
  <c r="B7" i="2"/>
  <c r="O6" i="81" s="1"/>
  <c r="X54" i="74"/>
  <c r="A8" i="65"/>
  <c r="L5" i="82"/>
  <c r="AB13" i="7"/>
  <c r="AC13" s="1"/>
  <c r="AB7"/>
  <c r="AC7" s="1"/>
  <c r="J10" i="63"/>
  <c r="X49" i="74"/>
  <c r="X71"/>
  <c r="B3" i="2"/>
  <c r="O2" i="81" s="1"/>
  <c r="A14" i="65"/>
  <c r="P69" i="74"/>
  <c r="P73"/>
  <c r="P51"/>
  <c r="P55"/>
  <c r="P59"/>
  <c r="N3" i="3"/>
  <c r="U5" i="1"/>
  <c r="AV38"/>
  <c r="X66" i="74"/>
  <c r="AM23" i="5"/>
  <c r="P64" i="74"/>
  <c r="X63"/>
  <c r="P62"/>
  <c r="X62"/>
  <c r="P61"/>
  <c r="X61"/>
  <c r="N3" i="2"/>
  <c r="F2" i="82"/>
  <c r="N5" i="1"/>
  <c r="V5" s="1"/>
  <c r="AX6"/>
  <c r="J2" i="81"/>
  <c r="AA3" i="3"/>
  <c r="I6" i="5"/>
  <c r="G3" i="63"/>
  <c r="AL5" i="1"/>
  <c r="D6" i="75" s="1"/>
  <c r="E6" s="1"/>
  <c r="AE3" i="2"/>
  <c r="AB5" i="1"/>
  <c r="AM5"/>
  <c r="F6" i="75" s="1"/>
  <c r="G6" s="1"/>
  <c r="P4" i="3"/>
  <c r="Q4" s="1"/>
  <c r="AK6" i="5"/>
  <c r="K2" i="82"/>
  <c r="T5" i="1"/>
  <c r="AU7" i="5"/>
  <c r="AZ7" s="1"/>
  <c r="Z3" i="3"/>
  <c r="D50" i="74"/>
  <c r="AD3" i="3"/>
  <c r="AI3" s="1"/>
  <c r="D5" i="65" s="1"/>
  <c r="P60" i="74"/>
  <c r="C13" i="7"/>
  <c r="J3"/>
  <c r="L3" s="1"/>
  <c r="N3" s="1"/>
  <c r="P3" s="1"/>
  <c r="R3" s="1"/>
  <c r="T3" s="1"/>
  <c r="V3" s="1"/>
  <c r="AC6"/>
  <c r="C7"/>
  <c r="E12"/>
  <c r="C6"/>
  <c r="C8" i="77"/>
  <c r="D8" s="1"/>
  <c r="AW36" i="1"/>
  <c r="G37" i="73"/>
  <c r="P58" i="74"/>
  <c r="AE12" i="2"/>
  <c r="T13"/>
  <c r="A12" i="63" s="1"/>
  <c r="AP15" i="5"/>
  <c r="P57" i="74"/>
  <c r="S13" i="3"/>
  <c r="S14"/>
  <c r="M12"/>
  <c r="E14"/>
  <c r="C13"/>
  <c r="G11" i="63"/>
  <c r="D14" i="5"/>
  <c r="AQ15" i="1"/>
  <c r="AO15"/>
  <c r="AA14"/>
  <c r="AA15"/>
  <c r="S15"/>
  <c r="T15" s="1"/>
  <c r="T13"/>
  <c r="J13"/>
  <c r="V13" i="2"/>
  <c r="K14" i="73"/>
  <c r="P56" i="74"/>
  <c r="X56"/>
  <c r="K13" i="76"/>
  <c r="N13" s="1"/>
  <c r="D11"/>
  <c r="E11" s="1"/>
  <c r="M11"/>
  <c r="G13"/>
  <c r="D12"/>
  <c r="E12" s="1"/>
  <c r="V10" i="3"/>
  <c r="V11"/>
  <c r="M13"/>
  <c r="N11"/>
  <c r="N10"/>
  <c r="BA15" i="5"/>
  <c r="BA14"/>
  <c r="BD14" s="1"/>
  <c r="AL14"/>
  <c r="AL13"/>
  <c r="C15"/>
  <c r="E15" s="1"/>
  <c r="AS16" i="1"/>
  <c r="AT12"/>
  <c r="AT14"/>
  <c r="AT13"/>
  <c r="AD14"/>
  <c r="AG12"/>
  <c r="AD13"/>
  <c r="I16"/>
  <c r="I15"/>
  <c r="AL14"/>
  <c r="D15" i="75" s="1"/>
  <c r="E15" s="1"/>
  <c r="U14" i="1"/>
  <c r="J14"/>
  <c r="AC14" i="7"/>
  <c r="AD14"/>
  <c r="D14" i="1"/>
  <c r="E14" s="1"/>
  <c r="Z15" i="7"/>
  <c r="AA14"/>
  <c r="B15"/>
  <c r="D15" s="1"/>
  <c r="D14"/>
  <c r="F14" s="1"/>
  <c r="H14" s="1"/>
  <c r="D13"/>
  <c r="AF11" i="2"/>
  <c r="H13" i="65" s="1"/>
  <c r="Q12" i="2"/>
  <c r="AD10" i="3"/>
  <c r="Q11" i="2"/>
  <c r="M12"/>
  <c r="E11" i="82" s="1"/>
  <c r="G14" i="2"/>
  <c r="I13" i="82" s="1"/>
  <c r="I9"/>
  <c r="N11" i="2"/>
  <c r="H10" i="82"/>
  <c r="E7" i="7"/>
  <c r="F7"/>
  <c r="AC9"/>
  <c r="AD9"/>
  <c r="J20" i="63"/>
  <c r="A22" i="65"/>
  <c r="J13" i="63"/>
  <c r="A15" i="65"/>
  <c r="D8" i="7"/>
  <c r="C8"/>
  <c r="O17" i="81"/>
  <c r="AE6" i="7"/>
  <c r="AF6"/>
  <c r="A5" i="65"/>
  <c r="J3" i="63"/>
  <c r="D10" i="7"/>
  <c r="C10"/>
  <c r="AA8"/>
  <c r="AB8"/>
  <c r="B24" i="2"/>
  <c r="B17"/>
  <c r="X74" i="74"/>
  <c r="J14" i="63"/>
  <c r="D6" i="7"/>
  <c r="F12"/>
  <c r="J25" i="63"/>
  <c r="B20" i="2"/>
  <c r="D11" i="7"/>
  <c r="C11"/>
  <c r="B22" i="2"/>
  <c r="A31" i="65"/>
  <c r="J29" i="63"/>
  <c r="A7" i="65"/>
  <c r="J5" i="63"/>
  <c r="P67" i="74"/>
  <c r="L20" i="82"/>
  <c r="D9" i="7"/>
  <c r="X64" i="74"/>
  <c r="X52"/>
  <c r="AZ35" i="7"/>
  <c r="B32" i="2"/>
  <c r="B28"/>
  <c r="A26" i="65"/>
  <c r="J24" i="63"/>
  <c r="B19" i="2"/>
  <c r="C12" i="7"/>
  <c r="B10" i="2"/>
  <c r="O20" i="81"/>
  <c r="B9" i="2"/>
  <c r="P76" i="74"/>
  <c r="B33" i="2" l="1"/>
  <c r="BC10" i="5"/>
  <c r="I4" i="3"/>
  <c r="H5"/>
  <c r="M28" i="79"/>
  <c r="O27"/>
  <c r="K26" i="5"/>
  <c r="I26" i="79"/>
  <c r="AU6" i="1"/>
  <c r="I3" i="81" s="1"/>
  <c r="AH14" i="1"/>
  <c r="U6"/>
  <c r="O25" i="81"/>
  <c r="L15" i="82"/>
  <c r="L26"/>
  <c r="L22"/>
  <c r="O11" i="81"/>
  <c r="O10"/>
  <c r="O11" i="2"/>
  <c r="AB4" i="3"/>
  <c r="F17" i="77"/>
  <c r="E17"/>
  <c r="C6" i="63"/>
  <c r="R7" i="2"/>
  <c r="O28" i="81"/>
  <c r="V81" i="74"/>
  <c r="J14" i="5"/>
  <c r="L10" i="81" s="1"/>
  <c r="J12" i="5"/>
  <c r="L8" i="81" s="1"/>
  <c r="AU7" i="1"/>
  <c r="I4" i="81" s="1"/>
  <c r="AG3" i="2"/>
  <c r="B7" i="63"/>
  <c r="AF13" i="5"/>
  <c r="AI13" s="1"/>
  <c r="H6" i="65"/>
  <c r="AI5" i="1"/>
  <c r="AU5"/>
  <c r="I2" i="81" s="1"/>
  <c r="P5" i="3"/>
  <c r="Q5" s="1"/>
  <c r="AB3"/>
  <c r="AG4" i="2"/>
  <c r="H11" i="65"/>
  <c r="D5" i="63"/>
  <c r="O6" i="2"/>
  <c r="AU9" i="1"/>
  <c r="I6" i="81" s="1"/>
  <c r="R9" i="2"/>
  <c r="AI9" s="1"/>
  <c r="J81" i="74"/>
  <c r="W32" i="76" s="1"/>
  <c r="AU10" i="1"/>
  <c r="I7" i="81" s="1"/>
  <c r="AC4" i="3"/>
  <c r="AE4"/>
  <c r="AF4" s="1"/>
  <c r="AG4" s="1"/>
  <c r="K8" i="81"/>
  <c r="AU11" i="1"/>
  <c r="I8" i="81" s="1"/>
  <c r="B6" i="63"/>
  <c r="B9"/>
  <c r="AI4" i="3"/>
  <c r="D6" i="65" s="1"/>
  <c r="R8" i="2"/>
  <c r="J10" i="65" s="1"/>
  <c r="F81" i="74"/>
  <c r="B81"/>
  <c r="AA16" s="1"/>
  <c r="B14" i="77" s="1"/>
  <c r="E14" s="1"/>
  <c r="E5" i="3"/>
  <c r="AA5" s="1"/>
  <c r="Z5"/>
  <c r="C6"/>
  <c r="J10" i="5"/>
  <c r="L6" i="81" s="1"/>
  <c r="AU12" i="5"/>
  <c r="AZ11"/>
  <c r="BC11" s="1"/>
  <c r="J7"/>
  <c r="L3" i="81" s="1"/>
  <c r="J11" i="5"/>
  <c r="L7" i="81" s="1"/>
  <c r="J8" i="5"/>
  <c r="L4" i="81" s="1"/>
  <c r="J9" i="5"/>
  <c r="L5" i="81" s="1"/>
  <c r="J13" i="5"/>
  <c r="L9" i="81" s="1"/>
  <c r="AU8" i="1"/>
  <c r="I5" i="81" s="1"/>
  <c r="AU12" i="1"/>
  <c r="I9" i="81" s="1"/>
  <c r="AH7" i="1"/>
  <c r="C7" i="65" s="1"/>
  <c r="Y7" i="1"/>
  <c r="V5" i="2"/>
  <c r="AF5" s="1"/>
  <c r="AG5" s="1"/>
  <c r="V6"/>
  <c r="AF6" s="1"/>
  <c r="T8"/>
  <c r="A6" i="63"/>
  <c r="AE7" i="2"/>
  <c r="AG7" s="1"/>
  <c r="AE6"/>
  <c r="A5" i="63"/>
  <c r="AI8" i="3"/>
  <c r="AI7"/>
  <c r="AI6"/>
  <c r="C7" i="63"/>
  <c r="D7" s="1"/>
  <c r="E7" i="81"/>
  <c r="E5"/>
  <c r="R6" i="2"/>
  <c r="J8" i="65" s="1"/>
  <c r="S7" i="76"/>
  <c r="C9" i="63"/>
  <c r="D9" s="1"/>
  <c r="C8"/>
  <c r="D8" s="1"/>
  <c r="R10" i="2"/>
  <c r="AI10" s="1"/>
  <c r="E9" i="81"/>
  <c r="E8"/>
  <c r="E3"/>
  <c r="C3" i="63"/>
  <c r="D3" s="1"/>
  <c r="R4" i="2"/>
  <c r="J6" i="65" s="1"/>
  <c r="O24" i="81"/>
  <c r="L12" i="82"/>
  <c r="L4"/>
  <c r="O5" i="2"/>
  <c r="AL6" i="1"/>
  <c r="D7" i="75" s="1"/>
  <c r="E7" s="1"/>
  <c r="S8" i="76"/>
  <c r="E6" i="81"/>
  <c r="E4"/>
  <c r="C4" i="63"/>
  <c r="D4" s="1"/>
  <c r="R5" i="2"/>
  <c r="S6" i="76"/>
  <c r="B2" i="63"/>
  <c r="AC11" i="7"/>
  <c r="AD11"/>
  <c r="AK3" i="3"/>
  <c r="D7" i="65"/>
  <c r="O30" i="81"/>
  <c r="L2" i="82"/>
  <c r="AD13" i="7"/>
  <c r="AE13" s="1"/>
  <c r="AD7"/>
  <c r="AE7" s="1"/>
  <c r="AD10"/>
  <c r="AF10" s="1"/>
  <c r="AD34" i="5"/>
  <c r="C81" i="74"/>
  <c r="AB16" s="1"/>
  <c r="B15" i="77" s="1"/>
  <c r="G81" i="74"/>
  <c r="K81"/>
  <c r="W33" i="76" s="1"/>
  <c r="L13" i="82"/>
  <c r="O13" i="81"/>
  <c r="L3" i="82"/>
  <c r="O4" i="2"/>
  <c r="D11" i="65"/>
  <c r="O7" i="2"/>
  <c r="AD12" i="7"/>
  <c r="AE12" s="1"/>
  <c r="L6" i="82"/>
  <c r="L7"/>
  <c r="O7" i="81"/>
  <c r="O8" i="2"/>
  <c r="O14" i="81"/>
  <c r="L14" i="82"/>
  <c r="O3" i="81"/>
  <c r="L29" i="82"/>
  <c r="W81" i="74"/>
  <c r="O81"/>
  <c r="K2" i="81"/>
  <c r="BC7" i="5"/>
  <c r="BC8"/>
  <c r="J3" i="81"/>
  <c r="AX7" i="1"/>
  <c r="J6" i="5"/>
  <c r="L2" i="81" s="1"/>
  <c r="AC3" i="3"/>
  <c r="H5" i="75"/>
  <c r="F3" i="63"/>
  <c r="C2"/>
  <c r="D2" s="1"/>
  <c r="S4" i="76"/>
  <c r="R3" i="2"/>
  <c r="J5" i="65" s="1"/>
  <c r="E2" i="81"/>
  <c r="W5" i="1"/>
  <c r="B5" i="65"/>
  <c r="E5" s="1"/>
  <c r="H3" i="63"/>
  <c r="F6" i="65"/>
  <c r="N6" i="1"/>
  <c r="V6" s="1"/>
  <c r="AE3" i="3"/>
  <c r="AF3" s="1"/>
  <c r="AG3" s="1"/>
  <c r="O3" i="2"/>
  <c r="W3" i="7"/>
  <c r="AO3" s="1"/>
  <c r="H17" i="5"/>
  <c r="AE13" i="2"/>
  <c r="E15" i="3"/>
  <c r="F13"/>
  <c r="C14"/>
  <c r="F14" s="1"/>
  <c r="BD15" i="5"/>
  <c r="Y16"/>
  <c r="J12" i="82" s="1"/>
  <c r="AT15" i="1"/>
  <c r="AU15" s="1"/>
  <c r="I12" i="81" s="1"/>
  <c r="AO16" i="1"/>
  <c r="AA16"/>
  <c r="Y16"/>
  <c r="AB16" s="1"/>
  <c r="L17"/>
  <c r="T15" i="2"/>
  <c r="G13"/>
  <c r="I12" i="82" s="1"/>
  <c r="N81" i="74"/>
  <c r="L13" i="76"/>
  <c r="D13"/>
  <c r="E13" s="1"/>
  <c r="C13"/>
  <c r="A37" s="1"/>
  <c r="K37" s="1"/>
  <c r="U12" i="3"/>
  <c r="S15"/>
  <c r="M14"/>
  <c r="K12"/>
  <c r="BA16" i="5"/>
  <c r="BD16" s="1"/>
  <c r="AA15"/>
  <c r="AJ15"/>
  <c r="W15"/>
  <c r="U16"/>
  <c r="C16"/>
  <c r="E16" s="1"/>
  <c r="G12" i="63"/>
  <c r="I15" i="5"/>
  <c r="D15"/>
  <c r="AS17" i="1"/>
  <c r="AU14"/>
  <c r="I11" i="81" s="1"/>
  <c r="AQ16" i="1"/>
  <c r="AU13"/>
  <c r="I10" i="81" s="1"/>
  <c r="AF15" i="1"/>
  <c r="AH15" s="1"/>
  <c r="C15" i="65" s="1"/>
  <c r="AG13" i="1"/>
  <c r="AM14"/>
  <c r="F15" i="75" s="1"/>
  <c r="G15" s="1"/>
  <c r="AG14" i="1"/>
  <c r="AD15"/>
  <c r="R15"/>
  <c r="S16"/>
  <c r="T16" s="1"/>
  <c r="I17"/>
  <c r="G15"/>
  <c r="Z16" i="7"/>
  <c r="D16" i="1"/>
  <c r="E16" s="1"/>
  <c r="AE14" i="7"/>
  <c r="AF14"/>
  <c r="D15" i="1"/>
  <c r="E15" s="1"/>
  <c r="AA15" i="7"/>
  <c r="AB15"/>
  <c r="G14"/>
  <c r="E14"/>
  <c r="B16"/>
  <c r="F13"/>
  <c r="E13"/>
  <c r="C15"/>
  <c r="B10" i="63"/>
  <c r="AD13" i="2"/>
  <c r="AB14"/>
  <c r="Z12"/>
  <c r="AF12" s="1"/>
  <c r="AG12" s="1"/>
  <c r="X14"/>
  <c r="AD12" i="3"/>
  <c r="E11" i="63"/>
  <c r="I14" i="65"/>
  <c r="BE14" i="7"/>
  <c r="BG14" s="1"/>
  <c r="AD11" i="3"/>
  <c r="E10" i="63"/>
  <c r="BE13" i="7"/>
  <c r="BG13" s="1"/>
  <c r="I13" i="65"/>
  <c r="AI10" i="3"/>
  <c r="M13" i="2"/>
  <c r="E12" i="82" s="1"/>
  <c r="K14" i="2"/>
  <c r="F13" i="82" s="1"/>
  <c r="I14" i="2"/>
  <c r="G13" i="82" s="1"/>
  <c r="G15" i="2"/>
  <c r="I14" i="82" s="1"/>
  <c r="E12" i="2"/>
  <c r="N12" s="1"/>
  <c r="S12" i="76"/>
  <c r="R11" i="2"/>
  <c r="E10" i="81"/>
  <c r="C10" i="63"/>
  <c r="AE9" i="7"/>
  <c r="AF9"/>
  <c r="O27" i="81"/>
  <c r="L27" i="82"/>
  <c r="V43" i="74"/>
  <c r="L31" i="82"/>
  <c r="O31" i="81"/>
  <c r="O19"/>
  <c r="L19" i="82"/>
  <c r="G12" i="7"/>
  <c r="H12"/>
  <c r="F6"/>
  <c r="E6"/>
  <c r="AH6"/>
  <c r="AG6"/>
  <c r="E8"/>
  <c r="F8"/>
  <c r="O10" i="2"/>
  <c r="O9" i="81"/>
  <c r="L9" i="82"/>
  <c r="O21" i="81"/>
  <c r="L21" i="82"/>
  <c r="AC8" i="7"/>
  <c r="AD8"/>
  <c r="F15"/>
  <c r="E15"/>
  <c r="F11"/>
  <c r="E11"/>
  <c r="O23" i="81"/>
  <c r="L23" i="82"/>
  <c r="I14" i="7"/>
  <c r="J14"/>
  <c r="H7"/>
  <c r="G7"/>
  <c r="F10"/>
  <c r="E10"/>
  <c r="E9"/>
  <c r="F9"/>
  <c r="O9" i="2"/>
  <c r="L8" i="82"/>
  <c r="O8" i="81"/>
  <c r="O18"/>
  <c r="L18" i="82"/>
  <c r="L16"/>
  <c r="O16" i="81"/>
  <c r="O32" l="1"/>
  <c r="L32" i="82"/>
  <c r="O33" i="2"/>
  <c r="C14" i="65"/>
  <c r="AA15" i="74"/>
  <c r="H6" i="3"/>
  <c r="I5"/>
  <c r="I27" i="79"/>
  <c r="K27" i="5"/>
  <c r="M29" i="79"/>
  <c r="O28"/>
  <c r="AW6" i="7"/>
  <c r="G2" i="81" s="1"/>
  <c r="F5" i="3"/>
  <c r="AB5" s="1"/>
  <c r="J11" i="65"/>
  <c r="AF7" i="7"/>
  <c r="AG7" s="1"/>
  <c r="AF14" i="5"/>
  <c r="AI14" s="1"/>
  <c r="P6" i="3"/>
  <c r="Q6" s="1"/>
  <c r="AH4"/>
  <c r="J4" i="81"/>
  <c r="AX8" i="1"/>
  <c r="D10" i="63"/>
  <c r="AK4" i="3"/>
  <c r="AI8" i="2"/>
  <c r="AI6"/>
  <c r="E6" i="3"/>
  <c r="AA6" s="1"/>
  <c r="AC5"/>
  <c r="F5" i="63"/>
  <c r="AE5" i="3"/>
  <c r="AF5" s="1"/>
  <c r="AG5" s="1"/>
  <c r="C7"/>
  <c r="Z6"/>
  <c r="AK6" s="1"/>
  <c r="AK5"/>
  <c r="AU13" i="5"/>
  <c r="AZ12"/>
  <c r="BC12" s="1"/>
  <c r="AH8" i="1"/>
  <c r="C8" i="65" s="1"/>
  <c r="AM7" i="1"/>
  <c r="F8" i="75" s="1"/>
  <c r="G8" s="1"/>
  <c r="AB7" i="1"/>
  <c r="Y8"/>
  <c r="AE10" i="7"/>
  <c r="B4" i="63"/>
  <c r="H7" i="65"/>
  <c r="AG6" i="2"/>
  <c r="B5" i="63"/>
  <c r="H8" i="65"/>
  <c r="T9" i="2"/>
  <c r="AE8"/>
  <c r="AG8" s="1"/>
  <c r="A7" i="63"/>
  <c r="D10" i="65"/>
  <c r="D9"/>
  <c r="D8"/>
  <c r="J12"/>
  <c r="L7" i="1"/>
  <c r="AL7" s="1"/>
  <c r="D8" i="75" s="1"/>
  <c r="E8" s="1"/>
  <c r="J7" i="65"/>
  <c r="AI5" i="2"/>
  <c r="AE11" i="7"/>
  <c r="AF11"/>
  <c r="AF13"/>
  <c r="AH13" s="1"/>
  <c r="AF12"/>
  <c r="AH12" s="1"/>
  <c r="AD35" i="5"/>
  <c r="D12" i="65"/>
  <c r="AI11" i="3"/>
  <c r="AI12"/>
  <c r="D14" i="65" s="1"/>
  <c r="AH3" i="3"/>
  <c r="W6" i="1"/>
  <c r="AI6"/>
  <c r="AW7" i="7" s="1"/>
  <c r="B6" i="65"/>
  <c r="E6" s="1"/>
  <c r="V7" i="1"/>
  <c r="L8"/>
  <c r="AG10" i="7"/>
  <c r="AH10"/>
  <c r="AA12" i="3"/>
  <c r="V12"/>
  <c r="H18" i="5"/>
  <c r="E16" i="3"/>
  <c r="C15"/>
  <c r="AL15" i="5"/>
  <c r="Y17"/>
  <c r="J13" i="82" s="1"/>
  <c r="AO17" i="1"/>
  <c r="AT16"/>
  <c r="AU16" s="1"/>
  <c r="I13" i="81" s="1"/>
  <c r="AA17" i="1"/>
  <c r="Y17"/>
  <c r="AB17" s="1"/>
  <c r="L18"/>
  <c r="V14" i="2"/>
  <c r="V15"/>
  <c r="T16"/>
  <c r="U13" i="3"/>
  <c r="S16"/>
  <c r="M15"/>
  <c r="K13"/>
  <c r="Z12"/>
  <c r="AE12" s="1"/>
  <c r="AF12" s="1"/>
  <c r="AG12" s="1"/>
  <c r="N12"/>
  <c r="BA17" i="5"/>
  <c r="BD17" s="1"/>
  <c r="K11" i="82"/>
  <c r="AA16" i="5"/>
  <c r="AJ16"/>
  <c r="K12" i="82" s="1"/>
  <c r="W16" i="5"/>
  <c r="U17"/>
  <c r="G13" i="63"/>
  <c r="D16" i="5"/>
  <c r="I16"/>
  <c r="K11" i="81"/>
  <c r="J15" i="5"/>
  <c r="L11" i="81" s="1"/>
  <c r="C17" i="5"/>
  <c r="E17" s="1"/>
  <c r="AS18" i="1"/>
  <c r="AQ17"/>
  <c r="AF16"/>
  <c r="AH16" s="1"/>
  <c r="C16" i="65" s="1"/>
  <c r="AD16" i="1"/>
  <c r="AM15"/>
  <c r="F16" i="75" s="1"/>
  <c r="G16" s="1"/>
  <c r="AG15" i="1"/>
  <c r="R16"/>
  <c r="S17"/>
  <c r="T17" s="1"/>
  <c r="I18"/>
  <c r="J15"/>
  <c r="AL15"/>
  <c r="D16" i="75" s="1"/>
  <c r="E16" s="1"/>
  <c r="U15" i="1"/>
  <c r="G16"/>
  <c r="AC15" i="7"/>
  <c r="AD15"/>
  <c r="AB16"/>
  <c r="AA16"/>
  <c r="Z17"/>
  <c r="AH14"/>
  <c r="AG14"/>
  <c r="C16"/>
  <c r="D16"/>
  <c r="B17"/>
  <c r="G13"/>
  <c r="H13"/>
  <c r="AD14" i="2"/>
  <c r="AB15"/>
  <c r="H14" i="65"/>
  <c r="B11" i="63"/>
  <c r="Z13" i="2"/>
  <c r="AF13" s="1"/>
  <c r="AG13" s="1"/>
  <c r="AE14"/>
  <c r="A13" i="63"/>
  <c r="X15" i="2"/>
  <c r="BE15" i="7"/>
  <c r="BG15" s="1"/>
  <c r="AD13" i="3"/>
  <c r="E12" i="63"/>
  <c r="I15" i="65"/>
  <c r="Q14" i="2"/>
  <c r="M14"/>
  <c r="E13" i="82" s="1"/>
  <c r="K15" i="2"/>
  <c r="F14" i="82" s="1"/>
  <c r="I15" i="2"/>
  <c r="G14" i="82" s="1"/>
  <c r="G16" i="2"/>
  <c r="I15" i="82" s="1"/>
  <c r="O12" i="2"/>
  <c r="H11" i="82"/>
  <c r="AI11" i="2"/>
  <c r="J13" i="65"/>
  <c r="E13" i="2"/>
  <c r="H10" i="7"/>
  <c r="G10"/>
  <c r="H11"/>
  <c r="G11"/>
  <c r="I12"/>
  <c r="J12"/>
  <c r="AI6"/>
  <c r="AJ6"/>
  <c r="L14"/>
  <c r="K14"/>
  <c r="AG9"/>
  <c r="AH9"/>
  <c r="I7"/>
  <c r="J7"/>
  <c r="G9"/>
  <c r="H9"/>
  <c r="G6"/>
  <c r="H6"/>
  <c r="G15"/>
  <c r="H15"/>
  <c r="AE8"/>
  <c r="AF8"/>
  <c r="G8"/>
  <c r="H8"/>
  <c r="E15" i="77" l="1"/>
  <c r="H7" i="3"/>
  <c r="I6"/>
  <c r="M30" i="79"/>
  <c r="O29"/>
  <c r="I28"/>
  <c r="K28" i="5"/>
  <c r="AJ5" i="1"/>
  <c r="AK5" s="1"/>
  <c r="F6" i="3"/>
  <c r="AB6" s="1"/>
  <c r="AH7" i="7"/>
  <c r="AI7" s="1"/>
  <c r="AF15" i="5"/>
  <c r="AI15" s="1"/>
  <c r="P7" i="3"/>
  <c r="Q7" s="1"/>
  <c r="AB12"/>
  <c r="AX9" i="1"/>
  <c r="J5" i="81"/>
  <c r="AG13" i="7"/>
  <c r="E7" i="3"/>
  <c r="AA7" s="1"/>
  <c r="C8"/>
  <c r="AH5"/>
  <c r="Z7"/>
  <c r="AC6"/>
  <c r="F6" i="63"/>
  <c r="AE6" i="3"/>
  <c r="AF6" s="1"/>
  <c r="AG6" s="1"/>
  <c r="AZ13" i="5"/>
  <c r="BC13" s="1"/>
  <c r="AU14"/>
  <c r="AA9" i="1"/>
  <c r="AH9" s="1"/>
  <c r="C9" i="65" s="1"/>
  <c r="AB8" i="1"/>
  <c r="AM8"/>
  <c r="F9" i="75" s="1"/>
  <c r="G9" s="1"/>
  <c r="Y9" i="1"/>
  <c r="A8" i="63"/>
  <c r="AE9" i="2"/>
  <c r="AG9" s="1"/>
  <c r="T11"/>
  <c r="T10"/>
  <c r="U7" i="1"/>
  <c r="W7" s="1"/>
  <c r="AG11" i="7"/>
  <c r="AH11"/>
  <c r="AG12"/>
  <c r="D13" i="65"/>
  <c r="V8" i="1"/>
  <c r="U8"/>
  <c r="AL8"/>
  <c r="D9" i="75" s="1"/>
  <c r="E9" s="1"/>
  <c r="L9" i="1"/>
  <c r="G3" i="81"/>
  <c r="AJ6" i="1"/>
  <c r="AK6" s="1"/>
  <c r="B7" i="65"/>
  <c r="E7" s="1"/>
  <c r="AI7" i="1"/>
  <c r="AW8" i="7" s="1"/>
  <c r="AI13"/>
  <c r="AJ13"/>
  <c r="AJ10"/>
  <c r="AI10"/>
  <c r="AA13" i="3"/>
  <c r="V13"/>
  <c r="H19" i="5"/>
  <c r="E17" i="3"/>
  <c r="C16"/>
  <c r="F16" s="1"/>
  <c r="F15"/>
  <c r="AL16" i="5"/>
  <c r="Y18"/>
  <c r="J14" i="82" s="1"/>
  <c r="AO18" i="1"/>
  <c r="AT17"/>
  <c r="AU17" s="1"/>
  <c r="I14" i="81" s="1"/>
  <c r="AA18" i="1"/>
  <c r="Y18"/>
  <c r="AB18" s="1"/>
  <c r="L19"/>
  <c r="V16" i="2"/>
  <c r="T17"/>
  <c r="U14" i="3"/>
  <c r="S17"/>
  <c r="M16"/>
  <c r="K14"/>
  <c r="N13"/>
  <c r="Z13"/>
  <c r="AK12"/>
  <c r="AC12"/>
  <c r="AH12" s="1"/>
  <c r="F12" i="63"/>
  <c r="BA18" i="5"/>
  <c r="BD18" s="1"/>
  <c r="AJ17"/>
  <c r="AA17"/>
  <c r="W17"/>
  <c r="U18"/>
  <c r="G14" i="63"/>
  <c r="I17" i="5"/>
  <c r="D17"/>
  <c r="C18"/>
  <c r="E18" s="1"/>
  <c r="J16"/>
  <c r="L12" i="81" s="1"/>
  <c r="K12"/>
  <c r="AS19" i="1"/>
  <c r="AQ18"/>
  <c r="AF17"/>
  <c r="AH17" s="1"/>
  <c r="C17" i="65" s="1"/>
  <c r="AD17" i="1"/>
  <c r="AG16"/>
  <c r="AM16"/>
  <c r="F17" i="75" s="1"/>
  <c r="G17" s="1"/>
  <c r="R17" i="1"/>
  <c r="S18"/>
  <c r="T18" s="1"/>
  <c r="I19"/>
  <c r="J16"/>
  <c r="U16"/>
  <c r="AL16"/>
  <c r="D17" i="75" s="1"/>
  <c r="E17" s="1"/>
  <c r="G17" i="1"/>
  <c r="Z18" i="7"/>
  <c r="AJ14"/>
  <c r="AI14"/>
  <c r="AE15"/>
  <c r="AF15"/>
  <c r="AD16"/>
  <c r="AC16"/>
  <c r="D17" i="1"/>
  <c r="E17" s="1"/>
  <c r="AB17" i="7"/>
  <c r="AA17"/>
  <c r="F16"/>
  <c r="E16"/>
  <c r="B18"/>
  <c r="C17"/>
  <c r="D17"/>
  <c r="I13"/>
  <c r="J13"/>
  <c r="AD15" i="2"/>
  <c r="AB16"/>
  <c r="B12" i="63"/>
  <c r="H15" i="65"/>
  <c r="Z14" i="2"/>
  <c r="AF14" s="1"/>
  <c r="AG14" s="1"/>
  <c r="X16"/>
  <c r="A14" i="63"/>
  <c r="AE15" i="2"/>
  <c r="AI13" i="3"/>
  <c r="D15" i="65" s="1"/>
  <c r="I16"/>
  <c r="BE16" i="7"/>
  <c r="BG16" s="1"/>
  <c r="E13" i="63"/>
  <c r="AD14" i="3"/>
  <c r="Q15" i="2"/>
  <c r="M15"/>
  <c r="E14" i="82" s="1"/>
  <c r="K16" i="2"/>
  <c r="F15" i="82" s="1"/>
  <c r="I16" i="2"/>
  <c r="G15" i="82" s="1"/>
  <c r="G17" i="2"/>
  <c r="I16" i="82" s="1"/>
  <c r="E11" i="81"/>
  <c r="S13" i="76"/>
  <c r="R12" i="2"/>
  <c r="C11" i="63"/>
  <c r="D11" s="1"/>
  <c r="H12" i="82"/>
  <c r="N13" i="2"/>
  <c r="E14"/>
  <c r="N14" i="7"/>
  <c r="M14"/>
  <c r="AJ9"/>
  <c r="AI9"/>
  <c r="J8"/>
  <c r="I8"/>
  <c r="J6"/>
  <c r="I6"/>
  <c r="I9"/>
  <c r="J9"/>
  <c r="L7"/>
  <c r="K7"/>
  <c r="L12"/>
  <c r="K12"/>
  <c r="AG8"/>
  <c r="AH8"/>
  <c r="AJ12"/>
  <c r="AI12"/>
  <c r="I10"/>
  <c r="J10"/>
  <c r="AL6"/>
  <c r="AM6" s="1"/>
  <c r="AK6"/>
  <c r="J15"/>
  <c r="I15"/>
  <c r="I11"/>
  <c r="J11"/>
  <c r="O13" i="2" l="1"/>
  <c r="S14" i="76"/>
  <c r="T14" s="1"/>
  <c r="H8" i="3"/>
  <c r="I7"/>
  <c r="I29" i="79"/>
  <c r="K29" i="5"/>
  <c r="M31" i="79"/>
  <c r="O30"/>
  <c r="AJ7" i="7"/>
  <c r="AK7" s="1"/>
  <c r="F7" i="3"/>
  <c r="AB7" s="1"/>
  <c r="AO6" i="7"/>
  <c r="AF17" i="5"/>
  <c r="AI17" s="1"/>
  <c r="AF16"/>
  <c r="AI16" s="1"/>
  <c r="P8" i="3"/>
  <c r="Q8" s="1"/>
  <c r="AX10" i="1"/>
  <c r="J6" i="81"/>
  <c r="E8" i="3"/>
  <c r="AA8" s="1"/>
  <c r="AH6"/>
  <c r="Z8"/>
  <c r="C9"/>
  <c r="F7" i="63"/>
  <c r="AC7" i="3"/>
  <c r="AH7" s="1"/>
  <c r="AE7"/>
  <c r="AF7" s="1"/>
  <c r="AK7"/>
  <c r="AZ14" i="5"/>
  <c r="BC14" s="1"/>
  <c r="AU15"/>
  <c r="AL17"/>
  <c r="AA10" i="1"/>
  <c r="AH10" s="1"/>
  <c r="C10" i="65" s="1"/>
  <c r="AB9" i="1"/>
  <c r="AM9"/>
  <c r="F10" i="75" s="1"/>
  <c r="G10" s="1"/>
  <c r="Y10" i="1"/>
  <c r="A10" i="63"/>
  <c r="AE11" i="2"/>
  <c r="AG11" s="1"/>
  <c r="A9" i="63"/>
  <c r="AE10" i="2"/>
  <c r="AG10" s="1"/>
  <c r="AI11" i="7"/>
  <c r="AJ11"/>
  <c r="AI8" i="1"/>
  <c r="AW9" i="7" s="1"/>
  <c r="W8" i="1"/>
  <c r="B8" i="65"/>
  <c r="E8" s="1"/>
  <c r="V9" i="1"/>
  <c r="L10"/>
  <c r="U9"/>
  <c r="AL9"/>
  <c r="D10" i="75" s="1"/>
  <c r="E10" s="1"/>
  <c r="AJ7" i="1"/>
  <c r="AK7" s="1"/>
  <c r="G4" i="81"/>
  <c r="AA14" i="3"/>
  <c r="V14"/>
  <c r="AK13" i="7"/>
  <c r="AL13"/>
  <c r="AM13" s="1"/>
  <c r="AL10"/>
  <c r="AM10" s="1"/>
  <c r="AK10"/>
  <c r="AB13" i="3"/>
  <c r="H20" i="5"/>
  <c r="E18" i="3"/>
  <c r="C17"/>
  <c r="Y19" i="5"/>
  <c r="J15" i="82" s="1"/>
  <c r="AO19" i="1"/>
  <c r="AT18"/>
  <c r="AU18" s="1"/>
  <c r="I15" i="81" s="1"/>
  <c r="AA19" i="1"/>
  <c r="Y19"/>
  <c r="AB19" s="1"/>
  <c r="L20"/>
  <c r="V17" i="2"/>
  <c r="T18"/>
  <c r="U15" i="3"/>
  <c r="S18"/>
  <c r="M17"/>
  <c r="K15"/>
  <c r="F13" i="63"/>
  <c r="AC13" i="3"/>
  <c r="AK13"/>
  <c r="N14"/>
  <c r="Z14"/>
  <c r="AE14" s="1"/>
  <c r="AF14" s="1"/>
  <c r="AG14" s="1"/>
  <c r="AE13"/>
  <c r="AF13" s="1"/>
  <c r="AG13" s="1"/>
  <c r="BA19" i="5"/>
  <c r="BD19" s="1"/>
  <c r="K13" i="82"/>
  <c r="AJ18" i="5"/>
  <c r="K14" i="82" s="1"/>
  <c r="AA18" i="5"/>
  <c r="W18"/>
  <c r="U19"/>
  <c r="K13" i="81"/>
  <c r="J17" i="5"/>
  <c r="L13" i="81" s="1"/>
  <c r="G15" i="63"/>
  <c r="I18" i="5"/>
  <c r="D18"/>
  <c r="C19"/>
  <c r="E19" s="1"/>
  <c r="AS20" i="1"/>
  <c r="AQ19"/>
  <c r="AF18"/>
  <c r="AH18" s="1"/>
  <c r="C18" i="65" s="1"/>
  <c r="AG17" i="1"/>
  <c r="AM17"/>
  <c r="F18" i="75" s="1"/>
  <c r="G18" s="1"/>
  <c r="AD18" i="1"/>
  <c r="R18"/>
  <c r="S19"/>
  <c r="T19" s="1"/>
  <c r="I20"/>
  <c r="J17"/>
  <c r="AL17"/>
  <c r="D18" i="75" s="1"/>
  <c r="E18" s="1"/>
  <c r="U17" i="1"/>
  <c r="G18"/>
  <c r="AG15" i="7"/>
  <c r="AH15"/>
  <c r="AF16"/>
  <c r="AE16"/>
  <c r="Z19"/>
  <c r="AD17"/>
  <c r="AC17"/>
  <c r="AB18"/>
  <c r="AA18"/>
  <c r="AK14"/>
  <c r="AL14"/>
  <c r="AM14" s="1"/>
  <c r="D18" i="1"/>
  <c r="E18" s="1"/>
  <c r="B19" i="7"/>
  <c r="E17"/>
  <c r="F17"/>
  <c r="L13"/>
  <c r="K13"/>
  <c r="G16"/>
  <c r="H16"/>
  <c r="C18"/>
  <c r="D18"/>
  <c r="AD16" i="2"/>
  <c r="AB17"/>
  <c r="H16" i="65"/>
  <c r="B13" i="63"/>
  <c r="Z15" i="2"/>
  <c r="AF15" s="1"/>
  <c r="AG15" s="1"/>
  <c r="X17"/>
  <c r="A15" i="63"/>
  <c r="AE16" i="2"/>
  <c r="AI14" i="3"/>
  <c r="D16" i="65" s="1"/>
  <c r="I17"/>
  <c r="AD15" i="3"/>
  <c r="E14" i="63"/>
  <c r="BE17" i="7"/>
  <c r="BG17" s="1"/>
  <c r="Q16" i="2"/>
  <c r="M16"/>
  <c r="E15" i="82" s="1"/>
  <c r="K17" i="2"/>
  <c r="F16" i="82" s="1"/>
  <c r="I17" i="2"/>
  <c r="G16" i="82" s="1"/>
  <c r="G18" i="2"/>
  <c r="I17" i="82" s="1"/>
  <c r="J14" i="65"/>
  <c r="AI12" i="2"/>
  <c r="R13"/>
  <c r="C12" i="63"/>
  <c r="D12" s="1"/>
  <c r="E12" i="81"/>
  <c r="E15" i="2"/>
  <c r="H13" i="82"/>
  <c r="N14" i="2"/>
  <c r="P14" i="7"/>
  <c r="O14"/>
  <c r="L10"/>
  <c r="K10"/>
  <c r="AL12"/>
  <c r="AM12" s="1"/>
  <c r="AK12"/>
  <c r="N7"/>
  <c r="M7"/>
  <c r="AK9"/>
  <c r="AL9"/>
  <c r="AM9" s="1"/>
  <c r="K9"/>
  <c r="L9"/>
  <c r="L15"/>
  <c r="K15"/>
  <c r="L8"/>
  <c r="K8"/>
  <c r="L11"/>
  <c r="K11"/>
  <c r="AI8"/>
  <c r="AJ8"/>
  <c r="N12"/>
  <c r="M12"/>
  <c r="L6"/>
  <c r="K6"/>
  <c r="AN6" l="1"/>
  <c r="O14" i="2"/>
  <c r="S15" i="76"/>
  <c r="T15" s="1"/>
  <c r="H9" i="3"/>
  <c r="I8"/>
  <c r="I30" i="79"/>
  <c r="K30" i="5"/>
  <c r="M32" i="79"/>
  <c r="O31"/>
  <c r="AL7" i="7"/>
  <c r="AM7" s="1"/>
  <c r="AO7" s="1"/>
  <c r="F8" i="3"/>
  <c r="AB8" s="1"/>
  <c r="P9"/>
  <c r="Q9" s="1"/>
  <c r="J7" i="81"/>
  <c r="AX11" i="1"/>
  <c r="AO9" i="7"/>
  <c r="E9" i="3"/>
  <c r="AA9" s="1"/>
  <c r="F8" i="63"/>
  <c r="AC8" i="3"/>
  <c r="AE8"/>
  <c r="AF8" s="1"/>
  <c r="AG8" s="1"/>
  <c r="AK8"/>
  <c r="C11"/>
  <c r="C10"/>
  <c r="Z9"/>
  <c r="AU16" i="5"/>
  <c r="AZ15"/>
  <c r="BC15" s="1"/>
  <c r="AA11" i="1"/>
  <c r="AH11" s="1"/>
  <c r="C11" i="65" s="1"/>
  <c r="Y11" i="1"/>
  <c r="AB10"/>
  <c r="AM10"/>
  <c r="F11" i="75" s="1"/>
  <c r="G11" s="1"/>
  <c r="AL11" i="7"/>
  <c r="AM11" s="1"/>
  <c r="AK11"/>
  <c r="AO10"/>
  <c r="V10" i="1"/>
  <c r="L11"/>
  <c r="U10"/>
  <c r="AL10"/>
  <c r="D11" i="75" s="1"/>
  <c r="E11" s="1"/>
  <c r="G5" i="81"/>
  <c r="AJ8" i="1"/>
  <c r="AK8" s="1"/>
  <c r="B9" i="65"/>
  <c r="E9" s="1"/>
  <c r="W9" i="1"/>
  <c r="AI9"/>
  <c r="AW10" i="7" s="1"/>
  <c r="AA15" i="3"/>
  <c r="V15"/>
  <c r="AB14"/>
  <c r="AO12" i="7"/>
  <c r="AO13"/>
  <c r="H21" i="5"/>
  <c r="E19" i="3"/>
  <c r="C18"/>
  <c r="F18" s="1"/>
  <c r="F17"/>
  <c r="Y20" i="5"/>
  <c r="J16" i="82" s="1"/>
  <c r="AO20" i="1"/>
  <c r="AT19"/>
  <c r="AU19" s="1"/>
  <c r="I16" i="81" s="1"/>
  <c r="AA20" i="1"/>
  <c r="Y20"/>
  <c r="AB20" s="1"/>
  <c r="L21"/>
  <c r="V18" i="2"/>
  <c r="T19"/>
  <c r="S19" i="3"/>
  <c r="M18"/>
  <c r="AH13"/>
  <c r="N15"/>
  <c r="Z15"/>
  <c r="K16"/>
  <c r="AC14"/>
  <c r="AH14" s="1"/>
  <c r="AK14"/>
  <c r="F14" i="63"/>
  <c r="BA20" i="5"/>
  <c r="BD20" s="1"/>
  <c r="AA19"/>
  <c r="AJ19"/>
  <c r="AL18"/>
  <c r="W19"/>
  <c r="U20"/>
  <c r="D19"/>
  <c r="G16" i="63"/>
  <c r="I19" i="5"/>
  <c r="C20"/>
  <c r="E20" s="1"/>
  <c r="J18"/>
  <c r="L14" i="81" s="1"/>
  <c r="K14"/>
  <c r="AS21" i="1"/>
  <c r="AQ20"/>
  <c r="AF19"/>
  <c r="AH19" s="1"/>
  <c r="C19" i="65" s="1"/>
  <c r="AD19" i="1"/>
  <c r="AM18"/>
  <c r="F19" i="75" s="1"/>
  <c r="G19" s="1"/>
  <c r="AG18" i="1"/>
  <c r="R19"/>
  <c r="S20"/>
  <c r="T20" s="1"/>
  <c r="I21"/>
  <c r="G19"/>
  <c r="J18"/>
  <c r="AL18"/>
  <c r="D19" i="75" s="1"/>
  <c r="E19" s="1"/>
  <c r="U18" i="1"/>
  <c r="AA19" i="7"/>
  <c r="AB19"/>
  <c r="AC18"/>
  <c r="AD18"/>
  <c r="AI15"/>
  <c r="AJ15"/>
  <c r="AG16"/>
  <c r="AH16"/>
  <c r="AO14"/>
  <c r="AE17"/>
  <c r="AF17"/>
  <c r="Z20"/>
  <c r="D20" i="1"/>
  <c r="E20" s="1"/>
  <c r="D19"/>
  <c r="E19" s="1"/>
  <c r="F18" i="7"/>
  <c r="E18"/>
  <c r="B20"/>
  <c r="H17"/>
  <c r="G17"/>
  <c r="N13"/>
  <c r="M13"/>
  <c r="J16"/>
  <c r="I16"/>
  <c r="C19"/>
  <c r="D19"/>
  <c r="AD17" i="2"/>
  <c r="AB18"/>
  <c r="B14" i="63"/>
  <c r="H17" i="65"/>
  <c r="Z16" i="2"/>
  <c r="AF16" s="1"/>
  <c r="AG16" s="1"/>
  <c r="AE17"/>
  <c r="A16" i="63"/>
  <c r="X18" i="2"/>
  <c r="AI15" i="3"/>
  <c r="D17" i="65" s="1"/>
  <c r="Q17" i="2"/>
  <c r="BE18" i="7"/>
  <c r="BG18" s="1"/>
  <c r="AD16" i="3"/>
  <c r="I18" i="65"/>
  <c r="E15" i="63"/>
  <c r="M17" i="2"/>
  <c r="E16" i="82" s="1"/>
  <c r="K18" i="2"/>
  <c r="F17" i="82" s="1"/>
  <c r="I18" i="2"/>
  <c r="G17" i="82" s="1"/>
  <c r="G19" i="2"/>
  <c r="I18" i="82" s="1"/>
  <c r="H14"/>
  <c r="N15" i="2"/>
  <c r="S16" i="76" s="1"/>
  <c r="T16" s="1"/>
  <c r="E13" i="81"/>
  <c r="C13" i="63"/>
  <c r="D13" s="1"/>
  <c r="R14" i="2"/>
  <c r="E16"/>
  <c r="AI13"/>
  <c r="J15" i="65"/>
  <c r="Q14" i="7"/>
  <c r="R14"/>
  <c r="M6"/>
  <c r="N6"/>
  <c r="AK8"/>
  <c r="AL8"/>
  <c r="AM8" s="1"/>
  <c r="N10"/>
  <c r="M10"/>
  <c r="M15"/>
  <c r="N15"/>
  <c r="M9"/>
  <c r="N9"/>
  <c r="N8"/>
  <c r="M8"/>
  <c r="O12"/>
  <c r="P12"/>
  <c r="O7"/>
  <c r="P7"/>
  <c r="M11"/>
  <c r="N11"/>
  <c r="AN7" l="1"/>
  <c r="O15" i="2"/>
  <c r="F9" i="3"/>
  <c r="AB9" s="1"/>
  <c r="H10"/>
  <c r="I9"/>
  <c r="M33" i="79"/>
  <c r="O32"/>
  <c r="I31"/>
  <c r="K31" i="5"/>
  <c r="AN14" i="7"/>
  <c r="AN12"/>
  <c r="AN13"/>
  <c r="AN10"/>
  <c r="AN9"/>
  <c r="AX12" i="1"/>
  <c r="J8" i="81"/>
  <c r="AO8" i="7"/>
  <c r="E10" i="3"/>
  <c r="AA10" s="1"/>
  <c r="E11"/>
  <c r="AA11" s="1"/>
  <c r="F9" i="63"/>
  <c r="AC9" i="3"/>
  <c r="AE9"/>
  <c r="AF9" s="1"/>
  <c r="AG9" s="1"/>
  <c r="AK9"/>
  <c r="AH8"/>
  <c r="Z11"/>
  <c r="Z10"/>
  <c r="AU17" i="5"/>
  <c r="AZ16"/>
  <c r="BC16" s="1"/>
  <c r="AA12" i="1"/>
  <c r="AH12" s="1"/>
  <c r="AA13"/>
  <c r="AH13" s="1"/>
  <c r="C13" i="65" s="1"/>
  <c r="Y12" i="1"/>
  <c r="Y13"/>
  <c r="AB11"/>
  <c r="AM11"/>
  <c r="F12" i="75" s="1"/>
  <c r="G12" s="1"/>
  <c r="AO11" i="7"/>
  <c r="AA16" i="3"/>
  <c r="V16"/>
  <c r="N11" i="1"/>
  <c r="V11" s="1"/>
  <c r="AL11"/>
  <c r="D12" i="75" s="1"/>
  <c r="E12" s="1"/>
  <c r="U11" i="1"/>
  <c r="W10"/>
  <c r="B10" i="65"/>
  <c r="E10" s="1"/>
  <c r="AI10" i="1"/>
  <c r="AW11" i="7" s="1"/>
  <c r="L13" i="1"/>
  <c r="L12"/>
  <c r="G6" i="81"/>
  <c r="AJ9" i="1"/>
  <c r="AK9" s="1"/>
  <c r="AB15" i="3"/>
  <c r="H22" i="5"/>
  <c r="E20" i="3"/>
  <c r="C19"/>
  <c r="Y21" i="5"/>
  <c r="J17" i="82" s="1"/>
  <c r="AO21" i="1"/>
  <c r="AT20"/>
  <c r="AU20" s="1"/>
  <c r="I17" i="81" s="1"/>
  <c r="AA21" i="1"/>
  <c r="Y21"/>
  <c r="AB21" s="1"/>
  <c r="L22"/>
  <c r="V19" i="2"/>
  <c r="T20"/>
  <c r="S20" i="3"/>
  <c r="M19"/>
  <c r="AK15"/>
  <c r="F15" i="63"/>
  <c r="AC15" i="3"/>
  <c r="N16"/>
  <c r="Z16"/>
  <c r="AE16" s="1"/>
  <c r="AF16" s="1"/>
  <c r="AG16" s="1"/>
  <c r="K17"/>
  <c r="AE15"/>
  <c r="AF15" s="1"/>
  <c r="AG15" s="1"/>
  <c r="BA21" i="5"/>
  <c r="BD21" s="1"/>
  <c r="AA20"/>
  <c r="AJ20"/>
  <c r="K16" i="82" s="1"/>
  <c r="K15"/>
  <c r="AL19" i="5"/>
  <c r="W20"/>
  <c r="U21"/>
  <c r="J19"/>
  <c r="L15" i="81" s="1"/>
  <c r="K15"/>
  <c r="C21" i="5"/>
  <c r="E21" s="1"/>
  <c r="G17" i="63"/>
  <c r="D20" i="5"/>
  <c r="I20"/>
  <c r="AS22" i="1"/>
  <c r="AQ21"/>
  <c r="AF20"/>
  <c r="AH20" s="1"/>
  <c r="C20" i="65" s="1"/>
  <c r="AD20" i="1"/>
  <c r="AM19"/>
  <c r="F20" i="75" s="1"/>
  <c r="G20" s="1"/>
  <c r="AG19" i="1"/>
  <c r="R20"/>
  <c r="S21"/>
  <c r="T21" s="1"/>
  <c r="I22"/>
  <c r="AL19"/>
  <c r="D20" i="75" s="1"/>
  <c r="E20" s="1"/>
  <c r="J19" i="1"/>
  <c r="U19"/>
  <c r="G20"/>
  <c r="AC19" i="7"/>
  <c r="AD19"/>
  <c r="AE18"/>
  <c r="AF18"/>
  <c r="AK15"/>
  <c r="AL15"/>
  <c r="AM15" s="1"/>
  <c r="Z21"/>
  <c r="AG17"/>
  <c r="AH17"/>
  <c r="AA20"/>
  <c r="AB20"/>
  <c r="AI16"/>
  <c r="AJ16"/>
  <c r="C20"/>
  <c r="D20"/>
  <c r="F19"/>
  <c r="E19"/>
  <c r="B21"/>
  <c r="I17"/>
  <c r="J17"/>
  <c r="P13"/>
  <c r="O13"/>
  <c r="L16"/>
  <c r="K16"/>
  <c r="G18"/>
  <c r="H18"/>
  <c r="AD18" i="2"/>
  <c r="AB19"/>
  <c r="Z17"/>
  <c r="AF17" s="1"/>
  <c r="AG17" s="1"/>
  <c r="H18" i="65"/>
  <c r="B15" i="63"/>
  <c r="A17"/>
  <c r="AE18" i="2"/>
  <c r="X19"/>
  <c r="BE19" i="7"/>
  <c r="BG19" s="1"/>
  <c r="I19" i="65"/>
  <c r="E16" i="63"/>
  <c r="AD17" i="3"/>
  <c r="Q18" i="2"/>
  <c r="AI16" i="3"/>
  <c r="D18" i="65" s="1"/>
  <c r="M18" i="2"/>
  <c r="E17" i="82" s="1"/>
  <c r="K19" i="2"/>
  <c r="F18" i="82" s="1"/>
  <c r="I19" i="2"/>
  <c r="G18" i="82" s="1"/>
  <c r="G20" i="2"/>
  <c r="I19" i="82" s="1"/>
  <c r="R15" i="2"/>
  <c r="C14" i="63"/>
  <c r="D14" s="1"/>
  <c r="E14" i="81"/>
  <c r="E17" i="2"/>
  <c r="J16" i="65"/>
  <c r="AI14" i="2"/>
  <c r="N16"/>
  <c r="S17" i="76" s="1"/>
  <c r="T17" s="1"/>
  <c r="H15" i="82"/>
  <c r="P10" i="7"/>
  <c r="O10"/>
  <c r="O11"/>
  <c r="P11"/>
  <c r="R7"/>
  <c r="Q7"/>
  <c r="P8"/>
  <c r="O8"/>
  <c r="T14"/>
  <c r="S14"/>
  <c r="P6"/>
  <c r="O6"/>
  <c r="O9"/>
  <c r="P9"/>
  <c r="Q12"/>
  <c r="R12"/>
  <c r="P15"/>
  <c r="O15"/>
  <c r="C12" i="65" l="1"/>
  <c r="O16" i="2"/>
  <c r="F10" i="3"/>
  <c r="AB10" s="1"/>
  <c r="H11"/>
  <c r="I10"/>
  <c r="M34" i="79"/>
  <c r="O33"/>
  <c r="K32" i="5"/>
  <c r="I32" i="79"/>
  <c r="AN11" i="7"/>
  <c r="AN8"/>
  <c r="F11" i="3"/>
  <c r="AB11" s="1"/>
  <c r="P11"/>
  <c r="Q11" s="1"/>
  <c r="J9" i="81"/>
  <c r="AX13" i="1"/>
  <c r="AC10" i="3"/>
  <c r="F10" i="63"/>
  <c r="AE10" i="3"/>
  <c r="AF10" s="1"/>
  <c r="AG10" s="1"/>
  <c r="AK10"/>
  <c r="AH9"/>
  <c r="F11" i="63"/>
  <c r="AC11" i="3"/>
  <c r="AE11"/>
  <c r="AF11" s="1"/>
  <c r="AG11" s="1"/>
  <c r="AK11"/>
  <c r="AU18" i="5"/>
  <c r="AZ17"/>
  <c r="BC17" s="1"/>
  <c r="AB13" i="1"/>
  <c r="AM13"/>
  <c r="F14" i="75" s="1"/>
  <c r="G14" s="1"/>
  <c r="AB12" i="1"/>
  <c r="AM12"/>
  <c r="AO15" i="7"/>
  <c r="AA17" i="3"/>
  <c r="V17"/>
  <c r="AB16"/>
  <c r="AJ10" i="1"/>
  <c r="AK10" s="1"/>
  <c r="G7" i="81"/>
  <c r="B11" i="65"/>
  <c r="E11" s="1"/>
  <c r="W11" i="1"/>
  <c r="AI11"/>
  <c r="AW12" i="7" s="1"/>
  <c r="AL12" i="1"/>
  <c r="U12"/>
  <c r="N12"/>
  <c r="V12" s="1"/>
  <c r="AL13"/>
  <c r="D14" i="75" s="1"/>
  <c r="E14" s="1"/>
  <c r="U13" i="1"/>
  <c r="AL20" i="5"/>
  <c r="H23"/>
  <c r="E21" i="3"/>
  <c r="F19"/>
  <c r="C20"/>
  <c r="F20" s="1"/>
  <c r="Y22" i="5"/>
  <c r="J18" i="82" s="1"/>
  <c r="AO22" i="1"/>
  <c r="AT21"/>
  <c r="AU21" s="1"/>
  <c r="I18" i="81" s="1"/>
  <c r="AA22" i="1"/>
  <c r="Y22"/>
  <c r="AB22" s="1"/>
  <c r="L23"/>
  <c r="V20" i="2"/>
  <c r="T21"/>
  <c r="S21" i="3"/>
  <c r="M20"/>
  <c r="AH15"/>
  <c r="K18"/>
  <c r="Z17"/>
  <c r="N17"/>
  <c r="AC16"/>
  <c r="AH16" s="1"/>
  <c r="F16" i="63"/>
  <c r="AK16" i="3"/>
  <c r="BA22" i="5"/>
  <c r="BD22" s="1"/>
  <c r="AA21"/>
  <c r="AJ21"/>
  <c r="W21"/>
  <c r="U22"/>
  <c r="D21"/>
  <c r="G18" i="63"/>
  <c r="I21" i="5"/>
  <c r="J20"/>
  <c r="L16" i="81" s="1"/>
  <c r="K16"/>
  <c r="C22" i="5"/>
  <c r="E22" s="1"/>
  <c r="AS23" i="1"/>
  <c r="AQ22"/>
  <c r="AF21"/>
  <c r="AH21" s="1"/>
  <c r="C21" i="65" s="1"/>
  <c r="AM20" i="1"/>
  <c r="F21" i="75" s="1"/>
  <c r="G21" s="1"/>
  <c r="AG20" i="1"/>
  <c r="AD21"/>
  <c r="R21"/>
  <c r="S22"/>
  <c r="T22" s="1"/>
  <c r="I23"/>
  <c r="G21"/>
  <c r="U20"/>
  <c r="J20"/>
  <c r="AL20"/>
  <c r="D21" i="75" s="1"/>
  <c r="E21" s="1"/>
  <c r="AJ17" i="7"/>
  <c r="AI17"/>
  <c r="AC20"/>
  <c r="AD20"/>
  <c r="AK16"/>
  <c r="AL16"/>
  <c r="AM16" s="1"/>
  <c r="Z22"/>
  <c r="AA21"/>
  <c r="AB21"/>
  <c r="AF19"/>
  <c r="AE19"/>
  <c r="AH18"/>
  <c r="AG18"/>
  <c r="N16"/>
  <c r="M16"/>
  <c r="Q13"/>
  <c r="R13"/>
  <c r="J18"/>
  <c r="I18"/>
  <c r="B22"/>
  <c r="F20"/>
  <c r="E20"/>
  <c r="G19"/>
  <c r="H19"/>
  <c r="D21"/>
  <c r="C21"/>
  <c r="L17"/>
  <c r="K17"/>
  <c r="AD19" i="2"/>
  <c r="AB20"/>
  <c r="H19" i="65"/>
  <c r="B16" i="63"/>
  <c r="Z18" i="2"/>
  <c r="AF18" s="1"/>
  <c r="AG18" s="1"/>
  <c r="X20"/>
  <c r="A18" i="63"/>
  <c r="AE19" i="2"/>
  <c r="I20" i="65"/>
  <c r="E17" i="63"/>
  <c r="BE20" i="7"/>
  <c r="BG20" s="1"/>
  <c r="AD18" i="3"/>
  <c r="AI17"/>
  <c r="D19" i="65" s="1"/>
  <c r="M19" i="2"/>
  <c r="E18" i="82" s="1"/>
  <c r="K20" i="2"/>
  <c r="F19" i="82" s="1"/>
  <c r="I20" i="2"/>
  <c r="G19" i="82" s="1"/>
  <c r="G21" i="2"/>
  <c r="I20" i="82" s="1"/>
  <c r="AI15" i="2"/>
  <c r="J17" i="65"/>
  <c r="C15" i="63"/>
  <c r="D15" s="1"/>
  <c r="E15" i="81"/>
  <c r="R16" i="2"/>
  <c r="N17"/>
  <c r="H16" i="82"/>
  <c r="E18" i="2"/>
  <c r="Q6" i="7"/>
  <c r="R6"/>
  <c r="U14"/>
  <c r="V14"/>
  <c r="W14" s="1"/>
  <c r="R9"/>
  <c r="Q9"/>
  <c r="T7"/>
  <c r="S7"/>
  <c r="T12"/>
  <c r="S12"/>
  <c r="R8"/>
  <c r="Q8"/>
  <c r="R11"/>
  <c r="Q11"/>
  <c r="Q15"/>
  <c r="R15"/>
  <c r="Q10"/>
  <c r="R10"/>
  <c r="F13" i="75" l="1"/>
  <c r="G13" s="1"/>
  <c r="D13"/>
  <c r="E13" s="1"/>
  <c r="O17" i="2"/>
  <c r="S18" i="76"/>
  <c r="H12" i="3"/>
  <c r="I11"/>
  <c r="M35" i="79"/>
  <c r="M36" s="1"/>
  <c r="O36" s="1"/>
  <c r="O34"/>
  <c r="K33" i="5"/>
  <c r="I33" i="79"/>
  <c r="AN15" i="7"/>
  <c r="P12" i="3"/>
  <c r="Q12" s="1"/>
  <c r="J10" i="81"/>
  <c r="AX14" i="1"/>
  <c r="AH10" i="3"/>
  <c r="AH11"/>
  <c r="AU19" i="5"/>
  <c r="AZ18"/>
  <c r="BC18" s="1"/>
  <c r="AA18" i="3"/>
  <c r="V18"/>
  <c r="AB17"/>
  <c r="AJ11" i="1"/>
  <c r="AK11" s="1"/>
  <c r="G8" i="81"/>
  <c r="W12" i="1"/>
  <c r="AI12"/>
  <c r="AW13" i="7" s="1"/>
  <c r="B12" i="65"/>
  <c r="E12" s="1"/>
  <c r="N13" i="1"/>
  <c r="V13" s="1"/>
  <c r="AL21" i="5"/>
  <c r="H24"/>
  <c r="E22" i="3"/>
  <c r="C21"/>
  <c r="Y23" i="5"/>
  <c r="J19" i="82" s="1"/>
  <c r="AT22" i="1"/>
  <c r="AO23"/>
  <c r="AA23"/>
  <c r="Y23"/>
  <c r="AB23" s="1"/>
  <c r="L24"/>
  <c r="Y14" i="7"/>
  <c r="AR14" s="1"/>
  <c r="V21" i="2"/>
  <c r="T22"/>
  <c r="S22" i="3"/>
  <c r="M21"/>
  <c r="N18"/>
  <c r="Z18"/>
  <c r="AE18" s="1"/>
  <c r="AF18" s="1"/>
  <c r="AG18" s="1"/>
  <c r="F17" i="63"/>
  <c r="AK17" i="3"/>
  <c r="AC17"/>
  <c r="K19"/>
  <c r="AE17"/>
  <c r="AF17" s="1"/>
  <c r="AG17" s="1"/>
  <c r="BA23" i="5"/>
  <c r="BD23" s="1"/>
  <c r="AA22"/>
  <c r="AJ22"/>
  <c r="K18" i="82" s="1"/>
  <c r="K17"/>
  <c r="W22" i="5"/>
  <c r="U23"/>
  <c r="I22"/>
  <c r="G19" i="63"/>
  <c r="D22" i="5"/>
  <c r="J21"/>
  <c r="L17" i="81" s="1"/>
  <c r="K17"/>
  <c r="C23" i="5"/>
  <c r="E23" s="1"/>
  <c r="AS24" i="1"/>
  <c r="AQ23"/>
  <c r="AF22"/>
  <c r="AH22" s="1"/>
  <c r="C22" i="65" s="1"/>
  <c r="AM21" i="1"/>
  <c r="F22" i="75" s="1"/>
  <c r="G22" s="1"/>
  <c r="AG21" i="1"/>
  <c r="AD22"/>
  <c r="R22"/>
  <c r="S23"/>
  <c r="T23" s="1"/>
  <c r="I24"/>
  <c r="G22"/>
  <c r="J21"/>
  <c r="U21"/>
  <c r="AL21"/>
  <c r="D22" i="75" s="1"/>
  <c r="E22" s="1"/>
  <c r="Z23" i="7"/>
  <c r="AD21"/>
  <c r="AC21"/>
  <c r="AG19"/>
  <c r="AH19"/>
  <c r="AF20"/>
  <c r="AE20"/>
  <c r="AL17"/>
  <c r="AM17" s="1"/>
  <c r="AK17"/>
  <c r="AJ18"/>
  <c r="AI18"/>
  <c r="AO16"/>
  <c r="AB22"/>
  <c r="AA22"/>
  <c r="P16"/>
  <c r="O16"/>
  <c r="B23"/>
  <c r="I19"/>
  <c r="J19"/>
  <c r="E21"/>
  <c r="F21"/>
  <c r="G20"/>
  <c r="H20"/>
  <c r="S13"/>
  <c r="T13"/>
  <c r="K18"/>
  <c r="L18"/>
  <c r="N17"/>
  <c r="M17"/>
  <c r="C22"/>
  <c r="D22"/>
  <c r="AD20" i="2"/>
  <c r="AB21"/>
  <c r="Z19"/>
  <c r="AF19" s="1"/>
  <c r="AG19" s="1"/>
  <c r="H20" i="65"/>
  <c r="B17" i="63"/>
  <c r="AE20" i="2"/>
  <c r="A19" i="63"/>
  <c r="X21" i="2"/>
  <c r="AI18" i="3"/>
  <c r="D20" i="65" s="1"/>
  <c r="BE21" i="7"/>
  <c r="BG21" s="1"/>
  <c r="AD19" i="3"/>
  <c r="I21" i="65"/>
  <c r="E18" i="63"/>
  <c r="Q20" i="2"/>
  <c r="M20"/>
  <c r="E19" i="82" s="1"/>
  <c r="K21" i="2"/>
  <c r="F20" i="82" s="1"/>
  <c r="I21" i="2"/>
  <c r="G20" i="82" s="1"/>
  <c r="G22" i="2"/>
  <c r="I21" i="82" s="1"/>
  <c r="N18" i="2"/>
  <c r="H17" i="82"/>
  <c r="E19" i="2"/>
  <c r="J18" i="65"/>
  <c r="AI16" i="2"/>
  <c r="R17"/>
  <c r="E16" i="81"/>
  <c r="C16" i="63"/>
  <c r="D16" s="1"/>
  <c r="S6" i="7"/>
  <c r="T6"/>
  <c r="T11"/>
  <c r="S11"/>
  <c r="S10"/>
  <c r="T10"/>
  <c r="T8"/>
  <c r="S8"/>
  <c r="U7"/>
  <c r="V7"/>
  <c r="W7" s="1"/>
  <c r="V12"/>
  <c r="W12" s="1"/>
  <c r="U12"/>
  <c r="S15"/>
  <c r="T15"/>
  <c r="S9"/>
  <c r="T9"/>
  <c r="O18" i="2" l="1"/>
  <c r="S19" i="76"/>
  <c r="I12" i="3"/>
  <c r="H13"/>
  <c r="O35" i="79"/>
  <c r="K34" i="5"/>
  <c r="I34" i="79"/>
  <c r="AN16" i="7"/>
  <c r="P13" i="3"/>
  <c r="Q13" s="1"/>
  <c r="J11" i="81"/>
  <c r="AX15" i="1"/>
  <c r="AU20" i="5"/>
  <c r="AZ19"/>
  <c r="BC19" s="1"/>
  <c r="X14" i="7"/>
  <c r="AA19" i="3"/>
  <c r="V19"/>
  <c r="AB18"/>
  <c r="G9" i="81"/>
  <c r="AJ12" i="1"/>
  <c r="AK12" s="1"/>
  <c r="N14"/>
  <c r="V14" s="1"/>
  <c r="B13" i="65"/>
  <c r="E13" s="1"/>
  <c r="W13" i="1"/>
  <c r="AI13"/>
  <c r="AW14" i="7" s="1"/>
  <c r="Y7"/>
  <c r="AR7" s="1"/>
  <c r="H25" i="5"/>
  <c r="C22" i="3"/>
  <c r="F22" s="1"/>
  <c r="F21"/>
  <c r="AL22" i="5"/>
  <c r="Y24"/>
  <c r="J20" i="82" s="1"/>
  <c r="AO24" i="1"/>
  <c r="AU22"/>
  <c r="I19" i="81" s="1"/>
  <c r="AT23" i="1"/>
  <c r="AU23" s="1"/>
  <c r="I20" i="81" s="1"/>
  <c r="AA24" i="1"/>
  <c r="Y24"/>
  <c r="AB24" s="1"/>
  <c r="L25"/>
  <c r="V22" i="2"/>
  <c r="T23"/>
  <c r="U20" i="3"/>
  <c r="S23"/>
  <c r="M22"/>
  <c r="K20"/>
  <c r="F18" i="63"/>
  <c r="AC18" i="3"/>
  <c r="AH18" s="1"/>
  <c r="AK18"/>
  <c r="AH17"/>
  <c r="N19"/>
  <c r="Z19"/>
  <c r="AE19" s="1"/>
  <c r="AF19" s="1"/>
  <c r="AG19" s="1"/>
  <c r="BA24" i="5"/>
  <c r="BD24" s="1"/>
  <c r="AA23"/>
  <c r="AJ23"/>
  <c r="K19" i="82" s="1"/>
  <c r="W23" i="5"/>
  <c r="U24"/>
  <c r="G20" i="63"/>
  <c r="D23" i="5"/>
  <c r="I23"/>
  <c r="C24"/>
  <c r="E24" s="1"/>
  <c r="J22"/>
  <c r="L18" i="81" s="1"/>
  <c r="K18"/>
  <c r="AS25" i="1"/>
  <c r="AQ24"/>
  <c r="AF23"/>
  <c r="AH23" s="1"/>
  <c r="C23" i="65" s="1"/>
  <c r="AM22" i="1"/>
  <c r="F23" i="75" s="1"/>
  <c r="G23" s="1"/>
  <c r="AG22" i="1"/>
  <c r="AD23"/>
  <c r="R23"/>
  <c r="S24"/>
  <c r="T24" s="1"/>
  <c r="I25"/>
  <c r="G23"/>
  <c r="AL22"/>
  <c r="D23" i="75" s="1"/>
  <c r="E23" s="1"/>
  <c r="J22" i="1"/>
  <c r="U22"/>
  <c r="AI19" i="7"/>
  <c r="AJ19"/>
  <c r="AC22"/>
  <c r="AD22"/>
  <c r="AH20"/>
  <c r="AG20"/>
  <c r="Z24"/>
  <c r="AA23"/>
  <c r="AB23"/>
  <c r="AE21"/>
  <c r="AF21"/>
  <c r="AL18"/>
  <c r="AM18" s="1"/>
  <c r="AK18"/>
  <c r="AO17"/>
  <c r="P17"/>
  <c r="O17"/>
  <c r="H21"/>
  <c r="G21"/>
  <c r="R16"/>
  <c r="Q16"/>
  <c r="J20"/>
  <c r="I20"/>
  <c r="B24"/>
  <c r="E22"/>
  <c r="F22"/>
  <c r="D23"/>
  <c r="C23"/>
  <c r="U13"/>
  <c r="V13"/>
  <c r="W13" s="1"/>
  <c r="M18"/>
  <c r="N18"/>
  <c r="L19"/>
  <c r="K19"/>
  <c r="AD21" i="2"/>
  <c r="AB22"/>
  <c r="B18" i="63"/>
  <c r="H21" i="65"/>
  <c r="Z20" i="2"/>
  <c r="AF20" s="1"/>
  <c r="AG20" s="1"/>
  <c r="X22"/>
  <c r="A20" i="63"/>
  <c r="AE21" i="2"/>
  <c r="Q21"/>
  <c r="AD20" i="3"/>
  <c r="E19" i="63"/>
  <c r="I22" i="65"/>
  <c r="BE22" i="7"/>
  <c r="BG22" s="1"/>
  <c r="AI19" i="3"/>
  <c r="D21" i="65" s="1"/>
  <c r="M21" i="2"/>
  <c r="E20" i="82" s="1"/>
  <c r="K22" i="2"/>
  <c r="F21" i="82" s="1"/>
  <c r="I22" i="2"/>
  <c r="G21" i="82" s="1"/>
  <c r="G23" i="2"/>
  <c r="I22" i="82" s="1"/>
  <c r="J19" i="65"/>
  <c r="AI17" i="2"/>
  <c r="R18"/>
  <c r="E17" i="81"/>
  <c r="C17" i="63"/>
  <c r="D17" s="1"/>
  <c r="N19" i="2"/>
  <c r="H18" i="82"/>
  <c r="E20" i="2"/>
  <c r="V15" i="7"/>
  <c r="W15" s="1"/>
  <c r="U15"/>
  <c r="V10"/>
  <c r="W10" s="1"/>
  <c r="U10"/>
  <c r="U11"/>
  <c r="V11"/>
  <c r="W11" s="1"/>
  <c r="AQ14"/>
  <c r="U9"/>
  <c r="V9"/>
  <c r="W9" s="1"/>
  <c r="U8"/>
  <c r="V8"/>
  <c r="W8" s="1"/>
  <c r="V6"/>
  <c r="W6" s="1"/>
  <c r="U6"/>
  <c r="Y12"/>
  <c r="AR12" s="1"/>
  <c r="AI14" i="1" l="1"/>
  <c r="AW15" i="7" s="1"/>
  <c r="O19" i="2"/>
  <c r="S20" i="76"/>
  <c r="I13" i="3"/>
  <c r="H14"/>
  <c r="K35" i="5"/>
  <c r="L36" s="1"/>
  <c r="AK36" s="1"/>
  <c r="I35" i="79"/>
  <c r="AN17" i="7"/>
  <c r="P14" i="3"/>
  <c r="J12" i="81"/>
  <c r="AX16" i="1"/>
  <c r="Y9" i="7"/>
  <c r="AR9" s="1"/>
  <c r="AU21" i="5"/>
  <c r="AZ20"/>
  <c r="BC20" s="1"/>
  <c r="Y11" i="7"/>
  <c r="AR11" s="1"/>
  <c r="AA20" i="3"/>
  <c r="V20"/>
  <c r="AB19"/>
  <c r="N15" i="1"/>
  <c r="V15" s="1"/>
  <c r="B14" i="65"/>
  <c r="E14" s="1"/>
  <c r="W14" i="1"/>
  <c r="G10" i="81"/>
  <c r="AJ13" i="1"/>
  <c r="AK13" s="1"/>
  <c r="AT24"/>
  <c r="AU24" s="1"/>
  <c r="I21" i="81" s="1"/>
  <c r="Y8" i="7"/>
  <c r="AR8" s="1"/>
  <c r="AS8" s="1"/>
  <c r="X7"/>
  <c r="Y13"/>
  <c r="AR13" s="1"/>
  <c r="Y10"/>
  <c r="AR10" s="1"/>
  <c r="H26" i="5"/>
  <c r="C23" i="3"/>
  <c r="F23" s="1"/>
  <c r="Y25" i="5"/>
  <c r="J21" i="82" s="1"/>
  <c r="AO25" i="1"/>
  <c r="AA25"/>
  <c r="Y25"/>
  <c r="AB25" s="1"/>
  <c r="L26"/>
  <c r="AO18" i="7"/>
  <c r="Y15"/>
  <c r="AR15" s="1"/>
  <c r="AS15" s="1"/>
  <c r="V23" i="2"/>
  <c r="T24"/>
  <c r="U21" i="3"/>
  <c r="S24"/>
  <c r="M23"/>
  <c r="Z20"/>
  <c r="N20"/>
  <c r="AK19"/>
  <c r="AC19"/>
  <c r="AH19" s="1"/>
  <c r="F19" i="63"/>
  <c r="K21" i="3"/>
  <c r="BA25" i="5"/>
  <c r="BD25" s="1"/>
  <c r="AA24"/>
  <c r="AJ24"/>
  <c r="K20" i="82" s="1"/>
  <c r="AL23" i="5"/>
  <c r="W24"/>
  <c r="U25"/>
  <c r="K19" i="81"/>
  <c r="J23" i="5"/>
  <c r="L19" i="81" s="1"/>
  <c r="C25" i="5"/>
  <c r="E25" s="1"/>
  <c r="I24"/>
  <c r="D24"/>
  <c r="G21" i="63"/>
  <c r="AS26" i="1"/>
  <c r="AQ25"/>
  <c r="AF24"/>
  <c r="AH24" s="1"/>
  <c r="AM23"/>
  <c r="F24" i="75" s="1"/>
  <c r="G24" s="1"/>
  <c r="AG23" i="1"/>
  <c r="AD24"/>
  <c r="R24"/>
  <c r="S25"/>
  <c r="T25" s="1"/>
  <c r="I26"/>
  <c r="AL23"/>
  <c r="U23"/>
  <c r="J23"/>
  <c r="G24"/>
  <c r="AD23" i="7"/>
  <c r="AC23"/>
  <c r="AE22"/>
  <c r="AF22"/>
  <c r="Z25"/>
  <c r="AA24"/>
  <c r="AB24"/>
  <c r="AK19"/>
  <c r="AL19"/>
  <c r="AM19" s="1"/>
  <c r="AG21"/>
  <c r="AH21"/>
  <c r="AI20"/>
  <c r="AJ20"/>
  <c r="Q17"/>
  <c r="R17"/>
  <c r="O18"/>
  <c r="P18"/>
  <c r="G22"/>
  <c r="H22"/>
  <c r="E23"/>
  <c r="F23"/>
  <c r="C24"/>
  <c r="D24"/>
  <c r="B25"/>
  <c r="J21"/>
  <c r="I21"/>
  <c r="M19"/>
  <c r="N19"/>
  <c r="T16"/>
  <c r="S16"/>
  <c r="K20"/>
  <c r="L20"/>
  <c r="AD22" i="2"/>
  <c r="AB23"/>
  <c r="Z21"/>
  <c r="AF21" s="1"/>
  <c r="AG21" s="1"/>
  <c r="H22" i="65"/>
  <c r="B19" i="63"/>
  <c r="X23" i="2"/>
  <c r="A21" i="63"/>
  <c r="AE22" i="2"/>
  <c r="AD21" i="3"/>
  <c r="I23" i="65"/>
  <c r="BE23" i="7"/>
  <c r="BG23" s="1"/>
  <c r="E20" i="63"/>
  <c r="Q22" i="2"/>
  <c r="AI20" i="3"/>
  <c r="D22" i="65" s="1"/>
  <c r="M22" i="2"/>
  <c r="E21" i="82" s="1"/>
  <c r="K23" i="2"/>
  <c r="F22" i="82" s="1"/>
  <c r="I23" i="2"/>
  <c r="G22" i="82" s="1"/>
  <c r="G24" i="2"/>
  <c r="I23" i="82" s="1"/>
  <c r="E21" i="2"/>
  <c r="H19" i="82"/>
  <c r="N20" i="2"/>
  <c r="AI18"/>
  <c r="J20" i="65"/>
  <c r="C18" i="63"/>
  <c r="D18" s="1"/>
  <c r="E18" i="81"/>
  <c r="R19" i="2"/>
  <c r="AQ7" i="7"/>
  <c r="X12"/>
  <c r="Y6"/>
  <c r="AR6" s="1"/>
  <c r="AS6" s="1"/>
  <c r="C24" i="65" l="1"/>
  <c r="D24" i="75"/>
  <c r="E24" s="1"/>
  <c r="AS9" i="7"/>
  <c r="AS11"/>
  <c r="AS7"/>
  <c r="AS12"/>
  <c r="AX12" s="1"/>
  <c r="AS13"/>
  <c r="AS14"/>
  <c r="AX14" s="1"/>
  <c r="AS10"/>
  <c r="O20" i="2"/>
  <c r="S21" i="76"/>
  <c r="Q14" i="3"/>
  <c r="Q18"/>
  <c r="I14"/>
  <c r="H15"/>
  <c r="AX15" i="7"/>
  <c r="X13"/>
  <c r="X10"/>
  <c r="BC10"/>
  <c r="AN18"/>
  <c r="BC8"/>
  <c r="P15" i="3"/>
  <c r="Q15" s="1"/>
  <c r="X9" i="7"/>
  <c r="X15"/>
  <c r="J13" i="81"/>
  <c r="AX17" i="1"/>
  <c r="AB20" i="3"/>
  <c r="AU22" i="5"/>
  <c r="AZ21"/>
  <c r="BC21" s="1"/>
  <c r="X11" i="7"/>
  <c r="AA21" i="3"/>
  <c r="V21"/>
  <c r="B15" i="65"/>
  <c r="E15" s="1"/>
  <c r="AI15" i="1"/>
  <c r="AW16" i="7" s="1"/>
  <c r="W15" i="1"/>
  <c r="N16"/>
  <c r="V16" s="1"/>
  <c r="AJ14"/>
  <c r="AK14" s="1"/>
  <c r="G11" i="81"/>
  <c r="X8" i="7"/>
  <c r="AO19"/>
  <c r="H27" i="5"/>
  <c r="C24" i="3"/>
  <c r="F24" s="1"/>
  <c r="Y26" i="5"/>
  <c r="J22" i="82" s="1"/>
  <c r="AT25" i="1"/>
  <c r="AU25" s="1"/>
  <c r="I22" i="81" s="1"/>
  <c r="AO26" i="1"/>
  <c r="AA26"/>
  <c r="Y26"/>
  <c r="AB26" s="1"/>
  <c r="L27"/>
  <c r="V24" i="2"/>
  <c r="T25"/>
  <c r="U22" i="3"/>
  <c r="S25"/>
  <c r="M24"/>
  <c r="K22"/>
  <c r="AC20"/>
  <c r="AK20"/>
  <c r="F20" i="63"/>
  <c r="AE20" i="3"/>
  <c r="AF20" s="1"/>
  <c r="AG20" s="1"/>
  <c r="N21"/>
  <c r="Z21"/>
  <c r="BA26" i="5"/>
  <c r="BD26" s="1"/>
  <c r="AA25"/>
  <c r="AJ25"/>
  <c r="K21" i="82" s="1"/>
  <c r="AL24" i="5"/>
  <c r="W25"/>
  <c r="U26"/>
  <c r="C26"/>
  <c r="E26" s="1"/>
  <c r="D25"/>
  <c r="G22" i="63"/>
  <c r="I25" i="5"/>
  <c r="K20" i="81"/>
  <c r="J24" i="5"/>
  <c r="L20" i="81" s="1"/>
  <c r="AS27" i="1"/>
  <c r="AQ26"/>
  <c r="AF25"/>
  <c r="AH25" s="1"/>
  <c r="C25" i="65" s="1"/>
  <c r="AM24" i="1"/>
  <c r="F25" i="75" s="1"/>
  <c r="G25" s="1"/>
  <c r="AG24" i="1"/>
  <c r="AD25"/>
  <c r="R25"/>
  <c r="S26"/>
  <c r="T26" s="1"/>
  <c r="I27"/>
  <c r="J24"/>
  <c r="AL24"/>
  <c r="D25" i="75" s="1"/>
  <c r="E25" s="1"/>
  <c r="U24" i="1"/>
  <c r="G25"/>
  <c r="AC24" i="7"/>
  <c r="AD24"/>
  <c r="AK20"/>
  <c r="AL20"/>
  <c r="AM20" s="1"/>
  <c r="AE23"/>
  <c r="AF23"/>
  <c r="AH22"/>
  <c r="AG22"/>
  <c r="AJ21"/>
  <c r="AI21"/>
  <c r="Z26"/>
  <c r="AA25"/>
  <c r="AB25"/>
  <c r="P19"/>
  <c r="O19"/>
  <c r="H23"/>
  <c r="G23"/>
  <c r="I22"/>
  <c r="J22"/>
  <c r="F24"/>
  <c r="E24"/>
  <c r="C25"/>
  <c r="D25"/>
  <c r="V16"/>
  <c r="W16" s="1"/>
  <c r="U16"/>
  <c r="T17"/>
  <c r="S17"/>
  <c r="M20"/>
  <c r="N20"/>
  <c r="B26"/>
  <c r="R18"/>
  <c r="Q18"/>
  <c r="L21"/>
  <c r="K21"/>
  <c r="AD23" i="2"/>
  <c r="AB24"/>
  <c r="H23" i="65"/>
  <c r="B20" i="63"/>
  <c r="Z22" i="2"/>
  <c r="AF22" s="1"/>
  <c r="AG22" s="1"/>
  <c r="X24"/>
  <c r="AE23"/>
  <c r="A22" i="63"/>
  <c r="Q23" i="2"/>
  <c r="AI21" i="3"/>
  <c r="D23" i="65" s="1"/>
  <c r="BE24" i="7"/>
  <c r="BG24" s="1"/>
  <c r="E21" i="63"/>
  <c r="I24" i="65"/>
  <c r="AD22" i="3"/>
  <c r="M23" i="2"/>
  <c r="E22" i="82" s="1"/>
  <c r="K24" i="2"/>
  <c r="F23" i="82" s="1"/>
  <c r="I24" i="2"/>
  <c r="G23" i="82" s="1"/>
  <c r="G25" i="2"/>
  <c r="I24" i="82" s="1"/>
  <c r="N21" i="2"/>
  <c r="H20" i="82"/>
  <c r="J21" i="65"/>
  <c r="AI19" i="2"/>
  <c r="E22"/>
  <c r="C19" i="63"/>
  <c r="D19" s="1"/>
  <c r="R20" i="2"/>
  <c r="E19" i="81"/>
  <c r="AQ15" i="7"/>
  <c r="BC15"/>
  <c r="X6"/>
  <c r="AQ6"/>
  <c r="AQ9"/>
  <c r="AQ12"/>
  <c r="AQ11"/>
  <c r="BC12"/>
  <c r="O21" i="2" l="1"/>
  <c r="S22" i="76"/>
  <c r="I15" i="3"/>
  <c r="H16"/>
  <c r="AQ8" i="7"/>
  <c r="BC9"/>
  <c r="AX8"/>
  <c r="AY8" s="1"/>
  <c r="AX9"/>
  <c r="Q7" i="76" s="1"/>
  <c r="AN19" i="7"/>
  <c r="P16" i="3"/>
  <c r="Q16" s="1"/>
  <c r="AA22"/>
  <c r="V22"/>
  <c r="J14" i="81"/>
  <c r="AX18" i="1"/>
  <c r="AU23" i="5"/>
  <c r="AZ22"/>
  <c r="BC22" s="1"/>
  <c r="AX10" i="7"/>
  <c r="Q8" i="76" s="1"/>
  <c r="AX13" i="7"/>
  <c r="Q11" i="76" s="1"/>
  <c r="AQ10" i="7"/>
  <c r="BC11"/>
  <c r="AX11"/>
  <c r="AY11" s="1"/>
  <c r="AQ13"/>
  <c r="BC14"/>
  <c r="BC13"/>
  <c r="AB21" i="3"/>
  <c r="G12" i="81"/>
  <c r="AJ15" i="1"/>
  <c r="AK15" s="1"/>
  <c r="B16" i="65"/>
  <c r="E16" s="1"/>
  <c r="AI16" i="1"/>
  <c r="AW17" i="7" s="1"/>
  <c r="W16" i="1"/>
  <c r="N17"/>
  <c r="V17" s="1"/>
  <c r="H28" i="5"/>
  <c r="AT26" i="1"/>
  <c r="AU26" s="1"/>
  <c r="I23" i="81" s="1"/>
  <c r="AO20" i="7"/>
  <c r="Y16"/>
  <c r="AR16" s="1"/>
  <c r="AS16" s="1"/>
  <c r="C25" i="3"/>
  <c r="F25" s="1"/>
  <c r="Y27" i="5"/>
  <c r="J23" i="82" s="1"/>
  <c r="AO27" i="1"/>
  <c r="AA27"/>
  <c r="Y27"/>
  <c r="AB27" s="1"/>
  <c r="L28"/>
  <c r="V25" i="2"/>
  <c r="T26"/>
  <c r="U23" i="3"/>
  <c r="S26"/>
  <c r="M25"/>
  <c r="AC21"/>
  <c r="AK21"/>
  <c r="F21" i="63"/>
  <c r="K23" i="3"/>
  <c r="N22"/>
  <c r="Z22"/>
  <c r="AE22" s="1"/>
  <c r="AF22" s="1"/>
  <c r="AG22" s="1"/>
  <c r="AE21"/>
  <c r="AF21" s="1"/>
  <c r="AG21" s="1"/>
  <c r="AH20"/>
  <c r="BA27" i="5"/>
  <c r="BD27" s="1"/>
  <c r="AJ26"/>
  <c r="K22" i="82" s="1"/>
  <c r="AA26" i="5"/>
  <c r="AL25"/>
  <c r="W26"/>
  <c r="U27"/>
  <c r="G23" i="63"/>
  <c r="I26" i="5"/>
  <c r="D26"/>
  <c r="C27"/>
  <c r="E27" s="1"/>
  <c r="J25"/>
  <c r="L21" i="81" s="1"/>
  <c r="K21"/>
  <c r="AS28" i="1"/>
  <c r="AQ27"/>
  <c r="AF26"/>
  <c r="AH26" s="1"/>
  <c r="AD26"/>
  <c r="AG25"/>
  <c r="AM25"/>
  <c r="F26" i="75" s="1"/>
  <c r="G26" s="1"/>
  <c r="R26" i="1"/>
  <c r="S27"/>
  <c r="T27" s="1"/>
  <c r="I28"/>
  <c r="G26"/>
  <c r="J25"/>
  <c r="AL25"/>
  <c r="D26" i="75" s="1"/>
  <c r="E26" s="1"/>
  <c r="U25" i="1"/>
  <c r="AC25" i="7"/>
  <c r="AD25"/>
  <c r="AK21"/>
  <c r="AL21"/>
  <c r="AM21" s="1"/>
  <c r="AJ22"/>
  <c r="AI22"/>
  <c r="AA26"/>
  <c r="AB26"/>
  <c r="AF24"/>
  <c r="AE24"/>
  <c r="Z27"/>
  <c r="AH23"/>
  <c r="AG23"/>
  <c r="K22"/>
  <c r="L22"/>
  <c r="N21"/>
  <c r="M21"/>
  <c r="Q12" i="76"/>
  <c r="AY14" i="7"/>
  <c r="H24"/>
  <c r="G24"/>
  <c r="O20"/>
  <c r="P20"/>
  <c r="R19"/>
  <c r="Q19"/>
  <c r="B27"/>
  <c r="J23"/>
  <c r="I23"/>
  <c r="V17"/>
  <c r="W17" s="1"/>
  <c r="U17"/>
  <c r="D26"/>
  <c r="C26"/>
  <c r="E25"/>
  <c r="F25"/>
  <c r="S18"/>
  <c r="T18"/>
  <c r="AD24" i="2"/>
  <c r="AB25"/>
  <c r="H24" i="65"/>
  <c r="B21" i="63"/>
  <c r="Z23" i="2"/>
  <c r="AF23" s="1"/>
  <c r="AG23" s="1"/>
  <c r="X25"/>
  <c r="A23" i="63"/>
  <c r="AE24" i="2"/>
  <c r="I25" i="65"/>
  <c r="E22" i="63"/>
  <c r="BE25" i="7"/>
  <c r="BG25" s="1"/>
  <c r="AD23" i="3"/>
  <c r="Q24" i="2"/>
  <c r="AI22" i="3"/>
  <c r="D24" i="65" s="1"/>
  <c r="M24" i="2"/>
  <c r="E23" i="82" s="1"/>
  <c r="K25" i="2"/>
  <c r="F24" i="82" s="1"/>
  <c r="I25" i="2"/>
  <c r="G24" i="82" s="1"/>
  <c r="G26" i="2"/>
  <c r="I25" i="82" s="1"/>
  <c r="E20" i="81"/>
  <c r="R21" i="2"/>
  <c r="C20" i="63"/>
  <c r="D20" s="1"/>
  <c r="N22" i="2"/>
  <c r="H21" i="82"/>
  <c r="E23" i="2"/>
  <c r="J22" i="65"/>
  <c r="AI20" i="2"/>
  <c r="AY15" i="7"/>
  <c r="Q13" i="76"/>
  <c r="BC6" i="7"/>
  <c r="AX7"/>
  <c r="AY12"/>
  <c r="Q10" i="76"/>
  <c r="C26" i="65" l="1"/>
  <c r="O22" i="2"/>
  <c r="S23" i="76"/>
  <c r="I16" i="3"/>
  <c r="H17"/>
  <c r="Q6" i="76"/>
  <c r="AY9" i="7"/>
  <c r="AN20"/>
  <c r="X16"/>
  <c r="AX16"/>
  <c r="Q14" i="76" s="1"/>
  <c r="AL26" i="5"/>
  <c r="P17" i="3"/>
  <c r="Q17" s="1"/>
  <c r="Q9" i="76"/>
  <c r="AB22" i="3"/>
  <c r="J15" i="81"/>
  <c r="AX19" i="1"/>
  <c r="AU24" i="5"/>
  <c r="AZ23"/>
  <c r="BC23" s="1"/>
  <c r="AY10" i="7"/>
  <c r="AY13"/>
  <c r="AA23" i="3"/>
  <c r="V23"/>
  <c r="AI17" i="1"/>
  <c r="AW18" i="7" s="1"/>
  <c r="B17" i="65"/>
  <c r="E17" s="1"/>
  <c r="N18" i="1"/>
  <c r="V18" s="1"/>
  <c r="AJ16"/>
  <c r="AK16" s="1"/>
  <c r="G13" i="81"/>
  <c r="AO21" i="7"/>
  <c r="Y17"/>
  <c r="AR17" s="1"/>
  <c r="AS17" s="1"/>
  <c r="H29" i="5"/>
  <c r="E27" i="3"/>
  <c r="C26"/>
  <c r="F26" s="1"/>
  <c r="Y28" i="5"/>
  <c r="J24" i="82" s="1"/>
  <c r="AO28" i="1"/>
  <c r="AT27"/>
  <c r="AU27" s="1"/>
  <c r="I24" i="81" s="1"/>
  <c r="AA28" i="1"/>
  <c r="Y28"/>
  <c r="AB28" s="1"/>
  <c r="L29"/>
  <c r="V26" i="2"/>
  <c r="T27"/>
  <c r="AH21" i="3"/>
  <c r="S27"/>
  <c r="M26"/>
  <c r="K24"/>
  <c r="Z23"/>
  <c r="AE23" s="1"/>
  <c r="AF23" s="1"/>
  <c r="AG23" s="1"/>
  <c r="N23"/>
  <c r="AK22"/>
  <c r="F22" i="63"/>
  <c r="AC22" i="3"/>
  <c r="AH22" s="1"/>
  <c r="BA28" i="5"/>
  <c r="BD28" s="1"/>
  <c r="AA27"/>
  <c r="AJ27"/>
  <c r="K23" i="82" s="1"/>
  <c r="W27" i="5"/>
  <c r="U28"/>
  <c r="I27"/>
  <c r="D27"/>
  <c r="G24" i="63"/>
  <c r="C28" i="5"/>
  <c r="E28" s="1"/>
  <c r="J26"/>
  <c r="L22" i="81" s="1"/>
  <c r="K22"/>
  <c r="AQ28" i="1"/>
  <c r="AF27"/>
  <c r="AH27" s="1"/>
  <c r="C27" i="65" s="1"/>
  <c r="AG26" i="1"/>
  <c r="AM26"/>
  <c r="F27" i="75" s="1"/>
  <c r="G27" s="1"/>
  <c r="AD27" i="1"/>
  <c r="R27"/>
  <c r="S28"/>
  <c r="T28" s="1"/>
  <c r="I29"/>
  <c r="U26"/>
  <c r="J26"/>
  <c r="AL26"/>
  <c r="G27"/>
  <c r="AB27" i="7"/>
  <c r="AA27"/>
  <c r="AK22"/>
  <c r="AL22"/>
  <c r="AM22" s="1"/>
  <c r="AJ23"/>
  <c r="AI23"/>
  <c r="AD26"/>
  <c r="AC26"/>
  <c r="AH24"/>
  <c r="AG24"/>
  <c r="AE25"/>
  <c r="AF25"/>
  <c r="Z28"/>
  <c r="V18"/>
  <c r="W18" s="1"/>
  <c r="U18"/>
  <c r="M22"/>
  <c r="N22"/>
  <c r="I24"/>
  <c r="J24"/>
  <c r="T19"/>
  <c r="S19"/>
  <c r="L23"/>
  <c r="K23"/>
  <c r="Q20"/>
  <c r="R20"/>
  <c r="P21"/>
  <c r="O21"/>
  <c r="F26"/>
  <c r="E26"/>
  <c r="D27"/>
  <c r="C27"/>
  <c r="G25"/>
  <c r="H25"/>
  <c r="B28"/>
  <c r="AD25" i="2"/>
  <c r="AB26"/>
  <c r="H25" i="65"/>
  <c r="B22" i="63"/>
  <c r="Z24" i="2"/>
  <c r="AF24" s="1"/>
  <c r="AG24" s="1"/>
  <c r="A24" i="63"/>
  <c r="AE25" i="2"/>
  <c r="X26"/>
  <c r="AI23" i="3"/>
  <c r="D25" i="65" s="1"/>
  <c r="Q25" i="2"/>
  <c r="BE26" i="7"/>
  <c r="BG26" s="1"/>
  <c r="E6" i="63"/>
  <c r="D6" s="1"/>
  <c r="E23"/>
  <c r="I26" i="65"/>
  <c r="AD24" i="3"/>
  <c r="M25" i="2"/>
  <c r="E24" i="82" s="1"/>
  <c r="K26" i="2"/>
  <c r="F25" i="82" s="1"/>
  <c r="I26" i="2"/>
  <c r="G25" i="82" s="1"/>
  <c r="G27" i="2"/>
  <c r="I26" i="82" s="1"/>
  <c r="AI21" i="2"/>
  <c r="J23" i="65"/>
  <c r="C21" i="63"/>
  <c r="D21" s="1"/>
  <c r="E21" i="81"/>
  <c r="R22" i="2"/>
  <c r="N23"/>
  <c r="H22" i="82"/>
  <c r="E24" i="2"/>
  <c r="AX6" i="7"/>
  <c r="Q4" i="76" s="1"/>
  <c r="AY7" i="7"/>
  <c r="Q5" i="76"/>
  <c r="D27" i="75" l="1"/>
  <c r="E27" s="1"/>
  <c r="O23" i="2"/>
  <c r="S24" i="76"/>
  <c r="I17" i="3"/>
  <c r="H18"/>
  <c r="H26"/>
  <c r="I25"/>
  <c r="AN21" i="7"/>
  <c r="P18" i="3"/>
  <c r="P19" s="1"/>
  <c r="Q19" s="1"/>
  <c r="AX20" i="1"/>
  <c r="J16" i="81"/>
  <c r="AU25" i="5"/>
  <c r="AZ24"/>
  <c r="BC24" s="1"/>
  <c r="X17" i="7"/>
  <c r="AA24" i="3"/>
  <c r="V24"/>
  <c r="AB23"/>
  <c r="G14" i="81"/>
  <c r="AJ17" i="1"/>
  <c r="AK17" s="1"/>
  <c r="B18" i="65"/>
  <c r="E18" s="1"/>
  <c r="AI18" i="1"/>
  <c r="AW19" i="7" s="1"/>
  <c r="N19" i="1"/>
  <c r="V19" s="1"/>
  <c r="AQ16" i="7"/>
  <c r="BC16"/>
  <c r="H30" i="5"/>
  <c r="AO22" i="7"/>
  <c r="E28" i="3"/>
  <c r="C27"/>
  <c r="F27" s="1"/>
  <c r="Y29" i="5"/>
  <c r="J25" i="82" s="1"/>
  <c r="AO29" i="1"/>
  <c r="AT28"/>
  <c r="AU28" s="1"/>
  <c r="I25" i="81" s="1"/>
  <c r="AA29" i="1"/>
  <c r="Y29"/>
  <c r="AB29" s="1"/>
  <c r="L30"/>
  <c r="Y18" i="7"/>
  <c r="AR18" s="1"/>
  <c r="AS18" s="1"/>
  <c r="V27" i="2"/>
  <c r="T28"/>
  <c r="S28" i="3"/>
  <c r="M27"/>
  <c r="K25"/>
  <c r="N24"/>
  <c r="Z24"/>
  <c r="AE24" s="1"/>
  <c r="AF24" s="1"/>
  <c r="AG24" s="1"/>
  <c r="F23" i="63"/>
  <c r="AC23" i="3"/>
  <c r="AH23" s="1"/>
  <c r="AK23"/>
  <c r="BA29" i="5"/>
  <c r="BD29" s="1"/>
  <c r="AL27"/>
  <c r="AA28"/>
  <c r="AJ28"/>
  <c r="K24" i="82" s="1"/>
  <c r="W28" i="5"/>
  <c r="U29"/>
  <c r="J27"/>
  <c r="L23" i="81" s="1"/>
  <c r="K23"/>
  <c r="C29" i="5"/>
  <c r="E29" s="1"/>
  <c r="G25" i="63"/>
  <c r="D28" i="5"/>
  <c r="I28"/>
  <c r="AS30" i="1"/>
  <c r="AQ29"/>
  <c r="AF28"/>
  <c r="AH28" s="1"/>
  <c r="C28" i="65" s="1"/>
  <c r="AD28" i="1"/>
  <c r="AM27"/>
  <c r="F28" i="75" s="1"/>
  <c r="G28" s="1"/>
  <c r="AG27" i="1"/>
  <c r="R28"/>
  <c r="S29"/>
  <c r="T29" s="1"/>
  <c r="I30"/>
  <c r="AL27"/>
  <c r="D28" i="75" s="1"/>
  <c r="E28" s="1"/>
  <c r="U27" i="1"/>
  <c r="J27"/>
  <c r="G28"/>
  <c r="AL23" i="7"/>
  <c r="AM23" s="1"/>
  <c r="AK23"/>
  <c r="AC27"/>
  <c r="AD27"/>
  <c r="AA28"/>
  <c r="AB28"/>
  <c r="AJ24"/>
  <c r="AI24"/>
  <c r="AH25"/>
  <c r="AG25"/>
  <c r="Z29"/>
  <c r="AE26"/>
  <c r="AF26"/>
  <c r="M23"/>
  <c r="N23"/>
  <c r="AQ17"/>
  <c r="AY16"/>
  <c r="T20"/>
  <c r="S20"/>
  <c r="P22"/>
  <c r="O22"/>
  <c r="B29"/>
  <c r="R21"/>
  <c r="Q21"/>
  <c r="F27"/>
  <c r="E27"/>
  <c r="I25"/>
  <c r="J25"/>
  <c r="U19"/>
  <c r="V19"/>
  <c r="W19" s="1"/>
  <c r="C28"/>
  <c r="D28"/>
  <c r="BC17"/>
  <c r="H26"/>
  <c r="G26"/>
  <c r="L24"/>
  <c r="K24"/>
  <c r="AD26" i="2"/>
  <c r="AB27"/>
  <c r="H26" i="65"/>
  <c r="B23" i="63"/>
  <c r="Z25" i="2"/>
  <c r="AF25" s="1"/>
  <c r="AG25" s="1"/>
  <c r="X27"/>
  <c r="AE26"/>
  <c r="A25" i="63"/>
  <c r="AI24" i="3"/>
  <c r="D26" i="65" s="1"/>
  <c r="Q26" i="2"/>
  <c r="I27" i="65"/>
  <c r="AD25" i="3"/>
  <c r="E24" i="63"/>
  <c r="BE27" i="7"/>
  <c r="BG27" s="1"/>
  <c r="J9" i="65"/>
  <c r="AI7" i="2"/>
  <c r="M26"/>
  <c r="E25" i="82" s="1"/>
  <c r="K27" i="2"/>
  <c r="F26" i="82" s="1"/>
  <c r="I27" i="2"/>
  <c r="G26" i="82" s="1"/>
  <c r="G28" i="2"/>
  <c r="I27" i="82" s="1"/>
  <c r="N24" i="2"/>
  <c r="H23" i="82"/>
  <c r="E25" i="2"/>
  <c r="J24" i="65"/>
  <c r="AI22" i="2"/>
  <c r="R23"/>
  <c r="E22" i="81"/>
  <c r="C22" i="63"/>
  <c r="D22" s="1"/>
  <c r="AY6" i="7"/>
  <c r="O24" i="2" l="1"/>
  <c r="S25" i="76"/>
  <c r="I18" i="3"/>
  <c r="H19"/>
  <c r="H27"/>
  <c r="I26"/>
  <c r="X18" i="7"/>
  <c r="AQ18"/>
  <c r="AN22"/>
  <c r="P20" i="3"/>
  <c r="Q20" s="1"/>
  <c r="AX21" i="1"/>
  <c r="J17" i="81"/>
  <c r="AU26" i="5"/>
  <c r="AZ25"/>
  <c r="BC25" s="1"/>
  <c r="AA25" i="3"/>
  <c r="V25"/>
  <c r="AB24"/>
  <c r="AJ18" i="1"/>
  <c r="AK18" s="1"/>
  <c r="G15" i="81"/>
  <c r="B19" i="65"/>
  <c r="E19" s="1"/>
  <c r="AI19" i="1"/>
  <c r="AW20" i="7" s="1"/>
  <c r="N20" i="1"/>
  <c r="V20" s="1"/>
  <c r="H31" i="5"/>
  <c r="E29" i="3"/>
  <c r="C28"/>
  <c r="F28" s="1"/>
  <c r="Y30" i="5"/>
  <c r="J26" i="82" s="1"/>
  <c r="AO30" i="1"/>
  <c r="AT29"/>
  <c r="AU29" s="1"/>
  <c r="I26" i="81" s="1"/>
  <c r="AA30" i="1"/>
  <c r="Y30"/>
  <c r="AB30" s="1"/>
  <c r="L31"/>
  <c r="V28" i="2"/>
  <c r="T29"/>
  <c r="U26" i="3"/>
  <c r="S29"/>
  <c r="M28"/>
  <c r="K26"/>
  <c r="Z25"/>
  <c r="N25"/>
  <c r="AC24"/>
  <c r="AH24" s="1"/>
  <c r="F24" i="63"/>
  <c r="AK24" i="3"/>
  <c r="BA30" i="5"/>
  <c r="BD30" s="1"/>
  <c r="AA29"/>
  <c r="AJ29"/>
  <c r="K25" i="82" s="1"/>
  <c r="AL28" i="5"/>
  <c r="W29"/>
  <c r="U30"/>
  <c r="J28"/>
  <c r="L24" i="81" s="1"/>
  <c r="K24"/>
  <c r="D29" i="5"/>
  <c r="G26" i="63"/>
  <c r="I29" i="5"/>
  <c r="C30"/>
  <c r="E30" s="1"/>
  <c r="AS31" i="1"/>
  <c r="AQ30"/>
  <c r="AF29"/>
  <c r="AH29" s="1"/>
  <c r="C29" i="65" s="1"/>
  <c r="AD29" i="1"/>
  <c r="AM28"/>
  <c r="F29" i="75" s="1"/>
  <c r="G29" s="1"/>
  <c r="AG28" i="1"/>
  <c r="S30"/>
  <c r="T30" s="1"/>
  <c r="I31"/>
  <c r="G29"/>
  <c r="U28"/>
  <c r="J28"/>
  <c r="AL28"/>
  <c r="D29" i="75" s="1"/>
  <c r="E29" s="1"/>
  <c r="AG26" i="7"/>
  <c r="AH26"/>
  <c r="AL24"/>
  <c r="AM24" s="1"/>
  <c r="AK24"/>
  <c r="AJ25"/>
  <c r="AI25"/>
  <c r="Z30"/>
  <c r="AF27"/>
  <c r="AE27"/>
  <c r="AO23"/>
  <c r="AB29"/>
  <c r="AA29"/>
  <c r="AC28"/>
  <c r="AD28"/>
  <c r="M24"/>
  <c r="N24"/>
  <c r="G27"/>
  <c r="H27"/>
  <c r="R22"/>
  <c r="Q22"/>
  <c r="E28"/>
  <c r="F28"/>
  <c r="L25"/>
  <c r="K25"/>
  <c r="B30"/>
  <c r="AX17"/>
  <c r="Q15" i="76" s="1"/>
  <c r="U20" i="7"/>
  <c r="V20"/>
  <c r="W20" s="1"/>
  <c r="O23"/>
  <c r="P23"/>
  <c r="D29"/>
  <c r="C29"/>
  <c r="J26"/>
  <c r="I26"/>
  <c r="S21"/>
  <c r="T21"/>
  <c r="Y19"/>
  <c r="AR19" s="1"/>
  <c r="AS19" s="1"/>
  <c r="AD27" i="2"/>
  <c r="AB28"/>
  <c r="H27" i="65"/>
  <c r="B24" i="63"/>
  <c r="Z26" i="2"/>
  <c r="AF26" s="1"/>
  <c r="AG26" s="1"/>
  <c r="X28"/>
  <c r="AE27"/>
  <c r="A26" i="63"/>
  <c r="Q27" i="2"/>
  <c r="AI25" i="3"/>
  <c r="D27" i="65" s="1"/>
  <c r="AD26" i="3"/>
  <c r="BE28" i="7"/>
  <c r="BG28" s="1"/>
  <c r="I28" i="65"/>
  <c r="E25" i="63"/>
  <c r="M27" i="2"/>
  <c r="E26" i="82" s="1"/>
  <c r="K28" i="2"/>
  <c r="F27" i="82" s="1"/>
  <c r="I28" i="2"/>
  <c r="G27" i="82" s="1"/>
  <c r="G29" i="2"/>
  <c r="I28" i="82" s="1"/>
  <c r="AI23" i="2"/>
  <c r="J25" i="65"/>
  <c r="C23" i="63"/>
  <c r="D23" s="1"/>
  <c r="R24" i="2"/>
  <c r="E23" i="81"/>
  <c r="H24" i="82"/>
  <c r="N25" i="2"/>
  <c r="O25" l="1"/>
  <c r="S26" i="76"/>
  <c r="I19" i="3"/>
  <c r="H20"/>
  <c r="H28"/>
  <c r="I27"/>
  <c r="AN23" i="7"/>
  <c r="P21" i="3"/>
  <c r="Q21" s="1"/>
  <c r="J18" i="81"/>
  <c r="AX22" i="1"/>
  <c r="AU27" i="5"/>
  <c r="AZ26"/>
  <c r="BC26" s="1"/>
  <c r="BC18" i="7"/>
  <c r="AX18"/>
  <c r="Q16" i="76" s="1"/>
  <c r="AA26" i="3"/>
  <c r="V26"/>
  <c r="AB25"/>
  <c r="N21" i="1"/>
  <c r="V21" s="1"/>
  <c r="AI20"/>
  <c r="AW21" i="7" s="1"/>
  <c r="B20" i="65"/>
  <c r="E20" s="1"/>
  <c r="G16" i="81"/>
  <c r="AJ19" i="1"/>
  <c r="AK19" s="1"/>
  <c r="AO24" i="7"/>
  <c r="H32" i="5"/>
  <c r="AT30" i="1"/>
  <c r="AU30" s="1"/>
  <c r="I27" i="81" s="1"/>
  <c r="E30" i="3"/>
  <c r="C29"/>
  <c r="F29" s="1"/>
  <c r="Y31" i="5"/>
  <c r="AO31" i="1"/>
  <c r="AA31"/>
  <c r="Y31"/>
  <c r="AB31" s="1"/>
  <c r="L32"/>
  <c r="V29" i="2"/>
  <c r="T30"/>
  <c r="U27" i="3"/>
  <c r="S30"/>
  <c r="M29"/>
  <c r="N26"/>
  <c r="Z26"/>
  <c r="AE26" s="1"/>
  <c r="AF26" s="1"/>
  <c r="AG26" s="1"/>
  <c r="K27"/>
  <c r="AC25"/>
  <c r="F25" i="63"/>
  <c r="AK25" i="3"/>
  <c r="AE25"/>
  <c r="AF25" s="1"/>
  <c r="AG25" s="1"/>
  <c r="BA31" i="5"/>
  <c r="BD31" s="1"/>
  <c r="AJ30"/>
  <c r="K26" i="82" s="1"/>
  <c r="AA30" i="5"/>
  <c r="AL29"/>
  <c r="W30"/>
  <c r="U31"/>
  <c r="C31"/>
  <c r="E31" s="1"/>
  <c r="D30"/>
  <c r="I30"/>
  <c r="G27" i="63"/>
  <c r="K25" i="81"/>
  <c r="J29" i="5"/>
  <c r="L25" i="81" s="1"/>
  <c r="AS32" i="1"/>
  <c r="AQ31"/>
  <c r="AF30"/>
  <c r="AH30" s="1"/>
  <c r="C30" i="65" s="1"/>
  <c r="AM29" i="1"/>
  <c r="F30" i="75" s="1"/>
  <c r="G30" s="1"/>
  <c r="AG29" i="1"/>
  <c r="AD30"/>
  <c r="R30"/>
  <c r="S31"/>
  <c r="T31" s="1"/>
  <c r="I32"/>
  <c r="G30"/>
  <c r="AL29"/>
  <c r="D30" i="75" s="1"/>
  <c r="E30" s="1"/>
  <c r="U29" i="1"/>
  <c r="J29"/>
  <c r="Z31" i="7"/>
  <c r="AH27"/>
  <c r="AG27"/>
  <c r="AJ26"/>
  <c r="AI26"/>
  <c r="AL25"/>
  <c r="AM25" s="1"/>
  <c r="AK25"/>
  <c r="AF28"/>
  <c r="AE28"/>
  <c r="AD29"/>
  <c r="AC29"/>
  <c r="AB30"/>
  <c r="AA30"/>
  <c r="Y20"/>
  <c r="AR20" s="1"/>
  <c r="AS20" s="1"/>
  <c r="B31"/>
  <c r="I27"/>
  <c r="J27"/>
  <c r="M25"/>
  <c r="N25"/>
  <c r="Q23"/>
  <c r="R23"/>
  <c r="S22"/>
  <c r="T22"/>
  <c r="K26"/>
  <c r="L26"/>
  <c r="AY17"/>
  <c r="O24"/>
  <c r="P24"/>
  <c r="X19"/>
  <c r="E29"/>
  <c r="F29"/>
  <c r="C30"/>
  <c r="D30"/>
  <c r="V21"/>
  <c r="W21" s="1"/>
  <c r="U21"/>
  <c r="H28"/>
  <c r="G28"/>
  <c r="AD28" i="2"/>
  <c r="AB29"/>
  <c r="Z27"/>
  <c r="AF27" s="1"/>
  <c r="AG27" s="1"/>
  <c r="B25" i="63"/>
  <c r="H28" i="65"/>
  <c r="AE28" i="2"/>
  <c r="A27" i="63"/>
  <c r="X29" i="2"/>
  <c r="BE29" i="7"/>
  <c r="BG29" s="1"/>
  <c r="AD27" i="3"/>
  <c r="I29" i="65"/>
  <c r="E26" i="63"/>
  <c r="AI26" i="3"/>
  <c r="D28" i="65" s="1"/>
  <c r="Q28" i="2"/>
  <c r="M28"/>
  <c r="E27" i="82" s="1"/>
  <c r="K29" i="2"/>
  <c r="F28" i="82" s="1"/>
  <c r="I29" i="2"/>
  <c r="G28" i="82" s="1"/>
  <c r="G30" i="2"/>
  <c r="I29" i="82" s="1"/>
  <c r="E27" i="2"/>
  <c r="H25" i="82"/>
  <c r="N26" i="2"/>
  <c r="J26" i="65"/>
  <c r="AI24" i="2"/>
  <c r="E24" i="81"/>
  <c r="R25" i="2"/>
  <c r="C24" i="63"/>
  <c r="D24" s="1"/>
  <c r="O26" i="2" l="1"/>
  <c r="S27" i="76"/>
  <c r="AY18" i="7"/>
  <c r="H21" i="3"/>
  <c r="I20"/>
  <c r="J27" i="82"/>
  <c r="H29" i="3"/>
  <c r="I28"/>
  <c r="AN24" i="7"/>
  <c r="X20"/>
  <c r="AX20"/>
  <c r="Q18" i="76" s="1"/>
  <c r="P22" i="3"/>
  <c r="Q22" s="1"/>
  <c r="AX23" i="1"/>
  <c r="J19" i="81"/>
  <c r="AU28" i="5"/>
  <c r="AZ27"/>
  <c r="BC27" s="1"/>
  <c r="AA27" i="3"/>
  <c r="V27"/>
  <c r="AB26"/>
  <c r="AI21" i="1"/>
  <c r="AW22" i="7" s="1"/>
  <c r="B21" i="65"/>
  <c r="E21" s="1"/>
  <c r="N22" i="1"/>
  <c r="V22" s="1"/>
  <c r="G17" i="81"/>
  <c r="AJ20" i="1"/>
  <c r="AK20" s="1"/>
  <c r="AT31"/>
  <c r="AU31" s="1"/>
  <c r="H33" i="5"/>
  <c r="E31" i="3"/>
  <c r="AH25"/>
  <c r="C30"/>
  <c r="F30" s="1"/>
  <c r="Y32" i="5"/>
  <c r="AA32" i="1"/>
  <c r="Y32"/>
  <c r="AB32" s="1"/>
  <c r="L33"/>
  <c r="V30" i="2"/>
  <c r="T31"/>
  <c r="U28" i="3"/>
  <c r="S31"/>
  <c r="M30"/>
  <c r="F26" i="63"/>
  <c r="AC26" i="3"/>
  <c r="AH26" s="1"/>
  <c r="AK26"/>
  <c r="Z27"/>
  <c r="AE27" s="1"/>
  <c r="AF27" s="1"/>
  <c r="AG27" s="1"/>
  <c r="N27"/>
  <c r="K28"/>
  <c r="BA32" i="5"/>
  <c r="BD32" s="1"/>
  <c r="AJ31"/>
  <c r="K27" i="82" s="1"/>
  <c r="AA31" i="5"/>
  <c r="AL30"/>
  <c r="W31"/>
  <c r="U32"/>
  <c r="J30"/>
  <c r="L26" i="81" s="1"/>
  <c r="K26"/>
  <c r="G28" i="63"/>
  <c r="D31" i="5"/>
  <c r="I31"/>
  <c r="C32"/>
  <c r="E32" s="1"/>
  <c r="AS33" i="1"/>
  <c r="AQ32"/>
  <c r="AF31"/>
  <c r="AH31" s="1"/>
  <c r="C31" i="65" s="1"/>
  <c r="AM30" i="1"/>
  <c r="F31" i="75" s="1"/>
  <c r="G31" s="1"/>
  <c r="AG30" i="1"/>
  <c r="AD31"/>
  <c r="R31"/>
  <c r="S32"/>
  <c r="T32" s="1"/>
  <c r="I33"/>
  <c r="G31"/>
  <c r="U30"/>
  <c r="J30"/>
  <c r="AL30"/>
  <c r="D31" i="75" s="1"/>
  <c r="E31" s="1"/>
  <c r="AG28" i="7"/>
  <c r="AH28"/>
  <c r="AA31"/>
  <c r="AB31"/>
  <c r="Z32"/>
  <c r="AK26"/>
  <c r="AL26"/>
  <c r="AM26" s="1"/>
  <c r="AJ27"/>
  <c r="AI27"/>
  <c r="AF29"/>
  <c r="AE29"/>
  <c r="AC30"/>
  <c r="AD30"/>
  <c r="AO25"/>
  <c r="Y21"/>
  <c r="AR21" s="1"/>
  <c r="AS21" s="1"/>
  <c r="T23"/>
  <c r="S23"/>
  <c r="I28"/>
  <c r="J28"/>
  <c r="B32"/>
  <c r="P25"/>
  <c r="O25"/>
  <c r="E30"/>
  <c r="F30"/>
  <c r="R24"/>
  <c r="Q24"/>
  <c r="C31"/>
  <c r="D31"/>
  <c r="AQ19"/>
  <c r="AX19"/>
  <c r="Q17" i="76" s="1"/>
  <c r="BC19" i="7"/>
  <c r="V22"/>
  <c r="W22" s="1"/>
  <c r="U22"/>
  <c r="M26"/>
  <c r="N26"/>
  <c r="L27"/>
  <c r="K27"/>
  <c r="H29"/>
  <c r="G29"/>
  <c r="AD29" i="2"/>
  <c r="AB30"/>
  <c r="Z28"/>
  <c r="AF28" s="1"/>
  <c r="AG28" s="1"/>
  <c r="B26" i="63"/>
  <c r="H29" i="65"/>
  <c r="X30" i="2"/>
  <c r="A28" i="63"/>
  <c r="AE29" i="2"/>
  <c r="AI27" i="3"/>
  <c r="D29" i="65" s="1"/>
  <c r="I30"/>
  <c r="E27" i="63"/>
  <c r="AD28" i="3"/>
  <c r="BE30" i="7"/>
  <c r="BG30" s="1"/>
  <c r="Q29" i="2"/>
  <c r="M29"/>
  <c r="E28" i="82" s="1"/>
  <c r="K30" i="2"/>
  <c r="F29" i="82" s="1"/>
  <c r="I30" i="2"/>
  <c r="G29" i="82" s="1"/>
  <c r="G31" i="2"/>
  <c r="I30" i="82" s="1"/>
  <c r="E28" i="2"/>
  <c r="N27"/>
  <c r="H26" i="82"/>
  <c r="E25" i="81"/>
  <c r="C25" i="63"/>
  <c r="D25" s="1"/>
  <c r="R26" i="2"/>
  <c r="J27" i="65"/>
  <c r="AI25" i="2"/>
  <c r="O27" l="1"/>
  <c r="S28" i="76"/>
  <c r="I21" i="3"/>
  <c r="H22"/>
  <c r="J28" i="82"/>
  <c r="H30" i="3"/>
  <c r="I29"/>
  <c r="AN25" i="7"/>
  <c r="AX21"/>
  <c r="Q19" i="76" s="1"/>
  <c r="P23" i="3"/>
  <c r="J20" i="81"/>
  <c r="AX24" i="1"/>
  <c r="AU29" i="5"/>
  <c r="AZ28"/>
  <c r="BC28" s="1"/>
  <c r="AB27" i="3"/>
  <c r="AA28"/>
  <c r="V28"/>
  <c r="G18" i="81"/>
  <c r="AJ21" i="1"/>
  <c r="AK21" s="1"/>
  <c r="N23"/>
  <c r="V23" s="1"/>
  <c r="B22" i="65"/>
  <c r="E22" s="1"/>
  <c r="AI22" i="1"/>
  <c r="AW23" i="7" s="1"/>
  <c r="Y22"/>
  <c r="AR22" s="1"/>
  <c r="AS22" s="1"/>
  <c r="H34" i="5"/>
  <c r="AT32" i="1"/>
  <c r="AU32" s="1"/>
  <c r="I29" i="81" s="1"/>
  <c r="E32" i="3"/>
  <c r="C31"/>
  <c r="F31" s="1"/>
  <c r="Y33" i="5"/>
  <c r="AO33" i="1"/>
  <c r="AA33"/>
  <c r="Y33"/>
  <c r="AB33" s="1"/>
  <c r="X21" i="7"/>
  <c r="V31" i="2"/>
  <c r="T32"/>
  <c r="U29" i="3"/>
  <c r="S32"/>
  <c r="M31"/>
  <c r="F27" i="63"/>
  <c r="AK27" i="3"/>
  <c r="AC27"/>
  <c r="AH27" s="1"/>
  <c r="N28"/>
  <c r="Z28"/>
  <c r="AE28" s="1"/>
  <c r="AF28" s="1"/>
  <c r="AG28" s="1"/>
  <c r="K29"/>
  <c r="BA33" i="5"/>
  <c r="BD33" s="1"/>
  <c r="AA32"/>
  <c r="AJ32"/>
  <c r="K28" i="82" s="1"/>
  <c r="AL31" i="5"/>
  <c r="W32"/>
  <c r="U33"/>
  <c r="C33"/>
  <c r="E33" s="1"/>
  <c r="D32"/>
  <c r="G29" i="63"/>
  <c r="I32" i="5"/>
  <c r="K27" i="81"/>
  <c r="J31" i="5"/>
  <c r="L27" i="81" s="1"/>
  <c r="AS34" i="1"/>
  <c r="AQ33"/>
  <c r="I28" i="81"/>
  <c r="AF32" i="1"/>
  <c r="AH32" s="1"/>
  <c r="C32" i="65" s="1"/>
  <c r="AD32" i="1"/>
  <c r="AG31"/>
  <c r="AM31"/>
  <c r="F32" i="75" s="1"/>
  <c r="G32" s="1"/>
  <c r="R32" i="1"/>
  <c r="S33"/>
  <c r="I34"/>
  <c r="G32"/>
  <c r="U32" s="1"/>
  <c r="J31"/>
  <c r="U31"/>
  <c r="AL31"/>
  <c r="D32" i="75" s="1"/>
  <c r="E32" s="1"/>
  <c r="D33" i="1"/>
  <c r="E33" s="1"/>
  <c r="Z33" i="7"/>
  <c r="BC21"/>
  <c r="D32" i="1"/>
  <c r="E32" s="1"/>
  <c r="AJ28" i="7"/>
  <c r="AI28"/>
  <c r="AL27"/>
  <c r="AM27" s="1"/>
  <c r="AK27"/>
  <c r="AC31"/>
  <c r="AD31"/>
  <c r="AG29"/>
  <c r="AH29"/>
  <c r="AB32"/>
  <c r="AA32"/>
  <c r="AF30"/>
  <c r="AE30"/>
  <c r="AO26"/>
  <c r="BC20"/>
  <c r="AQ20"/>
  <c r="S24"/>
  <c r="T24"/>
  <c r="AY20"/>
  <c r="AQ21"/>
  <c r="G30"/>
  <c r="H30"/>
  <c r="J29"/>
  <c r="I29"/>
  <c r="C32"/>
  <c r="D32"/>
  <c r="B33"/>
  <c r="P26"/>
  <c r="O26"/>
  <c r="F31"/>
  <c r="E31"/>
  <c r="U23"/>
  <c r="V23"/>
  <c r="W23" s="1"/>
  <c r="M27"/>
  <c r="N27"/>
  <c r="R25"/>
  <c r="Q25"/>
  <c r="K28"/>
  <c r="L28"/>
  <c r="AD30" i="2"/>
  <c r="AB31"/>
  <c r="Z29"/>
  <c r="AF29" s="1"/>
  <c r="AG29" s="1"/>
  <c r="B27" i="63"/>
  <c r="H30" i="65"/>
  <c r="AE30" i="2"/>
  <c r="A29" i="63"/>
  <c r="I31" i="65"/>
  <c r="E28" i="63"/>
  <c r="AD29" i="3"/>
  <c r="BE31" i="7"/>
  <c r="BG31" s="1"/>
  <c r="AI28" i="3"/>
  <c r="D30" i="65" s="1"/>
  <c r="Q30" i="2"/>
  <c r="M30"/>
  <c r="E29" i="82" s="1"/>
  <c r="K31" i="2"/>
  <c r="F30" i="82" s="1"/>
  <c r="I31" i="2"/>
  <c r="G30" i="82" s="1"/>
  <c r="G32" i="2"/>
  <c r="I31" i="82" s="1"/>
  <c r="E29" i="2"/>
  <c r="N28"/>
  <c r="H27" i="82"/>
  <c r="C26" i="63"/>
  <c r="D26" s="1"/>
  <c r="E26" i="81"/>
  <c r="R27" i="2"/>
  <c r="J28" i="65"/>
  <c r="AI26" i="2"/>
  <c r="O28" l="1"/>
  <c r="S29" i="76"/>
  <c r="T29" s="1"/>
  <c r="P24" i="3"/>
  <c r="Q24" s="1"/>
  <c r="Q23"/>
  <c r="I22"/>
  <c r="H23"/>
  <c r="J29" i="82"/>
  <c r="H31" i="3"/>
  <c r="I30"/>
  <c r="AN26" i="7"/>
  <c r="AQ22"/>
  <c r="T33" i="1"/>
  <c r="AA29" i="3"/>
  <c r="V29"/>
  <c r="AX25" i="1"/>
  <c r="J21" i="81"/>
  <c r="AB28" i="3"/>
  <c r="AU30" i="5"/>
  <c r="AZ29"/>
  <c r="BC29" s="1"/>
  <c r="AI23" i="1"/>
  <c r="AW24" i="7" s="1"/>
  <c r="B23" i="65"/>
  <c r="E23" s="1"/>
  <c r="N24" i="1"/>
  <c r="V24" s="1"/>
  <c r="AJ22"/>
  <c r="AK22" s="1"/>
  <c r="G19" i="81"/>
  <c r="X22" i="7"/>
  <c r="H35" i="5"/>
  <c r="D1"/>
  <c r="AT33" i="1"/>
  <c r="AU33" s="1"/>
  <c r="AO27" i="7"/>
  <c r="C32" i="3"/>
  <c r="F32" s="1"/>
  <c r="Y34" i="5"/>
  <c r="J30" i="82" s="1"/>
  <c r="AO34" i="1"/>
  <c r="AA34"/>
  <c r="Y34"/>
  <c r="AB34" s="1"/>
  <c r="Y23" i="7"/>
  <c r="AR23" s="1"/>
  <c r="AS23" s="1"/>
  <c r="V32" i="2"/>
  <c r="U30" i="3"/>
  <c r="M32"/>
  <c r="K30"/>
  <c r="F28" i="63"/>
  <c r="AK28" i="3"/>
  <c r="AC28"/>
  <c r="AH28" s="1"/>
  <c r="Z29"/>
  <c r="AE29" s="1"/>
  <c r="AF29" s="1"/>
  <c r="AG29" s="1"/>
  <c r="N29"/>
  <c r="BA34" i="5"/>
  <c r="BD34" s="1"/>
  <c r="AA33"/>
  <c r="AJ33"/>
  <c r="K29" i="82" s="1"/>
  <c r="AL32" i="5"/>
  <c r="W33"/>
  <c r="U34"/>
  <c r="C34"/>
  <c r="E34" s="1"/>
  <c r="K28" i="81"/>
  <c r="J32" i="5"/>
  <c r="L28" i="81" s="1"/>
  <c r="G30" i="63"/>
  <c r="D33" i="5"/>
  <c r="I33"/>
  <c r="AQ34" i="1"/>
  <c r="AF33"/>
  <c r="AH33" s="1"/>
  <c r="C33" i="65" s="1"/>
  <c r="AD33" i="1"/>
  <c r="AM32"/>
  <c r="F33" i="75" s="1"/>
  <c r="G33" s="1"/>
  <c r="AG32" i="1"/>
  <c r="R33"/>
  <c r="S34"/>
  <c r="G33"/>
  <c r="U33" s="1"/>
  <c r="AL32"/>
  <c r="D33" i="75" s="1"/>
  <c r="E33" s="1"/>
  <c r="J32" i="1"/>
  <c r="AG30" i="7"/>
  <c r="AH30"/>
  <c r="D34" i="1"/>
  <c r="E34" s="1"/>
  <c r="Z34" i="7"/>
  <c r="AF31"/>
  <c r="AE31"/>
  <c r="AI29"/>
  <c r="AJ29"/>
  <c r="AB33"/>
  <c r="AA33"/>
  <c r="AC32"/>
  <c r="AD32"/>
  <c r="AL28"/>
  <c r="AM28" s="1"/>
  <c r="AK28"/>
  <c r="D33"/>
  <c r="C33"/>
  <c r="F32"/>
  <c r="E32"/>
  <c r="AY21"/>
  <c r="O27"/>
  <c r="P27"/>
  <c r="Q26"/>
  <c r="R26"/>
  <c r="U24"/>
  <c r="V24"/>
  <c r="W24" s="1"/>
  <c r="S25"/>
  <c r="T25"/>
  <c r="J30"/>
  <c r="I30"/>
  <c r="M28"/>
  <c r="N28"/>
  <c r="B34"/>
  <c r="H31"/>
  <c r="G31"/>
  <c r="K29"/>
  <c r="L29"/>
  <c r="AY19"/>
  <c r="AD31" i="2"/>
  <c r="AB32"/>
  <c r="H31" i="65"/>
  <c r="B28" i="63"/>
  <c r="Z30" i="2"/>
  <c r="AF30" s="1"/>
  <c r="AG30" s="1"/>
  <c r="A30" i="63"/>
  <c r="AE31" i="2"/>
  <c r="X32"/>
  <c r="AI29" i="3"/>
  <c r="D31" i="65" s="1"/>
  <c r="AD30" i="3"/>
  <c r="I32" i="65"/>
  <c r="BE32" i="7"/>
  <c r="BG32" s="1"/>
  <c r="E29" i="63"/>
  <c r="Q31" i="2"/>
  <c r="M31"/>
  <c r="E30" i="82" s="1"/>
  <c r="K32" i="2"/>
  <c r="F31" i="82" s="1"/>
  <c r="I32" i="2"/>
  <c r="G31" i="82" s="1"/>
  <c r="J29" i="65"/>
  <c r="AI27" i="2"/>
  <c r="N29"/>
  <c r="H28" i="82"/>
  <c r="E30" i="2"/>
  <c r="C27" i="63"/>
  <c r="D27" s="1"/>
  <c r="R28" i="2"/>
  <c r="E27" i="81"/>
  <c r="O29" i="2" l="1"/>
  <c r="S30" i="76"/>
  <c r="T30" s="1"/>
  <c r="I23" i="3"/>
  <c r="H24"/>
  <c r="I24" s="1"/>
  <c r="H32"/>
  <c r="I31"/>
  <c r="BC22" i="7"/>
  <c r="AX22"/>
  <c r="Q20" i="76" s="1"/>
  <c r="AN27" i="7"/>
  <c r="P25" i="3"/>
  <c r="Q25" s="1"/>
  <c r="T34" i="1"/>
  <c r="AB29" i="3"/>
  <c r="H37" i="5"/>
  <c r="B7" i="77" s="1"/>
  <c r="J22" i="81"/>
  <c r="AX26" i="1"/>
  <c r="AU31" i="5"/>
  <c r="AZ30"/>
  <c r="BC30" s="1"/>
  <c r="AA30" i="3"/>
  <c r="V30"/>
  <c r="N25" i="1"/>
  <c r="V25" s="1"/>
  <c r="B24" i="65"/>
  <c r="E24" s="1"/>
  <c r="AI24" i="1"/>
  <c r="AW25" i="7" s="1"/>
  <c r="AJ23" i="1"/>
  <c r="AK23" s="1"/>
  <c r="G20" i="81"/>
  <c r="Y24" i="7"/>
  <c r="AR24" s="1"/>
  <c r="AS24" s="1"/>
  <c r="AT34" i="1"/>
  <c r="Y35" i="5"/>
  <c r="J31" i="82" s="1"/>
  <c r="X23" i="7"/>
  <c r="N37" i="76"/>
  <c r="U31" i="3"/>
  <c r="S35"/>
  <c r="Z30"/>
  <c r="AE30" s="1"/>
  <c r="AF30" s="1"/>
  <c r="AG30" s="1"/>
  <c r="N30"/>
  <c r="K31"/>
  <c r="AC29"/>
  <c r="AH29" s="1"/>
  <c r="F29" i="63"/>
  <c r="AK29" i="3"/>
  <c r="BA35" i="5"/>
  <c r="AJ34"/>
  <c r="K30" i="82" s="1"/>
  <c r="AA34" i="5"/>
  <c r="AL33"/>
  <c r="W34"/>
  <c r="U35"/>
  <c r="C35"/>
  <c r="E35" s="1"/>
  <c r="D34"/>
  <c r="I34"/>
  <c r="G31" i="63"/>
  <c r="K29" i="81"/>
  <c r="J33" i="5"/>
  <c r="L29" i="81" s="1"/>
  <c r="I30"/>
  <c r="AF34" i="1"/>
  <c r="AH34" s="1"/>
  <c r="AM33"/>
  <c r="F34" i="75" s="1"/>
  <c r="G34" s="1"/>
  <c r="AG33" i="1"/>
  <c r="AD34"/>
  <c r="R34"/>
  <c r="J33"/>
  <c r="AL33"/>
  <c r="D34" i="75" s="1"/>
  <c r="E34" s="1"/>
  <c r="G34" i="1"/>
  <c r="U34" s="1"/>
  <c r="AD33" i="7"/>
  <c r="AC33"/>
  <c r="AJ30"/>
  <c r="AI30"/>
  <c r="AF32"/>
  <c r="AE32"/>
  <c r="AB34"/>
  <c r="AA34"/>
  <c r="AK29"/>
  <c r="AL29"/>
  <c r="AM29" s="1"/>
  <c r="AH31"/>
  <c r="AG31"/>
  <c r="Z35"/>
  <c r="AO28"/>
  <c r="E33"/>
  <c r="F33"/>
  <c r="H32"/>
  <c r="G32"/>
  <c r="I31"/>
  <c r="J31"/>
  <c r="U25"/>
  <c r="V25"/>
  <c r="W25" s="1"/>
  <c r="L30"/>
  <c r="K30"/>
  <c r="M29"/>
  <c r="N29"/>
  <c r="Q27"/>
  <c r="R27"/>
  <c r="D34"/>
  <c r="C34"/>
  <c r="B35"/>
  <c r="P28"/>
  <c r="O28"/>
  <c r="S26"/>
  <c r="T26"/>
  <c r="AD32" i="2"/>
  <c r="B29" i="63"/>
  <c r="H32" i="65"/>
  <c r="Z31" i="2"/>
  <c r="AF31" s="1"/>
  <c r="AG31" s="1"/>
  <c r="AE32"/>
  <c r="A31" i="63"/>
  <c r="AI30" i="3"/>
  <c r="D32" i="65" s="1"/>
  <c r="E30" i="63"/>
  <c r="AD31" i="3"/>
  <c r="I33" i="65"/>
  <c r="BE33" i="7"/>
  <c r="BG33" s="1"/>
  <c r="Q32" i="2"/>
  <c r="M32"/>
  <c r="E31" i="82" s="1"/>
  <c r="C28" i="63"/>
  <c r="D28" s="1"/>
  <c r="E28" i="81"/>
  <c r="R29" i="2"/>
  <c r="N30"/>
  <c r="H29" i="82"/>
  <c r="E31" i="2"/>
  <c r="J30" i="65"/>
  <c r="AI28" i="2"/>
  <c r="C34" i="65" l="1"/>
  <c r="AH36" i="1"/>
  <c r="BD35" i="5"/>
  <c r="BD36"/>
  <c r="AU34" i="1"/>
  <c r="I31" i="81" s="1"/>
  <c r="AU35" i="1"/>
  <c r="O30" i="2"/>
  <c r="S31" i="76"/>
  <c r="T31" s="1"/>
  <c r="I32" i="3"/>
  <c r="X24" i="7"/>
  <c r="AN28"/>
  <c r="P26" i="3"/>
  <c r="Q26" s="1"/>
  <c r="AA31"/>
  <c r="V31"/>
  <c r="J23" i="81"/>
  <c r="AX27" i="1"/>
  <c r="AU32" i="5"/>
  <c r="AZ31"/>
  <c r="BC31" s="1"/>
  <c r="AG32" i="2"/>
  <c r="AB30" i="3"/>
  <c r="U37" i="5"/>
  <c r="B25" i="65"/>
  <c r="E25" s="1"/>
  <c r="AI25" i="1"/>
  <c r="AW26" i="7" s="1"/>
  <c r="AJ24" i="1"/>
  <c r="AK24" s="1"/>
  <c r="G21" i="81"/>
  <c r="N26" i="1"/>
  <c r="V26" s="1"/>
  <c r="AO29" i="7"/>
  <c r="Y25"/>
  <c r="AR25" s="1"/>
  <c r="AS25" s="1"/>
  <c r="C35" i="3"/>
  <c r="Y37" i="5"/>
  <c r="M37" i="76"/>
  <c r="U32" i="3"/>
  <c r="AC30"/>
  <c r="AH30" s="1"/>
  <c r="F30" i="63"/>
  <c r="AK30" i="3"/>
  <c r="K32"/>
  <c r="N31"/>
  <c r="Z31"/>
  <c r="AJ35" i="5"/>
  <c r="K31" i="82" s="1"/>
  <c r="AA35" i="5"/>
  <c r="AL34"/>
  <c r="W35"/>
  <c r="D35"/>
  <c r="D39" s="1"/>
  <c r="I35"/>
  <c r="C37"/>
  <c r="K30" i="81"/>
  <c r="J34" i="5"/>
  <c r="L30" i="81" s="1"/>
  <c r="AM34" i="1"/>
  <c r="AG34"/>
  <c r="AL34"/>
  <c r="J34"/>
  <c r="J36" s="1"/>
  <c r="J1" s="1"/>
  <c r="AG32" i="7"/>
  <c r="AH32"/>
  <c r="AA35"/>
  <c r="AB35"/>
  <c r="AL30"/>
  <c r="AM30" s="1"/>
  <c r="AK30"/>
  <c r="AD34"/>
  <c r="AC34"/>
  <c r="AF33"/>
  <c r="AE33"/>
  <c r="AI31"/>
  <c r="AJ31"/>
  <c r="I32"/>
  <c r="J32"/>
  <c r="R28"/>
  <c r="Q28"/>
  <c r="H33"/>
  <c r="G33"/>
  <c r="V26"/>
  <c r="W26" s="1"/>
  <c r="U26"/>
  <c r="L31"/>
  <c r="K31"/>
  <c r="C35"/>
  <c r="D35"/>
  <c r="M30"/>
  <c r="N30"/>
  <c r="AY22"/>
  <c r="P29"/>
  <c r="O29"/>
  <c r="S27"/>
  <c r="T27"/>
  <c r="E34"/>
  <c r="F34"/>
  <c r="Z32" i="2"/>
  <c r="AF32" s="1"/>
  <c r="B31" i="63" s="1"/>
  <c r="H33" i="65"/>
  <c r="B30" i="63"/>
  <c r="AI31" i="3"/>
  <c r="D33" i="65" s="1"/>
  <c r="AD32" i="3"/>
  <c r="E31" i="63"/>
  <c r="AI29" i="2"/>
  <c r="J31" i="65"/>
  <c r="R30" i="2"/>
  <c r="C29" i="63"/>
  <c r="D29" s="1"/>
  <c r="E29" i="81"/>
  <c r="N31" i="2"/>
  <c r="H30" i="82"/>
  <c r="E32" i="2"/>
  <c r="F35" i="75" l="1"/>
  <c r="G35" s="1"/>
  <c r="AM36" i="1"/>
  <c r="D35" i="75"/>
  <c r="E35" s="1"/>
  <c r="AL36" i="1"/>
  <c r="AN29" i="7"/>
  <c r="O31" i="2"/>
  <c r="S32" i="76"/>
  <c r="T32" s="1"/>
  <c r="F4" i="77"/>
  <c r="AB31" i="3"/>
  <c r="P27"/>
  <c r="Q27" s="1"/>
  <c r="I37" i="5"/>
  <c r="J24" i="81"/>
  <c r="AX28" i="1"/>
  <c r="E38" i="5"/>
  <c r="AU33"/>
  <c r="AZ32"/>
  <c r="BC32" s="1"/>
  <c r="AA32" i="3"/>
  <c r="V32"/>
  <c r="X25" i="7"/>
  <c r="B26" i="65"/>
  <c r="E26" s="1"/>
  <c r="AI26" i="1"/>
  <c r="AW27" i="7" s="1"/>
  <c r="N27" i="1"/>
  <c r="V27" s="1"/>
  <c r="AJ25"/>
  <c r="AK25" s="1"/>
  <c r="G22" i="81"/>
  <c r="AU36" i="1"/>
  <c r="BC25" i="7"/>
  <c r="Y26"/>
  <c r="AR26" s="1"/>
  <c r="AS26" s="1"/>
  <c r="AQ24"/>
  <c r="AO30"/>
  <c r="L37" i="76"/>
  <c r="AK31" i="3"/>
  <c r="F31" i="63"/>
  <c r="AC31" i="3"/>
  <c r="Z32"/>
  <c r="N32"/>
  <c r="AE31"/>
  <c r="AF31" s="1"/>
  <c r="AG31" s="1"/>
  <c r="AL35" i="5"/>
  <c r="K31" i="81"/>
  <c r="J35" i="5"/>
  <c r="L31" i="81" s="1"/>
  <c r="B6" i="77"/>
  <c r="C38" i="5"/>
  <c r="H39" s="1"/>
  <c r="D37"/>
  <c r="AI32" i="7"/>
  <c r="AJ32"/>
  <c r="AK31"/>
  <c r="AL31"/>
  <c r="AM31" s="1"/>
  <c r="AF34"/>
  <c r="AE34"/>
  <c r="AH33"/>
  <c r="AG33"/>
  <c r="AD35"/>
  <c r="AC35"/>
  <c r="F35"/>
  <c r="E35"/>
  <c r="L32"/>
  <c r="K32"/>
  <c r="R29"/>
  <c r="Q29"/>
  <c r="P30"/>
  <c r="O30"/>
  <c r="I33"/>
  <c r="J33"/>
  <c r="N31"/>
  <c r="M31"/>
  <c r="G34"/>
  <c r="H34"/>
  <c r="AQ25"/>
  <c r="AX25"/>
  <c r="Q23" i="76" s="1"/>
  <c r="V27" i="7"/>
  <c r="W27" s="1"/>
  <c r="U27"/>
  <c r="S28"/>
  <c r="T28"/>
  <c r="AI32" i="3"/>
  <c r="D34" i="65" s="1"/>
  <c r="H31" i="82"/>
  <c r="N32" i="2"/>
  <c r="AI30"/>
  <c r="J32" i="65"/>
  <c r="R31" i="2"/>
  <c r="E30" i="81"/>
  <c r="C30" i="63"/>
  <c r="D30" s="1"/>
  <c r="G39" i="5" l="1"/>
  <c r="K32" i="81"/>
  <c r="AU38" i="1"/>
  <c r="I32" i="81"/>
  <c r="O32" i="2"/>
  <c r="S33" i="76"/>
  <c r="T33" s="1"/>
  <c r="X26" i="7"/>
  <c r="BC26"/>
  <c r="AN30"/>
  <c r="P28" i="3"/>
  <c r="I38" i="5"/>
  <c r="J25" i="81"/>
  <c r="AX29" i="1"/>
  <c r="I37" i="76"/>
  <c r="AU34" i="5"/>
  <c r="AZ33"/>
  <c r="BC33" s="1"/>
  <c r="AB32" i="3"/>
  <c r="D38" i="73"/>
  <c r="B16" i="77" s="1"/>
  <c r="E8"/>
  <c r="G8" s="1"/>
  <c r="G37" i="76"/>
  <c r="C37"/>
  <c r="K38" s="1"/>
  <c r="AL37" i="5"/>
  <c r="AO31" i="7"/>
  <c r="AX24"/>
  <c r="Q22" i="76" s="1"/>
  <c r="B27" i="65"/>
  <c r="E27" s="1"/>
  <c r="AI27" i="1"/>
  <c r="AW28" i="7" s="1"/>
  <c r="G23" i="81"/>
  <c r="AJ26" i="1"/>
  <c r="AK26" s="1"/>
  <c r="N28"/>
  <c r="V28" s="1"/>
  <c r="AH31" i="3"/>
  <c r="AK32"/>
  <c r="AC32"/>
  <c r="K35"/>
  <c r="U34" s="1"/>
  <c r="W31" i="76" s="1"/>
  <c r="AE32" i="3"/>
  <c r="AF32" s="1"/>
  <c r="AG32" s="1"/>
  <c r="AJ37" i="5"/>
  <c r="D6" i="77"/>
  <c r="G6"/>
  <c r="AJ39" i="5"/>
  <c r="AM39" s="1"/>
  <c r="AJ33" i="7"/>
  <c r="AI33"/>
  <c r="AF35"/>
  <c r="AE35"/>
  <c r="AK32"/>
  <c r="AL32"/>
  <c r="AM32" s="1"/>
  <c r="AH34"/>
  <c r="AG34"/>
  <c r="K33"/>
  <c r="L33"/>
  <c r="P31"/>
  <c r="O31"/>
  <c r="V28"/>
  <c r="W28" s="1"/>
  <c r="U28"/>
  <c r="G35"/>
  <c r="H35"/>
  <c r="N32"/>
  <c r="M32"/>
  <c r="Y27"/>
  <c r="AR27" s="1"/>
  <c r="AS27" s="1"/>
  <c r="I34"/>
  <c r="J34"/>
  <c r="S29"/>
  <c r="T29"/>
  <c r="R30"/>
  <c r="Q30"/>
  <c r="R32" i="2"/>
  <c r="AI32" s="1"/>
  <c r="E31" i="81"/>
  <c r="C31" i="63"/>
  <c r="D31" s="1"/>
  <c r="J33" i="65"/>
  <c r="AI31" i="2"/>
  <c r="AN31" i="7" l="1"/>
  <c r="Z38" i="5"/>
  <c r="K32" i="82"/>
  <c r="P29" i="3"/>
  <c r="Q28"/>
  <c r="E16" i="77"/>
  <c r="X31" i="76"/>
  <c r="AX30" i="1"/>
  <c r="J26" i="81"/>
  <c r="AU35" i="5"/>
  <c r="AZ34"/>
  <c r="BC34" s="1"/>
  <c r="E6" i="77"/>
  <c r="F7"/>
  <c r="G38" i="76"/>
  <c r="AD28" s="1"/>
  <c r="AD26"/>
  <c r="I38"/>
  <c r="AD27" s="1"/>
  <c r="E9" i="77"/>
  <c r="G9" s="1"/>
  <c r="AY24" i="7"/>
  <c r="N29" i="1"/>
  <c r="V29" s="1"/>
  <c r="AI28"/>
  <c r="AW29" i="7" s="1"/>
  <c r="B28" i="65"/>
  <c r="E28" s="1"/>
  <c r="AQ26" i="7"/>
  <c r="K39" i="5"/>
  <c r="F8" i="77"/>
  <c r="Z34" i="3"/>
  <c r="AH32"/>
  <c r="AG35" i="7"/>
  <c r="AH35"/>
  <c r="AK33"/>
  <c r="AL33"/>
  <c r="AM33" s="1"/>
  <c r="AJ34"/>
  <c r="AI34"/>
  <c r="AO32"/>
  <c r="Y28"/>
  <c r="AR28" s="1"/>
  <c r="AS28" s="1"/>
  <c r="X27"/>
  <c r="M33"/>
  <c r="N33"/>
  <c r="K34"/>
  <c r="L34"/>
  <c r="R31"/>
  <c r="Q31"/>
  <c r="AY25"/>
  <c r="P32"/>
  <c r="O32"/>
  <c r="I35"/>
  <c r="J35"/>
  <c r="V29"/>
  <c r="W29" s="1"/>
  <c r="U29"/>
  <c r="S30"/>
  <c r="T30"/>
  <c r="AN32" l="1"/>
  <c r="B18" i="77"/>
  <c r="E18" s="1"/>
  <c r="P30" i="3"/>
  <c r="Q29"/>
  <c r="Y31" i="76"/>
  <c r="J27" i="81"/>
  <c r="AX31" i="1"/>
  <c r="F6" i="77"/>
  <c r="AZ35" i="5"/>
  <c r="F9" i="77"/>
  <c r="C38" i="76"/>
  <c r="AX26" i="7"/>
  <c r="AJ27" i="1"/>
  <c r="AK27" s="1"/>
  <c r="G24" i="81"/>
  <c r="AJ28" i="1"/>
  <c r="AK28" s="1"/>
  <c r="G25" i="81"/>
  <c r="B29" i="65"/>
  <c r="E29" s="1"/>
  <c r="AI29" i="1"/>
  <c r="N30"/>
  <c r="V30" s="1"/>
  <c r="AO33" i="7"/>
  <c r="AJ35"/>
  <c r="AI35"/>
  <c r="AK34"/>
  <c r="AL34"/>
  <c r="AM34" s="1"/>
  <c r="X28"/>
  <c r="AQ28"/>
  <c r="AX28"/>
  <c r="Q26" i="76" s="1"/>
  <c r="U30" i="7"/>
  <c r="V30"/>
  <c r="W30" s="1"/>
  <c r="Y29"/>
  <c r="AR29" s="1"/>
  <c r="AS29" s="1"/>
  <c r="AQ27"/>
  <c r="BC28"/>
  <c r="AX27"/>
  <c r="Q25" i="76" s="1"/>
  <c r="BC27" i="7"/>
  <c r="P33"/>
  <c r="O33"/>
  <c r="M34"/>
  <c r="N34"/>
  <c r="Q32"/>
  <c r="R32"/>
  <c r="K35"/>
  <c r="L35"/>
  <c r="S31"/>
  <c r="T31"/>
  <c r="AN33" l="1"/>
  <c r="BC35" i="5"/>
  <c r="BC36"/>
  <c r="AY26" i="7"/>
  <c r="Q24" i="76"/>
  <c r="F18" i="77"/>
  <c r="B19"/>
  <c r="P31" i="3"/>
  <c r="Q30"/>
  <c r="AX32" i="1"/>
  <c r="J28" i="81"/>
  <c r="O37" i="76"/>
  <c r="AW30" i="7"/>
  <c r="N31" i="1"/>
  <c r="V31" s="1"/>
  <c r="B30" i="65"/>
  <c r="E30" s="1"/>
  <c r="AI30" i="1"/>
  <c r="AW31" i="7" s="1"/>
  <c r="Y30"/>
  <c r="AR30" s="1"/>
  <c r="AS30" s="1"/>
  <c r="AO34"/>
  <c r="AK35"/>
  <c r="AL35"/>
  <c r="AM35" s="1"/>
  <c r="Q33"/>
  <c r="R33"/>
  <c r="O34"/>
  <c r="P34"/>
  <c r="T32"/>
  <c r="S32"/>
  <c r="U31"/>
  <c r="V31"/>
  <c r="W31" s="1"/>
  <c r="X29"/>
  <c r="AY28"/>
  <c r="AY27"/>
  <c r="N35"/>
  <c r="M35"/>
  <c r="AN34" l="1"/>
  <c r="P32" i="3"/>
  <c r="Q32" s="1"/>
  <c r="Q31"/>
  <c r="X30" i="7"/>
  <c r="AQ30"/>
  <c r="J29" i="81"/>
  <c r="AX33" i="1"/>
  <c r="AO35" i="7"/>
  <c r="N32" i="1"/>
  <c r="V32" s="1"/>
  <c r="G27" i="81"/>
  <c r="AJ30" i="1"/>
  <c r="AK30" s="1"/>
  <c r="AI31"/>
  <c r="B31" i="65"/>
  <c r="E31" s="1"/>
  <c r="G26" i="81"/>
  <c r="AJ29" i="1"/>
  <c r="AK29" s="1"/>
  <c r="Y31" i="7"/>
  <c r="AR31" s="1"/>
  <c r="AS31" s="1"/>
  <c r="P35"/>
  <c r="O35"/>
  <c r="Q34"/>
  <c r="R34"/>
  <c r="T33"/>
  <c r="S33"/>
  <c r="AX29"/>
  <c r="Q27" i="76" s="1"/>
  <c r="AQ29" i="7"/>
  <c r="BC29"/>
  <c r="V32"/>
  <c r="W32" s="1"/>
  <c r="U32"/>
  <c r="AN35" l="1"/>
  <c r="AX30"/>
  <c r="Q28" i="76" s="1"/>
  <c r="AX31" i="7"/>
  <c r="J30" i="81"/>
  <c r="AX34" i="1"/>
  <c r="AX35" s="1"/>
  <c r="AI32"/>
  <c r="AW33" i="7" s="1"/>
  <c r="B32" i="65"/>
  <c r="E32" s="1"/>
  <c r="AW32" i="7"/>
  <c r="N33" i="1"/>
  <c r="V33" s="1"/>
  <c r="BC30" i="7"/>
  <c r="Y32"/>
  <c r="AR32" s="1"/>
  <c r="AS32" s="1"/>
  <c r="BC31"/>
  <c r="X31"/>
  <c r="T34"/>
  <c r="S34"/>
  <c r="AQ31"/>
  <c r="U33"/>
  <c r="V33"/>
  <c r="W33" s="1"/>
  <c r="R35"/>
  <c r="Q35"/>
  <c r="AY31" l="1"/>
  <c r="Q29" i="76"/>
  <c r="X32" i="7"/>
  <c r="BC32"/>
  <c r="J31" i="81"/>
  <c r="AY29" i="7"/>
  <c r="AJ32" i="1"/>
  <c r="AK32" s="1"/>
  <c r="G29" i="81"/>
  <c r="N34" i="1"/>
  <c r="V34" s="1"/>
  <c r="V36" s="1"/>
  <c r="AI33"/>
  <c r="B33" i="65"/>
  <c r="E33" s="1"/>
  <c r="G28" i="81"/>
  <c r="AJ31" i="1"/>
  <c r="AK31" s="1"/>
  <c r="AY30" i="7"/>
  <c r="Y33"/>
  <c r="AR33" s="1"/>
  <c r="AS33" s="1"/>
  <c r="V34"/>
  <c r="W34" s="1"/>
  <c r="U34"/>
  <c r="T35"/>
  <c r="S35"/>
  <c r="AI34" i="1" l="1"/>
  <c r="AW35" i="7" s="1"/>
  <c r="B34" i="65"/>
  <c r="E34" s="1"/>
  <c r="AW34" i="7"/>
  <c r="AQ32"/>
  <c r="X33"/>
  <c r="Y34"/>
  <c r="AR34" s="1"/>
  <c r="AS34" s="1"/>
  <c r="AX33"/>
  <c r="Q31" i="76" s="1"/>
  <c r="AQ33" i="7"/>
  <c r="U35"/>
  <c r="V35"/>
  <c r="W35" s="1"/>
  <c r="BC33"/>
  <c r="AX32" l="1"/>
  <c r="Y35"/>
  <c r="AR35" s="1"/>
  <c r="AI37" i="1"/>
  <c r="AJ34"/>
  <c r="AK34" s="1"/>
  <c r="G31" i="81"/>
  <c r="AJ33" i="1"/>
  <c r="AK33" s="1"/>
  <c r="G30" i="81"/>
  <c r="X34" i="7"/>
  <c r="AQ34"/>
  <c r="AX34"/>
  <c r="Q32" i="76" s="1"/>
  <c r="AY33" i="7"/>
  <c r="BC34"/>
  <c r="AS35" l="1"/>
  <c r="AS36"/>
  <c r="AY32"/>
  <c r="Q30" i="76"/>
  <c r="X35" i="7"/>
  <c r="AY34"/>
  <c r="BC35" l="1"/>
  <c r="BC36"/>
  <c r="AX36"/>
  <c r="AQ35"/>
  <c r="AX35"/>
  <c r="Q33" i="76" s="1"/>
  <c r="AY36" i="7" l="1"/>
  <c r="Q34" i="76"/>
  <c r="AY35" i="7"/>
  <c r="L11" i="5" l="1"/>
  <c r="H8" i="63" s="1"/>
  <c r="L16" i="5"/>
  <c r="AK16" s="1"/>
  <c r="L13"/>
  <c r="AK13" s="1"/>
  <c r="L15"/>
  <c r="L12"/>
  <c r="AK12" s="1"/>
  <c r="L19"/>
  <c r="L31" l="1"/>
  <c r="L10"/>
  <c r="H7" i="63" s="1"/>
  <c r="L8" i="5"/>
  <c r="H5" i="63" s="1"/>
  <c r="L21" i="5"/>
  <c r="H18" i="63" s="1"/>
  <c r="L25" i="5"/>
  <c r="H22" i="63" s="1"/>
  <c r="H9"/>
  <c r="L14" i="5"/>
  <c r="AK14" s="1"/>
  <c r="L17"/>
  <c r="F17" i="65" s="1"/>
  <c r="L24" i="5"/>
  <c r="AK24" s="1"/>
  <c r="L34"/>
  <c r="H31" i="63" s="1"/>
  <c r="L23" i="5"/>
  <c r="AK23" s="1"/>
  <c r="L35"/>
  <c r="AK35" s="1"/>
  <c r="L29"/>
  <c r="H26" i="63" s="1"/>
  <c r="L30" i="5"/>
  <c r="AK30" s="1"/>
  <c r="L22"/>
  <c r="F22" i="65" s="1"/>
  <c r="L32" i="5"/>
  <c r="L28"/>
  <c r="H25" i="63" s="1"/>
  <c r="L27" i="5"/>
  <c r="AK27" s="1"/>
  <c r="F14" i="65"/>
  <c r="F19"/>
  <c r="H16" i="63"/>
  <c r="AK19" i="5"/>
  <c r="F15" i="65"/>
  <c r="AK15" i="5"/>
  <c r="H12" i="63"/>
  <c r="L26" i="5"/>
  <c r="L9"/>
  <c r="L20"/>
  <c r="F12" i="65"/>
  <c r="L18" i="5"/>
  <c r="F16" i="65"/>
  <c r="H10" i="63"/>
  <c r="H13"/>
  <c r="AK11" i="5"/>
  <c r="F13" i="65"/>
  <c r="F11"/>
  <c r="L33" i="5"/>
  <c r="AK33" s="1"/>
  <c r="AK21" l="1"/>
  <c r="H28" i="63"/>
  <c r="AK31" i="5"/>
  <c r="AK22"/>
  <c r="H11" i="63"/>
  <c r="F31" i="65"/>
  <c r="AK10" i="5"/>
  <c r="H14" i="63"/>
  <c r="AK17" i="5"/>
  <c r="F21" i="65"/>
  <c r="F27"/>
  <c r="AK8" i="5"/>
  <c r="AK25"/>
  <c r="F8" i="65"/>
  <c r="F10"/>
  <c r="H19" i="63"/>
  <c r="H20"/>
  <c r="F23" i="65"/>
  <c r="AK29" i="5"/>
  <c r="F25" i="65"/>
  <c r="H27" i="63"/>
  <c r="F30" i="65"/>
  <c r="F29"/>
  <c r="F24"/>
  <c r="H21" i="63"/>
  <c r="AK34" i="5"/>
  <c r="H29" i="63"/>
  <c r="F34" i="65"/>
  <c r="H24" i="63"/>
  <c r="F28" i="65"/>
  <c r="AK28" i="5"/>
  <c r="F32" i="65"/>
  <c r="H30" i="63"/>
  <c r="F33" i="65"/>
  <c r="AK26" i="5"/>
  <c r="F26" i="65"/>
  <c r="H23" i="63"/>
  <c r="AK9" i="5"/>
  <c r="H6" i="63"/>
  <c r="F9" i="65"/>
  <c r="F20"/>
  <c r="AK20" i="5"/>
  <c r="H17" i="63"/>
  <c r="H15"/>
  <c r="F18" i="65"/>
  <c r="AK18" i="5"/>
  <c r="K6"/>
  <c r="L7" s="1"/>
  <c r="F7" i="65" l="1"/>
  <c r="AK7" i="5"/>
  <c r="H4" i="63"/>
  <c r="L37" i="5"/>
  <c r="AK37" s="1"/>
  <c r="F14" i="81" l="1"/>
  <c r="F15"/>
  <c r="F29"/>
  <c r="F13"/>
  <c r="F31"/>
  <c r="F27"/>
  <c r="F28"/>
  <c r="F30"/>
  <c r="F12" l="1"/>
  <c r="BC24" i="7" l="1"/>
  <c r="BC23"/>
  <c r="AQ23"/>
  <c r="AX23"/>
  <c r="Q21" i="76" l="1"/>
  <c r="AX37" i="7"/>
  <c r="Z42" i="76" s="1"/>
  <c r="AY23" i="7"/>
  <c r="AY37" s="1"/>
  <c r="AS40"/>
  <c r="AA28" i="76" l="1"/>
  <c r="AB28" s="1"/>
  <c r="AE28" s="1"/>
  <c r="AF28" s="1"/>
  <c r="AA27"/>
  <c r="AB27" s="1"/>
  <c r="AA26"/>
  <c r="AB26" l="1"/>
  <c r="AB30" s="1"/>
  <c r="AA29"/>
  <c r="W41" l="1"/>
  <c r="W43"/>
  <c r="AV11" i="7" l="1"/>
  <c r="AV12" l="1"/>
  <c r="H7" i="81"/>
  <c r="AV13" i="7" l="1"/>
  <c r="H8" i="81"/>
  <c r="AV14" i="7" l="1"/>
  <c r="H9" i="81"/>
  <c r="AV15" i="7" l="1"/>
  <c r="H10" i="81"/>
  <c r="AV16" i="7" l="1"/>
  <c r="H11" i="81"/>
  <c r="AV17" i="7" l="1"/>
  <c r="H12" i="81"/>
  <c r="AV18" i="7" l="1"/>
  <c r="H13" i="81"/>
  <c r="AV19" i="7" l="1"/>
  <c r="H14" i="81"/>
  <c r="AV20" i="7" l="1"/>
  <c r="H15" i="81"/>
  <c r="AV21" i="7" l="1"/>
  <c r="H16" i="81"/>
  <c r="AV22" i="7" l="1"/>
  <c r="H17" i="81"/>
  <c r="AV23" i="7" l="1"/>
  <c r="H18" i="81"/>
  <c r="AV24" i="7" l="1"/>
  <c r="H19" i="81"/>
  <c r="AV25" i="7" l="1"/>
  <c r="H20" i="81"/>
  <c r="AV26" i="7" l="1"/>
  <c r="H21" i="81"/>
  <c r="AV27" i="7" l="1"/>
  <c r="H22" i="81"/>
  <c r="AV28" i="7" l="1"/>
  <c r="H23" i="81"/>
  <c r="AV29" i="7" l="1"/>
  <c r="H24" i="81"/>
  <c r="AV30" i="7" l="1"/>
  <c r="H25" i="81"/>
  <c r="AV31" i="7" l="1"/>
  <c r="H26" i="81"/>
  <c r="AV32" i="7" l="1"/>
  <c r="H27" i="81"/>
  <c r="AV33" i="7" l="1"/>
  <c r="H28" i="81"/>
  <c r="AV34" i="7" l="1"/>
  <c r="H29" i="81"/>
  <c r="AV35" i="7" l="1"/>
  <c r="H30" i="81"/>
  <c r="AV36" i="7" l="1"/>
  <c r="H31" i="81"/>
  <c r="S40" i="74" l="1"/>
  <c r="S39"/>
  <c r="S38"/>
  <c r="S37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X16" i="76"/>
  <c r="W17"/>
  <c r="W15"/>
  <c r="W13"/>
  <c r="X13"/>
  <c r="Z11"/>
  <c r="Z10"/>
  <c r="Z9"/>
  <c r="Y11"/>
  <c r="Y10"/>
  <c r="Y9"/>
  <c r="X11"/>
  <c r="X10"/>
  <c r="X9"/>
  <c r="R12" i="74" l="1"/>
  <c r="T12" s="1"/>
  <c r="R11"/>
  <c r="T11" s="1"/>
  <c r="R19"/>
  <c r="T19" s="1"/>
  <c r="R27"/>
  <c r="T27" s="1"/>
  <c r="R35"/>
  <c r="T35" s="1"/>
  <c r="R28"/>
  <c r="T28" s="1"/>
  <c r="R10"/>
  <c r="T10" s="1"/>
  <c r="R18"/>
  <c r="T18" s="1"/>
  <c r="R26"/>
  <c r="T26" s="1"/>
  <c r="R34"/>
  <c r="T34" s="1"/>
  <c r="R20"/>
  <c r="T20" s="1"/>
  <c r="R17"/>
  <c r="T17" s="1"/>
  <c r="R25"/>
  <c r="T25" s="1"/>
  <c r="R33"/>
  <c r="T33" s="1"/>
  <c r="R16"/>
  <c r="T16" s="1"/>
  <c r="R24"/>
  <c r="T24" s="1"/>
  <c r="R32"/>
  <c r="T32" s="1"/>
  <c r="R40"/>
  <c r="T40" s="1"/>
  <c r="R36"/>
  <c r="T36" s="1"/>
  <c r="R15"/>
  <c r="T15" s="1"/>
  <c r="R23"/>
  <c r="T23" s="1"/>
  <c r="R31"/>
  <c r="T31" s="1"/>
  <c r="R39"/>
  <c r="T39" s="1"/>
  <c r="R14"/>
  <c r="T14" s="1"/>
  <c r="R22"/>
  <c r="T22" s="1"/>
  <c r="R30"/>
  <c r="T30" s="1"/>
  <c r="R38"/>
  <c r="T38" s="1"/>
  <c r="R13"/>
  <c r="T13" s="1"/>
  <c r="R21"/>
  <c r="T21" s="1"/>
  <c r="R29"/>
  <c r="T29" s="1"/>
  <c r="R37"/>
  <c r="T37" s="1"/>
  <c r="R43" l="1"/>
  <c r="AA14" s="1"/>
  <c r="S43"/>
  <c r="AB14" s="1"/>
  <c r="M40" l="1"/>
  <c r="E40"/>
  <c r="M39"/>
  <c r="E39"/>
  <c r="M38"/>
  <c r="E38"/>
  <c r="M37"/>
  <c r="E37"/>
  <c r="M36"/>
  <c r="E36"/>
  <c r="M35"/>
  <c r="E35"/>
  <c r="M34"/>
  <c r="E34"/>
  <c r="M33"/>
  <c r="E33"/>
  <c r="M32"/>
  <c r="E32"/>
  <c r="M31"/>
  <c r="E31"/>
  <c r="M30"/>
  <c r="E30"/>
  <c r="M29"/>
  <c r="E29"/>
  <c r="M28"/>
  <c r="E28"/>
  <c r="M27"/>
  <c r="E27"/>
  <c r="M26"/>
  <c r="E26"/>
  <c r="M25"/>
  <c r="E25"/>
  <c r="M24"/>
  <c r="E24"/>
  <c r="M23"/>
  <c r="E23"/>
  <c r="M22"/>
  <c r="E22"/>
  <c r="M21"/>
  <c r="E21"/>
  <c r="M20"/>
  <c r="E20"/>
  <c r="M19"/>
  <c r="E19"/>
  <c r="M18"/>
  <c r="E18"/>
  <c r="M17"/>
  <c r="E17"/>
  <c r="M16"/>
  <c r="E16"/>
  <c r="M15"/>
  <c r="E15"/>
  <c r="M14"/>
  <c r="E14"/>
  <c r="M13"/>
  <c r="E13"/>
  <c r="M12"/>
  <c r="E12"/>
  <c r="M11"/>
  <c r="E11"/>
  <c r="M10"/>
  <c r="E10"/>
  <c r="AV5" i="7" l="1"/>
  <c r="AV6" s="1"/>
  <c r="H2" i="81" l="1"/>
  <c r="AV7" i="7"/>
  <c r="H3" i="81" l="1"/>
  <c r="AV8" i="7"/>
  <c r="H4" i="81" l="1"/>
  <c r="AV9" i="7"/>
  <c r="H5" i="81" l="1"/>
  <c r="AV10" i="7"/>
  <c r="H6" i="81" s="1"/>
  <c r="AA9" i="76" l="1"/>
  <c r="AB9" l="1"/>
  <c r="AB10" l="1"/>
  <c r="AB11"/>
  <c r="AB13" l="1"/>
  <c r="AD11"/>
  <c r="AD9"/>
  <c r="AD10"/>
  <c r="O40" i="74" l="1"/>
  <c r="K40"/>
  <c r="G40"/>
  <c r="C40"/>
  <c r="O39"/>
  <c r="K39"/>
  <c r="G39"/>
  <c r="C39"/>
  <c r="O38"/>
  <c r="K38"/>
  <c r="G38"/>
  <c r="C38"/>
  <c r="O37"/>
  <c r="K37"/>
  <c r="G37"/>
  <c r="C37"/>
  <c r="O36"/>
  <c r="K36"/>
  <c r="G36"/>
  <c r="C36"/>
  <c r="O35"/>
  <c r="K35"/>
  <c r="G35"/>
  <c r="C35"/>
  <c r="O34"/>
  <c r="K34"/>
  <c r="G34"/>
  <c r="C34"/>
  <c r="O33"/>
  <c r="K33"/>
  <c r="G33"/>
  <c r="C33"/>
  <c r="O32"/>
  <c r="K32"/>
  <c r="G32"/>
  <c r="C32"/>
  <c r="O31"/>
  <c r="K31"/>
  <c r="G31"/>
  <c r="C31"/>
  <c r="O30"/>
  <c r="K30"/>
  <c r="G30"/>
  <c r="C30"/>
  <c r="O29"/>
  <c r="K29"/>
  <c r="G29"/>
  <c r="C29"/>
  <c r="O28"/>
  <c r="K28"/>
  <c r="G28"/>
  <c r="C28"/>
  <c r="O27"/>
  <c r="K27"/>
  <c r="G27"/>
  <c r="C27"/>
  <c r="O26"/>
  <c r="K26"/>
  <c r="G26"/>
  <c r="C26"/>
  <c r="O25"/>
  <c r="K25"/>
  <c r="G25"/>
  <c r="C25"/>
  <c r="O24"/>
  <c r="K24"/>
  <c r="G24"/>
  <c r="C24"/>
  <c r="O23"/>
  <c r="K23"/>
  <c r="G23"/>
  <c r="C23"/>
  <c r="O22"/>
  <c r="K22"/>
  <c r="G22"/>
  <c r="C22"/>
  <c r="O21"/>
  <c r="K21"/>
  <c r="G21"/>
  <c r="C21"/>
  <c r="O20"/>
  <c r="K20"/>
  <c r="G20"/>
  <c r="C20"/>
  <c r="O19"/>
  <c r="K19"/>
  <c r="G19"/>
  <c r="C19"/>
  <c r="O18"/>
  <c r="K18"/>
  <c r="G18"/>
  <c r="C18"/>
  <c r="O17"/>
  <c r="K17"/>
  <c r="G17"/>
  <c r="C17"/>
  <c r="O16"/>
  <c r="K16"/>
  <c r="G16"/>
  <c r="C16"/>
  <c r="O15"/>
  <c r="K15"/>
  <c r="G15"/>
  <c r="C15"/>
  <c r="O14"/>
  <c r="K14"/>
  <c r="G14"/>
  <c r="C14"/>
  <c r="O13"/>
  <c r="K13"/>
  <c r="G13"/>
  <c r="C13"/>
  <c r="O12"/>
  <c r="K12"/>
  <c r="G12"/>
  <c r="C12"/>
  <c r="O11"/>
  <c r="K11"/>
  <c r="G11"/>
  <c r="C11"/>
  <c r="O10"/>
  <c r="K10"/>
  <c r="G10"/>
  <c r="C10"/>
  <c r="N11" l="1"/>
  <c r="P11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P27" s="1"/>
  <c r="N28"/>
  <c r="P28" s="1"/>
  <c r="N29"/>
  <c r="P29" s="1"/>
  <c r="N30"/>
  <c r="P30" s="1"/>
  <c r="N31"/>
  <c r="P31" s="1"/>
  <c r="N32"/>
  <c r="P32" s="1"/>
  <c r="N33"/>
  <c r="P33" s="1"/>
  <c r="N34"/>
  <c r="P34" s="1"/>
  <c r="N35"/>
  <c r="P35" s="1"/>
  <c r="N36"/>
  <c r="P36" s="1"/>
  <c r="N37"/>
  <c r="P37" s="1"/>
  <c r="N38"/>
  <c r="P38" s="1"/>
  <c r="N39"/>
  <c r="P39" s="1"/>
  <c r="N40"/>
  <c r="P40" s="1"/>
  <c r="N13"/>
  <c r="P13" s="1"/>
  <c r="N14"/>
  <c r="P14" s="1"/>
  <c r="J10"/>
  <c r="L10" s="1"/>
  <c r="J11"/>
  <c r="L11" s="1"/>
  <c r="J12"/>
  <c r="L12" s="1"/>
  <c r="J13"/>
  <c r="L13" s="1"/>
  <c r="J14"/>
  <c r="L14" s="1"/>
  <c r="J15"/>
  <c r="L15" s="1"/>
  <c r="J16"/>
  <c r="L16" s="1"/>
  <c r="J17"/>
  <c r="L17" s="1"/>
  <c r="J18"/>
  <c r="L18" s="1"/>
  <c r="J19"/>
  <c r="L19" s="1"/>
  <c r="J20"/>
  <c r="L20" s="1"/>
  <c r="J21"/>
  <c r="L21" s="1"/>
  <c r="J22"/>
  <c r="L22" s="1"/>
  <c r="J23"/>
  <c r="L23" s="1"/>
  <c r="J24"/>
  <c r="L24" s="1"/>
  <c r="J25"/>
  <c r="L25" s="1"/>
  <c r="J26"/>
  <c r="L26" s="1"/>
  <c r="J27"/>
  <c r="L27" s="1"/>
  <c r="J28"/>
  <c r="L28" s="1"/>
  <c r="J29"/>
  <c r="L29" s="1"/>
  <c r="J30"/>
  <c r="L30" s="1"/>
  <c r="J31"/>
  <c r="L31" s="1"/>
  <c r="J32"/>
  <c r="L32" s="1"/>
  <c r="J33"/>
  <c r="L33" s="1"/>
  <c r="J34"/>
  <c r="L34" s="1"/>
  <c r="J35"/>
  <c r="L35" s="1"/>
  <c r="J36"/>
  <c r="L36" s="1"/>
  <c r="J37"/>
  <c r="L37" s="1"/>
  <c r="J38"/>
  <c r="L38" s="1"/>
  <c r="J39"/>
  <c r="L39" s="1"/>
  <c r="J40"/>
  <c r="L40" s="1"/>
  <c r="F10"/>
  <c r="H10" s="1"/>
  <c r="F11"/>
  <c r="H11" s="1"/>
  <c r="F12"/>
  <c r="H12" s="1"/>
  <c r="F13"/>
  <c r="H13" s="1"/>
  <c r="F14"/>
  <c r="H14" s="1"/>
  <c r="F15"/>
  <c r="H15" s="1"/>
  <c r="F16"/>
  <c r="H16" s="1"/>
  <c r="F17"/>
  <c r="H17" s="1"/>
  <c r="F18"/>
  <c r="H18" s="1"/>
  <c r="F19"/>
  <c r="H19" s="1"/>
  <c r="F20"/>
  <c r="H20" s="1"/>
  <c r="F21"/>
  <c r="H21" s="1"/>
  <c r="F22"/>
  <c r="H22" s="1"/>
  <c r="F23"/>
  <c r="H23" s="1"/>
  <c r="F24"/>
  <c r="H24" s="1"/>
  <c r="F25"/>
  <c r="H25" s="1"/>
  <c r="F26"/>
  <c r="H26" s="1"/>
  <c r="F27"/>
  <c r="H27" s="1"/>
  <c r="F28"/>
  <c r="H28" s="1"/>
  <c r="F29"/>
  <c r="H29" s="1"/>
  <c r="F30"/>
  <c r="H30" s="1"/>
  <c r="F31"/>
  <c r="H31" s="1"/>
  <c r="F32"/>
  <c r="H32" s="1"/>
  <c r="F33"/>
  <c r="H33" s="1"/>
  <c r="F34"/>
  <c r="H34" s="1"/>
  <c r="F35"/>
  <c r="H35" s="1"/>
  <c r="F36"/>
  <c r="H36" s="1"/>
  <c r="F37"/>
  <c r="H37" s="1"/>
  <c r="F38"/>
  <c r="H38" s="1"/>
  <c r="F39"/>
  <c r="H39" s="1"/>
  <c r="F40"/>
  <c r="H40" s="1"/>
  <c r="N10"/>
  <c r="P10" s="1"/>
  <c r="N12"/>
  <c r="P12" s="1"/>
  <c r="B10"/>
  <c r="D10" s="1"/>
  <c r="B11"/>
  <c r="D11" s="1"/>
  <c r="B12"/>
  <c r="D12" s="1"/>
  <c r="B13"/>
  <c r="D13" s="1"/>
  <c r="B14"/>
  <c r="D14" s="1"/>
  <c r="B15"/>
  <c r="D15" s="1"/>
  <c r="B16"/>
  <c r="D16" s="1"/>
  <c r="B17"/>
  <c r="D17" s="1"/>
  <c r="B18"/>
  <c r="D18" s="1"/>
  <c r="B19"/>
  <c r="D19" s="1"/>
  <c r="B20"/>
  <c r="D20" s="1"/>
  <c r="B21"/>
  <c r="D21" s="1"/>
  <c r="B22"/>
  <c r="D22" s="1"/>
  <c r="B23"/>
  <c r="D23" s="1"/>
  <c r="B24"/>
  <c r="D24" s="1"/>
  <c r="B25"/>
  <c r="D25" s="1"/>
  <c r="B26"/>
  <c r="D26" s="1"/>
  <c r="B27"/>
  <c r="D27" s="1"/>
  <c r="B28"/>
  <c r="D28" s="1"/>
  <c r="B29"/>
  <c r="D29" s="1"/>
  <c r="B30"/>
  <c r="D30" s="1"/>
  <c r="B31"/>
  <c r="D31" s="1"/>
  <c r="B32"/>
  <c r="D32" s="1"/>
  <c r="B33"/>
  <c r="D33" s="1"/>
  <c r="B34"/>
  <c r="D34" s="1"/>
  <c r="B35"/>
  <c r="D35" s="1"/>
  <c r="B36"/>
  <c r="D36" s="1"/>
  <c r="B37"/>
  <c r="D37" s="1"/>
  <c r="B43" s="1"/>
  <c r="B38"/>
  <c r="D38" s="1"/>
  <c r="C43" s="1"/>
  <c r="B39"/>
  <c r="D39" s="1"/>
  <c r="B40"/>
  <c r="D40" s="1"/>
  <c r="F43" l="1"/>
  <c r="AA11" s="1"/>
  <c r="G43"/>
  <c r="AB11" s="1"/>
  <c r="K43"/>
  <c r="AB12" s="1"/>
  <c r="J43"/>
  <c r="AA12" s="1"/>
  <c r="AB10"/>
  <c r="N43"/>
  <c r="AA13" s="1"/>
  <c r="O43"/>
  <c r="AB13" s="1"/>
  <c r="AA10"/>
  <c r="AB23" l="1"/>
  <c r="O86"/>
  <c r="AA23"/>
  <c r="N86"/>
  <c r="AC11" i="76" l="1"/>
  <c r="AC28" s="1"/>
  <c r="AC10"/>
  <c r="AC27" s="1"/>
  <c r="AC13" l="1"/>
  <c r="AC9"/>
  <c r="AC26" s="1"/>
  <c r="AC30" s="1"/>
  <c r="W40" l="1"/>
  <c r="W42" s="1"/>
  <c r="W44" s="1"/>
  <c r="AC31"/>
  <c r="O19" l="1"/>
  <c r="P19" s="1"/>
  <c r="R19" s="1"/>
  <c r="T19" s="1"/>
  <c r="F17" i="81" s="1"/>
  <c r="O9" i="76"/>
  <c r="P9" s="1"/>
  <c r="R9" s="1"/>
  <c r="T9" s="1"/>
  <c r="F7" i="81" s="1"/>
  <c r="O10" i="76"/>
  <c r="P10" s="1"/>
  <c r="R10" s="1"/>
  <c r="T10" s="1"/>
  <c r="F8" i="81" s="1"/>
  <c r="O16" i="76"/>
  <c r="P16" s="1"/>
  <c r="R16" s="1"/>
  <c r="O22"/>
  <c r="P22" s="1"/>
  <c r="R22" s="1"/>
  <c r="T22" s="1"/>
  <c r="F20" i="81" s="1"/>
  <c r="O24" i="76"/>
  <c r="P24" s="1"/>
  <c r="R24" s="1"/>
  <c r="T24" s="1"/>
  <c r="F22" i="81" s="1"/>
  <c r="O21" i="76"/>
  <c r="P21" s="1"/>
  <c r="R21" s="1"/>
  <c r="T21" s="1"/>
  <c r="F19" i="81" s="1"/>
  <c r="O12" i="76"/>
  <c r="P12" s="1"/>
  <c r="R12" s="1"/>
  <c r="T12" s="1"/>
  <c r="F10" i="81" s="1"/>
  <c r="O30" i="76"/>
  <c r="P30" s="1"/>
  <c r="R30" s="1"/>
  <c r="O26"/>
  <c r="P26" s="1"/>
  <c r="R26" s="1"/>
  <c r="T26" s="1"/>
  <c r="F24" i="81" s="1"/>
  <c r="O6" i="76"/>
  <c r="P6" s="1"/>
  <c r="R6" s="1"/>
  <c r="T6" s="1"/>
  <c r="F4" i="81" s="1"/>
  <c r="O34" i="76"/>
  <c r="P34" s="1"/>
  <c r="R34" s="1"/>
  <c r="O23"/>
  <c r="P23" s="1"/>
  <c r="R23" s="1"/>
  <c r="T23" s="1"/>
  <c r="F21" i="81" s="1"/>
  <c r="O33" i="76"/>
  <c r="P33" s="1"/>
  <c r="R33" s="1"/>
  <c r="O5"/>
  <c r="P5" s="1"/>
  <c r="R5" s="1"/>
  <c r="T5" s="1"/>
  <c r="F3" i="81" s="1"/>
  <c r="O28" i="76"/>
  <c r="P28" s="1"/>
  <c r="R28" s="1"/>
  <c r="T28" s="1"/>
  <c r="F26" i="81" s="1"/>
  <c r="O20" i="76"/>
  <c r="P20" s="1"/>
  <c r="R20" s="1"/>
  <c r="T20" s="1"/>
  <c r="F18" i="81" s="1"/>
  <c r="O14" i="76"/>
  <c r="P14" s="1"/>
  <c r="R14" s="1"/>
  <c r="O27"/>
  <c r="P27" s="1"/>
  <c r="R27" s="1"/>
  <c r="T27" s="1"/>
  <c r="F25" i="81" s="1"/>
  <c r="O29" i="76"/>
  <c r="P29" s="1"/>
  <c r="R29" s="1"/>
  <c r="O11"/>
  <c r="P11" s="1"/>
  <c r="R11" s="1"/>
  <c r="T11" s="1"/>
  <c r="F9" i="81" s="1"/>
  <c r="AB31" i="76"/>
  <c r="O8"/>
  <c r="P8" s="1"/>
  <c r="R8" s="1"/>
  <c r="T8" s="1"/>
  <c r="F6" i="81" s="1"/>
  <c r="O15" i="76"/>
  <c r="P15" s="1"/>
  <c r="R15" s="1"/>
  <c r="O31"/>
  <c r="P31" s="1"/>
  <c r="R31" s="1"/>
  <c r="O25"/>
  <c r="P25" s="1"/>
  <c r="R25" s="1"/>
  <c r="T25" s="1"/>
  <c r="F23" i="81" s="1"/>
  <c r="O32" i="76"/>
  <c r="P32" s="1"/>
  <c r="R32" s="1"/>
  <c r="O7"/>
  <c r="P7" s="1"/>
  <c r="R7" s="1"/>
  <c r="T7" s="1"/>
  <c r="F5" i="81" s="1"/>
  <c r="O13" i="76"/>
  <c r="P13" s="1"/>
  <c r="R13" s="1"/>
  <c r="T13" s="1"/>
  <c r="F11" i="81" s="1"/>
  <c r="O4" i="76"/>
  <c r="P4" s="1"/>
  <c r="R4" s="1"/>
  <c r="T4" s="1"/>
  <c r="F2" i="81" s="1"/>
  <c r="O17" i="76"/>
  <c r="P17" s="1"/>
  <c r="R17" s="1"/>
  <c r="O18"/>
  <c r="P18" s="1"/>
  <c r="R18" s="1"/>
  <c r="T18" s="1"/>
  <c r="F16" i="81" s="1"/>
  <c r="AC14" i="76"/>
  <c r="O3"/>
  <c r="P3" l="1"/>
  <c r="AB14"/>
  <c r="AA42"/>
  <c r="AB38"/>
  <c r="AB40" s="1"/>
  <c r="Z41" s="1"/>
  <c r="Z43" s="1"/>
  <c r="Z45" s="1"/>
  <c r="AB36"/>
  <c r="AB37" s="1"/>
  <c r="D10" i="77"/>
  <c r="E10" s="1"/>
  <c r="AB19" i="76" l="1"/>
  <c r="AB18"/>
  <c r="AA43"/>
  <c r="AB42"/>
  <c r="AB43" s="1"/>
  <c r="R3"/>
  <c r="E12" i="77"/>
  <c r="G10"/>
  <c r="G12" s="1"/>
  <c r="F10"/>
  <c r="F12" s="1"/>
  <c r="H14" l="1"/>
  <c r="I14"/>
  <c r="T3" i="76"/>
  <c r="P5" i="5" l="1"/>
  <c r="O5"/>
  <c r="O6" s="1"/>
  <c r="N5"/>
  <c r="M5"/>
  <c r="M6" s="1"/>
  <c r="O7" l="1"/>
  <c r="P6"/>
  <c r="Q6" s="1"/>
  <c r="M2" i="81" s="1"/>
  <c r="N6" i="5"/>
  <c r="M7"/>
  <c r="Q5"/>
  <c r="O8" l="1"/>
  <c r="P7"/>
  <c r="M8"/>
  <c r="N7"/>
  <c r="O9" l="1"/>
  <c r="P8"/>
  <c r="Q8" s="1"/>
  <c r="M4" i="81" s="1"/>
  <c r="M9" i="5"/>
  <c r="N8"/>
  <c r="Q7"/>
  <c r="M10" l="1"/>
  <c r="N9"/>
  <c r="O10"/>
  <c r="P9"/>
  <c r="M3" i="81"/>
  <c r="P10" i="5" l="1"/>
  <c r="Q10" s="1"/>
  <c r="M6" i="81" s="1"/>
  <c r="O11" i="5"/>
  <c r="Q9"/>
  <c r="M11"/>
  <c r="N10"/>
  <c r="W14" i="76"/>
  <c r="O12" i="5" l="1"/>
  <c r="P11"/>
  <c r="Q11" s="1"/>
  <c r="M7" i="81" s="1"/>
  <c r="M5"/>
  <c r="M12" i="5"/>
  <c r="N11"/>
  <c r="X14" i="76"/>
  <c r="O13" i="5" l="1"/>
  <c r="P12"/>
  <c r="Q12" s="1"/>
  <c r="M8" i="81" s="1"/>
  <c r="M13" i="5"/>
  <c r="N12"/>
  <c r="Y14" i="76"/>
  <c r="O14" i="5" l="1"/>
  <c r="P13"/>
  <c r="Q13" s="1"/>
  <c r="M9" i="81" s="1"/>
  <c r="M14" i="5"/>
  <c r="N13"/>
  <c r="O15" l="1"/>
  <c r="P14"/>
  <c r="Q14" s="1"/>
  <c r="M10" i="81" s="1"/>
  <c r="M15" i="5"/>
  <c r="N14"/>
  <c r="M16" l="1"/>
  <c r="N15"/>
  <c r="O16"/>
  <c r="P15"/>
  <c r="M17" l="1"/>
  <c r="N16"/>
  <c r="Q15"/>
  <c r="M11" i="81" s="1"/>
  <c r="O17" i="5"/>
  <c r="P16"/>
  <c r="M18" l="1"/>
  <c r="N17"/>
  <c r="O18"/>
  <c r="P17"/>
  <c r="Q17" s="1"/>
  <c r="M13" i="81" s="1"/>
  <c r="Q16" i="5"/>
  <c r="M12" i="81" s="1"/>
  <c r="M19" i="5" l="1"/>
  <c r="N18"/>
  <c r="O19"/>
  <c r="P18"/>
  <c r="M20" l="1"/>
  <c r="N19"/>
  <c r="Q18"/>
  <c r="M14" i="81" s="1"/>
  <c r="O20" i="5"/>
  <c r="P19"/>
  <c r="O21" l="1"/>
  <c r="P20"/>
  <c r="Q20" s="1"/>
  <c r="M16" i="81" s="1"/>
  <c r="M21" i="5"/>
  <c r="N20"/>
  <c r="Q19"/>
  <c r="M15" i="81" s="1"/>
  <c r="M22" i="5" l="1"/>
  <c r="N21"/>
  <c r="O22"/>
  <c r="P21"/>
  <c r="M23" l="1"/>
  <c r="N22"/>
  <c r="P22"/>
  <c r="O23"/>
  <c r="Q21"/>
  <c r="M17" i="81" s="1"/>
  <c r="P23" i="5" l="1"/>
  <c r="Q23" s="1"/>
  <c r="M19" i="81" s="1"/>
  <c r="O24" i="5"/>
  <c r="M24"/>
  <c r="N23"/>
  <c r="Q22"/>
  <c r="M18" i="81" s="1"/>
  <c r="P24" i="5" l="1"/>
  <c r="Q24" s="1"/>
  <c r="M20" i="81" s="1"/>
  <c r="O25" i="5"/>
  <c r="M25"/>
  <c r="N24"/>
  <c r="P25" l="1"/>
  <c r="Q25" s="1"/>
  <c r="M21" i="81" s="1"/>
  <c r="O26" i="5"/>
  <c r="M26"/>
  <c r="N25"/>
  <c r="O27" l="1"/>
  <c r="P26"/>
  <c r="Q26" s="1"/>
  <c r="M22" i="81" s="1"/>
  <c r="M27" i="5"/>
  <c r="N26"/>
  <c r="O28" l="1"/>
  <c r="P27"/>
  <c r="Q27" s="1"/>
  <c r="M23" i="81" s="1"/>
  <c r="M28" i="5"/>
  <c r="N27"/>
  <c r="O29" l="1"/>
  <c r="P28"/>
  <c r="Q28" s="1"/>
  <c r="M24" i="81" s="1"/>
  <c r="M29" i="5"/>
  <c r="N28"/>
  <c r="O30" l="1"/>
  <c r="P29"/>
  <c r="Q29" s="1"/>
  <c r="M25" i="81" s="1"/>
  <c r="M30" i="5"/>
  <c r="N29"/>
  <c r="O31" l="1"/>
  <c r="P30"/>
  <c r="Q30" s="1"/>
  <c r="M26" i="81" s="1"/>
  <c r="M31" i="5"/>
  <c r="N30"/>
  <c r="M32" l="1"/>
  <c r="N31"/>
  <c r="O32"/>
  <c r="P31"/>
  <c r="M33" l="1"/>
  <c r="N32"/>
  <c r="O33"/>
  <c r="P32"/>
  <c r="Q31"/>
  <c r="M27" i="81" s="1"/>
  <c r="M34" i="5" l="1"/>
  <c r="N33"/>
  <c r="Q32"/>
  <c r="M28" i="81" s="1"/>
  <c r="O34" i="5"/>
  <c r="P33"/>
  <c r="Q33" s="1"/>
  <c r="M29" i="81" s="1"/>
  <c r="O35" i="5" l="1"/>
  <c r="P34"/>
  <c r="Q34" s="1"/>
  <c r="M30" i="81" s="1"/>
  <c r="M35" i="5"/>
  <c r="N34"/>
  <c r="P35" l="1"/>
  <c r="Q35" s="1"/>
  <c r="O36"/>
  <c r="P36" s="1"/>
  <c r="Q36" s="1"/>
  <c r="N35"/>
  <c r="M36"/>
  <c r="N36" s="1"/>
  <c r="M31" i="81" l="1"/>
  <c r="Q37" i="5"/>
  <c r="O38" l="1"/>
  <c r="M32" i="81"/>
  <c r="Y2" i="3" l="1"/>
  <c r="X2"/>
  <c r="X3" s="1"/>
  <c r="X4" l="1"/>
  <c r="Y3"/>
  <c r="AY5" i="5" l="1"/>
  <c r="AS5"/>
  <c r="AS6" s="1"/>
  <c r="X5" i="3"/>
  <c r="Y4"/>
  <c r="AS7" i="5" l="1"/>
  <c r="AY6"/>
  <c r="BB6" s="1"/>
  <c r="BE6" s="1"/>
  <c r="Y5" i="3"/>
  <c r="X6"/>
  <c r="AS8" i="5" l="1"/>
  <c r="AY7"/>
  <c r="BB7" s="1"/>
  <c r="BE7" s="1"/>
  <c r="BF6"/>
  <c r="BG6" s="1"/>
  <c r="G6" i="65" s="1"/>
  <c r="I2" i="63"/>
  <c r="Y6" i="3"/>
  <c r="X7"/>
  <c r="BB5" i="5"/>
  <c r="I3" i="63" l="1"/>
  <c r="BF7" i="5"/>
  <c r="BG7" s="1"/>
  <c r="G7" i="65" s="1"/>
  <c r="Y7" i="3"/>
  <c r="X8"/>
  <c r="AY8" i="5"/>
  <c r="BB8" s="1"/>
  <c r="BE8" s="1"/>
  <c r="AS9"/>
  <c r="BE5"/>
  <c r="BG5" l="1"/>
  <c r="G5" i="65" s="1"/>
  <c r="BF5" i="5"/>
  <c r="Y8" i="3"/>
  <c r="X9"/>
  <c r="BF8" i="5"/>
  <c r="BG8" s="1"/>
  <c r="G8" i="65" s="1"/>
  <c r="I4" i="63"/>
  <c r="AS10" i="5"/>
  <c r="AY9"/>
  <c r="BB9" s="1"/>
  <c r="BE9" s="1"/>
  <c r="AY10" l="1"/>
  <c r="BB10" s="1"/>
  <c r="BE10" s="1"/>
  <c r="AS11"/>
  <c r="Y9" i="3"/>
  <c r="X10"/>
  <c r="I5" i="63"/>
  <c r="BF9" i="5"/>
  <c r="BG9" s="1"/>
  <c r="G9" i="65" s="1"/>
  <c r="BF10" i="5" l="1"/>
  <c r="BG10" s="1"/>
  <c r="G10" i="65" s="1"/>
  <c r="I6" i="63"/>
  <c r="AY11" i="5"/>
  <c r="BB11" s="1"/>
  <c r="BE11" s="1"/>
  <c r="AS12"/>
  <c r="Y10" i="3"/>
  <c r="X11"/>
  <c r="BF11" i="5" l="1"/>
  <c r="BG11" s="1"/>
  <c r="G11" i="65" s="1"/>
  <c r="I7" i="63"/>
  <c r="AY12" i="5"/>
  <c r="BB12" s="1"/>
  <c r="BE12" s="1"/>
  <c r="AS13"/>
  <c r="X12" i="3"/>
  <c r="Y11"/>
  <c r="I8" i="63" l="1"/>
  <c r="BF12" i="5"/>
  <c r="BG12" s="1"/>
  <c r="G12" i="65" s="1"/>
  <c r="X13" i="3"/>
  <c r="Y12"/>
  <c r="AS14" i="5"/>
  <c r="AY13"/>
  <c r="BB13" s="1"/>
  <c r="BE13" s="1"/>
  <c r="AS15" l="1"/>
  <c r="AY14"/>
  <c r="BB14" s="1"/>
  <c r="BE14" s="1"/>
  <c r="X14" i="3"/>
  <c r="Y13"/>
  <c r="BF13" i="5"/>
  <c r="BG13" s="1"/>
  <c r="G13" i="65" s="1"/>
  <c r="I9" i="63"/>
  <c r="AY15" i="5" l="1"/>
  <c r="BB15" s="1"/>
  <c r="BE15" s="1"/>
  <c r="AS16"/>
  <c r="BF14"/>
  <c r="BG14" s="1"/>
  <c r="G14" i="65" s="1"/>
  <c r="I10" i="63"/>
  <c r="Y14" i="3"/>
  <c r="X15"/>
  <c r="BF15" i="5" l="1"/>
  <c r="BG15" s="1"/>
  <c r="G15" i="65" s="1"/>
  <c r="I11" i="63"/>
  <c r="AS17" i="5"/>
  <c r="AY16"/>
  <c r="BB16" s="1"/>
  <c r="BE16" s="1"/>
  <c r="X16" i="3"/>
  <c r="Y15"/>
  <c r="AS18" i="5" l="1"/>
  <c r="AY17"/>
  <c r="BB17" s="1"/>
  <c r="BE17" s="1"/>
  <c r="I12" i="63"/>
  <c r="BF16" i="5"/>
  <c r="BG16" s="1"/>
  <c r="G16" i="65" s="1"/>
  <c r="Y16" i="3"/>
  <c r="X17"/>
  <c r="AY18" i="5" l="1"/>
  <c r="BB18" s="1"/>
  <c r="BE18" s="1"/>
  <c r="AS19"/>
  <c r="BF17"/>
  <c r="BG17" s="1"/>
  <c r="G17" i="65" s="1"/>
  <c r="I13" i="63"/>
  <c r="Y17" i="3"/>
  <c r="X18"/>
  <c r="BF18" i="5" l="1"/>
  <c r="BG18" s="1"/>
  <c r="G18" i="65" s="1"/>
  <c r="I14" i="63"/>
  <c r="AY19" i="5"/>
  <c r="BB19" s="1"/>
  <c r="BE19" s="1"/>
  <c r="AS20"/>
  <c r="Y18" i="3"/>
  <c r="X19"/>
  <c r="BF19" i="5" l="1"/>
  <c r="BG19" s="1"/>
  <c r="G19" i="65" s="1"/>
  <c r="I15" i="63"/>
  <c r="AY20" i="5"/>
  <c r="BB20" s="1"/>
  <c r="BE20" s="1"/>
  <c r="AS21"/>
  <c r="Y19" i="3"/>
  <c r="X20"/>
  <c r="I16" i="63" l="1"/>
  <c r="BF20" i="5"/>
  <c r="BG20" s="1"/>
  <c r="G20" i="65" s="1"/>
  <c r="AY21" i="5"/>
  <c r="BB21" s="1"/>
  <c r="BE21" s="1"/>
  <c r="AS22"/>
  <c r="Y20" i="3"/>
  <c r="Y21" s="1"/>
  <c r="X21"/>
  <c r="X22" s="1"/>
  <c r="BF21" i="5" l="1"/>
  <c r="BG21" s="1"/>
  <c r="G21" i="65" s="1"/>
  <c r="I17" i="63"/>
  <c r="AS23" i="5"/>
  <c r="AY22"/>
  <c r="BB22" s="1"/>
  <c r="BE22" s="1"/>
  <c r="Y22" i="3"/>
  <c r="X23"/>
  <c r="AY23" i="5" l="1"/>
  <c r="BB23" s="1"/>
  <c r="BE23" s="1"/>
  <c r="AS24"/>
  <c r="Y23" i="3"/>
  <c r="X24"/>
  <c r="BF22" i="5"/>
  <c r="BG22" s="1"/>
  <c r="G22" i="65" s="1"/>
  <c r="I18" i="63"/>
  <c r="BF23" i="5" l="1"/>
  <c r="BG23" s="1"/>
  <c r="G23" i="65" s="1"/>
  <c r="I19" i="63"/>
  <c r="AY24" i="5"/>
  <c r="BB24" s="1"/>
  <c r="BE24" s="1"/>
  <c r="AS25"/>
  <c r="X25" i="3"/>
  <c r="Y24"/>
  <c r="I20" i="63" l="1"/>
  <c r="BF24" i="5"/>
  <c r="BG24" s="1"/>
  <c r="G24" i="65" s="1"/>
  <c r="AY25" i="5"/>
  <c r="BB25" s="1"/>
  <c r="BE25" s="1"/>
  <c r="AS26"/>
  <c r="X26" i="3"/>
  <c r="Y25"/>
  <c r="Y26" l="1"/>
  <c r="X27"/>
  <c r="BF25" i="5"/>
  <c r="BG25" s="1"/>
  <c r="G25" i="65" s="1"/>
  <c r="I21" i="63"/>
  <c r="AY26" i="5"/>
  <c r="BB26" s="1"/>
  <c r="BE26" s="1"/>
  <c r="AS27"/>
  <c r="Y27" i="3" l="1"/>
  <c r="X28"/>
  <c r="BF26" i="5"/>
  <c r="BG26" s="1"/>
  <c r="G26" i="65" s="1"/>
  <c r="I22" i="63"/>
  <c r="AY27" i="5"/>
  <c r="BB27" s="1"/>
  <c r="BE27" s="1"/>
  <c r="AS28"/>
  <c r="X29" i="3" l="1"/>
  <c r="Y28"/>
  <c r="BF27" i="5"/>
  <c r="BG27" s="1"/>
  <c r="G27" i="65" s="1"/>
  <c r="I23" i="63"/>
  <c r="AY28" i="5"/>
  <c r="BB28" s="1"/>
  <c r="BE28" s="1"/>
  <c r="AS29"/>
  <c r="Y29" i="3" l="1"/>
  <c r="X30"/>
  <c r="I24" i="63"/>
  <c r="BF28" i="5"/>
  <c r="BG28" s="1"/>
  <c r="G28" i="65" s="1"/>
  <c r="AS30" i="5"/>
  <c r="AY29"/>
  <c r="BB29" s="1"/>
  <c r="BE29" s="1"/>
  <c r="X31" i="3" l="1"/>
  <c r="Y30"/>
  <c r="I25" i="63"/>
  <c r="BF29" i="5"/>
  <c r="BG29" s="1"/>
  <c r="G29" i="65" s="1"/>
  <c r="AY30" i="5"/>
  <c r="BB30" s="1"/>
  <c r="BE30" s="1"/>
  <c r="AS31"/>
  <c r="AS32" l="1"/>
  <c r="AY31"/>
  <c r="BB31" s="1"/>
  <c r="BE31" s="1"/>
  <c r="X32" i="3"/>
  <c r="Y31"/>
  <c r="I26" i="63"/>
  <c r="BF30" i="5"/>
  <c r="BG30" s="1"/>
  <c r="G30" i="65" s="1"/>
  <c r="AY32" i="5" l="1"/>
  <c r="BB32" s="1"/>
  <c r="BE32" s="1"/>
  <c r="AS33"/>
  <c r="I27" i="63"/>
  <c r="BF31" i="5"/>
  <c r="BG31" s="1"/>
  <c r="G31" i="65" s="1"/>
  <c r="Y32" i="3"/>
  <c r="X33"/>
  <c r="Y33" s="1"/>
  <c r="BF32" i="5" l="1"/>
  <c r="BG32" s="1"/>
  <c r="G32" i="65" s="1"/>
  <c r="I28" i="63"/>
  <c r="AY33" i="5"/>
  <c r="BB33" s="1"/>
  <c r="BE33" s="1"/>
  <c r="AS34"/>
  <c r="I29" i="63" l="1"/>
  <c r="BF33" i="5"/>
  <c r="BG33" s="1"/>
  <c r="G33" i="65" s="1"/>
  <c r="AY34" i="5"/>
  <c r="BB34" s="1"/>
  <c r="BE34" s="1"/>
  <c r="AS35"/>
  <c r="BF34" l="1"/>
  <c r="BG34" s="1"/>
  <c r="G34" i="65" s="1"/>
  <c r="I30" i="63"/>
  <c r="AY35" i="5"/>
  <c r="BB35" s="1"/>
  <c r="BE35" s="1"/>
  <c r="AS36"/>
  <c r="AY36" s="1"/>
  <c r="BB36" l="1"/>
  <c r="BE36" s="1"/>
  <c r="BF36" s="1"/>
  <c r="BG36" s="1"/>
  <c r="I31" i="63"/>
  <c r="BF35" i="5"/>
  <c r="BG35" s="1"/>
</calcChain>
</file>

<file path=xl/comments1.xml><?xml version="1.0" encoding="utf-8"?>
<comments xmlns="http://schemas.openxmlformats.org/spreadsheetml/2006/main">
  <authors>
    <author>Daniel.mouneef</author>
    <author>hussein.saleh</author>
  </authors>
  <commentList>
    <comment ref="BF13" authorId="0">
      <text>
        <r>
          <rPr>
            <b/>
            <sz val="9"/>
            <color indexed="81"/>
            <rFont val="Tahoma"/>
            <family val="2"/>
          </rPr>
          <t>Daniel.mouneef:</t>
        </r>
        <r>
          <rPr>
            <sz val="9"/>
            <color indexed="81"/>
            <rFont val="Tahoma"/>
            <family val="2"/>
          </rPr>
          <t xml:space="preserve">
wrong values</t>
        </r>
      </text>
    </comment>
    <comment ref="L26" authorId="1">
      <text>
        <r>
          <rPr>
            <b/>
            <sz val="9"/>
            <color indexed="81"/>
            <rFont val="Tahoma"/>
            <family val="2"/>
          </rPr>
          <t xml:space="preserve">hussein.saleh:
Anjad I didn't understand your new meters please clarify ? 
</t>
        </r>
      </text>
    </comment>
    <comment ref="F28" authorId="1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Related to May 22 Requisition 
</t>
        </r>
      </text>
    </comment>
  </commentList>
</comments>
</file>

<file path=xl/comments2.xml><?xml version="1.0" encoding="utf-8"?>
<comments xmlns="http://schemas.openxmlformats.org/spreadsheetml/2006/main">
  <authors>
    <author>hussein.saleh</author>
  </authors>
  <commentList>
    <comment ref="Q25" authorId="0">
      <text>
        <r>
          <rPr>
            <b/>
            <sz val="9"/>
            <color indexed="81"/>
            <rFont val="Tahoma"/>
            <family val="2"/>
          </rPr>
          <t>hussein.saleh:</t>
        </r>
        <r>
          <rPr>
            <sz val="9"/>
            <color indexed="81"/>
            <rFont val="Tahoma"/>
            <family val="2"/>
          </rPr>
          <t xml:space="preserve">
why we have 2 water meters
</t>
        </r>
      </text>
    </comment>
  </commentList>
</comments>
</file>

<file path=xl/comments3.xml><?xml version="1.0" encoding="utf-8"?>
<comments xmlns="http://schemas.openxmlformats.org/spreadsheetml/2006/main">
  <authors>
    <author>Starwood Mgt Cooperation</author>
  </authors>
  <commentList>
    <comment ref="A7" authorId="0">
      <text>
        <r>
          <rPr>
            <b/>
            <sz val="11"/>
            <color indexed="81"/>
            <rFont val="Tahoma"/>
            <family val="2"/>
          </rPr>
          <t>Insert property name</t>
        </r>
      </text>
    </comment>
  </commentList>
</comments>
</file>

<file path=xl/sharedStrings.xml><?xml version="1.0" encoding="utf-8"?>
<sst xmlns="http://schemas.openxmlformats.org/spreadsheetml/2006/main" count="653" uniqueCount="417">
  <si>
    <t>Daily Cons Bo.</t>
  </si>
  <si>
    <t>Boiler litter</t>
  </si>
  <si>
    <t>Boiler A</t>
  </si>
  <si>
    <t>Run Hr a</t>
  </si>
  <si>
    <t>Boiler B</t>
  </si>
  <si>
    <t>Run Hrb</t>
  </si>
  <si>
    <t>Boiler C</t>
  </si>
  <si>
    <t>Run C</t>
  </si>
  <si>
    <t>SteamA</t>
  </si>
  <si>
    <t>Run SA</t>
  </si>
  <si>
    <t>SteamB</t>
  </si>
  <si>
    <t>Run SteamB</t>
  </si>
  <si>
    <t>GAS1 %</t>
  </si>
  <si>
    <t>GAS1/L</t>
  </si>
  <si>
    <t>GAS2%</t>
  </si>
  <si>
    <t>Gas2/L</t>
  </si>
  <si>
    <t>GAS3%</t>
  </si>
  <si>
    <t>GAS3/L</t>
  </si>
  <si>
    <t>Gas Cons</t>
  </si>
  <si>
    <t>OOC</t>
  </si>
  <si>
    <t>MDB3</t>
  </si>
  <si>
    <t>MDB3/day</t>
  </si>
  <si>
    <t>EMDB2</t>
  </si>
  <si>
    <t>EMDB2/day</t>
  </si>
  <si>
    <t>EMDB1</t>
  </si>
  <si>
    <t>EMDB1/day</t>
  </si>
  <si>
    <t>MDB2</t>
  </si>
  <si>
    <t>mdb2/day</t>
  </si>
  <si>
    <t>MDB1</t>
  </si>
  <si>
    <t>MDB1/Day</t>
  </si>
  <si>
    <t>Total KWH</t>
  </si>
  <si>
    <t>Gen/Day KWH</t>
  </si>
  <si>
    <t>EDL KWH</t>
  </si>
  <si>
    <t>RH</t>
  </si>
  <si>
    <t>C1h1 power</t>
  </si>
  <si>
    <t>CH1 Con KWH</t>
  </si>
  <si>
    <t>CH2 RH</t>
  </si>
  <si>
    <t>Ch2 power</t>
  </si>
  <si>
    <t>CH2 Con KWH</t>
  </si>
  <si>
    <t>CH3 RH</t>
  </si>
  <si>
    <t>CH3 Con KWH</t>
  </si>
  <si>
    <t>RH total</t>
  </si>
  <si>
    <t>KWH total</t>
  </si>
  <si>
    <t>Time</t>
  </si>
  <si>
    <t>GEN1</t>
  </si>
  <si>
    <t>RUN HR</t>
  </si>
  <si>
    <t>next service</t>
  </si>
  <si>
    <t>GEN2</t>
  </si>
  <si>
    <t>GEN3</t>
  </si>
  <si>
    <t>ALARM</t>
  </si>
  <si>
    <t xml:space="preserve">RH total </t>
  </si>
  <si>
    <t>Date</t>
  </si>
  <si>
    <t>Truck</t>
  </si>
  <si>
    <t>Truck M3/day</t>
  </si>
  <si>
    <t>N0. Trucks</t>
  </si>
  <si>
    <t>City</t>
  </si>
  <si>
    <t>City/day</t>
  </si>
  <si>
    <t xml:space="preserve">Kitchen and Laundry  </t>
  </si>
  <si>
    <t>Main</t>
  </si>
  <si>
    <t xml:space="preserve">Guest </t>
  </si>
  <si>
    <t>Tank 1</t>
  </si>
  <si>
    <t>Tank 2</t>
  </si>
  <si>
    <t>Tank 3</t>
  </si>
  <si>
    <t>Tank 4</t>
  </si>
  <si>
    <t>Tank 5</t>
  </si>
  <si>
    <t>Tank 6</t>
  </si>
  <si>
    <t>Tank 7</t>
  </si>
  <si>
    <t>Tank 8</t>
  </si>
  <si>
    <t>Tank 9</t>
  </si>
  <si>
    <t>Tank 10</t>
  </si>
  <si>
    <t>Tank 11</t>
  </si>
  <si>
    <t>Delivery</t>
  </si>
  <si>
    <t>Genset Co</t>
  </si>
  <si>
    <t xml:space="preserve">Steam </t>
  </si>
  <si>
    <t>Boil</t>
  </si>
  <si>
    <t>Water Consumption</t>
  </si>
  <si>
    <t xml:space="preserve">Outdoor temperature </t>
  </si>
  <si>
    <t>Ch3 power</t>
  </si>
  <si>
    <t>Boiler A fuel</t>
  </si>
  <si>
    <t xml:space="preserve">Daily consumption </t>
  </si>
  <si>
    <t xml:space="preserve">REQ. # of
trucks </t>
  </si>
  <si>
    <t>Steam B Conter</t>
  </si>
  <si>
    <t>SB Litters</t>
  </si>
  <si>
    <t>TOTAL CH RH</t>
  </si>
  <si>
    <t>TOTAL EDL</t>
  </si>
  <si>
    <t>TOTAL CT</t>
  </si>
  <si>
    <t>TOTAL WATER</t>
  </si>
  <si>
    <t>TOTAL CH cons KW</t>
  </si>
  <si>
    <t>TOTAL ELIC KW</t>
  </si>
  <si>
    <t>GEN HR</t>
  </si>
  <si>
    <t>TOTAL GEN KW</t>
  </si>
  <si>
    <t>WATER IN</t>
  </si>
  <si>
    <t>Entrance</t>
  </si>
  <si>
    <t xml:space="preserve">Main Tank </t>
  </si>
  <si>
    <t>MainI</t>
  </si>
  <si>
    <t xml:space="preserve">Level </t>
  </si>
  <si>
    <t>Quantity CM3</t>
  </si>
  <si>
    <t xml:space="preserve">Hotel Consumption </t>
  </si>
  <si>
    <t xml:space="preserve">Var </t>
  </si>
  <si>
    <t>Total VAR</t>
  </si>
  <si>
    <t xml:space="preserve">Total water delivery </t>
  </si>
  <si>
    <t>index Run H</t>
  </si>
  <si>
    <t>AVG</t>
  </si>
  <si>
    <t xml:space="preserve">Total Fuel </t>
  </si>
  <si>
    <t>Boiler</t>
  </si>
  <si>
    <t>Steam</t>
  </si>
  <si>
    <t>Level Tank Gen</t>
  </si>
  <si>
    <t>Level tank Boiler</t>
  </si>
  <si>
    <t>Total sotck</t>
  </si>
  <si>
    <t xml:space="preserve">Boiler+Steam </t>
  </si>
  <si>
    <t>Generator</t>
  </si>
  <si>
    <t>H /L</t>
  </si>
  <si>
    <t>TOAL KW GEN</t>
  </si>
  <si>
    <t>GEN FUEL</t>
  </si>
  <si>
    <t>FUEL TOTAL</t>
  </si>
  <si>
    <t>Chiller KW</t>
  </si>
  <si>
    <t>GEN KW</t>
  </si>
  <si>
    <t>EDL KW</t>
  </si>
  <si>
    <t>Steam Fuel</t>
  </si>
  <si>
    <t>Boiler Fuel</t>
  </si>
  <si>
    <r>
      <t>CT/m</t>
    </r>
    <r>
      <rPr>
        <b/>
        <sz val="12"/>
        <color indexed="8"/>
        <rFont val="Calibri"/>
        <family val="2"/>
      </rPr>
      <t>ᶾ</t>
    </r>
  </si>
  <si>
    <t>occ</t>
  </si>
  <si>
    <t>covers</t>
  </si>
  <si>
    <r>
      <t>temp. C</t>
    </r>
    <r>
      <rPr>
        <sz val="11"/>
        <color indexed="8"/>
        <rFont val="Calibri"/>
        <family val="2"/>
      </rPr>
      <t>⁰</t>
    </r>
  </si>
  <si>
    <t>RH %</t>
  </si>
  <si>
    <t>Avg Outside Temp</t>
  </si>
  <si>
    <t>Banquet Activity</t>
  </si>
  <si>
    <t>Avg</t>
  </si>
  <si>
    <t>Boiler &amp; steam</t>
  </si>
  <si>
    <t>Ball R</t>
  </si>
  <si>
    <t xml:space="preserve">Meeting </t>
  </si>
  <si>
    <t>Cooling Tower</t>
  </si>
  <si>
    <r>
      <t xml:space="preserve">AVG </t>
    </r>
    <r>
      <rPr>
        <sz val="8"/>
        <color indexed="8"/>
        <rFont val="Calibri"/>
        <family val="2"/>
      </rPr>
      <t>chiller KW/Hr</t>
    </r>
  </si>
  <si>
    <t>Total Boiler Runing H</t>
  </si>
  <si>
    <t>Total Steam Runing H</t>
  </si>
  <si>
    <t>Total Boiler
running   H</t>
  </si>
  <si>
    <t>Total Steam
running   H</t>
  </si>
  <si>
    <t>AVE CONSUM</t>
  </si>
  <si>
    <t>Total GEN
running  H</t>
  </si>
  <si>
    <t xml:space="preserve">Actual Diesel
Consumption </t>
  </si>
  <si>
    <t xml:space="preserve">Actual Gas
Consumption </t>
  </si>
  <si>
    <t>Total ELEC
power</t>
  </si>
  <si>
    <t>Gen ELEC
power</t>
  </si>
  <si>
    <t>EDL ELEC
power</t>
  </si>
  <si>
    <t>Chillers
running   H</t>
  </si>
  <si>
    <t>Total Water
delivery</t>
  </si>
  <si>
    <t xml:space="preserve">Total water
consumption </t>
  </si>
  <si>
    <t xml:space="preserve">Total water
in tanks </t>
  </si>
  <si>
    <t xml:space="preserve">Occupancy </t>
  </si>
  <si>
    <t>AVE
TEPM</t>
  </si>
  <si>
    <t>AVE
Humidity</t>
  </si>
  <si>
    <t>Outdoor conditions</t>
  </si>
  <si>
    <t xml:space="preserve">Date </t>
  </si>
  <si>
    <t>AVE TEPM</t>
  </si>
  <si>
    <t>AVE Humidity</t>
  </si>
  <si>
    <t>Room OCC</t>
  </si>
  <si>
    <t>KWH/Rooc</t>
  </si>
  <si>
    <t>outlet</t>
  </si>
  <si>
    <t xml:space="preserve">MIN TEMP </t>
  </si>
  <si>
    <t xml:space="preserve">AVE Humidity </t>
  </si>
  <si>
    <t xml:space="preserve">AVE TEMP </t>
  </si>
  <si>
    <t>Four Seasons Hotel Beirut</t>
  </si>
  <si>
    <t xml:space="preserve">Annual Utility consumption report </t>
  </si>
  <si>
    <t>LOCATION:</t>
  </si>
  <si>
    <t>Four Seasons Beirut</t>
  </si>
  <si>
    <t>Jan</t>
  </si>
  <si>
    <t>Max (A)</t>
  </si>
  <si>
    <t>Min (B)</t>
  </si>
  <si>
    <t>(A+B)/2     -18.3=(C)</t>
  </si>
  <si>
    <t>Feb</t>
  </si>
  <si>
    <t>Mar</t>
  </si>
  <si>
    <t>Apr</t>
  </si>
  <si>
    <t>May</t>
  </si>
  <si>
    <t>Jun</t>
  </si>
  <si>
    <t>Heating degree days</t>
  </si>
  <si>
    <t>Cooling degree days</t>
  </si>
  <si>
    <t>Jul</t>
  </si>
  <si>
    <t>Aug</t>
  </si>
  <si>
    <t>Sep</t>
  </si>
  <si>
    <t>Oct</t>
  </si>
  <si>
    <t>Nov</t>
  </si>
  <si>
    <t>Dec</t>
  </si>
  <si>
    <t>ANNUAL DEGREE DAYS</t>
  </si>
  <si>
    <t>Accurate when inputting is complete</t>
  </si>
  <si>
    <t xml:space="preserve">AVE OCC </t>
  </si>
  <si>
    <t xml:space="preserve"># of OCC Rooms </t>
  </si>
  <si>
    <t>Ball room</t>
  </si>
  <si>
    <t xml:space="preserve">Meeting rooms </t>
  </si>
  <si>
    <t xml:space="preserve">Outlets </t>
  </si>
  <si>
    <t>Total covers</t>
  </si>
  <si>
    <t># of permenant Emp</t>
  </si>
  <si>
    <t xml:space="preserve"># of casuals </t>
  </si>
  <si>
    <t>Total # of EMP</t>
  </si>
  <si>
    <t xml:space="preserve">GENERAL &amp; HOTEL'S INFORMATION SHEET </t>
  </si>
  <si>
    <t># of EMP/OCC Room</t>
  </si>
  <si>
    <t>http://www.accuweather.com/en/lb/beirut</t>
  </si>
  <si>
    <t>EDL</t>
  </si>
  <si>
    <t>Peak</t>
  </si>
  <si>
    <t>Day</t>
  </si>
  <si>
    <t>Night</t>
  </si>
  <si>
    <t>Conso EDL KW</t>
  </si>
  <si>
    <t xml:space="preserve">EDL </t>
  </si>
  <si>
    <t xml:space="preserve">Subscription </t>
  </si>
  <si>
    <t>KVA</t>
  </si>
  <si>
    <t xml:space="preserve">Electricity consumption </t>
  </si>
  <si>
    <t>Price LL</t>
  </si>
  <si>
    <t xml:space="preserve">Index in </t>
  </si>
  <si>
    <t>Index Out</t>
  </si>
  <si>
    <t>Kwh Cost</t>
  </si>
  <si>
    <t>K</t>
  </si>
  <si>
    <t>Kwh</t>
  </si>
  <si>
    <t>Total cost LL</t>
  </si>
  <si>
    <t>Fees</t>
  </si>
  <si>
    <t>day</t>
  </si>
  <si>
    <t xml:space="preserve">VAT </t>
  </si>
  <si>
    <t>$</t>
  </si>
  <si>
    <t xml:space="preserve">Utility Expense </t>
  </si>
  <si>
    <t>Water Truck</t>
  </si>
  <si>
    <t>City Water</t>
  </si>
  <si>
    <t xml:space="preserve">Diesel </t>
  </si>
  <si>
    <t>Gas</t>
  </si>
  <si>
    <t>Electricity</t>
  </si>
  <si>
    <t>Cost /L</t>
  </si>
  <si>
    <t>Rate</t>
  </si>
  <si>
    <t>Cost/L</t>
  </si>
  <si>
    <t xml:space="preserve">Nb Delivery </t>
  </si>
  <si>
    <t xml:space="preserve">NB delivery </t>
  </si>
  <si>
    <t>MTD</t>
  </si>
  <si>
    <t>Cost</t>
  </si>
  <si>
    <t>Total LLP</t>
  </si>
  <si>
    <t>Total per day</t>
  </si>
  <si>
    <t>Qt</t>
  </si>
  <si>
    <t xml:space="preserve">Utility  </t>
  </si>
  <si>
    <t>Budget</t>
  </si>
  <si>
    <t>Diesel Cons Per day</t>
  </si>
  <si>
    <t>ATS-4</t>
  </si>
  <si>
    <t>descriptions</t>
  </si>
  <si>
    <t>STATUS</t>
  </si>
  <si>
    <t>Sensors</t>
  </si>
  <si>
    <t xml:space="preserve">Trip/switching   </t>
  </si>
  <si>
    <t>location</t>
  </si>
  <si>
    <t>Load</t>
  </si>
  <si>
    <t>MDB-3</t>
  </si>
  <si>
    <t>NW 20 H1</t>
  </si>
  <si>
    <t>Main Distribution Board -3</t>
  </si>
  <si>
    <t>DP-MCP</t>
  </si>
  <si>
    <t>NS400A</t>
  </si>
  <si>
    <t>MCC-5B-2</t>
  </si>
  <si>
    <t>NS1000N</t>
  </si>
  <si>
    <t>CHILLER-3</t>
  </si>
  <si>
    <t xml:space="preserve">MCC-5-B1 </t>
  </si>
  <si>
    <t>ATS-5</t>
  </si>
  <si>
    <t>sensors</t>
  </si>
  <si>
    <t xml:space="preserve">Trip/switching  </t>
  </si>
  <si>
    <t>EMDB-2</t>
  </si>
  <si>
    <t>EDP-1F</t>
  </si>
  <si>
    <t>NS630B</t>
  </si>
  <si>
    <t>EDP-1B</t>
  </si>
  <si>
    <t>EDP-2F</t>
  </si>
  <si>
    <t>EDP-R-LIFTS</t>
  </si>
  <si>
    <t>NS800</t>
  </si>
  <si>
    <t>LVBUSBAR -2</t>
  </si>
  <si>
    <t>Bus bar</t>
  </si>
  <si>
    <t>ATS-3</t>
  </si>
  <si>
    <t>Descriptions</t>
  </si>
  <si>
    <t>Status</t>
  </si>
  <si>
    <t>Sensor</t>
  </si>
  <si>
    <t xml:space="preserve">Trip/switching </t>
  </si>
  <si>
    <t>EMDB-1</t>
  </si>
  <si>
    <t>EDP-GF</t>
  </si>
  <si>
    <t>Electrical Panel GF</t>
  </si>
  <si>
    <t>EDP-5B</t>
  </si>
  <si>
    <t>Electrical Panel B5</t>
  </si>
  <si>
    <t>EDP-LAN</t>
  </si>
  <si>
    <t>Electrical Panel laundry</t>
  </si>
  <si>
    <t>EDP-TF1</t>
  </si>
  <si>
    <t>Electrical Panel lower technical</t>
  </si>
  <si>
    <t>EDP-1B-LIFTS</t>
  </si>
  <si>
    <t>Lift B1</t>
  </si>
  <si>
    <t>EDP-14</t>
  </si>
  <si>
    <t>EP 14th floor</t>
  </si>
  <si>
    <t>LV BUSBAR 1</t>
  </si>
  <si>
    <t>ATS-2</t>
  </si>
  <si>
    <t>MDB-2</t>
  </si>
  <si>
    <t>EMCP-CT</t>
  </si>
  <si>
    <t>M</t>
  </si>
  <si>
    <t>EMCP-TF1</t>
  </si>
  <si>
    <t>MCC-5B-3</t>
  </si>
  <si>
    <t>CHILLER-2</t>
  </si>
  <si>
    <t>CHILLER-1</t>
  </si>
  <si>
    <t>ATS1</t>
  </si>
  <si>
    <t>DP-2F</t>
  </si>
  <si>
    <t>Electrical 2nd floor</t>
  </si>
  <si>
    <t xml:space="preserve">DP-1B </t>
  </si>
  <si>
    <t>Electrical B1</t>
  </si>
  <si>
    <t>DP-1F</t>
  </si>
  <si>
    <t>Electrical F1</t>
  </si>
  <si>
    <t>DP-GF</t>
  </si>
  <si>
    <t>Electrical GF</t>
  </si>
  <si>
    <t>DP-LAN</t>
  </si>
  <si>
    <t>JAN</t>
  </si>
  <si>
    <t xml:space="preserve">fuel Consuption </t>
  </si>
  <si>
    <t>Diesel Delivery</t>
  </si>
  <si>
    <t>Cooling Deg</t>
  </si>
  <si>
    <t>Heating Deg</t>
  </si>
  <si>
    <t>Av temp deg C</t>
  </si>
  <si>
    <t>Mechanical panel B1</t>
  </si>
  <si>
    <t>Mechanical B5</t>
  </si>
  <si>
    <t>indicator</t>
  </si>
  <si>
    <t>Emergency Main Distribution Board -2</t>
  </si>
  <si>
    <t>Power panel 1st floor</t>
  </si>
  <si>
    <t>Power panel 1st Basement</t>
  </si>
  <si>
    <t>Power panel 2nnd floor</t>
  </si>
  <si>
    <t>Emergency Main Distribution Board -1</t>
  </si>
  <si>
    <t>Mechanical panel lower technical</t>
  </si>
  <si>
    <t>Mechanical panel B5</t>
  </si>
  <si>
    <t>http://www.accuweather.com/en/lb/lebanon-weather</t>
  </si>
  <si>
    <t>Occ %</t>
  </si>
  <si>
    <t>Gen RH</t>
  </si>
  <si>
    <t>H Deg</t>
  </si>
  <si>
    <t>C Deg</t>
  </si>
  <si>
    <t>Swimming Pool</t>
  </si>
  <si>
    <t>Jacuzzi</t>
  </si>
  <si>
    <t>1.0-1.5</t>
  </si>
  <si>
    <t>7.2-7.4</t>
  </si>
  <si>
    <t>PH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</si>
  <si>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</si>
  <si>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Water meter SW Pool</t>
  </si>
  <si>
    <t>Cons  M3</t>
  </si>
  <si>
    <t>Gen MHW</t>
  </si>
  <si>
    <t>Cosum SW/day</t>
  </si>
  <si>
    <t>Chl</t>
  </si>
  <si>
    <t>T C</t>
  </si>
  <si>
    <t>Per G</t>
  </si>
  <si>
    <t xml:space="preserve">Steam Boiler </t>
  </si>
  <si>
    <t xml:space="preserve">Steam Boiler/day </t>
  </si>
  <si>
    <t>Forecast MTD</t>
  </si>
  <si>
    <t xml:space="preserve"> Estimation MTD</t>
  </si>
  <si>
    <t>Softener Guest</t>
  </si>
  <si>
    <t xml:space="preserve">Guest Sotf/day </t>
  </si>
  <si>
    <t>Softener K&amp;L</t>
  </si>
  <si>
    <t xml:space="preserve">K&amp;L Sotf/day </t>
  </si>
  <si>
    <t xml:space="preserve">K&amp;L /day </t>
  </si>
  <si>
    <t>Guest / day</t>
  </si>
  <si>
    <t>Site Name</t>
  </si>
  <si>
    <t>Month</t>
  </si>
  <si>
    <t>Year</t>
  </si>
  <si>
    <t xml:space="preserve">Room Nights </t>
  </si>
  <si>
    <t>Beirut</t>
  </si>
  <si>
    <t>ATS2 Kwh</t>
  </si>
  <si>
    <t>ATS4 Kwh</t>
  </si>
  <si>
    <t>Guest  (m3)</t>
  </si>
  <si>
    <t>Kitchen &amp; Laundry (m3)</t>
  </si>
  <si>
    <t>ATS1 Kwh</t>
  </si>
  <si>
    <t>ATS3 Kwh</t>
  </si>
  <si>
    <t>ATS5 Kwh</t>
  </si>
  <si>
    <t>Total Electricity Kwh</t>
  </si>
  <si>
    <t>Electricity Tariff ($/Kwh)</t>
  </si>
  <si>
    <t xml:space="preserve">Total Fuel Oil  (Liters) </t>
  </si>
  <si>
    <t>Fuel Oil  $/Liter</t>
  </si>
  <si>
    <t xml:space="preserve">LPG (Kg) </t>
  </si>
  <si>
    <t>LPG $/Kg</t>
  </si>
  <si>
    <t>Water Utility Supply (m3) m3</t>
  </si>
  <si>
    <t>Water Utility Supply (m3) $/m3</t>
  </si>
  <si>
    <t>CH1 RH</t>
  </si>
  <si>
    <t>P</t>
  </si>
  <si>
    <t>D</t>
  </si>
  <si>
    <t>N</t>
  </si>
  <si>
    <t>fee</t>
  </si>
  <si>
    <t>T EDL</t>
  </si>
  <si>
    <t xml:space="preserve">Gen </t>
  </si>
  <si>
    <t>Elc C</t>
  </si>
  <si>
    <t>Fuel Counter Index</t>
  </si>
  <si>
    <t>Diesel L/H</t>
  </si>
  <si>
    <t>Cons /day</t>
  </si>
  <si>
    <t>Total Deisel Cons/day</t>
  </si>
  <si>
    <t>Gen Con /day</t>
  </si>
  <si>
    <t>AVG KW/h</t>
  </si>
  <si>
    <t xml:space="preserve">                                                                                                    </t>
  </si>
  <si>
    <t xml:space="preserve">Boiler B Fuel </t>
  </si>
  <si>
    <t>Steam A Conter</t>
  </si>
  <si>
    <t xml:space="preserve">Liters </t>
  </si>
  <si>
    <t>Geothermal</t>
  </si>
  <si>
    <t>RO water counter</t>
  </si>
  <si>
    <t xml:space="preserve">Total RH </t>
  </si>
  <si>
    <t>RO Cons m3</t>
  </si>
  <si>
    <t>.</t>
  </si>
  <si>
    <t>Last Year MTD</t>
  </si>
  <si>
    <t>Diff MTD /last Y MDT</t>
  </si>
  <si>
    <t xml:space="preserve">Generator RH </t>
  </si>
  <si>
    <t>Max Temp</t>
  </si>
  <si>
    <t>Budget MTD</t>
  </si>
  <si>
    <t>Counter 1</t>
  </si>
  <si>
    <t>Counter 2</t>
  </si>
  <si>
    <t>Total</t>
  </si>
  <si>
    <t>SW</t>
  </si>
  <si>
    <t xml:space="preserve">Fire Tank Counter </t>
  </si>
  <si>
    <t xml:space="preserve">Fire Tank  Level </t>
  </si>
  <si>
    <t>K&amp;L Soft/Day</t>
  </si>
  <si>
    <t>TOTAL RO Production</t>
  </si>
  <si>
    <t>RO 2 RH</t>
  </si>
  <si>
    <t>RO 1  RH</t>
  </si>
  <si>
    <t>RO Guest/ Liter</t>
  </si>
  <si>
    <t>RO  K&amp;L/ Liter</t>
  </si>
  <si>
    <t>Irrigation Water (m3) m3</t>
  </si>
  <si>
    <t>Irrigation water  $/m3</t>
  </si>
  <si>
    <t xml:space="preserve"> </t>
  </si>
  <si>
    <t>Laundry Hot Water Counter</t>
  </si>
  <si>
    <t>Hot Water Cons/day</t>
  </si>
  <si>
    <t>Laundry Cold Water Counter</t>
  </si>
  <si>
    <t>Cold Water Cons/day</t>
  </si>
  <si>
    <t>Laundry Water Total Cons</t>
  </si>
  <si>
    <t>( Heating Degree Days / Cooling Degree Days ) 2020</t>
  </si>
  <si>
    <t xml:space="preserve">Diff MTD /Budget </t>
  </si>
  <si>
    <t xml:space="preserve">RH/DAY </t>
  </si>
  <si>
    <t>Before new counter</t>
  </si>
  <si>
    <t xml:space="preserve">  </t>
  </si>
</sst>
</file>

<file path=xl/styles.xml><?xml version="1.0" encoding="utf-8"?>
<styleSheet xmlns="http://schemas.openxmlformats.org/spreadsheetml/2006/main">
  <numFmts count="23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0_);\(0.00\)"/>
    <numFmt numFmtId="167" formatCode="_(* #,##0_);_(* \(#,##0\);_(* &quot;-&quot;??_);_(@_)"/>
    <numFmt numFmtId="168" formatCode="[$-409]d/mmm;@"/>
    <numFmt numFmtId="169" formatCode="0.0"/>
    <numFmt numFmtId="170" formatCode="0.00_ ;[Red]\-0.00\ "/>
    <numFmt numFmtId="171" formatCode="0_ ;[Red]\-0\ "/>
    <numFmt numFmtId="172" formatCode="[$-409]d\-mmm\-yyyy;@"/>
    <numFmt numFmtId="173" formatCode="0.000"/>
    <numFmt numFmtId="174" formatCode="#,##0.0;[Red]#,##0.0"/>
    <numFmt numFmtId="175" formatCode="_(* #,##0.0000_);_(* \(#,##0.0000\);_(* &quot;-&quot;??_);_(@_)"/>
    <numFmt numFmtId="176" formatCode="0.0000"/>
    <numFmt numFmtId="177" formatCode="0.0000_);\(0.0000\)"/>
    <numFmt numFmtId="178" formatCode="_(* #,##0.000_);_(* \(#,##0.000\);_(* &quot;-&quot;??_);_(@_)"/>
    <numFmt numFmtId="179" formatCode="[$-F800]dddd\,\ mmmm\ dd\,\ yyyy"/>
    <numFmt numFmtId="180" formatCode="[$-F400]h:mm:ss\ AM/PM"/>
    <numFmt numFmtId="181" formatCode="_(&quot;$&quot;* #,##0.0_);_(&quot;$&quot;* \(#,##0.0\);_(&quot;$&quot;* &quot;-&quot;??_);_(@_)"/>
    <numFmt numFmtId="182" formatCode="0.000%"/>
    <numFmt numFmtId="183" formatCode="_(* #,##0.000000_);_(* \(#,##0.000000\);_(* &quot;-&quot;??_);_(@_)"/>
  </numFmts>
  <fonts count="3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2"/>
      <color indexed="8"/>
      <name val="Calibri"/>
      <family val="2"/>
    </font>
    <font>
      <sz val="8"/>
      <color indexed="8"/>
      <name val="Calibri"/>
      <family val="2"/>
    </font>
    <font>
      <b/>
      <sz val="16"/>
      <name val="ＭＳ Ｐゴシック"/>
      <family val="3"/>
      <charset val="128"/>
    </font>
    <font>
      <b/>
      <sz val="11"/>
      <name val="ＭＳ Ｐゴシック"/>
      <charset val="128"/>
    </font>
    <font>
      <sz val="11"/>
      <name val="ＭＳ Ｐゴシック"/>
      <charset val="128"/>
    </font>
    <font>
      <b/>
      <sz val="11"/>
      <name val="ＭＳ Ｐゴシック"/>
    </font>
    <font>
      <b/>
      <sz val="12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name val="ＭＳ Ｐゴシック"/>
      <family val="3"/>
      <charset val="128"/>
    </font>
    <font>
      <sz val="16"/>
      <name val="ＭＳ Ｐゴシック"/>
      <charset val="128"/>
    </font>
    <font>
      <sz val="14"/>
      <name val="ＭＳ Ｐゴシック"/>
      <family val="3"/>
      <charset val="128"/>
    </font>
    <font>
      <sz val="12"/>
      <name val="ＭＳ Ｐゴシック"/>
      <charset val="128"/>
    </font>
    <font>
      <b/>
      <sz val="11"/>
      <color indexed="81"/>
      <name val="Tahoma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u/>
      <sz val="8.8000000000000007"/>
      <color theme="10"/>
      <name val="Calibri"/>
      <family val="2"/>
    </font>
    <font>
      <b/>
      <sz val="12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6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</fills>
  <borders count="7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</cellStyleXfs>
  <cellXfs count="717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/>
    <xf numFmtId="0" fontId="0" fillId="0" borderId="1" xfId="0" applyBorder="1"/>
    <xf numFmtId="16" fontId="0" fillId="0" borderId="1" xfId="0" applyNumberFormat="1" applyBorder="1"/>
    <xf numFmtId="0" fontId="0" fillId="3" borderId="1" xfId="0" applyFill="1" applyBorder="1" applyAlignment="1">
      <alignment horizontal="center"/>
    </xf>
    <xf numFmtId="16" fontId="0" fillId="3" borderId="0" xfId="0" applyNumberFormat="1" applyFill="1"/>
    <xf numFmtId="0" fontId="0" fillId="4" borderId="0" xfId="0" applyFill="1"/>
    <xf numFmtId="0" fontId="0" fillId="5" borderId="0" xfId="0" applyFill="1"/>
    <xf numFmtId="14" fontId="0" fillId="0" borderId="0" xfId="0" applyNumberFormat="1"/>
    <xf numFmtId="2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43" fontId="0" fillId="0" borderId="1" xfId="0" applyNumberFormat="1" applyBorder="1"/>
    <xf numFmtId="0" fontId="0" fillId="10" borderId="1" xfId="0" applyFill="1" applyBorder="1"/>
    <xf numFmtId="0" fontId="0" fillId="0" borderId="0" xfId="0" applyBorder="1"/>
    <xf numFmtId="0" fontId="20" fillId="0" borderId="0" xfId="0" applyFont="1" applyBorder="1" applyAlignment="1">
      <alignment vertical="top" wrapText="1"/>
    </xf>
    <xf numFmtId="3" fontId="21" fillId="0" borderId="0" xfId="0" applyNumberFormat="1" applyFont="1" applyBorder="1" applyAlignment="1">
      <alignment horizontal="left" vertical="top" wrapText="1" indent="1"/>
    </xf>
    <xf numFmtId="0" fontId="0" fillId="0" borderId="0" xfId="0" applyAlignment="1">
      <alignment wrapText="1"/>
    </xf>
    <xf numFmtId="43" fontId="0" fillId="11" borderId="2" xfId="0" applyNumberFormat="1" applyFill="1" applyBorder="1"/>
    <xf numFmtId="0" fontId="0" fillId="0" borderId="3" xfId="0" applyBorder="1"/>
    <xf numFmtId="0" fontId="22" fillId="12" borderId="4" xfId="0" applyFont="1" applyFill="1" applyBorder="1"/>
    <xf numFmtId="43" fontId="23" fillId="12" borderId="5" xfId="0" applyNumberFormat="1" applyFont="1" applyFill="1" applyBorder="1"/>
    <xf numFmtId="0" fontId="0" fillId="2" borderId="1" xfId="0" applyFill="1" applyBorder="1" applyAlignment="1">
      <alignment wrapText="1"/>
    </xf>
    <xf numFmtId="0" fontId="24" fillId="0" borderId="1" xfId="0" applyFont="1" applyBorder="1"/>
    <xf numFmtId="0" fontId="0" fillId="11" borderId="6" xfId="0" applyFill="1" applyBorder="1" applyAlignment="1">
      <alignment horizontal="center" vertical="center" wrapText="1"/>
    </xf>
    <xf numFmtId="0" fontId="0" fillId="0" borderId="2" xfId="0" applyBorder="1"/>
    <xf numFmtId="0" fontId="0" fillId="5" borderId="4" xfId="0" applyFill="1" applyBorder="1"/>
    <xf numFmtId="0" fontId="0" fillId="5" borderId="3" xfId="0" applyFill="1" applyBorder="1"/>
    <xf numFmtId="0" fontId="25" fillId="5" borderId="0" xfId="0" applyFont="1" applyFill="1"/>
    <xf numFmtId="9" fontId="25" fillId="5" borderId="0" xfId="4" applyFont="1" applyFill="1"/>
    <xf numFmtId="0" fontId="24" fillId="4" borderId="0" xfId="0" applyFont="1" applyFill="1"/>
    <xf numFmtId="9" fontId="24" fillId="4" borderId="0" xfId="4" applyFont="1" applyFill="1"/>
    <xf numFmtId="9" fontId="24" fillId="0" borderId="0" xfId="4" applyFont="1"/>
    <xf numFmtId="1" fontId="24" fillId="0" borderId="0" xfId="0" applyNumberFormat="1" applyFont="1"/>
    <xf numFmtId="1" fontId="0" fillId="0" borderId="1" xfId="0" applyNumberFormat="1" applyBorder="1"/>
    <xf numFmtId="1" fontId="24" fillId="0" borderId="1" xfId="0" applyNumberFormat="1" applyFont="1" applyBorder="1"/>
    <xf numFmtId="167" fontId="0" fillId="0" borderId="1" xfId="0" applyNumberFormat="1" applyBorder="1"/>
    <xf numFmtId="167" fontId="0" fillId="0" borderId="0" xfId="0" applyNumberFormat="1"/>
    <xf numFmtId="165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13" borderId="1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5" borderId="8" xfId="0" applyFill="1" applyBorder="1" applyAlignment="1">
      <alignment horizontal="right"/>
    </xf>
    <xf numFmtId="0" fontId="0" fillId="5" borderId="9" xfId="0" applyFill="1" applyBorder="1" applyAlignment="1">
      <alignment horizontal="right"/>
    </xf>
    <xf numFmtId="0" fontId="0" fillId="5" borderId="10" xfId="0" applyFill="1" applyBorder="1" applyAlignment="1">
      <alignment horizontal="right"/>
    </xf>
    <xf numFmtId="43" fontId="18" fillId="5" borderId="11" xfId="1" applyFont="1" applyFill="1" applyBorder="1" applyAlignment="1">
      <alignment horizontal="right"/>
    </xf>
    <xf numFmtId="0" fontId="0" fillId="5" borderId="2" xfId="0" applyFill="1" applyBorder="1" applyAlignment="1">
      <alignment horizontal="right"/>
    </xf>
    <xf numFmtId="0" fontId="0" fillId="5" borderId="1" xfId="0" applyFill="1" applyBorder="1" applyAlignment="1">
      <alignment horizontal="right"/>
    </xf>
    <xf numFmtId="167" fontId="0" fillId="5" borderId="12" xfId="0" applyNumberFormat="1" applyFill="1" applyBorder="1" applyAlignment="1">
      <alignment horizontal="right"/>
    </xf>
    <xf numFmtId="167" fontId="0" fillId="11" borderId="13" xfId="0" applyNumberFormat="1" applyFill="1" applyBorder="1" applyAlignment="1">
      <alignment horizontal="right"/>
    </xf>
    <xf numFmtId="0" fontId="0" fillId="5" borderId="14" xfId="0" applyFill="1" applyBorder="1" applyAlignment="1">
      <alignment horizontal="right"/>
    </xf>
    <xf numFmtId="0" fontId="0" fillId="0" borderId="7" xfId="0" applyBorder="1" applyAlignment="1">
      <alignment horizontal="right"/>
    </xf>
    <xf numFmtId="1" fontId="0" fillId="0" borderId="7" xfId="0" applyNumberFormat="1" applyBorder="1" applyAlignment="1">
      <alignment horizontal="right"/>
    </xf>
    <xf numFmtId="0" fontId="0" fillId="0" borderId="11" xfId="0" applyBorder="1" applyAlignment="1">
      <alignment horizontal="right"/>
    </xf>
    <xf numFmtId="167" fontId="0" fillId="11" borderId="9" xfId="0" applyNumberFormat="1" applyFill="1" applyBorder="1" applyAlignment="1">
      <alignment horizontal="right"/>
    </xf>
    <xf numFmtId="1" fontId="0" fillId="14" borderId="1" xfId="0" applyNumberFormat="1" applyFill="1" applyBorder="1" applyAlignment="1">
      <alignment horizontal="right"/>
    </xf>
    <xf numFmtId="0" fontId="0" fillId="0" borderId="15" xfId="0" applyBorder="1" applyAlignment="1">
      <alignment horizontal="right"/>
    </xf>
    <xf numFmtId="167" fontId="18" fillId="11" borderId="5" xfId="1" applyNumberFormat="1" applyFont="1" applyFill="1" applyBorder="1" applyAlignment="1">
      <alignment horizontal="right"/>
    </xf>
    <xf numFmtId="165" fontId="0" fillId="14" borderId="1" xfId="0" applyNumberFormat="1" applyFill="1" applyBorder="1" applyAlignment="1">
      <alignment horizontal="right"/>
    </xf>
    <xf numFmtId="0" fontId="23" fillId="14" borderId="1" xfId="0" applyFont="1" applyFill="1" applyBorder="1" applyAlignment="1">
      <alignment horizontal="right"/>
    </xf>
    <xf numFmtId="0" fontId="0" fillId="5" borderId="12" xfId="0" applyFill="1" applyBorder="1" applyAlignment="1">
      <alignment horizontal="right"/>
    </xf>
    <xf numFmtId="1" fontId="0" fillId="5" borderId="5" xfId="0" applyNumberFormat="1" applyFill="1" applyBorder="1" applyAlignment="1">
      <alignment horizontal="right"/>
    </xf>
    <xf numFmtId="167" fontId="18" fillId="5" borderId="12" xfId="1" applyNumberFormat="1" applyFont="1" applyFill="1" applyBorder="1" applyAlignment="1">
      <alignment horizontal="right"/>
    </xf>
    <xf numFmtId="43" fontId="18" fillId="0" borderId="0" xfId="1" applyFont="1" applyAlignment="1">
      <alignment horizontal="right"/>
    </xf>
    <xf numFmtId="0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0" fillId="2" borderId="0" xfId="0" applyFill="1" applyBorder="1" applyAlignment="1">
      <alignment wrapText="1"/>
    </xf>
    <xf numFmtId="167" fontId="18" fillId="0" borderId="0" xfId="1" applyNumberFormat="1" applyFont="1" applyBorder="1"/>
    <xf numFmtId="0" fontId="0" fillId="0" borderId="0" xfId="0" applyAlignment="1">
      <alignment vertical="center"/>
    </xf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0" fillId="15" borderId="1" xfId="0" applyFill="1" applyBorder="1" applyAlignment="1">
      <alignment vertical="center"/>
    </xf>
    <xf numFmtId="0" fontId="0" fillId="18" borderId="1" xfId="0" applyFill="1" applyBorder="1"/>
    <xf numFmtId="0" fontId="0" fillId="0" borderId="1" xfId="0" applyBorder="1" applyAlignment="1">
      <alignment horizontal="center" vertical="center"/>
    </xf>
    <xf numFmtId="0" fontId="0" fillId="0" borderId="0" xfId="0" applyFill="1"/>
    <xf numFmtId="43" fontId="0" fillId="0" borderId="0" xfId="0" applyNumberFormat="1"/>
    <xf numFmtId="0" fontId="0" fillId="3" borderId="12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11" borderId="16" xfId="0" applyFill="1" applyBorder="1" applyAlignment="1">
      <alignment horizontal="center" wrapText="1"/>
    </xf>
    <xf numFmtId="3" fontId="0" fillId="0" borderId="0" xfId="0" applyNumberFormat="1" applyBorder="1"/>
    <xf numFmtId="14" fontId="0" fillId="3" borderId="0" xfId="0" applyNumberFormat="1" applyFill="1"/>
    <xf numFmtId="0" fontId="0" fillId="3" borderId="6" xfId="0" applyFill="1" applyBorder="1" applyAlignment="1">
      <alignment horizontal="center"/>
    </xf>
    <xf numFmtId="0" fontId="20" fillId="0" borderId="17" xfId="0" applyFont="1" applyBorder="1" applyAlignment="1">
      <alignment vertical="top" wrapText="1"/>
    </xf>
    <xf numFmtId="0" fontId="20" fillId="0" borderId="18" xfId="0" applyFont="1" applyBorder="1" applyAlignment="1">
      <alignment vertical="top" wrapText="1"/>
    </xf>
    <xf numFmtId="0" fontId="20" fillId="0" borderId="19" xfId="0" applyFont="1" applyBorder="1" applyAlignment="1">
      <alignment vertical="top" wrapText="1"/>
    </xf>
    <xf numFmtId="0" fontId="20" fillId="11" borderId="20" xfId="0" applyFont="1" applyFill="1" applyBorder="1" applyAlignment="1">
      <alignment vertical="top" wrapText="1"/>
    </xf>
    <xf numFmtId="0" fontId="20" fillId="11" borderId="21" xfId="0" applyFont="1" applyFill="1" applyBorder="1" applyAlignment="1">
      <alignment vertical="top" wrapText="1"/>
    </xf>
    <xf numFmtId="0" fontId="20" fillId="11" borderId="16" xfId="0" applyFont="1" applyFill="1" applyBorder="1" applyAlignment="1">
      <alignment vertical="top" wrapText="1"/>
    </xf>
    <xf numFmtId="0" fontId="26" fillId="0" borderId="0" xfId="0" applyFont="1" applyFill="1"/>
    <xf numFmtId="43" fontId="0" fillId="0" borderId="0" xfId="0" applyNumberFormat="1" applyFill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14" fontId="0" fillId="0" borderId="1" xfId="0" applyNumberFormat="1" applyBorder="1"/>
    <xf numFmtId="10" fontId="0" fillId="0" borderId="1" xfId="0" applyNumberFormat="1" applyBorder="1"/>
    <xf numFmtId="43" fontId="18" fillId="0" borderId="0" xfId="1" applyFont="1"/>
    <xf numFmtId="0" fontId="0" fillId="19" borderId="1" xfId="0" applyFill="1" applyBorder="1"/>
    <xf numFmtId="2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22" xfId="0" applyFont="1" applyBorder="1" applyAlignment="1">
      <alignment horizontal="center"/>
    </xf>
    <xf numFmtId="0" fontId="8" fillId="0" borderId="22" xfId="0" applyFont="1" applyBorder="1"/>
    <xf numFmtId="0" fontId="5" fillId="0" borderId="22" xfId="0" applyFont="1" applyBorder="1"/>
    <xf numFmtId="2" fontId="0" fillId="0" borderId="22" xfId="0" applyNumberFormat="1" applyBorder="1"/>
    <xf numFmtId="0" fontId="5" fillId="0" borderId="22" xfId="0" applyFont="1" applyBorder="1" applyAlignment="1">
      <alignment horizontal="right"/>
    </xf>
    <xf numFmtId="2" fontId="5" fillId="0" borderId="22" xfId="0" applyNumberFormat="1" applyFont="1" applyBorder="1"/>
    <xf numFmtId="0" fontId="6" fillId="0" borderId="22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7" xfId="0" applyFont="1" applyBorder="1" applyAlignment="1">
      <alignment wrapText="1"/>
    </xf>
    <xf numFmtId="2" fontId="9" fillId="0" borderId="7" xfId="0" applyNumberFormat="1" applyFont="1" applyBorder="1" applyAlignment="1">
      <alignment wrapText="1"/>
    </xf>
    <xf numFmtId="2" fontId="10" fillId="0" borderId="7" xfId="0" applyNumberFormat="1" applyFont="1" applyBorder="1" applyAlignment="1">
      <alignment wrapText="1"/>
    </xf>
    <xf numFmtId="0" fontId="9" fillId="0" borderId="0" xfId="0" applyFont="1"/>
    <xf numFmtId="0" fontId="6" fillId="0" borderId="1" xfId="0" applyFont="1" applyBorder="1" applyAlignment="1">
      <alignment horizontal="center"/>
    </xf>
    <xf numFmtId="169" fontId="0" fillId="0" borderId="1" xfId="0" applyNumberFormat="1" applyBorder="1"/>
    <xf numFmtId="170" fontId="0" fillId="0" borderId="1" xfId="0" applyNumberFormat="1" applyBorder="1"/>
    <xf numFmtId="0" fontId="6" fillId="0" borderId="23" xfId="0" applyFont="1" applyBorder="1" applyAlignment="1">
      <alignment horizontal="center"/>
    </xf>
    <xf numFmtId="170" fontId="0" fillId="0" borderId="24" xfId="0" applyNumberFormat="1" applyBorder="1"/>
    <xf numFmtId="170" fontId="0" fillId="0" borderId="23" xfId="0" applyNumberFormat="1" applyBorder="1"/>
    <xf numFmtId="0" fontId="6" fillId="0" borderId="25" xfId="0" applyFont="1" applyBorder="1" applyAlignment="1">
      <alignment horizontal="center"/>
    </xf>
    <xf numFmtId="169" fontId="0" fillId="0" borderId="26" xfId="0" applyNumberFormat="1" applyBorder="1"/>
    <xf numFmtId="0" fontId="10" fillId="0" borderId="27" xfId="0" applyFont="1" applyBorder="1" applyAlignment="1">
      <alignment horizontal="center" wrapText="1"/>
    </xf>
    <xf numFmtId="169" fontId="10" fillId="0" borderId="1" xfId="0" applyNumberFormat="1" applyFont="1" applyBorder="1" applyAlignment="1">
      <alignment wrapText="1"/>
    </xf>
    <xf numFmtId="170" fontId="10" fillId="0" borderId="28" xfId="0" applyNumberFormat="1" applyFont="1" applyBorder="1" applyAlignment="1">
      <alignment wrapText="1"/>
    </xf>
    <xf numFmtId="0" fontId="10" fillId="0" borderId="0" xfId="0" applyFont="1" applyAlignment="1">
      <alignment wrapText="1"/>
    </xf>
    <xf numFmtId="0" fontId="6" fillId="0" borderId="27" xfId="0" applyFont="1" applyBorder="1" applyAlignment="1">
      <alignment horizontal="center"/>
    </xf>
    <xf numFmtId="170" fontId="0" fillId="0" borderId="28" xfId="0" applyNumberFormat="1" applyBorder="1"/>
    <xf numFmtId="0" fontId="6" fillId="0" borderId="8" xfId="0" applyFont="1" applyBorder="1" applyAlignment="1">
      <alignment horizontal="center"/>
    </xf>
    <xf numFmtId="0" fontId="0" fillId="0" borderId="22" xfId="0" applyBorder="1"/>
    <xf numFmtId="170" fontId="0" fillId="0" borderId="14" xfId="0" applyNumberFormat="1" applyBorder="1"/>
    <xf numFmtId="170" fontId="0" fillId="0" borderId="0" xfId="0" applyNumberFormat="1"/>
    <xf numFmtId="170" fontId="0" fillId="0" borderId="22" xfId="0" applyNumberFormat="1" applyBorder="1"/>
    <xf numFmtId="170" fontId="5" fillId="0" borderId="22" xfId="0" applyNumberFormat="1" applyFont="1" applyBorder="1"/>
    <xf numFmtId="0" fontId="11" fillId="0" borderId="7" xfId="0" applyFont="1" applyBorder="1" applyAlignment="1">
      <alignment horizontal="center"/>
    </xf>
    <xf numFmtId="170" fontId="10" fillId="0" borderId="7" xfId="0" applyNumberFormat="1" applyFont="1" applyBorder="1" applyAlignment="1">
      <alignment wrapText="1"/>
    </xf>
    <xf numFmtId="2" fontId="0" fillId="0" borderId="14" xfId="0" applyNumberFormat="1" applyBorder="1"/>
    <xf numFmtId="170" fontId="0" fillId="0" borderId="0" xfId="0" applyNumberFormat="1" applyBorder="1"/>
    <xf numFmtId="0" fontId="6" fillId="0" borderId="0" xfId="0" applyFont="1" applyBorder="1" applyAlignment="1">
      <alignment horizontal="center"/>
    </xf>
    <xf numFmtId="171" fontId="5" fillId="0" borderId="6" xfId="0" applyNumberFormat="1" applyFont="1" applyBorder="1"/>
    <xf numFmtId="0" fontId="11" fillId="0" borderId="0" xfId="0" applyFont="1" applyBorder="1" applyAlignment="1">
      <alignment horizontal="center" wrapText="1"/>
    </xf>
    <xf numFmtId="170" fontId="13" fillId="0" borderId="0" xfId="0" applyNumberFormat="1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 applyAlignment="1">
      <alignment horizontal="center"/>
    </xf>
    <xf numFmtId="0" fontId="0" fillId="0" borderId="29" xfId="0" applyBorder="1"/>
    <xf numFmtId="0" fontId="24" fillId="0" borderId="29" xfId="0" applyFont="1" applyBorder="1"/>
    <xf numFmtId="0" fontId="27" fillId="0" borderId="23" xfId="0" applyFont="1" applyBorder="1"/>
    <xf numFmtId="0" fontId="27" fillId="0" borderId="25" xfId="0" applyFont="1" applyBorder="1"/>
    <xf numFmtId="0" fontId="0" fillId="0" borderId="24" xfId="0" applyBorder="1"/>
    <xf numFmtId="0" fontId="27" fillId="0" borderId="24" xfId="0" applyFont="1" applyBorder="1"/>
    <xf numFmtId="0" fontId="0" fillId="14" borderId="0" xfId="0" applyFill="1"/>
    <xf numFmtId="0" fontId="0" fillId="0" borderId="30" xfId="0" applyFont="1" applyBorder="1"/>
    <xf numFmtId="0" fontId="24" fillId="0" borderId="12" xfId="0" applyFont="1" applyBorder="1"/>
    <xf numFmtId="0" fontId="0" fillId="0" borderId="29" xfId="0" applyFon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wrapText="1"/>
    </xf>
    <xf numFmtId="170" fontId="19" fillId="0" borderId="0" xfId="3" applyNumberFormat="1" applyAlignment="1" applyProtection="1"/>
    <xf numFmtId="0" fontId="0" fillId="16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4" fillId="14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4" fillId="0" borderId="31" xfId="0" applyFont="1" applyBorder="1" applyAlignment="1">
      <alignment horizontal="center" vertical="center" wrapText="1"/>
    </xf>
    <xf numFmtId="17" fontId="24" fillId="0" borderId="32" xfId="0" applyNumberFormat="1" applyFont="1" applyBorder="1" applyAlignment="1">
      <alignment horizontal="center" vertical="center" wrapText="1"/>
    </xf>
    <xf numFmtId="0" fontId="0" fillId="0" borderId="32" xfId="0" applyBorder="1"/>
    <xf numFmtId="0" fontId="24" fillId="0" borderId="32" xfId="0" applyFont="1" applyBorder="1"/>
    <xf numFmtId="0" fontId="0" fillId="0" borderId="1" xfId="0" applyBorder="1" applyAlignment="1">
      <alignment horizontal="center"/>
    </xf>
    <xf numFmtId="0" fontId="25" fillId="0" borderId="15" xfId="0" applyFont="1" applyBorder="1" applyAlignment="1">
      <alignment horizontal="center" vertical="center" wrapText="1"/>
    </xf>
    <xf numFmtId="43" fontId="18" fillId="0" borderId="1" xfId="1" applyFont="1" applyBorder="1"/>
    <xf numFmtId="0" fontId="0" fillId="0" borderId="15" xfId="0" applyBorder="1"/>
    <xf numFmtId="0" fontId="0" fillId="0" borderId="33" xfId="0" applyBorder="1"/>
    <xf numFmtId="0" fontId="0" fillId="0" borderId="34" xfId="0" applyBorder="1"/>
    <xf numFmtId="43" fontId="0" fillId="3" borderId="0" xfId="0" applyNumberFormat="1" applyFill="1" applyBorder="1" applyAlignment="1">
      <alignment horizontal="center" vertical="center"/>
    </xf>
    <xf numFmtId="44" fontId="18" fillId="0" borderId="0" xfId="2" applyFont="1"/>
    <xf numFmtId="0" fontId="0" fillId="0" borderId="1" xfId="0" applyBorder="1" applyAlignment="1">
      <alignment horizontal="center" vertical="center" wrapText="1"/>
    </xf>
    <xf numFmtId="0" fontId="0" fillId="20" borderId="1" xfId="0" applyFill="1" applyBorder="1" applyAlignment="1">
      <alignment horizontal="right"/>
    </xf>
    <xf numFmtId="0" fontId="24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44" fontId="24" fillId="0" borderId="1" xfId="0" applyNumberFormat="1" applyFont="1" applyBorder="1"/>
    <xf numFmtId="44" fontId="28" fillId="0" borderId="1" xfId="2" applyFont="1" applyBorder="1"/>
    <xf numFmtId="0" fontId="0" fillId="21" borderId="1" xfId="0" applyFill="1" applyBorder="1"/>
    <xf numFmtId="44" fontId="18" fillId="21" borderId="1" xfId="2" applyFont="1" applyFill="1" applyBorder="1"/>
    <xf numFmtId="43" fontId="0" fillId="21" borderId="1" xfId="0" applyNumberFormat="1" applyFill="1" applyBorder="1"/>
    <xf numFmtId="0" fontId="0" fillId="3" borderId="1" xfId="0" applyFill="1" applyBorder="1"/>
    <xf numFmtId="44" fontId="18" fillId="3" borderId="1" xfId="2" applyFont="1" applyFill="1" applyBorder="1"/>
    <xf numFmtId="44" fontId="0" fillId="3" borderId="1" xfId="0" applyNumberFormat="1" applyFill="1" applyBorder="1"/>
    <xf numFmtId="43" fontId="18" fillId="3" borderId="1" xfId="1" applyFont="1" applyFill="1" applyBorder="1"/>
    <xf numFmtId="43" fontId="18" fillId="2" borderId="1" xfId="1" applyFont="1" applyFill="1" applyBorder="1"/>
    <xf numFmtId="44" fontId="18" fillId="2" borderId="1" xfId="2" applyFont="1" applyFill="1" applyBorder="1"/>
    <xf numFmtId="0" fontId="0" fillId="22" borderId="1" xfId="0" applyFill="1" applyBorder="1"/>
    <xf numFmtId="43" fontId="18" fillId="22" borderId="1" xfId="1" applyFont="1" applyFill="1" applyBorder="1"/>
    <xf numFmtId="44" fontId="18" fillId="22" borderId="1" xfId="2" applyFont="1" applyFill="1" applyBorder="1"/>
    <xf numFmtId="17" fontId="0" fillId="0" borderId="1" xfId="0" applyNumberForma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0" fillId="0" borderId="1" xfId="0" applyFont="1" applyBorder="1"/>
    <xf numFmtId="167" fontId="18" fillId="0" borderId="1" xfId="1" applyNumberFormat="1" applyFont="1" applyBorder="1"/>
    <xf numFmtId="1" fontId="24" fillId="0" borderId="1" xfId="0" applyNumberFormat="1" applyFont="1" applyBorder="1" applyAlignment="1">
      <alignment horizontal="center"/>
    </xf>
    <xf numFmtId="0" fontId="0" fillId="23" borderId="17" xfId="0" applyFill="1" applyBorder="1" applyAlignment="1">
      <alignment horizontal="center"/>
    </xf>
    <xf numFmtId="0" fontId="0" fillId="23" borderId="18" xfId="0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1" xfId="0" applyFill="1" applyBorder="1" applyAlignment="1">
      <alignment horizontal="center"/>
    </xf>
    <xf numFmtId="0" fontId="0" fillId="24" borderId="23" xfId="0" applyFill="1" applyBorder="1" applyAlignment="1">
      <alignment horizontal="center"/>
    </xf>
    <xf numFmtId="1" fontId="0" fillId="0" borderId="0" xfId="0" applyNumberFormat="1"/>
    <xf numFmtId="9" fontId="18" fillId="0" borderId="1" xfId="4" applyFont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43" fontId="18" fillId="6" borderId="0" xfId="1" applyFont="1" applyFill="1" applyBorder="1" applyAlignment="1">
      <alignment horizontal="center" wrapText="1"/>
    </xf>
    <xf numFmtId="43" fontId="18" fillId="0" borderId="22" xfId="1" applyFont="1" applyBorder="1" applyAlignment="1">
      <alignment horizontal="right"/>
    </xf>
    <xf numFmtId="43" fontId="18" fillId="0" borderId="35" xfId="1" applyFont="1" applyBorder="1" applyAlignment="1">
      <alignment horizontal="right"/>
    </xf>
    <xf numFmtId="1" fontId="0" fillId="0" borderId="0" xfId="0" applyNumberFormat="1" applyFill="1" applyBorder="1" applyAlignment="1">
      <alignment horizontal="center" vertical="center"/>
    </xf>
    <xf numFmtId="9" fontId="18" fillId="0" borderId="0" xfId="4" applyFont="1"/>
    <xf numFmtId="10" fontId="0" fillId="0" borderId="0" xfId="0" applyNumberFormat="1"/>
    <xf numFmtId="0" fontId="0" fillId="0" borderId="36" xfId="0" applyBorder="1" applyAlignment="1"/>
    <xf numFmtId="0" fontId="0" fillId="0" borderId="26" xfId="0" applyBorder="1" applyAlignment="1"/>
    <xf numFmtId="0" fontId="0" fillId="0" borderId="24" xfId="0" applyBorder="1" applyAlignment="1"/>
    <xf numFmtId="0" fontId="0" fillId="0" borderId="37" xfId="0" applyBorder="1" applyAlignment="1"/>
    <xf numFmtId="0" fontId="0" fillId="0" borderId="0" xfId="0" applyBorder="1" applyAlignment="1"/>
    <xf numFmtId="0" fontId="0" fillId="0" borderId="28" xfId="0" applyBorder="1" applyAlignment="1"/>
    <xf numFmtId="0" fontId="0" fillId="0" borderId="38" xfId="0" applyBorder="1" applyAlignment="1"/>
    <xf numFmtId="0" fontId="0" fillId="0" borderId="39" xfId="0" applyBorder="1" applyAlignment="1"/>
    <xf numFmtId="44" fontId="0" fillId="0" borderId="1" xfId="0" applyNumberFormat="1" applyBorder="1"/>
    <xf numFmtId="167" fontId="18" fillId="0" borderId="0" xfId="1" applyNumberFormat="1" applyFont="1" applyBorder="1" applyAlignment="1"/>
    <xf numFmtId="9" fontId="18" fillId="0" borderId="1" xfId="4" applyNumberFormat="1" applyFont="1" applyBorder="1" applyAlignment="1">
      <alignment horizontal="center" vertical="center"/>
    </xf>
    <xf numFmtId="9" fontId="18" fillId="4" borderId="0" xfId="4" applyFont="1" applyFill="1"/>
    <xf numFmtId="10" fontId="18" fillId="16" borderId="0" xfId="4" applyNumberFormat="1" applyFont="1" applyFill="1" applyBorder="1" applyAlignment="1">
      <alignment horizontal="center" vertical="center"/>
    </xf>
    <xf numFmtId="4" fontId="21" fillId="0" borderId="0" xfId="0" applyNumberFormat="1" applyFont="1" applyBorder="1" applyAlignment="1">
      <alignment horizontal="center" vertical="top" wrapText="1"/>
    </xf>
    <xf numFmtId="43" fontId="0" fillId="11" borderId="24" xfId="0" applyNumberFormat="1" applyFill="1" applyBorder="1"/>
    <xf numFmtId="2" fontId="0" fillId="0" borderId="0" xfId="0" applyNumberFormat="1" applyBorder="1"/>
    <xf numFmtId="0" fontId="0" fillId="0" borderId="40" xfId="0" applyBorder="1"/>
    <xf numFmtId="0" fontId="0" fillId="0" borderId="38" xfId="0" applyBorder="1"/>
    <xf numFmtId="0" fontId="20" fillId="0" borderId="62" xfId="0" applyFont="1" applyBorder="1" applyAlignment="1">
      <alignment vertical="top" wrapText="1"/>
    </xf>
    <xf numFmtId="0" fontId="20" fillId="0" borderId="63" xfId="0" applyFont="1" applyBorder="1" applyAlignment="1">
      <alignment vertical="top" wrapText="1"/>
    </xf>
    <xf numFmtId="0" fontId="20" fillId="0" borderId="64" xfId="0" applyFont="1" applyBorder="1" applyAlignment="1">
      <alignment vertical="top" wrapText="1"/>
    </xf>
    <xf numFmtId="0" fontId="20" fillId="0" borderId="65" xfId="0" applyFont="1" applyBorder="1" applyAlignment="1">
      <alignment vertical="top" wrapText="1"/>
    </xf>
    <xf numFmtId="0" fontId="29" fillId="0" borderId="0" xfId="0" applyFont="1" applyBorder="1"/>
    <xf numFmtId="0" fontId="29" fillId="0" borderId="41" xfId="0" applyFont="1" applyBorder="1" applyAlignment="1">
      <alignment horizontal="center" vertical="center"/>
    </xf>
    <xf numFmtId="0" fontId="29" fillId="0" borderId="20" xfId="0" applyFont="1" applyBorder="1"/>
    <xf numFmtId="0" fontId="29" fillId="0" borderId="42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172" fontId="0" fillId="0" borderId="13" xfId="0" applyNumberFormat="1" applyBorder="1" applyAlignment="1">
      <alignment horizontal="center" vertical="center"/>
    </xf>
    <xf numFmtId="1" fontId="24" fillId="0" borderId="7" xfId="0" applyNumberFormat="1" applyFont="1" applyBorder="1"/>
    <xf numFmtId="0" fontId="0" fillId="0" borderId="12" xfId="0" applyBorder="1"/>
    <xf numFmtId="43" fontId="18" fillId="17" borderId="1" xfId="1" applyFont="1" applyFill="1" applyBorder="1"/>
    <xf numFmtId="0" fontId="29" fillId="0" borderId="6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4" fillId="0" borderId="1" xfId="0" applyFont="1" applyBorder="1" applyAlignment="1">
      <alignment horizontal="center" vertical="center" wrapText="1"/>
    </xf>
    <xf numFmtId="0" fontId="24" fillId="0" borderId="43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167" fontId="18" fillId="0" borderId="15" xfId="1" applyNumberFormat="1" applyFont="1" applyBorder="1"/>
    <xf numFmtId="0" fontId="24" fillId="0" borderId="0" xfId="0" applyFont="1"/>
    <xf numFmtId="0" fontId="24" fillId="0" borderId="31" xfId="0" applyFont="1" applyBorder="1"/>
    <xf numFmtId="0" fontId="24" fillId="0" borderId="15" xfId="0" applyFont="1" applyBorder="1"/>
    <xf numFmtId="0" fontId="0" fillId="0" borderId="37" xfId="0" applyBorder="1"/>
    <xf numFmtId="0" fontId="0" fillId="0" borderId="43" xfId="0" applyBorder="1" applyAlignment="1">
      <alignment horizontal="center"/>
    </xf>
    <xf numFmtId="0" fontId="24" fillId="0" borderId="44" xfId="0" applyFont="1" applyBorder="1"/>
    <xf numFmtId="0" fontId="24" fillId="0" borderId="23" xfId="0" applyFont="1" applyBorder="1"/>
    <xf numFmtId="43" fontId="24" fillId="0" borderId="33" xfId="0" applyNumberFormat="1" applyFont="1" applyBorder="1"/>
    <xf numFmtId="0" fontId="29" fillId="0" borderId="16" xfId="0" applyFont="1" applyBorder="1" applyAlignment="1">
      <alignment wrapText="1"/>
    </xf>
    <xf numFmtId="0" fontId="29" fillId="0" borderId="6" xfId="0" applyFont="1" applyBorder="1" applyAlignment="1">
      <alignment wrapText="1"/>
    </xf>
    <xf numFmtId="0" fontId="29" fillId="0" borderId="0" xfId="0" applyFont="1" applyBorder="1" applyAlignment="1">
      <alignment wrapText="1"/>
    </xf>
    <xf numFmtId="43" fontId="0" fillId="0" borderId="28" xfId="0" applyNumberFormat="1" applyBorder="1" applyAlignment="1"/>
    <xf numFmtId="0" fontId="24" fillId="0" borderId="45" xfId="0" applyFont="1" applyFill="1" applyBorder="1"/>
    <xf numFmtId="0" fontId="0" fillId="14" borderId="1" xfId="0" applyNumberFormat="1" applyFill="1" applyBorder="1" applyAlignment="1">
      <alignment horizontal="right"/>
    </xf>
    <xf numFmtId="2" fontId="24" fillId="0" borderId="7" xfId="0" applyNumberFormat="1" applyFont="1" applyBorder="1"/>
    <xf numFmtId="0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166" fontId="0" fillId="3" borderId="1" xfId="0" applyNumberFormat="1" applyFill="1" applyBorder="1" applyAlignment="1">
      <alignment horizontal="center" vertical="center"/>
    </xf>
    <xf numFmtId="167" fontId="18" fillId="24" borderId="0" xfId="1" applyNumberFormat="1" applyFont="1" applyFill="1" applyBorder="1"/>
    <xf numFmtId="0" fontId="0" fillId="0" borderId="0" xfId="0" applyAlignment="1">
      <alignment horizontal="center"/>
    </xf>
    <xf numFmtId="0" fontId="0" fillId="24" borderId="1" xfId="0" applyFill="1" applyBorder="1" applyAlignment="1">
      <alignment horizontal="right"/>
    </xf>
    <xf numFmtId="41" fontId="0" fillId="0" borderId="1" xfId="0" applyNumberFormat="1" applyBorder="1"/>
    <xf numFmtId="0" fontId="0" fillId="24" borderId="1" xfId="0" applyFill="1" applyBorder="1"/>
    <xf numFmtId="174" fontId="0" fillId="0" borderId="1" xfId="0" applyNumberFormat="1" applyBorder="1"/>
    <xf numFmtId="0" fontId="0" fillId="0" borderId="0" xfId="0" applyFont="1" applyAlignment="1">
      <alignment wrapText="1"/>
    </xf>
    <xf numFmtId="0" fontId="23" fillId="3" borderId="12" xfId="0" applyFont="1" applyFill="1" applyBorder="1" applyAlignment="1">
      <alignment horizontal="center"/>
    </xf>
    <xf numFmtId="0" fontId="0" fillId="0" borderId="40" xfId="0" applyBorder="1" applyAlignment="1"/>
    <xf numFmtId="44" fontId="0" fillId="0" borderId="0" xfId="0" applyNumberFormat="1"/>
    <xf numFmtId="14" fontId="0" fillId="24" borderId="1" xfId="0" applyNumberFormat="1" applyFill="1" applyBorder="1" applyAlignment="1">
      <alignment horizontal="center"/>
    </xf>
    <xf numFmtId="9" fontId="18" fillId="0" borderId="1" xfId="4" applyFont="1" applyBorder="1" applyAlignment="1">
      <alignment horizontal="center" vertical="center"/>
    </xf>
    <xf numFmtId="44" fontId="18" fillId="21" borderId="1" xfId="2" applyFont="1" applyFill="1" applyBorder="1"/>
    <xf numFmtId="0" fontId="18" fillId="0" borderId="1" xfId="4" applyNumberFormat="1" applyFont="1" applyBorder="1" applyAlignment="1">
      <alignment horizontal="center" vertical="center"/>
    </xf>
    <xf numFmtId="0" fontId="24" fillId="0" borderId="7" xfId="0" applyFont="1" applyBorder="1"/>
    <xf numFmtId="9" fontId="18" fillId="0" borderId="1" xfId="4" applyFont="1" applyBorder="1"/>
    <xf numFmtId="1" fontId="30" fillId="5" borderId="8" xfId="0" applyNumberFormat="1" applyFont="1" applyFill="1" applyBorder="1" applyAlignment="1">
      <alignment horizontal="right"/>
    </xf>
    <xf numFmtId="1" fontId="30" fillId="0" borderId="6" xfId="0" applyNumberFormat="1" applyFont="1" applyFill="1" applyBorder="1" applyAlignment="1">
      <alignment horizontal="right" wrapText="1"/>
    </xf>
    <xf numFmtId="1" fontId="24" fillId="0" borderId="0" xfId="0" applyNumberFormat="1" applyFont="1" applyAlignment="1">
      <alignment horizontal="right"/>
    </xf>
    <xf numFmtId="1" fontId="0" fillId="5" borderId="12" xfId="0" applyNumberFormat="1" applyFill="1" applyBorder="1" applyAlignment="1">
      <alignment horizontal="right"/>
    </xf>
    <xf numFmtId="167" fontId="18" fillId="0" borderId="1" xfId="1" applyNumberFormat="1" applyFont="1" applyBorder="1"/>
    <xf numFmtId="0" fontId="0" fillId="2" borderId="12" xfId="0" applyFill="1" applyBorder="1" applyAlignment="1">
      <alignment wrapText="1"/>
    </xf>
    <xf numFmtId="167" fontId="18" fillId="25" borderId="1" xfId="1" applyNumberFormat="1" applyFont="1" applyFill="1" applyBorder="1"/>
    <xf numFmtId="41" fontId="23" fillId="25" borderId="1" xfId="0" applyNumberFormat="1" applyFont="1" applyFill="1" applyBorder="1"/>
    <xf numFmtId="173" fontId="0" fillId="0" borderId="0" xfId="0" applyNumberFormat="1"/>
    <xf numFmtId="1" fontId="0" fillId="25" borderId="1" xfId="0" applyNumberFormat="1" applyFill="1" applyBorder="1"/>
    <xf numFmtId="43" fontId="18" fillId="0" borderId="1" xfId="1" applyFont="1" applyBorder="1" applyAlignment="1">
      <alignment horizontal="center" vertical="center"/>
    </xf>
    <xf numFmtId="43" fontId="18" fillId="0" borderId="0" xfId="1" applyFont="1" applyAlignment="1">
      <alignment horizontal="right"/>
    </xf>
    <xf numFmtId="43" fontId="18" fillId="0" borderId="0" xfId="1" applyFont="1"/>
    <xf numFmtId="44" fontId="18" fillId="0" borderId="0" xfId="2" applyFont="1"/>
    <xf numFmtId="167" fontId="18" fillId="0" borderId="0" xfId="1" applyNumberFormat="1" applyFont="1"/>
    <xf numFmtId="44" fontId="18" fillId="3" borderId="1" xfId="2" applyFont="1" applyFill="1" applyBorder="1" applyAlignment="1">
      <alignment horizontal="center" vertical="center"/>
    </xf>
    <xf numFmtId="44" fontId="0" fillId="3" borderId="1" xfId="0" applyNumberFormat="1" applyFill="1" applyBorder="1" applyAlignment="1">
      <alignment horizontal="center" vertical="center"/>
    </xf>
    <xf numFmtId="43" fontId="24" fillId="14" borderId="1" xfId="1" applyFont="1" applyFill="1" applyBorder="1" applyAlignment="1">
      <alignment horizontal="center" vertical="center"/>
    </xf>
    <xf numFmtId="43" fontId="18" fillId="3" borderId="1" xfId="1" applyFont="1" applyFill="1" applyBorder="1" applyAlignment="1">
      <alignment horizontal="center" vertical="center"/>
    </xf>
    <xf numFmtId="43" fontId="18" fillId="3" borderId="0" xfId="1" applyFont="1" applyFill="1" applyBorder="1" applyAlignment="1">
      <alignment horizontal="center" vertical="center"/>
    </xf>
    <xf numFmtId="43" fontId="18" fillId="16" borderId="0" xfId="1" applyFont="1" applyFill="1" applyBorder="1" applyAlignment="1">
      <alignment horizontal="center" vertical="center"/>
    </xf>
    <xf numFmtId="175" fontId="18" fillId="0" borderId="0" xfId="1" applyNumberFormat="1" applyFont="1"/>
    <xf numFmtId="175" fontId="18" fillId="0" borderId="2" xfId="1" applyNumberFormat="1" applyFont="1" applyBorder="1" applyAlignment="1">
      <alignment horizontal="center" vertical="center"/>
    </xf>
    <xf numFmtId="175" fontId="18" fillId="0" borderId="1" xfId="1" applyNumberFormat="1" applyFont="1" applyBorder="1"/>
    <xf numFmtId="43" fontId="18" fillId="0" borderId="0" xfId="1" applyFont="1" applyAlignment="1">
      <alignment wrapText="1"/>
    </xf>
    <xf numFmtId="1" fontId="0" fillId="0" borderId="15" xfId="0" applyNumberFormat="1" applyBorder="1" applyAlignment="1">
      <alignment horizontal="right"/>
    </xf>
    <xf numFmtId="167" fontId="18" fillId="0" borderId="1" xfId="1" applyNumberFormat="1" applyFont="1" applyBorder="1"/>
    <xf numFmtId="0" fontId="0" fillId="12" borderId="1" xfId="0" applyFill="1" applyBorder="1" applyAlignment="1">
      <alignment horizontal="center" vertical="center"/>
    </xf>
    <xf numFmtId="2" fontId="18" fillId="0" borderId="0" xfId="1" applyNumberFormat="1" applyFont="1"/>
    <xf numFmtId="2" fontId="0" fillId="14" borderId="1" xfId="0" applyNumberFormat="1" applyFill="1" applyBorder="1" applyAlignment="1">
      <alignment horizontal="left" indent="2"/>
    </xf>
    <xf numFmtId="1" fontId="0" fillId="0" borderId="1" xfId="0" applyNumberFormat="1" applyBorder="1" applyAlignment="1">
      <alignment horizontal="left" indent="3"/>
    </xf>
    <xf numFmtId="1" fontId="0" fillId="0" borderId="1" xfId="0" applyNumberFormat="1" applyBorder="1" applyAlignment="1">
      <alignment horizontal="left" indent="2"/>
    </xf>
    <xf numFmtId="2" fontId="0" fillId="0" borderId="0" xfId="0" applyNumberFormat="1" applyAlignment="1">
      <alignment horizontal="right"/>
    </xf>
    <xf numFmtId="1" fontId="0" fillId="0" borderId="0" xfId="0" applyNumberFormat="1" applyFill="1" applyBorder="1" applyAlignment="1">
      <alignment horizontal="right" wrapText="1"/>
    </xf>
    <xf numFmtId="1" fontId="0" fillId="0" borderId="0" xfId="0" applyNumberFormat="1" applyFill="1" applyBorder="1" applyAlignment="1">
      <alignment horizontal="right"/>
    </xf>
    <xf numFmtId="1" fontId="0" fillId="20" borderId="45" xfId="0" applyNumberFormat="1" applyFill="1" applyBorder="1" applyAlignment="1">
      <alignment horizontal="right"/>
    </xf>
    <xf numFmtId="1" fontId="0" fillId="20" borderId="1" xfId="0" applyNumberFormat="1" applyFill="1" applyBorder="1" applyAlignment="1">
      <alignment horizontal="right"/>
    </xf>
    <xf numFmtId="1" fontId="18" fillId="0" borderId="35" xfId="1" applyNumberFormat="1" applyFont="1" applyFill="1" applyBorder="1" applyAlignment="1">
      <alignment horizontal="right"/>
    </xf>
    <xf numFmtId="1" fontId="18" fillId="0" borderId="0" xfId="1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right"/>
    </xf>
    <xf numFmtId="1" fontId="0" fillId="0" borderId="0" xfId="0" applyNumberFormat="1" applyFill="1" applyAlignment="1">
      <alignment horizontal="right"/>
    </xf>
    <xf numFmtId="1" fontId="0" fillId="0" borderId="0" xfId="0" applyNumberFormat="1" applyAlignment="1">
      <alignment horizontal="center"/>
    </xf>
    <xf numFmtId="1" fontId="0" fillId="3" borderId="43" xfId="0" applyNumberFormat="1" applyFill="1" applyBorder="1" applyAlignment="1">
      <alignment horizontal="center"/>
    </xf>
    <xf numFmtId="1" fontId="0" fillId="3" borderId="15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/>
    </xf>
    <xf numFmtId="1" fontId="0" fillId="3" borderId="12" xfId="0" applyNumberFormat="1" applyFill="1" applyBorder="1" applyAlignment="1">
      <alignment horizontal="center"/>
    </xf>
    <xf numFmtId="1" fontId="0" fillId="3" borderId="1" xfId="0" applyNumberFormat="1" applyFill="1" applyBorder="1" applyAlignment="1">
      <alignment horizontal="center"/>
    </xf>
    <xf numFmtId="1" fontId="0" fillId="3" borderId="46" xfId="0" applyNumberFormat="1" applyFill="1" applyBorder="1" applyAlignment="1">
      <alignment horizontal="center"/>
    </xf>
    <xf numFmtId="176" fontId="0" fillId="3" borderId="1" xfId="0" applyNumberFormat="1" applyFill="1" applyBorder="1"/>
    <xf numFmtId="176" fontId="0" fillId="0" borderId="0" xfId="0" applyNumberFormat="1"/>
    <xf numFmtId="176" fontId="18" fillId="0" borderId="0" xfId="1" applyNumberFormat="1" applyFont="1"/>
    <xf numFmtId="176" fontId="0" fillId="0" borderId="0" xfId="0" applyNumberFormat="1" applyAlignment="1">
      <alignment horizontal="center"/>
    </xf>
    <xf numFmtId="176" fontId="0" fillId="3" borderId="1" xfId="0" applyNumberFormat="1" applyFill="1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/>
    </xf>
    <xf numFmtId="177" fontId="24" fillId="14" borderId="1" xfId="0" applyNumberFormat="1" applyFont="1" applyFill="1" applyBorder="1"/>
    <xf numFmtId="177" fontId="0" fillId="0" borderId="1" xfId="0" applyNumberFormat="1" applyBorder="1"/>
    <xf numFmtId="177" fontId="0" fillId="0" borderId="0" xfId="0" applyNumberFormat="1"/>
    <xf numFmtId="167" fontId="18" fillId="0" borderId="1" xfId="1" applyNumberFormat="1" applyFont="1" applyBorder="1"/>
    <xf numFmtId="0" fontId="0" fillId="24" borderId="0" xfId="0" applyFill="1" applyAlignment="1">
      <alignment horizontal="right"/>
    </xf>
    <xf numFmtId="9" fontId="18" fillId="0" borderId="1" xfId="4" applyFont="1" applyBorder="1"/>
    <xf numFmtId="9" fontId="18" fillId="0" borderId="7" xfId="4" applyFont="1" applyBorder="1"/>
    <xf numFmtId="43" fontId="23" fillId="26" borderId="0" xfId="0" applyNumberFormat="1" applyFont="1" applyFill="1"/>
    <xf numFmtId="44" fontId="18" fillId="3" borderId="1" xfId="2" applyFont="1" applyFill="1" applyBorder="1"/>
    <xf numFmtId="9" fontId="18" fillId="0" borderId="7" xfId="4" applyFont="1" applyBorder="1"/>
    <xf numFmtId="10" fontId="18" fillId="0" borderId="1" xfId="4" applyNumberFormat="1" applyFont="1" applyBorder="1"/>
    <xf numFmtId="43" fontId="24" fillId="0" borderId="0" xfId="0" applyNumberFormat="1" applyFont="1" applyAlignment="1">
      <alignment horizontal="right"/>
    </xf>
    <xf numFmtId="43" fontId="23" fillId="0" borderId="0" xfId="0" applyNumberFormat="1" applyFont="1" applyFill="1"/>
    <xf numFmtId="9" fontId="18" fillId="0" borderId="0" xfId="4" applyFont="1" applyAlignment="1">
      <alignment horizontal="center"/>
    </xf>
    <xf numFmtId="0" fontId="29" fillId="20" borderId="0" xfId="1" applyNumberFormat="1" applyFont="1" applyFill="1"/>
    <xf numFmtId="0" fontId="24" fillId="0" borderId="0" xfId="1" applyNumberFormat="1" applyFont="1"/>
    <xf numFmtId="2" fontId="0" fillId="2" borderId="1" xfId="0" applyNumberFormat="1" applyFill="1" applyBorder="1"/>
    <xf numFmtId="1" fontId="0" fillId="3" borderId="1" xfId="0" applyNumberFormat="1" applyFill="1" applyBorder="1"/>
    <xf numFmtId="1" fontId="0" fillId="22" borderId="1" xfId="0" applyNumberFormat="1" applyFill="1" applyBorder="1"/>
    <xf numFmtId="1" fontId="0" fillId="2" borderId="1" xfId="0" applyNumberFormat="1" applyFill="1" applyBorder="1"/>
    <xf numFmtId="1" fontId="0" fillId="21" borderId="1" xfId="0" applyNumberFormat="1" applyFill="1" applyBorder="1"/>
    <xf numFmtId="9" fontId="18" fillId="0" borderId="1" xfId="4" applyFont="1" applyBorder="1"/>
    <xf numFmtId="1" fontId="0" fillId="24" borderId="1" xfId="0" applyNumberFormat="1" applyFill="1" applyBorder="1"/>
    <xf numFmtId="1" fontId="0" fillId="14" borderId="1" xfId="0" applyNumberFormat="1" applyFill="1" applyBorder="1"/>
    <xf numFmtId="43" fontId="18" fillId="0" borderId="0" xfId="1" applyFont="1" applyAlignment="1">
      <alignment horizontal="right"/>
    </xf>
    <xf numFmtId="0" fontId="20" fillId="0" borderId="0" xfId="0" applyFont="1" applyAlignment="1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176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center"/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6" xfId="0" applyBorder="1" applyProtection="1">
      <protection locked="0"/>
    </xf>
    <xf numFmtId="0" fontId="22" fillId="12" borderId="4" xfId="0" applyFont="1" applyFill="1" applyBorder="1" applyProtection="1">
      <protection locked="0"/>
    </xf>
    <xf numFmtId="0" fontId="0" fillId="0" borderId="0" xfId="0" applyFill="1" applyProtection="1">
      <protection locked="0"/>
    </xf>
    <xf numFmtId="0" fontId="0" fillId="3" borderId="0" xfId="0" applyFill="1" applyProtection="1">
      <protection locked="0"/>
    </xf>
    <xf numFmtId="0" fontId="0" fillId="3" borderId="1" xfId="0" applyFill="1" applyBorder="1" applyAlignment="1" applyProtection="1">
      <alignment horizontal="center" wrapText="1"/>
      <protection locked="0"/>
    </xf>
    <xf numFmtId="176" fontId="0" fillId="3" borderId="1" xfId="0" applyNumberFormat="1" applyFill="1" applyBorder="1" applyAlignment="1" applyProtection="1">
      <alignment horizontal="center" wrapText="1"/>
      <protection locked="0"/>
    </xf>
    <xf numFmtId="49" fontId="0" fillId="3" borderId="1" xfId="0" applyNumberFormat="1" applyFill="1" applyBorder="1" applyAlignment="1" applyProtection="1">
      <alignment horizontal="center" wrapText="1"/>
      <protection locked="0"/>
    </xf>
    <xf numFmtId="0" fontId="0" fillId="3" borderId="12" xfId="0" applyFill="1" applyBorder="1" applyAlignment="1" applyProtection="1">
      <alignment horizontal="center" wrapText="1"/>
      <protection locked="0"/>
    </xf>
    <xf numFmtId="1" fontId="0" fillId="3" borderId="31" xfId="0" applyNumberFormat="1" applyFill="1" applyBorder="1" applyAlignment="1" applyProtection="1">
      <alignment horizontal="center" wrapText="1"/>
      <protection locked="0"/>
    </xf>
    <xf numFmtId="1" fontId="0" fillId="3" borderId="47" xfId="0" applyNumberFormat="1" applyFill="1" applyBorder="1" applyAlignment="1" applyProtection="1">
      <alignment horizontal="center" wrapText="1"/>
      <protection locked="0"/>
    </xf>
    <xf numFmtId="1" fontId="0" fillId="3" borderId="2" xfId="0" applyNumberFormat="1" applyFill="1" applyBorder="1" applyAlignment="1" applyProtection="1">
      <alignment horizontal="center" wrapText="1"/>
      <protection locked="0"/>
    </xf>
    <xf numFmtId="1" fontId="0" fillId="3" borderId="12" xfId="0" applyNumberFormat="1" applyFill="1" applyBorder="1" applyAlignment="1" applyProtection="1">
      <alignment horizontal="center" wrapText="1"/>
      <protection locked="0"/>
    </xf>
    <xf numFmtId="1" fontId="0" fillId="3" borderId="1" xfId="0" applyNumberFormat="1" applyFill="1" applyBorder="1" applyAlignment="1" applyProtection="1">
      <alignment horizontal="center" wrapText="1"/>
      <protection locked="0"/>
    </xf>
    <xf numFmtId="1" fontId="0" fillId="3" borderId="16" xfId="0" applyNumberFormat="1" applyFill="1" applyBorder="1" applyAlignment="1" applyProtection="1">
      <alignment horizontal="center" wrapText="1"/>
      <protection locked="0"/>
    </xf>
    <xf numFmtId="0" fontId="20" fillId="0" borderId="6" xfId="0" applyFont="1" applyBorder="1" applyAlignment="1" applyProtection="1">
      <alignment vertical="top" wrapText="1"/>
      <protection locked="0"/>
    </xf>
    <xf numFmtId="0" fontId="20" fillId="0" borderId="21" xfId="0" applyFont="1" applyBorder="1" applyAlignment="1" applyProtection="1">
      <alignment vertical="top" wrapText="1"/>
      <protection locked="0"/>
    </xf>
    <xf numFmtId="0" fontId="20" fillId="0" borderId="66" xfId="0" applyFont="1" applyBorder="1" applyAlignment="1" applyProtection="1">
      <alignment vertical="top" wrapText="1"/>
      <protection locked="0"/>
    </xf>
    <xf numFmtId="0" fontId="20" fillId="0" borderId="67" xfId="0" applyFont="1" applyBorder="1" applyAlignment="1" applyProtection="1">
      <alignment vertical="top" wrapText="1"/>
      <protection locked="0"/>
    </xf>
    <xf numFmtId="0" fontId="20" fillId="0" borderId="68" xfId="0" applyFont="1" applyBorder="1" applyAlignment="1" applyProtection="1">
      <alignment vertical="top" wrapText="1"/>
      <protection locked="0"/>
    </xf>
    <xf numFmtId="0" fontId="20" fillId="0" borderId="16" xfId="0" applyFont="1" applyBorder="1" applyAlignment="1" applyProtection="1">
      <alignment vertical="top" wrapText="1"/>
      <protection locked="0"/>
    </xf>
    <xf numFmtId="0" fontId="20" fillId="11" borderId="69" xfId="0" applyFont="1" applyFill="1" applyBorder="1" applyAlignment="1" applyProtection="1">
      <alignment vertical="top" wrapText="1"/>
      <protection locked="0"/>
    </xf>
    <xf numFmtId="0" fontId="20" fillId="11" borderId="0" xfId="0" applyFont="1" applyFill="1" applyBorder="1" applyAlignment="1" applyProtection="1">
      <alignment vertical="top" wrapText="1"/>
      <protection locked="0"/>
    </xf>
    <xf numFmtId="0" fontId="31" fillId="12" borderId="6" xfId="0" applyFont="1" applyFill="1" applyBorder="1" applyAlignment="1" applyProtection="1">
      <alignment vertical="top" wrapText="1"/>
      <protection locked="0"/>
    </xf>
    <xf numFmtId="0" fontId="20" fillId="0" borderId="0" xfId="0" applyFont="1" applyFill="1" applyBorder="1" applyAlignment="1" applyProtection="1">
      <alignment vertical="top" wrapText="1"/>
      <protection locked="0"/>
    </xf>
    <xf numFmtId="0" fontId="0" fillId="0" borderId="0" xfId="0" applyBorder="1" applyProtection="1">
      <protection locked="0"/>
    </xf>
    <xf numFmtId="1" fontId="0" fillId="5" borderId="7" xfId="0" applyNumberFormat="1" applyFill="1" applyBorder="1" applyAlignment="1">
      <alignment horizontal="right"/>
    </xf>
    <xf numFmtId="0" fontId="0" fillId="5" borderId="11" xfId="0" applyFill="1" applyBorder="1" applyAlignment="1">
      <alignment horizontal="right"/>
    </xf>
    <xf numFmtId="1" fontId="0" fillId="24" borderId="1" xfId="0" applyNumberFormat="1" applyFill="1" applyBorder="1" applyAlignment="1">
      <alignment horizontal="right"/>
    </xf>
    <xf numFmtId="1" fontId="0" fillId="0" borderId="1" xfId="0" applyNumberFormat="1" applyFill="1" applyBorder="1" applyAlignment="1">
      <alignment horizontal="right"/>
    </xf>
    <xf numFmtId="9" fontId="18" fillId="0" borderId="1" xfId="4" applyFont="1" applyBorder="1"/>
    <xf numFmtId="0" fontId="23" fillId="24" borderId="1" xfId="0" applyFont="1" applyFill="1" applyBorder="1" applyAlignment="1">
      <alignment horizontal="right"/>
    </xf>
    <xf numFmtId="0" fontId="0" fillId="24" borderId="12" xfId="0" applyFill="1" applyBorder="1" applyAlignment="1">
      <alignment horizontal="right"/>
    </xf>
    <xf numFmtId="0" fontId="0" fillId="27" borderId="16" xfId="0" applyFill="1" applyBorder="1" applyAlignment="1">
      <alignment horizontal="center" wrapText="1"/>
    </xf>
    <xf numFmtId="0" fontId="0" fillId="11" borderId="20" xfId="0" applyFill="1" applyBorder="1" applyAlignment="1">
      <alignment horizontal="center" vertical="center" wrapText="1"/>
    </xf>
    <xf numFmtId="167" fontId="0" fillId="11" borderId="22" xfId="0" applyNumberFormat="1" applyFill="1" applyBorder="1" applyAlignment="1">
      <alignment horizontal="right"/>
    </xf>
    <xf numFmtId="167" fontId="18" fillId="11" borderId="35" xfId="1" applyNumberFormat="1" applyFont="1" applyFill="1" applyBorder="1" applyAlignment="1">
      <alignment horizontal="right"/>
    </xf>
    <xf numFmtId="167" fontId="0" fillId="5" borderId="22" xfId="0" applyNumberFormat="1" applyFill="1" applyBorder="1" applyAlignment="1">
      <alignment horizontal="right"/>
    </xf>
    <xf numFmtId="167" fontId="18" fillId="5" borderId="35" xfId="1" applyNumberFormat="1" applyFont="1" applyFill="1" applyBorder="1" applyAlignment="1">
      <alignment horizontal="right"/>
    </xf>
    <xf numFmtId="9" fontId="18" fillId="0" borderId="0" xfId="4" applyFont="1" applyBorder="1"/>
    <xf numFmtId="2" fontId="18" fillId="0" borderId="0" xfId="4" applyNumberFormat="1" applyFont="1" applyBorder="1"/>
    <xf numFmtId="0" fontId="27" fillId="24" borderId="2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1" xfId="0" applyBorder="1"/>
    <xf numFmtId="172" fontId="0" fillId="0" borderId="4" xfId="0" applyNumberFormat="1" applyBorder="1" applyAlignment="1">
      <alignment horizontal="center" vertical="center"/>
    </xf>
    <xf numFmtId="0" fontId="32" fillId="2" borderId="1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28" borderId="1" xfId="0" applyFill="1" applyBorder="1" applyAlignment="1">
      <alignment horizontal="center"/>
    </xf>
    <xf numFmtId="0" fontId="19" fillId="0" borderId="0" xfId="3" applyAlignment="1" applyProtection="1"/>
    <xf numFmtId="0" fontId="30" fillId="0" borderId="0" xfId="0" applyFont="1" applyAlignment="1">
      <alignment horizontal="center"/>
    </xf>
    <xf numFmtId="178" fontId="18" fillId="0" borderId="0" xfId="1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43" fontId="18" fillId="0" borderId="0" xfId="1" applyFont="1" applyAlignment="1">
      <alignment horizontal="center"/>
    </xf>
    <xf numFmtId="2" fontId="0" fillId="0" borderId="0" xfId="0" applyNumberFormat="1" applyAlignment="1" applyProtection="1">
      <alignment horizontal="center"/>
      <protection locked="0"/>
    </xf>
    <xf numFmtId="167" fontId="18" fillId="0" borderId="0" xfId="1" applyNumberFormat="1" applyFont="1" applyAlignment="1">
      <alignment horizontal="center"/>
    </xf>
    <xf numFmtId="169" fontId="0" fillId="3" borderId="1" xfId="0" applyNumberFormat="1" applyFill="1" applyBorder="1" applyAlignment="1">
      <alignment horizontal="center"/>
    </xf>
    <xf numFmtId="2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41" fontId="0" fillId="0" borderId="0" xfId="0" applyNumberFormat="1"/>
    <xf numFmtId="44" fontId="18" fillId="0" borderId="0" xfId="2" applyFont="1" applyBorder="1"/>
    <xf numFmtId="44" fontId="30" fillId="0" borderId="0" xfId="0" applyNumberFormat="1" applyFont="1" applyBorder="1"/>
    <xf numFmtId="0" fontId="21" fillId="3" borderId="70" xfId="0" applyNumberFormat="1" applyFont="1" applyFill="1" applyBorder="1" applyAlignment="1">
      <alignment vertical="top" wrapText="1"/>
    </xf>
    <xf numFmtId="4" fontId="21" fillId="3" borderId="70" xfId="0" applyNumberFormat="1" applyFont="1" applyFill="1" applyBorder="1" applyAlignment="1">
      <alignment horizontal="center" vertical="top" wrapText="1"/>
    </xf>
    <xf numFmtId="4" fontId="21" fillId="3" borderId="0" xfId="0" applyNumberFormat="1" applyFont="1" applyFill="1" applyBorder="1" applyAlignment="1">
      <alignment horizontal="center" vertical="top" wrapText="1"/>
    </xf>
    <xf numFmtId="4" fontId="21" fillId="3" borderId="21" xfId="0" applyNumberFormat="1" applyFont="1" applyFill="1" applyBorder="1" applyAlignment="1">
      <alignment horizontal="center" vertical="top" wrapText="1"/>
    </xf>
    <xf numFmtId="2" fontId="0" fillId="3" borderId="43" xfId="0" applyNumberFormat="1" applyFill="1" applyBorder="1"/>
    <xf numFmtId="9" fontId="18" fillId="0" borderId="45" xfId="4" applyFont="1" applyFill="1" applyBorder="1"/>
    <xf numFmtId="44" fontId="30" fillId="0" borderId="1" xfId="0" applyNumberFormat="1" applyFont="1" applyBorder="1"/>
    <xf numFmtId="0" fontId="24" fillId="0" borderId="0" xfId="0" applyFont="1" applyFill="1" applyBorder="1" applyAlignment="1">
      <alignment horizontal="center" vertical="center" wrapText="1"/>
    </xf>
    <xf numFmtId="16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9" fontId="0" fillId="0" borderId="1" xfId="0" applyNumberFormat="1" applyBorder="1" applyAlignment="1">
      <alignment horizontal="center"/>
    </xf>
    <xf numFmtId="9" fontId="18" fillId="0" borderId="0" xfId="4" applyFont="1"/>
    <xf numFmtId="0" fontId="18" fillId="3" borderId="1" xfId="2" applyNumberFormat="1" applyFont="1" applyFill="1" applyBorder="1"/>
    <xf numFmtId="2" fontId="0" fillId="24" borderId="1" xfId="0" applyNumberFormat="1" applyFill="1" applyBorder="1"/>
    <xf numFmtId="0" fontId="20" fillId="0" borderId="0" xfId="0" applyFont="1" applyAlignment="1">
      <alignment horizontal="center"/>
    </xf>
    <xf numFmtId="1" fontId="0" fillId="24" borderId="1" xfId="0" applyNumberFormat="1" applyFill="1" applyBorder="1" applyAlignment="1">
      <alignment horizontal="left" indent="2"/>
    </xf>
    <xf numFmtId="1" fontId="0" fillId="3" borderId="35" xfId="0" applyNumberFormat="1" applyFill="1" applyBorder="1" applyAlignment="1" applyProtection="1">
      <alignment horizontal="center" wrapText="1"/>
      <protection locked="0"/>
    </xf>
    <xf numFmtId="1" fontId="0" fillId="3" borderId="35" xfId="0" applyNumberFormat="1" applyFill="1" applyBorder="1" applyAlignment="1">
      <alignment horizontal="center"/>
    </xf>
    <xf numFmtId="1" fontId="0" fillId="3" borderId="13" xfId="0" applyNumberFormat="1" applyFill="1" applyBorder="1" applyAlignment="1" applyProtection="1">
      <alignment horizontal="center" wrapText="1"/>
      <protection locked="0"/>
    </xf>
    <xf numFmtId="1" fontId="0" fillId="3" borderId="5" xfId="0" applyNumberFormat="1" applyFill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9" fontId="0" fillId="14" borderId="1" xfId="0" applyNumberFormat="1" applyFill="1" applyBorder="1" applyAlignment="1">
      <alignment wrapText="1"/>
    </xf>
    <xf numFmtId="1" fontId="0" fillId="2" borderId="7" xfId="0" applyNumberFormat="1" applyFill="1" applyBorder="1" applyAlignment="1">
      <alignment horizontal="left"/>
    </xf>
    <xf numFmtId="1" fontId="0" fillId="0" borderId="7" xfId="0" applyNumberFormat="1" applyBorder="1" applyAlignment="1">
      <alignment horizontal="left" indent="3"/>
    </xf>
    <xf numFmtId="1" fontId="0" fillId="0" borderId="7" xfId="0" applyNumberFormat="1" applyBorder="1" applyAlignment="1">
      <alignment horizontal="left" indent="2"/>
    </xf>
    <xf numFmtId="2" fontId="0" fillId="14" borderId="7" xfId="0" applyNumberFormat="1" applyFill="1" applyBorder="1" applyAlignment="1">
      <alignment horizontal="left" indent="2"/>
    </xf>
    <xf numFmtId="0" fontId="0" fillId="0" borderId="1" xfId="0" applyBorder="1" applyAlignment="1">
      <alignment horizontal="left"/>
    </xf>
    <xf numFmtId="0" fontId="0" fillId="0" borderId="0" xfId="0" applyAlignment="1">
      <alignment horizontal="left" wrapText="1"/>
    </xf>
    <xf numFmtId="2" fontId="18" fillId="0" borderId="0" xfId="1" applyNumberFormat="1" applyFont="1" applyAlignment="1">
      <alignment horizontal="left" wrapText="1"/>
    </xf>
    <xf numFmtId="17" fontId="0" fillId="14" borderId="23" xfId="0" applyNumberFormat="1" applyFill="1" applyBorder="1" applyAlignment="1">
      <alignment horizontal="left" wrapText="1"/>
    </xf>
    <xf numFmtId="1" fontId="0" fillId="2" borderId="23" xfId="0" applyNumberFormat="1" applyFill="1" applyBorder="1" applyAlignment="1">
      <alignment horizontal="left" wrapText="1"/>
    </xf>
    <xf numFmtId="0" fontId="0" fillId="2" borderId="23" xfId="0" applyFill="1" applyBorder="1" applyAlignment="1">
      <alignment horizontal="left" wrapText="1"/>
    </xf>
    <xf numFmtId="3" fontId="18" fillId="2" borderId="23" xfId="1" applyNumberFormat="1" applyFont="1" applyFill="1" applyBorder="1" applyAlignment="1">
      <alignment horizontal="left" wrapText="1"/>
    </xf>
    <xf numFmtId="0" fontId="0" fillId="2" borderId="23" xfId="0" applyFill="1" applyBorder="1" applyAlignment="1">
      <alignment horizontal="left"/>
    </xf>
    <xf numFmtId="10" fontId="0" fillId="0" borderId="0" xfId="0" applyNumberFormat="1" applyAlignment="1">
      <alignment horizontal="left" wrapText="1"/>
    </xf>
    <xf numFmtId="168" fontId="0" fillId="14" borderId="7" xfId="0" applyNumberFormat="1" applyFill="1" applyBorder="1" applyAlignment="1">
      <alignment horizontal="left" wrapText="1"/>
    </xf>
    <xf numFmtId="2" fontId="18" fillId="14" borderId="7" xfId="1" applyNumberFormat="1" applyFont="1" applyFill="1" applyBorder="1" applyAlignment="1">
      <alignment horizontal="left"/>
    </xf>
    <xf numFmtId="0" fontId="0" fillId="0" borderId="7" xfId="0" applyBorder="1" applyAlignment="1">
      <alignment horizontal="left"/>
    </xf>
    <xf numFmtId="0" fontId="23" fillId="24" borderId="7" xfId="0" applyFont="1" applyFill="1" applyBorder="1" applyAlignment="1">
      <alignment horizontal="left"/>
    </xf>
    <xf numFmtId="0" fontId="0" fillId="0" borderId="7" xfId="0" applyBorder="1" applyAlignment="1">
      <alignment horizontal="left" vertical="center"/>
    </xf>
    <xf numFmtId="1" fontId="0" fillId="24" borderId="7" xfId="0" applyNumberFormat="1" applyFill="1" applyBorder="1" applyAlignment="1">
      <alignment horizontal="left"/>
    </xf>
    <xf numFmtId="0" fontId="0" fillId="28" borderId="7" xfId="0" applyFill="1" applyBorder="1" applyAlignment="1">
      <alignment horizontal="left"/>
    </xf>
    <xf numFmtId="2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2" fontId="18" fillId="14" borderId="1" xfId="1" applyNumberFormat="1" applyFont="1" applyFill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24" borderId="1" xfId="0" applyFill="1" applyBorder="1" applyAlignment="1">
      <alignment horizontal="left"/>
    </xf>
    <xf numFmtId="1" fontId="0" fillId="0" borderId="1" xfId="0" applyNumberFormat="1" applyBorder="1" applyAlignment="1">
      <alignment horizontal="left"/>
    </xf>
    <xf numFmtId="0" fontId="0" fillId="28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2" fontId="0" fillId="0" borderId="1" xfId="0" applyNumberFormat="1" applyBorder="1" applyAlignment="1">
      <alignment horizontal="left"/>
    </xf>
    <xf numFmtId="2" fontId="18" fillId="0" borderId="0" xfId="1" applyNumberFormat="1" applyFont="1" applyAlignment="1">
      <alignment horizontal="left"/>
    </xf>
    <xf numFmtId="1" fontId="0" fillId="0" borderId="0" xfId="0" applyNumberFormat="1" applyAlignment="1">
      <alignment horizontal="left"/>
    </xf>
    <xf numFmtId="3" fontId="18" fillId="0" borderId="0" xfId="1" applyNumberFormat="1" applyFont="1" applyAlignment="1">
      <alignment horizontal="left"/>
    </xf>
    <xf numFmtId="10" fontId="18" fillId="0" borderId="1" xfId="4" applyNumberFormat="1" applyFont="1" applyBorder="1" applyAlignment="1">
      <alignment horizontal="center"/>
    </xf>
    <xf numFmtId="173" fontId="0" fillId="24" borderId="1" xfId="0" applyNumberFormat="1" applyFill="1" applyBorder="1"/>
    <xf numFmtId="0" fontId="0" fillId="0" borderId="7" xfId="0" applyBorder="1" applyAlignment="1">
      <alignment horizontal="center" vertical="center" wrapText="1"/>
    </xf>
    <xf numFmtId="1" fontId="0" fillId="0" borderId="1" xfId="0" applyNumberFormat="1" applyBorder="1" applyAlignment="1">
      <alignment horizontal="left" wrapText="1"/>
    </xf>
    <xf numFmtId="165" fontId="0" fillId="14" borderId="0" xfId="0" applyNumberFormat="1" applyFill="1"/>
    <xf numFmtId="165" fontId="0" fillId="14" borderId="1" xfId="0" applyNumberFormat="1" applyFill="1" applyBorder="1"/>
    <xf numFmtId="165" fontId="0" fillId="0" borderId="1" xfId="0" applyNumberFormat="1" applyBorder="1"/>
    <xf numFmtId="165" fontId="0" fillId="0" borderId="0" xfId="0" applyNumberFormat="1"/>
    <xf numFmtId="0" fontId="0" fillId="0" borderId="7" xfId="0" applyBorder="1" applyAlignment="1">
      <alignment horizontal="center" vertical="center"/>
    </xf>
    <xf numFmtId="180" fontId="29" fillId="0" borderId="16" xfId="0" applyNumberFormat="1" applyFont="1" applyBorder="1" applyAlignment="1">
      <alignment horizontal="center" vertical="center"/>
    </xf>
    <xf numFmtId="180" fontId="0" fillId="0" borderId="11" xfId="0" applyNumberFormat="1" applyBorder="1"/>
    <xf numFmtId="180" fontId="0" fillId="0" borderId="15" xfId="0" applyNumberFormat="1" applyBorder="1"/>
    <xf numFmtId="180" fontId="0" fillId="0" borderId="15" xfId="0" applyNumberFormat="1" applyFill="1" applyBorder="1"/>
    <xf numFmtId="180" fontId="0" fillId="0" borderId="49" xfId="0" applyNumberFormat="1" applyBorder="1"/>
    <xf numFmtId="180" fontId="0" fillId="0" borderId="0" xfId="0" applyNumberFormat="1"/>
    <xf numFmtId="176" fontId="0" fillId="24" borderId="1" xfId="0" applyNumberFormat="1" applyFill="1" applyBorder="1"/>
    <xf numFmtId="0" fontId="0" fillId="0" borderId="0" xfId="0" applyAlignment="1">
      <alignment horizontal="center"/>
    </xf>
    <xf numFmtId="176" fontId="0" fillId="22" borderId="1" xfId="0" applyNumberFormat="1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" fontId="24" fillId="0" borderId="0" xfId="0" applyNumberFormat="1" applyFont="1" applyAlignment="1">
      <alignment wrapText="1"/>
    </xf>
    <xf numFmtId="0" fontId="30" fillId="0" borderId="0" xfId="0" applyFont="1" applyAlignment="1">
      <alignment wrapText="1"/>
    </xf>
    <xf numFmtId="176" fontId="26" fillId="0" borderId="0" xfId="1" applyNumberFormat="1" applyFont="1"/>
    <xf numFmtId="43" fontId="26" fillId="0" borderId="0" xfId="1" applyFont="1"/>
    <xf numFmtId="9" fontId="18" fillId="5" borderId="0" xfId="4" applyFont="1" applyFill="1"/>
    <xf numFmtId="9" fontId="18" fillId="0" borderId="0" xfId="4" applyFont="1"/>
    <xf numFmtId="169" fontId="0" fillId="24" borderId="1" xfId="0" applyNumberFormat="1" applyFill="1" applyBorder="1" applyAlignment="1">
      <alignment horizontal="right"/>
    </xf>
    <xf numFmtId="9" fontId="18" fillId="0" borderId="25" xfId="4" applyFont="1" applyBorder="1"/>
    <xf numFmtId="2" fontId="18" fillId="0" borderId="0" xfId="4" applyNumberFormat="1" applyFont="1" applyBorder="1"/>
    <xf numFmtId="9" fontId="0" fillId="0" borderId="0" xfId="4" applyFont="1"/>
    <xf numFmtId="9" fontId="0" fillId="0" borderId="1" xfId="4" applyFont="1" applyBorder="1" applyAlignment="1">
      <alignment horizontal="center" vertical="center"/>
    </xf>
    <xf numFmtId="172" fontId="0" fillId="0" borderId="71" xfId="0" applyNumberFormat="1" applyBorder="1" applyAlignment="1">
      <alignment horizontal="center" vertical="center"/>
    </xf>
    <xf numFmtId="0" fontId="29" fillId="0" borderId="53" xfId="0" applyFont="1" applyBorder="1" applyAlignment="1">
      <alignment horizontal="center"/>
    </xf>
    <xf numFmtId="0" fontId="0" fillId="0" borderId="1" xfId="0" applyBorder="1" applyAlignment="1"/>
    <xf numFmtId="181" fontId="0" fillId="3" borderId="1" xfId="0" applyNumberFormat="1" applyFill="1" applyBorder="1"/>
    <xf numFmtId="167" fontId="23" fillId="26" borderId="1" xfId="1" applyNumberFormat="1" applyFont="1" applyFill="1" applyBorder="1"/>
    <xf numFmtId="167" fontId="18" fillId="26" borderId="1" xfId="1" applyNumberFormat="1" applyFont="1" applyFill="1" applyBorder="1"/>
    <xf numFmtId="0" fontId="0" fillId="28" borderId="1" xfId="0" applyFill="1" applyBorder="1" applyAlignment="1" applyProtection="1">
      <alignment horizontal="center" wrapText="1"/>
      <protection locked="0"/>
    </xf>
    <xf numFmtId="0" fontId="0" fillId="28" borderId="2" xfId="0" applyFill="1" applyBorder="1" applyAlignment="1" applyProtection="1">
      <alignment horizontal="center" wrapText="1"/>
      <protection locked="0"/>
    </xf>
    <xf numFmtId="1" fontId="0" fillId="28" borderId="2" xfId="0" applyNumberFormat="1" applyFill="1" applyBorder="1" applyAlignment="1" applyProtection="1">
      <alignment horizontal="center" wrapText="1"/>
      <protection locked="0"/>
    </xf>
    <xf numFmtId="0" fontId="0" fillId="28" borderId="12" xfId="0" applyFill="1" applyBorder="1" applyAlignment="1">
      <alignment horizontal="center"/>
    </xf>
    <xf numFmtId="2" fontId="18" fillId="28" borderId="12" xfId="1" applyNumberFormat="1" applyFont="1" applyFill="1" applyBorder="1" applyAlignment="1">
      <alignment horizontal="center"/>
    </xf>
    <xf numFmtId="0" fontId="23" fillId="28" borderId="12" xfId="0" applyFont="1" applyFill="1" applyBorder="1" applyAlignment="1">
      <alignment horizontal="center"/>
    </xf>
    <xf numFmtId="180" fontId="0" fillId="0" borderId="1" xfId="0" applyNumberFormat="1" applyBorder="1" applyAlignment="1"/>
    <xf numFmtId="176" fontId="18" fillId="25" borderId="1" xfId="4" applyNumberFormat="1" applyFont="1" applyFill="1" applyBorder="1"/>
    <xf numFmtId="9" fontId="0" fillId="0" borderId="0" xfId="4" applyNumberFormat="1" applyFont="1"/>
    <xf numFmtId="164" fontId="0" fillId="0" borderId="1" xfId="0" applyNumberFormat="1" applyBorder="1" applyAlignment="1">
      <alignment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9" fontId="0" fillId="0" borderId="1" xfId="4" applyFont="1" applyBorder="1" applyAlignment="1">
      <alignment horizontal="center"/>
    </xf>
    <xf numFmtId="9" fontId="0" fillId="0" borderId="1" xfId="0" applyNumberFormat="1" applyBorder="1" applyAlignment="1">
      <alignment wrapText="1"/>
    </xf>
    <xf numFmtId="0" fontId="0" fillId="0" borderId="1" xfId="4" applyNumberFormat="1" applyFont="1" applyBorder="1" applyAlignment="1">
      <alignment horizontal="center"/>
    </xf>
    <xf numFmtId="41" fontId="0" fillId="0" borderId="1" xfId="0" applyNumberFormat="1" applyBorder="1" applyAlignment="1">
      <alignment wrapText="1"/>
    </xf>
    <xf numFmtId="10" fontId="24" fillId="0" borderId="1" xfId="4" applyNumberFormat="1" applyFont="1" applyBorder="1" applyAlignment="1"/>
    <xf numFmtId="41" fontId="24" fillId="0" borderId="1" xfId="0" applyNumberFormat="1" applyFont="1" applyBorder="1" applyAlignment="1"/>
    <xf numFmtId="1" fontId="0" fillId="0" borderId="1" xfId="0" applyNumberFormat="1" applyBorder="1" applyAlignment="1"/>
    <xf numFmtId="10" fontId="18" fillId="0" borderId="0" xfId="4" applyNumberFormat="1" applyFont="1"/>
    <xf numFmtId="0" fontId="0" fillId="0" borderId="1" xfId="0" applyNumberFormat="1" applyBorder="1"/>
    <xf numFmtId="182" fontId="18" fillId="0" borderId="1" xfId="4" applyNumberFormat="1" applyFont="1" applyBorder="1" applyAlignment="1">
      <alignment horizontal="left" wrapText="1"/>
    </xf>
    <xf numFmtId="169" fontId="0" fillId="0" borderId="0" xfId="0" applyNumberFormat="1"/>
    <xf numFmtId="1" fontId="0" fillId="0" borderId="1" xfId="0" applyNumberFormat="1" applyBorder="1" applyAlignment="1">
      <alignment horizontal="center" vertical="center"/>
    </xf>
    <xf numFmtId="172" fontId="0" fillId="0" borderId="1" xfId="0" applyNumberFormat="1" applyBorder="1" applyAlignment="1"/>
    <xf numFmtId="10" fontId="18" fillId="0" borderId="1" xfId="4" applyNumberFormat="1" applyFont="1" applyBorder="1" applyAlignment="1">
      <alignment horizontal="left" wrapText="1"/>
    </xf>
    <xf numFmtId="1" fontId="18" fillId="0" borderId="1" xfId="4" applyNumberFormat="1" applyFont="1" applyBorder="1" applyAlignment="1">
      <alignment horizontal="left" wrapText="1"/>
    </xf>
    <xf numFmtId="0" fontId="0" fillId="0" borderId="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8" fillId="2" borderId="7" xfId="1" applyNumberFormat="1" applyFont="1" applyFill="1" applyBorder="1" applyAlignment="1">
      <alignment horizontal="center" vertical="center"/>
    </xf>
    <xf numFmtId="14" fontId="0" fillId="24" borderId="0" xfId="0" applyNumberFormat="1" applyFill="1" applyBorder="1" applyAlignment="1">
      <alignment horizontal="center" vertical="center"/>
    </xf>
    <xf numFmtId="0" fontId="0" fillId="24" borderId="0" xfId="0" applyFill="1" applyBorder="1" applyAlignment="1">
      <alignment horizontal="center" vertical="center"/>
    </xf>
    <xf numFmtId="0" fontId="0" fillId="24" borderId="0" xfId="0" applyNumberFormat="1" applyFill="1" applyBorder="1" applyAlignment="1">
      <alignment horizontal="center" vertical="center"/>
    </xf>
    <xf numFmtId="44" fontId="18" fillId="24" borderId="0" xfId="2" applyFont="1" applyFill="1" applyBorder="1" applyAlignment="1">
      <alignment horizontal="center" vertical="center"/>
    </xf>
    <xf numFmtId="44" fontId="0" fillId="24" borderId="0" xfId="0" applyNumberFormat="1" applyFill="1" applyBorder="1" applyAlignment="1">
      <alignment horizontal="center" vertical="center"/>
    </xf>
    <xf numFmtId="43" fontId="18" fillId="24" borderId="0" xfId="1" applyFont="1" applyFill="1" applyBorder="1" applyAlignment="1">
      <alignment horizontal="center" vertical="center"/>
    </xf>
    <xf numFmtId="177" fontId="0" fillId="24" borderId="0" xfId="0" applyNumberFormat="1" applyFill="1" applyBorder="1"/>
    <xf numFmtId="43" fontId="0" fillId="24" borderId="0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47" xfId="0" applyBorder="1" applyAlignment="1">
      <alignment horizontal="center" vertical="center"/>
    </xf>
    <xf numFmtId="41" fontId="0" fillId="8" borderId="32" xfId="0" applyNumberFormat="1" applyFill="1" applyBorder="1"/>
    <xf numFmtId="41" fontId="0" fillId="0" borderId="32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18" fillId="2" borderId="1" xfId="1" applyNumberFormat="1" applyFont="1" applyFill="1" applyBorder="1"/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3" xfId="0" applyNumberFormat="1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83" fontId="0" fillId="0" borderId="1" xfId="1" applyNumberFormat="1" applyFont="1" applyBorder="1" applyAlignment="1">
      <alignment horizontal="center" vertical="center"/>
    </xf>
    <xf numFmtId="43" fontId="0" fillId="0" borderId="0" xfId="1" applyFont="1"/>
    <xf numFmtId="0" fontId="24" fillId="0" borderId="0" xfId="0" applyFont="1" applyBorder="1" applyAlignment="1">
      <alignment horizontal="center" vertical="center" wrapText="1"/>
    </xf>
    <xf numFmtId="17" fontId="24" fillId="0" borderId="0" xfId="0" applyNumberFormat="1" applyFont="1" applyBorder="1" applyAlignment="1">
      <alignment horizontal="center" vertical="center" wrapText="1"/>
    </xf>
    <xf numFmtId="0" fontId="24" fillId="0" borderId="0" xfId="0" applyFont="1" applyBorder="1"/>
    <xf numFmtId="0" fontId="0" fillId="0" borderId="0" xfId="0" applyBorder="1" applyAlignment="1">
      <alignment horizontal="center"/>
    </xf>
    <xf numFmtId="0" fontId="25" fillId="0" borderId="0" xfId="0" applyFont="1" applyBorder="1" applyAlignment="1">
      <alignment horizontal="center" vertical="center" wrapText="1"/>
    </xf>
    <xf numFmtId="43" fontId="18" fillId="0" borderId="0" xfId="1" applyFont="1" applyBorder="1"/>
    <xf numFmtId="10" fontId="0" fillId="0" borderId="0" xfId="0" applyNumberFormat="1" applyBorder="1"/>
    <xf numFmtId="167" fontId="0" fillId="0" borderId="0" xfId="0" applyNumberFormat="1" applyBorder="1"/>
    <xf numFmtId="43" fontId="0" fillId="0" borderId="0" xfId="0" applyNumberFormat="1" applyBorder="1"/>
    <xf numFmtId="9" fontId="0" fillId="0" borderId="0" xfId="0" applyNumberFormat="1" applyBorder="1" applyAlignment="1">
      <alignment horizontal="center"/>
    </xf>
    <xf numFmtId="43" fontId="0" fillId="0" borderId="0" xfId="0" applyNumberFormat="1" applyBorder="1" applyAlignment="1"/>
    <xf numFmtId="9" fontId="18" fillId="0" borderId="0" xfId="4" applyFont="1" applyBorder="1" applyAlignment="1">
      <alignment horizontal="center" vertical="center"/>
    </xf>
    <xf numFmtId="43" fontId="18" fillId="0" borderId="0" xfId="1" applyFont="1" applyBorder="1" applyAlignment="1">
      <alignment horizontal="center" vertical="center"/>
    </xf>
    <xf numFmtId="0" fontId="18" fillId="0" borderId="0" xfId="4" applyNumberFormat="1" applyFont="1" applyBorder="1" applyAlignment="1">
      <alignment horizontal="center" vertical="center"/>
    </xf>
    <xf numFmtId="0" fontId="0" fillId="0" borderId="0" xfId="0" applyBorder="1" applyAlignment="1">
      <alignment horizontal="right"/>
    </xf>
    <xf numFmtId="43" fontId="24" fillId="0" borderId="0" xfId="0" applyNumberFormat="1" applyFont="1" applyBorder="1"/>
    <xf numFmtId="43" fontId="18" fillId="0" borderId="0" xfId="1" applyFont="1" applyBorder="1" applyAlignment="1">
      <alignment horizontal="right"/>
    </xf>
    <xf numFmtId="0" fontId="24" fillId="0" borderId="0" xfId="1" applyNumberFormat="1" applyFont="1" applyBorder="1"/>
    <xf numFmtId="44" fontId="0" fillId="0" borderId="0" xfId="0" applyNumberFormat="1" applyBorder="1"/>
    <xf numFmtId="0" fontId="29" fillId="24" borderId="0" xfId="1" applyNumberFormat="1" applyFont="1" applyFill="1" applyBorder="1"/>
    <xf numFmtId="1" fontId="0" fillId="0" borderId="3" xfId="0" applyNumberFormat="1" applyBorder="1"/>
    <xf numFmtId="0" fontId="0" fillId="5" borderId="50" xfId="0" applyFill="1" applyBorder="1" applyAlignment="1">
      <alignment horizontal="center"/>
    </xf>
    <xf numFmtId="0" fontId="0" fillId="5" borderId="51" xfId="0" applyFill="1" applyBorder="1" applyAlignment="1">
      <alignment horizontal="center"/>
    </xf>
    <xf numFmtId="0" fontId="0" fillId="27" borderId="20" xfId="0" applyFill="1" applyBorder="1" applyAlignment="1">
      <alignment horizontal="center" wrapText="1"/>
    </xf>
    <xf numFmtId="0" fontId="0" fillId="27" borderId="21" xfId="0" applyFill="1" applyBorder="1" applyAlignment="1">
      <alignment horizontal="center" wrapText="1"/>
    </xf>
    <xf numFmtId="0" fontId="0" fillId="27" borderId="16" xfId="0" applyFill="1" applyBorder="1" applyAlignment="1">
      <alignment horizontal="center" wrapText="1"/>
    </xf>
    <xf numFmtId="0" fontId="0" fillId="6" borderId="20" xfId="0" applyFill="1" applyBorder="1" applyAlignment="1">
      <alignment horizontal="center" wrapText="1"/>
    </xf>
    <xf numFmtId="0" fontId="0" fillId="6" borderId="21" xfId="0" applyFill="1" applyBorder="1" applyAlignment="1">
      <alignment horizontal="center" wrapText="1"/>
    </xf>
    <xf numFmtId="0" fontId="0" fillId="6" borderId="16" xfId="0" applyFill="1" applyBorder="1" applyAlignment="1">
      <alignment horizontal="center" wrapText="1"/>
    </xf>
    <xf numFmtId="0" fontId="0" fillId="27" borderId="20" xfId="0" applyFill="1" applyBorder="1" applyAlignment="1">
      <alignment horizontal="center" vertical="center" wrapText="1"/>
    </xf>
    <xf numFmtId="0" fontId="0" fillId="27" borderId="21" xfId="0" applyFill="1" applyBorder="1" applyAlignment="1">
      <alignment horizontal="center" vertical="center" wrapText="1"/>
    </xf>
    <xf numFmtId="0" fontId="0" fillId="27" borderId="16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3" borderId="20" xfId="0" applyFill="1" applyBorder="1" applyAlignment="1" applyProtection="1">
      <alignment horizontal="center" vertical="center" wrapText="1"/>
      <protection locked="0"/>
    </xf>
    <xf numFmtId="0" fontId="0" fillId="3" borderId="21" xfId="0" applyFill="1" applyBorder="1" applyAlignment="1" applyProtection="1">
      <alignment horizontal="center" vertical="center" wrapText="1"/>
      <protection locked="0"/>
    </xf>
    <xf numFmtId="0" fontId="0" fillId="3" borderId="16" xfId="0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 applyProtection="1">
      <alignment horizontal="center" wrapText="1"/>
      <protection locked="0"/>
    </xf>
    <xf numFmtId="0" fontId="0" fillId="0" borderId="21" xfId="0" applyBorder="1" applyAlignment="1" applyProtection="1">
      <alignment horizontal="center" wrapText="1"/>
      <protection locked="0"/>
    </xf>
    <xf numFmtId="0" fontId="0" fillId="0" borderId="16" xfId="0" applyBorder="1" applyAlignment="1" applyProtection="1">
      <alignment horizontal="center" wrapText="1"/>
      <protection locked="0"/>
    </xf>
    <xf numFmtId="0" fontId="33" fillId="0" borderId="52" xfId="0" applyFont="1" applyBorder="1" applyAlignment="1">
      <alignment horizontal="center" vertical="center"/>
    </xf>
    <xf numFmtId="0" fontId="33" fillId="0" borderId="53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33" fillId="0" borderId="40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3" fillId="0" borderId="54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20" fillId="29" borderId="23" xfId="0" applyFont="1" applyFill="1" applyBorder="1" applyAlignment="1">
      <alignment horizontal="center" vertical="center"/>
    </xf>
    <xf numFmtId="0" fontId="20" fillId="29" borderId="7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20" fillId="29" borderId="23" xfId="0" applyNumberFormat="1" applyFont="1" applyFill="1" applyBorder="1" applyAlignment="1">
      <alignment horizontal="center" vertical="center"/>
    </xf>
    <xf numFmtId="165" fontId="20" fillId="29" borderId="7" xfId="0" applyNumberFormat="1" applyFont="1" applyFill="1" applyBorder="1" applyAlignment="1">
      <alignment horizontal="center" vertical="center"/>
    </xf>
    <xf numFmtId="0" fontId="20" fillId="29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horizontal="center" vertical="center"/>
    </xf>
    <xf numFmtId="0" fontId="20" fillId="30" borderId="1" xfId="0" applyFont="1" applyFill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2" borderId="23" xfId="0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Border="1" applyAlignment="1">
      <alignment horizontal="center"/>
    </xf>
    <xf numFmtId="0" fontId="24" fillId="0" borderId="0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 wrapText="1"/>
    </xf>
    <xf numFmtId="0" fontId="24" fillId="0" borderId="2" xfId="0" applyFont="1" applyBorder="1" applyAlignment="1">
      <alignment horizontal="center" wrapText="1"/>
    </xf>
    <xf numFmtId="0" fontId="24" fillId="0" borderId="12" xfId="0" applyFont="1" applyBorder="1" applyAlignment="1">
      <alignment horizontal="center" wrapText="1"/>
    </xf>
    <xf numFmtId="0" fontId="24" fillId="0" borderId="35" xfId="0" applyFont="1" applyBorder="1" applyAlignment="1">
      <alignment horizontal="center" wrapText="1"/>
    </xf>
    <xf numFmtId="0" fontId="24" fillId="0" borderId="36" xfId="0" applyFont="1" applyBorder="1" applyAlignment="1">
      <alignment horizontal="center"/>
    </xf>
    <xf numFmtId="0" fontId="24" fillId="0" borderId="26" xfId="0" applyFont="1" applyBorder="1" applyAlignment="1">
      <alignment horizontal="center"/>
    </xf>
    <xf numFmtId="0" fontId="24" fillId="0" borderId="24" xfId="0" applyFont="1" applyBorder="1" applyAlignment="1">
      <alignment horizontal="center"/>
    </xf>
    <xf numFmtId="0" fontId="24" fillId="0" borderId="55" xfId="0" applyFont="1" applyBorder="1" applyAlignment="1">
      <alignment horizontal="center"/>
    </xf>
    <xf numFmtId="0" fontId="24" fillId="0" borderId="22" xfId="0" applyFont="1" applyBorder="1" applyAlignment="1">
      <alignment horizontal="center"/>
    </xf>
    <xf numFmtId="0" fontId="24" fillId="0" borderId="14" xfId="0" applyFont="1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24" fillId="0" borderId="48" xfId="0" applyFont="1" applyBorder="1" applyAlignment="1">
      <alignment horizontal="center" vertical="center" wrapText="1"/>
    </xf>
    <xf numFmtId="0" fontId="24" fillId="0" borderId="2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/>
    </xf>
    <xf numFmtId="0" fontId="24" fillId="0" borderId="35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180" fontId="29" fillId="0" borderId="4" xfId="0" applyNumberFormat="1" applyFont="1" applyBorder="1" applyAlignment="1">
      <alignment horizontal="center" vertical="center"/>
    </xf>
    <xf numFmtId="180" fontId="29" fillId="0" borderId="3" xfId="0" applyNumberFormat="1" applyFont="1" applyBorder="1" applyAlignment="1">
      <alignment horizontal="center" vertical="center"/>
    </xf>
    <xf numFmtId="180" fontId="29" fillId="0" borderId="41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top" wrapText="1"/>
    </xf>
    <xf numFmtId="0" fontId="29" fillId="0" borderId="3" xfId="0" applyFont="1" applyBorder="1" applyAlignment="1">
      <alignment horizontal="center" vertical="top" wrapText="1"/>
    </xf>
    <xf numFmtId="0" fontId="29" fillId="0" borderId="41" xfId="0" applyFont="1" applyBorder="1" applyAlignment="1">
      <alignment horizontal="center" vertical="top" wrapText="1"/>
    </xf>
    <xf numFmtId="0" fontId="29" fillId="0" borderId="58" xfId="0" applyFont="1" applyBorder="1" applyAlignment="1">
      <alignment horizontal="center" vertical="center" wrapText="1"/>
    </xf>
    <xf numFmtId="0" fontId="29" fillId="0" borderId="59" xfId="0" applyFont="1" applyBorder="1" applyAlignment="1">
      <alignment horizontal="center" vertical="center" wrapText="1"/>
    </xf>
    <xf numFmtId="0" fontId="29" fillId="0" borderId="60" xfId="0" applyFont="1" applyBorder="1" applyAlignment="1">
      <alignment horizontal="center" vertical="center" wrapText="1"/>
    </xf>
    <xf numFmtId="0" fontId="29" fillId="0" borderId="20" xfId="0" applyFont="1" applyBorder="1" applyAlignment="1">
      <alignment horizontal="center"/>
    </xf>
    <xf numFmtId="0" fontId="29" fillId="0" borderId="21" xfId="0" applyFont="1" applyBorder="1" applyAlignment="1">
      <alignment horizontal="center"/>
    </xf>
    <xf numFmtId="0" fontId="29" fillId="0" borderId="61" xfId="0" applyFont="1" applyBorder="1" applyAlignment="1">
      <alignment horizontal="center"/>
    </xf>
    <xf numFmtId="0" fontId="29" fillId="0" borderId="16" xfId="0" applyFont="1" applyBorder="1" applyAlignment="1">
      <alignment horizontal="center"/>
    </xf>
    <xf numFmtId="2" fontId="4" fillId="0" borderId="0" xfId="0" applyNumberFormat="1" applyFont="1" applyAlignment="1">
      <alignment horizontal="center" vertical="center" wrapText="1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/>
    </xf>
    <xf numFmtId="0" fontId="14" fillId="0" borderId="0" xfId="0" applyFont="1" applyAlignment="1">
      <alignment horizontal="left"/>
    </xf>
    <xf numFmtId="0" fontId="5" fillId="0" borderId="20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69" fontId="10" fillId="0" borderId="4" xfId="0" applyNumberFormat="1" applyFont="1" applyBorder="1" applyAlignment="1">
      <alignment horizontal="center" wrapText="1"/>
    </xf>
    <xf numFmtId="169" fontId="10" fillId="0" borderId="41" xfId="0" applyNumberFormat="1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4" fillId="29" borderId="1" xfId="0" applyFont="1" applyFill="1" applyBorder="1" applyAlignment="1">
      <alignment horizontal="center" wrapText="1"/>
    </xf>
  </cellXfs>
  <cellStyles count="5">
    <cellStyle name="Comma" xfId="1" builtinId="3"/>
    <cellStyle name="Currency" xfId="2" builtinId="4"/>
    <cellStyle name="Hyperlink" xfId="3" builtinId="8"/>
    <cellStyle name="Normal" xfId="0" builtinId="0"/>
    <cellStyle name="Percent" xfId="4" builtinId="5"/>
  </cellStyles>
  <dxfs count="7">
    <dxf>
      <font>
        <condense val="0"/>
        <extend val="0"/>
        <color rgb="FF9C0006"/>
      </font>
    </dxf>
    <dxf>
      <font>
        <condense val="0"/>
        <extend val="0"/>
        <color rgb="FF9C0006"/>
      </font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3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2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1.xml"/><Relationship Id="rId28" Type="http://schemas.openxmlformats.org/officeDocument/2006/relationships/externalLink" Target="externalLinks/externalLink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5.xml"/><Relationship Id="rId30" Type="http://schemas.openxmlformats.org/officeDocument/2006/relationships/externalLink" Target="externalLinks/externalLink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16470</c:v>
                </c:pt>
                <c:pt idx="1">
                  <c:v>18028</c:v>
                </c:pt>
                <c:pt idx="2">
                  <c:v>18859</c:v>
                </c:pt>
                <c:pt idx="3">
                  <c:v>20891</c:v>
                </c:pt>
                <c:pt idx="4">
                  <c:v>18152</c:v>
                </c:pt>
                <c:pt idx="5">
                  <c:v>18161</c:v>
                </c:pt>
                <c:pt idx="6">
                  <c:v>20764</c:v>
                </c:pt>
                <c:pt idx="7">
                  <c:v>20479</c:v>
                </c:pt>
                <c:pt idx="8">
                  <c:v>23543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50273408"/>
        <c:axId val="99808384"/>
      </c:lineChart>
      <c:catAx>
        <c:axId val="1502734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808384"/>
        <c:crosses val="autoZero"/>
        <c:auto val="1"/>
        <c:lblAlgn val="ctr"/>
        <c:lblOffset val="100"/>
      </c:catAx>
      <c:valAx>
        <c:axId val="9980838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2734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47591903772769"/>
          <c:y val="0.62975887529634422"/>
          <c:w val="0.11899800868449698"/>
          <c:h val="4.49826989619441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99714176"/>
        <c:axId val="99715712"/>
      </c:lineChart>
      <c:catAx>
        <c:axId val="99714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15712"/>
        <c:crosses val="autoZero"/>
        <c:auto val="1"/>
        <c:lblAlgn val="ctr"/>
        <c:lblOffset val="100"/>
      </c:catAx>
      <c:valAx>
        <c:axId val="9971571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14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07531836304686"/>
          <c:y val="0.61111329833770778"/>
          <c:w val="9.6296451832409855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5.6500000000000002E-2</c:v>
                </c:pt>
                <c:pt idx="1">
                  <c:v>3.9E-2</c:v>
                </c:pt>
                <c:pt idx="2">
                  <c:v>8.6999999999999994E-2</c:v>
                </c:pt>
                <c:pt idx="3">
                  <c:v>8.6999999999999994E-2</c:v>
                </c:pt>
                <c:pt idx="4">
                  <c:v>7.8299999999999995E-2</c:v>
                </c:pt>
                <c:pt idx="5">
                  <c:v>8.2600000000000007E-2</c:v>
                </c:pt>
                <c:pt idx="6">
                  <c:v>7.8299999999999995E-2</c:v>
                </c:pt>
                <c:pt idx="7">
                  <c:v>8.6999999999999994E-2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99735808"/>
        <c:axId val="100270080"/>
      </c:lineChart>
      <c:catAx>
        <c:axId val="997358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70080"/>
        <c:crosses val="autoZero"/>
        <c:auto val="1"/>
        <c:lblAlgn val="ctr"/>
        <c:lblOffset val="100"/>
      </c:catAx>
      <c:valAx>
        <c:axId val="100270080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7358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404181800513805"/>
          <c:y val="0.62975887529634422"/>
          <c:w val="7.9124755870162669E-2"/>
          <c:h val="4.49826989619441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76234708722191202"/>
          <c:y val="0.87969634004082864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12.995000000000001</c:v>
                </c:pt>
                <c:pt idx="1">
                  <c:v>8.9700000000000006</c:v>
                </c:pt>
                <c:pt idx="2">
                  <c:v>20.009999999999998</c:v>
                </c:pt>
                <c:pt idx="3">
                  <c:v>20.009999999999998</c:v>
                </c:pt>
                <c:pt idx="4">
                  <c:v>18.009</c:v>
                </c:pt>
                <c:pt idx="5">
                  <c:v>18.998000000000001</c:v>
                </c:pt>
                <c:pt idx="6">
                  <c:v>18.009</c:v>
                </c:pt>
                <c:pt idx="7">
                  <c:v>20.009999999999998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289920"/>
        <c:axId val="100308096"/>
      </c:lineChart>
      <c:catAx>
        <c:axId val="1002899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08096"/>
        <c:crosses val="autoZero"/>
        <c:auto val="1"/>
        <c:lblAlgn val="ctr"/>
        <c:lblOffset val="100"/>
      </c:catAx>
      <c:valAx>
        <c:axId val="100308096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2899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593403755066071"/>
          <c:y val="0.60764107611560214"/>
          <c:w val="8.5383502170766998E-2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233.75</c:v>
                </c:pt>
                <c:pt idx="1">
                  <c:v>228.54545454545453</c:v>
                </c:pt>
                <c:pt idx="2">
                  <c:v>259.36842105263156</c:v>
                </c:pt>
                <c:pt idx="3">
                  <c:v>222.15</c:v>
                </c:pt>
                <c:pt idx="4">
                  <c:v>237.38095238095238</c:v>
                </c:pt>
                <c:pt idx="5">
                  <c:v>228.27272727272728</c:v>
                </c:pt>
                <c:pt idx="6">
                  <c:v>252.60869565217391</c:v>
                </c:pt>
                <c:pt idx="7">
                  <c:v>234.75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332288"/>
        <c:axId val="100333824"/>
      </c:lineChart>
      <c:catAx>
        <c:axId val="100332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33824"/>
        <c:crosses val="autoZero"/>
        <c:auto val="1"/>
        <c:lblAlgn val="ctr"/>
        <c:lblOffset val="100"/>
      </c:catAx>
      <c:valAx>
        <c:axId val="100333824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332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15769944341377"/>
          <c:y val="0.62975900739688218"/>
          <c:w val="0.1317254174397032"/>
          <c:h val="4.498283868362610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690176"/>
        <c:axId val="100696064"/>
      </c:lineChart>
      <c:catAx>
        <c:axId val="1006901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96064"/>
        <c:crosses val="autoZero"/>
        <c:auto val="1"/>
        <c:lblAlgn val="ctr"/>
        <c:lblOffset val="100"/>
      </c:catAx>
      <c:valAx>
        <c:axId val="1006960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6901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578748411165552"/>
          <c:y val="0.60416885389326369"/>
          <c:w val="0.1053460770233909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797824"/>
        <c:axId val="100799616"/>
      </c:lineChart>
      <c:catAx>
        <c:axId val="1007978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99616"/>
        <c:crosses val="autoZero"/>
        <c:auto val="1"/>
        <c:lblAlgn val="ctr"/>
        <c:lblOffset val="100"/>
      </c:catAx>
      <c:valAx>
        <c:axId val="1007996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7978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188682166941562"/>
          <c:y val="0.60416885389326369"/>
          <c:w val="5.4339623476268833E-2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393</c:v>
                </c:pt>
                <c:pt idx="2">
                  <c:v>0</c:v>
                </c:pt>
                <c:pt idx="3">
                  <c:v>563</c:v>
                </c:pt>
                <c:pt idx="4">
                  <c:v>45</c:v>
                </c:pt>
                <c:pt idx="5">
                  <c:v>227</c:v>
                </c:pt>
                <c:pt idx="6">
                  <c:v>201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0819328"/>
        <c:axId val="100820864"/>
      </c:lineChart>
      <c:catAx>
        <c:axId val="1008193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20864"/>
        <c:crosses val="autoZero"/>
        <c:auto val="1"/>
        <c:lblAlgn val="ctr"/>
        <c:lblOffset val="100"/>
      </c:catAx>
      <c:valAx>
        <c:axId val="10082086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8193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451145077453563"/>
          <c:y val="0.60416885389326369"/>
          <c:w val="0.10784334311152242"/>
          <c:h val="4.5138888888888506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WATER!$AM$3</c:f>
              <c:strCache>
                <c:ptCount val="1"/>
                <c:pt idx="0">
                  <c:v>Avg Outside Temp</c:v>
                </c:pt>
              </c:strCache>
            </c:strRef>
          </c:tx>
          <c:marker>
            <c:symbol val="none"/>
          </c:marker>
          <c:val>
            <c:numRef>
              <c:f>WATER!$AM$6:$AM$35</c:f>
              <c:numCache>
                <c:formatCode>0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070336"/>
        <c:axId val="101071872"/>
      </c:lineChart>
      <c:catAx>
        <c:axId val="1010703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71872"/>
        <c:crosses val="autoZero"/>
        <c:auto val="1"/>
        <c:lblAlgn val="ctr"/>
        <c:lblOffset val="100"/>
      </c:catAx>
      <c:valAx>
        <c:axId val="1010718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703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04810017028065"/>
          <c:y val="0.60069663167110365"/>
          <c:w val="0.12724033151771869"/>
          <c:h val="4.513888888888885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4.4016185476815413E-2"/>
          <c:y val="7.4647453926180413E-2"/>
          <c:w val="0.72880818022747162"/>
          <c:h val="0.83239784623212965"/>
        </c:manualLayout>
      </c:layout>
      <c:lineChart>
        <c:grouping val="standard"/>
        <c:ser>
          <c:idx val="0"/>
          <c:order val="0"/>
          <c:marker>
            <c:symbol val="none"/>
          </c:marker>
          <c:val>
            <c:numRef>
              <c:f>WATER!$U$6:$U$35</c:f>
              <c:numCache>
                <c:formatCode>General</c:formatCode>
                <c:ptCount val="30"/>
                <c:pt idx="0">
                  <c:v>3</c:v>
                </c:pt>
                <c:pt idx="1">
                  <c:v>4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083776"/>
        <c:axId val="101106048"/>
      </c:lineChart>
      <c:catAx>
        <c:axId val="1010837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06048"/>
        <c:crosses val="autoZero"/>
        <c:auto val="1"/>
        <c:lblAlgn val="ctr"/>
        <c:lblOffset val="100"/>
      </c:catAx>
      <c:valAx>
        <c:axId val="101106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0837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481660946227852"/>
          <c:y val="0.46026490066226688"/>
          <c:w val="0.17211387038158688"/>
          <c:h val="8.2781456953645013E-2"/>
        </c:manualLayout>
      </c:layout>
      <c:txPr>
        <a:bodyPr/>
        <a:lstStyle/>
        <a:p>
          <a:pPr>
            <a:defRPr sz="5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Boiler &amp; Steam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'B5'!$AI$1</c:f>
              <c:strCache>
                <c:ptCount val="1"/>
                <c:pt idx="0">
                  <c:v>Boiler &amp; steam</c:v>
                </c:pt>
              </c:strCache>
            </c:strRef>
          </c:tx>
          <c:marker>
            <c:symbol val="none"/>
          </c:marker>
          <c:val>
            <c:numRef>
              <c:f>'B5'!$AI$4:$AI$34</c:f>
              <c:numCache>
                <c:formatCode>0</c:formatCode>
                <c:ptCount val="31"/>
                <c:pt idx="0" formatCode="General">
                  <c:v>360</c:v>
                </c:pt>
                <c:pt idx="1">
                  <c:v>417</c:v>
                </c:pt>
                <c:pt idx="2">
                  <c:v>735</c:v>
                </c:pt>
                <c:pt idx="3">
                  <c:v>388</c:v>
                </c:pt>
                <c:pt idx="4">
                  <c:v>534</c:v>
                </c:pt>
                <c:pt idx="5">
                  <c:v>338</c:v>
                </c:pt>
                <c:pt idx="6">
                  <c:v>430</c:v>
                </c:pt>
                <c:pt idx="7">
                  <c:v>657</c:v>
                </c:pt>
                <c:pt idx="8">
                  <c:v>512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0909056"/>
        <c:axId val="100910592"/>
      </c:lineChart>
      <c:catAx>
        <c:axId val="100909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10592"/>
        <c:crosses val="autoZero"/>
        <c:auto val="1"/>
        <c:lblAlgn val="ctr"/>
        <c:lblOffset val="100"/>
      </c:catAx>
      <c:valAx>
        <c:axId val="1009105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0909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291841644794395"/>
          <c:y val="0.60069663167110365"/>
          <c:w val="0.1354168853893437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Gas per Liter Diesel</a:t>
            </a:r>
          </a:p>
        </c:rich>
      </c:tx>
    </c:title>
    <c:plotArea>
      <c:layout/>
      <c:lineChart>
        <c:grouping val="standard"/>
        <c:ser>
          <c:idx val="0"/>
          <c:order val="0"/>
          <c:tx>
            <c:strRef>
              <c:f>'B5'!$AU$1</c:f>
              <c:strCache>
                <c:ptCount val="1"/>
                <c:pt idx="0">
                  <c:v>Gas Cons</c:v>
                </c:pt>
              </c:strCache>
            </c:strRef>
          </c:tx>
          <c:marker>
            <c:symbol val="none"/>
          </c:marker>
          <c:val>
            <c:numRef>
              <c:f>'B5'!$AU$5:$AU$34</c:f>
              <c:numCache>
                <c:formatCode>0</c:formatCode>
                <c:ptCount val="30"/>
                <c:pt idx="0">
                  <c:v>90</c:v>
                </c:pt>
                <c:pt idx="1">
                  <c:v>400</c:v>
                </c:pt>
                <c:pt idx="2">
                  <c:v>180</c:v>
                </c:pt>
                <c:pt idx="3">
                  <c:v>30</c:v>
                </c:pt>
                <c:pt idx="4">
                  <c:v>120</c:v>
                </c:pt>
                <c:pt idx="5">
                  <c:v>150</c:v>
                </c:pt>
                <c:pt idx="6">
                  <c:v>150</c:v>
                </c:pt>
                <c:pt idx="7">
                  <c:v>210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143680"/>
        <c:axId val="101145216"/>
      </c:lineChart>
      <c:catAx>
        <c:axId val="1011436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45216"/>
        <c:crosses val="autoZero"/>
        <c:auto val="1"/>
        <c:lblAlgn val="ctr"/>
        <c:lblOffset val="100"/>
      </c:catAx>
      <c:valAx>
        <c:axId val="10114521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436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75174978127723"/>
          <c:y val="0.60069663167110365"/>
          <c:w val="0.1145835520559925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ELEC!$N$1</c:f>
              <c:strCache>
                <c:ptCount val="1"/>
                <c:pt idx="0">
                  <c:v>Total KWH</c:v>
                </c:pt>
              </c:strCache>
            </c:strRef>
          </c:tx>
          <c:marker>
            <c:symbol val="none"/>
          </c:marker>
          <c:val>
            <c:numRef>
              <c:f>ELEC!$N$2:$N$32</c:f>
              <c:numCache>
                <c:formatCode>0.00</c:formatCode>
                <c:ptCount val="31"/>
                <c:pt idx="0" formatCode="0">
                  <c:v>16470</c:v>
                </c:pt>
                <c:pt idx="1">
                  <c:v>18028</c:v>
                </c:pt>
                <c:pt idx="2">
                  <c:v>18859</c:v>
                </c:pt>
                <c:pt idx="3">
                  <c:v>20891</c:v>
                </c:pt>
                <c:pt idx="4">
                  <c:v>18152</c:v>
                </c:pt>
                <c:pt idx="5">
                  <c:v>18161</c:v>
                </c:pt>
                <c:pt idx="6">
                  <c:v>20764</c:v>
                </c:pt>
                <c:pt idx="7">
                  <c:v>20479</c:v>
                </c:pt>
                <c:pt idx="8">
                  <c:v>23543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1169792"/>
        <c:axId val="101183872"/>
      </c:lineChart>
      <c:catAx>
        <c:axId val="10116979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83872"/>
        <c:crosses val="autoZero"/>
        <c:auto val="1"/>
        <c:lblAlgn val="ctr"/>
        <c:lblOffset val="100"/>
      </c:catAx>
      <c:valAx>
        <c:axId val="101183872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1697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58508311461069"/>
          <c:y val="0.62975887529634422"/>
          <c:w val="0.12291688538932598"/>
          <c:h val="4.49826989619441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1216256"/>
        <c:axId val="101217792"/>
      </c:lineChart>
      <c:catAx>
        <c:axId val="1012162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17792"/>
        <c:crosses val="autoZero"/>
        <c:auto val="1"/>
        <c:lblAlgn val="ctr"/>
        <c:lblOffset val="100"/>
      </c:catAx>
      <c:valAx>
        <c:axId val="1012177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162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4583508311461064"/>
          <c:y val="0.60069663167110365"/>
          <c:w val="0.13541688538934374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Gen H Running per day</a:t>
            </a:r>
          </a:p>
        </c:rich>
      </c:tx>
    </c:title>
    <c:plotArea>
      <c:layout>
        <c:manualLayout>
          <c:layoutTarget val="inner"/>
          <c:xMode val="edge"/>
          <c:yMode val="edge"/>
          <c:x val="8.3333333333333343E-2"/>
          <c:y val="0.19377162629757017"/>
          <c:w val="0.68541666666666656"/>
          <c:h val="0.68858131487889274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36</c:v>
                </c:pt>
                <c:pt idx="1">
                  <c:v>1</c:v>
                </c:pt>
                <c:pt idx="2">
                  <c:v>30</c:v>
                </c:pt>
                <c:pt idx="3">
                  <c:v>26</c:v>
                </c:pt>
                <c:pt idx="4">
                  <c:v>21</c:v>
                </c:pt>
                <c:pt idx="5">
                  <c:v>18</c:v>
                </c:pt>
                <c:pt idx="6">
                  <c:v>24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246080"/>
        <c:axId val="101247616"/>
      </c:lineChart>
      <c:catAx>
        <c:axId val="1012460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47616"/>
        <c:crosses val="autoZero"/>
        <c:auto val="1"/>
        <c:lblAlgn val="ctr"/>
        <c:lblOffset val="100"/>
      </c:catAx>
      <c:valAx>
        <c:axId val="1012476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460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66841644799752"/>
          <c:y val="0.54325368498487869"/>
          <c:w val="0.11458355205599259"/>
          <c:h val="4.49826989619436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tanks!$AS$3</c:f>
              <c:strCache>
                <c:ptCount val="1"/>
                <c:pt idx="0">
                  <c:v>Diesel Cons Per day</c:v>
                </c:pt>
              </c:strCache>
            </c:strRef>
          </c:tx>
          <c:marker>
            <c:symbol val="none"/>
          </c:marker>
          <c:val>
            <c:numRef>
              <c:f>tanks!$AS$6:$AS$35</c:f>
              <c:numCache>
                <c:formatCode>0</c:formatCode>
                <c:ptCount val="30"/>
                <c:pt idx="0">
                  <c:v>-2560.8709677419247</c:v>
                </c:pt>
                <c:pt idx="1">
                  <c:v>-5520.1935483871057</c:v>
                </c:pt>
                <c:pt idx="2">
                  <c:v>-4766.838709677424</c:v>
                </c:pt>
                <c:pt idx="3">
                  <c:v>-5415.1935483870911</c:v>
                </c:pt>
                <c:pt idx="4">
                  <c:v>-5415.1935483870911</c:v>
                </c:pt>
                <c:pt idx="5">
                  <c:v>-4633.419354838712</c:v>
                </c:pt>
                <c:pt idx="6">
                  <c:v>-5492.1935483871057</c:v>
                </c:pt>
                <c:pt idx="7">
                  <c:v>-5102.1161290322634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284096"/>
        <c:axId val="101285888"/>
      </c:lineChart>
      <c:catAx>
        <c:axId val="1012840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85888"/>
        <c:crosses val="autoZero"/>
        <c:auto val="1"/>
        <c:lblAlgn val="ctr"/>
        <c:lblOffset val="100"/>
      </c:catAx>
      <c:valAx>
        <c:axId val="101285888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2840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0850831146106"/>
          <c:y val="0.56250182268890203"/>
          <c:w val="0.15208355205599344"/>
          <c:h val="4.5138888888888951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WATER!$L$3</c:f>
              <c:strCache>
                <c:ptCount val="1"/>
                <c:pt idx="0">
                  <c:v>Cosum SW/day</c:v>
                </c:pt>
              </c:strCache>
            </c:strRef>
          </c:tx>
          <c:marker>
            <c:symbol val="none"/>
          </c:marker>
          <c:val>
            <c:numRef>
              <c:f>WATER!$L$6:$L$35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10</c:v>
                </c:pt>
                <c:pt idx="4">
                  <c:v>8</c:v>
                </c:pt>
                <c:pt idx="5">
                  <c:v>6</c:v>
                </c:pt>
                <c:pt idx="6">
                  <c:v>8</c:v>
                </c:pt>
                <c:pt idx="7">
                  <c:v>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322752"/>
        <c:axId val="101324288"/>
      </c:lineChart>
      <c:catAx>
        <c:axId val="1013227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24288"/>
        <c:crosses val="autoZero"/>
        <c:auto val="1"/>
        <c:lblAlgn val="ctr"/>
        <c:lblOffset val="100"/>
      </c:catAx>
      <c:valAx>
        <c:axId val="1013242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227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125017497812127"/>
          <c:y val="0.62975887529634422"/>
          <c:w val="0.13541688538934407"/>
          <c:h val="4.49826989619441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ELEC!$A$1</c:f>
              <c:strCache>
                <c:ptCount val="1"/>
                <c:pt idx="0">
                  <c:v>OOC</c:v>
                </c:pt>
              </c:strCache>
            </c:strRef>
          </c:tx>
          <c:marker>
            <c:symbol val="none"/>
          </c:marker>
          <c:val>
            <c:numRef>
              <c:f>ELEC!$A$3:$A$32</c:f>
              <c:numCache>
                <c:formatCode>0.00%</c:formatCode>
                <c:ptCount val="30"/>
                <c:pt idx="0">
                  <c:v>5.6500000000000002E-2</c:v>
                </c:pt>
                <c:pt idx="1">
                  <c:v>3.9E-2</c:v>
                </c:pt>
                <c:pt idx="2">
                  <c:v>8.6999999999999994E-2</c:v>
                </c:pt>
                <c:pt idx="3">
                  <c:v>8.6999999999999994E-2</c:v>
                </c:pt>
                <c:pt idx="4">
                  <c:v>7.8299999999999995E-2</c:v>
                </c:pt>
                <c:pt idx="5">
                  <c:v>8.2600000000000007E-2</c:v>
                </c:pt>
                <c:pt idx="6">
                  <c:v>7.8299999999999995E-2</c:v>
                </c:pt>
                <c:pt idx="7">
                  <c:v>8.6999999999999994E-2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348480"/>
        <c:axId val="101350016"/>
      </c:lineChart>
      <c:catAx>
        <c:axId val="1013484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50016"/>
        <c:crosses val="autoZero"/>
        <c:auto val="1"/>
        <c:lblAlgn val="ctr"/>
        <c:lblOffset val="100"/>
      </c:catAx>
      <c:valAx>
        <c:axId val="101350016"/>
        <c:scaling>
          <c:orientation val="minMax"/>
        </c:scaling>
        <c:axPos val="l"/>
        <c:majorGridlines/>
        <c:numFmt formatCode="0.00%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484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9027089005178695"/>
          <c:y val="0.62975887529634422"/>
          <c:w val="9.730870597697025E-2"/>
          <c:h val="4.49826989619441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28456931519927015"/>
          <c:y val="4.6204760737087777E-2"/>
        </c:manualLayout>
      </c:layout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ELEC!$B$1</c:f>
              <c:strCache>
                <c:ptCount val="1"/>
                <c:pt idx="0">
                  <c:v>Room OCC</c:v>
                </c:pt>
              </c:strCache>
            </c:strRef>
          </c:tx>
          <c:marker>
            <c:symbol val="none"/>
          </c:marker>
          <c:val>
            <c:numRef>
              <c:f>ELEC!$B$3:$B$32</c:f>
              <c:numCache>
                <c:formatCode>0.00</c:formatCode>
                <c:ptCount val="30"/>
                <c:pt idx="0">
                  <c:v>12.995000000000001</c:v>
                </c:pt>
                <c:pt idx="1">
                  <c:v>8.9700000000000006</c:v>
                </c:pt>
                <c:pt idx="2">
                  <c:v>20.009999999999998</c:v>
                </c:pt>
                <c:pt idx="3">
                  <c:v>20.009999999999998</c:v>
                </c:pt>
                <c:pt idx="4">
                  <c:v>18.009</c:v>
                </c:pt>
                <c:pt idx="5">
                  <c:v>18.998000000000001</c:v>
                </c:pt>
                <c:pt idx="6">
                  <c:v>18.009</c:v>
                </c:pt>
                <c:pt idx="7">
                  <c:v>20.009999999999998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378304"/>
        <c:axId val="101449728"/>
      </c:lineChart>
      <c:catAx>
        <c:axId val="10137830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49728"/>
        <c:crosses val="autoZero"/>
        <c:auto val="1"/>
        <c:lblAlgn val="ctr"/>
        <c:lblOffset val="100"/>
      </c:catAx>
      <c:valAx>
        <c:axId val="101449728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3783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157111559403265"/>
          <c:y val="0.61591804484647061"/>
          <c:w val="0.12190104336131879"/>
          <c:h val="4.49826989619441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WATER!$C$3</c:f>
              <c:strCache>
                <c:ptCount val="1"/>
                <c:pt idx="0">
                  <c:v>Truck M3/day</c:v>
                </c:pt>
              </c:strCache>
            </c:strRef>
          </c:tx>
          <c:marker>
            <c:symbol val="none"/>
          </c:marker>
          <c:val>
            <c:numRef>
              <c:f>WATER!$C$6:$C$35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457280"/>
        <c:axId val="101475456"/>
      </c:lineChart>
      <c:catAx>
        <c:axId val="101457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75456"/>
        <c:crosses val="autoZero"/>
        <c:auto val="1"/>
        <c:lblAlgn val="ctr"/>
        <c:lblOffset val="100"/>
      </c:catAx>
      <c:valAx>
        <c:axId val="10147545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45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507420268124179"/>
          <c:y val="0.62975887529634422"/>
          <c:w val="0.13250539334757044"/>
          <c:h val="4.498269896194413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WATER!$H$3</c:f>
              <c:strCache>
                <c:ptCount val="1"/>
                <c:pt idx="0">
                  <c:v>City/day</c:v>
                </c:pt>
              </c:strCache>
            </c:strRef>
          </c:tx>
          <c:marker>
            <c:symbol val="none"/>
          </c:marker>
          <c:val>
            <c:numRef>
              <c:f>WATER!$H$6:$H$35</c:f>
              <c:numCache>
                <c:formatCode>General</c:formatCode>
                <c:ptCount val="30"/>
                <c:pt idx="0">
                  <c:v>0</c:v>
                </c:pt>
                <c:pt idx="1">
                  <c:v>393</c:v>
                </c:pt>
                <c:pt idx="2">
                  <c:v>0</c:v>
                </c:pt>
                <c:pt idx="3">
                  <c:v>563</c:v>
                </c:pt>
                <c:pt idx="4">
                  <c:v>45</c:v>
                </c:pt>
                <c:pt idx="5">
                  <c:v>227</c:v>
                </c:pt>
                <c:pt idx="6">
                  <c:v>201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524224"/>
        <c:axId val="101525760"/>
      </c:lineChart>
      <c:catAx>
        <c:axId val="10152422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25760"/>
        <c:crosses val="autoZero"/>
        <c:auto val="1"/>
        <c:lblAlgn val="ctr"/>
        <c:lblOffset val="100"/>
      </c:catAx>
      <c:valAx>
        <c:axId val="10152576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242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7810004121385665"/>
          <c:y val="0.60069663167110365"/>
          <c:w val="0.11363658055139769"/>
          <c:h val="4.5138888888888729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545856"/>
        <c:axId val="101547392"/>
      </c:lineChart>
      <c:catAx>
        <c:axId val="1015458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47392"/>
        <c:crosses val="autoZero"/>
        <c:auto val="1"/>
        <c:lblAlgn val="ctr"/>
        <c:lblOffset val="100"/>
      </c:catAx>
      <c:valAx>
        <c:axId val="10154739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5458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401761495294249"/>
          <c:y val="0.60764107611560214"/>
          <c:w val="0.12343118198092363"/>
          <c:h val="4.5138888888888402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598326359835144"/>
          <c:y val="4.8611111111111112E-2"/>
          <c:w val="0.502092050209205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-420.90000000000015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65.100000000000009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1605376"/>
        <c:axId val="101606912"/>
      </c:lineChart>
      <c:catAx>
        <c:axId val="101605376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06912"/>
        <c:crosses val="autoZero"/>
        <c:auto val="1"/>
        <c:lblAlgn val="ctr"/>
        <c:lblOffset val="100"/>
      </c:catAx>
      <c:valAx>
        <c:axId val="101606912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053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8452761396413"/>
          <c:y val="0.45486256926221397"/>
          <c:w val="0.15690398532820918"/>
          <c:h val="9.0278142315543708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ELEC!$AG$1</c:f>
              <c:strCache>
                <c:ptCount val="1"/>
                <c:pt idx="0">
                  <c:v>AVG chiller KW/Hr</c:v>
                </c:pt>
              </c:strCache>
            </c:strRef>
          </c:tx>
          <c:marker>
            <c:symbol val="none"/>
          </c:marker>
          <c:val>
            <c:numRef>
              <c:f>ELEC!$AG$3:$AG$32</c:f>
              <c:numCache>
                <c:formatCode>0.00</c:formatCode>
                <c:ptCount val="30"/>
                <c:pt idx="0">
                  <c:v>233.75</c:v>
                </c:pt>
                <c:pt idx="1">
                  <c:v>228.54545454545453</c:v>
                </c:pt>
                <c:pt idx="2">
                  <c:v>259.36842105263156</c:v>
                </c:pt>
                <c:pt idx="3">
                  <c:v>222.15</c:v>
                </c:pt>
                <c:pt idx="4">
                  <c:v>237.38095238095238</c:v>
                </c:pt>
                <c:pt idx="5">
                  <c:v>228.27272727272728</c:v>
                </c:pt>
                <c:pt idx="6">
                  <c:v>252.60869565217391</c:v>
                </c:pt>
                <c:pt idx="7">
                  <c:v>234.75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634816"/>
        <c:axId val="101636352"/>
      </c:lineChart>
      <c:catAx>
        <c:axId val="1016348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36352"/>
        <c:crosses val="autoZero"/>
        <c:auto val="1"/>
        <c:lblAlgn val="ctr"/>
        <c:lblOffset val="100"/>
      </c:catAx>
      <c:valAx>
        <c:axId val="101636352"/>
        <c:scaling>
          <c:orientation val="minMax"/>
        </c:scaling>
        <c:axPos val="l"/>
        <c:majorGridlines/>
        <c:numFmt formatCode="0.0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6348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263686181486729"/>
          <c:y val="0.62975887529634422"/>
          <c:w val="0.14853578449139099"/>
          <c:h val="4.498269896194434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'General information '!$D$4</c:f>
              <c:strCache>
                <c:ptCount val="1"/>
                <c:pt idx="0">
                  <c:v>AVE TEMP </c:v>
                </c:pt>
              </c:strCache>
            </c:strRef>
          </c:tx>
          <c:marker>
            <c:symbol val="none"/>
          </c:marker>
          <c:val>
            <c:numRef>
              <c:f>'General information '!$D$6:$D$35</c:f>
              <c:numCache>
                <c:formatCode>General</c:formatCode>
                <c:ptCount val="30"/>
                <c:pt idx="0">
                  <c:v>26</c:v>
                </c:pt>
                <c:pt idx="1">
                  <c:v>26</c:v>
                </c:pt>
                <c:pt idx="2">
                  <c:v>26.5</c:v>
                </c:pt>
                <c:pt idx="3">
                  <c:v>26</c:v>
                </c:pt>
                <c:pt idx="4">
                  <c:v>28</c:v>
                </c:pt>
                <c:pt idx="5">
                  <c:v>27</c:v>
                </c:pt>
                <c:pt idx="6">
                  <c:v>26</c:v>
                </c:pt>
                <c:pt idx="7">
                  <c:v>26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1701888"/>
        <c:axId val="101715968"/>
      </c:lineChart>
      <c:catAx>
        <c:axId val="1017018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15968"/>
        <c:crosses val="autoZero"/>
        <c:auto val="1"/>
        <c:lblAlgn val="ctr"/>
        <c:lblOffset val="100"/>
      </c:catAx>
      <c:valAx>
        <c:axId val="1017159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7018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804123711350767"/>
          <c:y val="0.62975887529634422"/>
          <c:w val="0.12164948453608219"/>
          <c:h val="4.498269896194434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8.3682008368201263E-2"/>
          <c:y val="0.19444444444451311"/>
          <c:w val="0.68410041841004265"/>
          <c:h val="0.6875"/>
        </c:manualLayout>
      </c:layout>
      <c:lineChart>
        <c:grouping val="standard"/>
        <c:ser>
          <c:idx val="0"/>
          <c:order val="0"/>
          <c:tx>
            <c:strRef>
              <c:f>GEN!$Z$1</c:f>
              <c:strCache>
                <c:ptCount val="1"/>
                <c:pt idx="0">
                  <c:v>RH total </c:v>
                </c:pt>
              </c:strCache>
            </c:strRef>
          </c:tx>
          <c:marker>
            <c:symbol val="none"/>
          </c:marker>
          <c:val>
            <c:numRef>
              <c:f>GEN!$Z$3:$Z$32</c:f>
              <c:numCache>
                <c:formatCode>_(* #,##0_);_(* \(#,##0\);_(* "-"??_);_(@_)</c:formatCode>
                <c:ptCount val="30"/>
                <c:pt idx="0">
                  <c:v>36</c:v>
                </c:pt>
                <c:pt idx="1">
                  <c:v>1</c:v>
                </c:pt>
                <c:pt idx="2">
                  <c:v>30</c:v>
                </c:pt>
                <c:pt idx="3">
                  <c:v>26</c:v>
                </c:pt>
                <c:pt idx="4">
                  <c:v>21</c:v>
                </c:pt>
                <c:pt idx="5">
                  <c:v>18</c:v>
                </c:pt>
                <c:pt idx="6">
                  <c:v>24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</c:ser>
        <c:marker val="1"/>
        <c:axId val="102031744"/>
        <c:axId val="102033280"/>
      </c:lineChart>
      <c:catAx>
        <c:axId val="1020317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33280"/>
        <c:crosses val="autoZero"/>
        <c:auto val="1"/>
        <c:lblAlgn val="ctr"/>
        <c:lblOffset val="100"/>
      </c:catAx>
      <c:valAx>
        <c:axId val="102033280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0317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661096651621476"/>
          <c:y val="0.53819626713327495"/>
          <c:w val="0.11506298114409297"/>
          <c:h val="4.513888888888862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/>
      <c:lineChart>
        <c:grouping val="standard"/>
        <c:ser>
          <c:idx val="0"/>
          <c:order val="0"/>
          <c:tx>
            <c:strRef>
              <c:f>'EDl log'!$C$1</c:f>
              <c:strCache>
                <c:ptCount val="1"/>
                <c:pt idx="0">
                  <c:v>Conso EDL KW</c:v>
                </c:pt>
              </c:strCache>
            </c:strRef>
          </c:tx>
          <c:marker>
            <c:symbol val="none"/>
          </c:marker>
          <c:val>
            <c:numRef>
              <c:f>'EDl log'!$C$3:$C$33</c:f>
              <c:numCache>
                <c:formatCode>General</c:formatCode>
                <c:ptCount val="31"/>
                <c:pt idx="0">
                  <c:v>2832</c:v>
                </c:pt>
                <c:pt idx="1">
                  <c:v>1940</c:v>
                </c:pt>
                <c:pt idx="2">
                  <c:v>3272</c:v>
                </c:pt>
                <c:pt idx="3">
                  <c:v>3680</c:v>
                </c:pt>
                <c:pt idx="4">
                  <c:v>970</c:v>
                </c:pt>
                <c:pt idx="5">
                  <c:v>2116</c:v>
                </c:pt>
                <c:pt idx="6">
                  <c:v>1525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marker val="1"/>
        <c:axId val="102196736"/>
        <c:axId val="102198272"/>
      </c:lineChart>
      <c:catAx>
        <c:axId val="10219673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98272"/>
        <c:crosses val="autoZero"/>
        <c:auto val="1"/>
        <c:lblAlgn val="ctr"/>
        <c:lblOffset val="100"/>
      </c:catAx>
      <c:valAx>
        <c:axId val="10219827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19673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4090592474866197"/>
          <c:y val="0.61774744027310757"/>
          <c:w val="5.1419800460475666E-2"/>
          <c:h val="4.4368600682593934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0.13485477178423236"/>
          <c:y val="4.8611111111111112E-2"/>
          <c:w val="0.50207468879668049"/>
          <c:h val="0.8958333333333337"/>
        </c:manualLayout>
      </c:layout>
      <c:lineChart>
        <c:grouping val="standard"/>
        <c:ser>
          <c:idx val="0"/>
          <c:order val="0"/>
          <c:tx>
            <c:strRef>
              <c:f>'Degree Days 2020'!$AA$9</c:f>
              <c:strCache>
                <c:ptCount val="1"/>
                <c:pt idx="0">
                  <c:v>Heating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2020'!$AA$10:$AA$21</c:f>
              <c:numCache>
                <c:formatCode>#,##0.0;[Red]#,##0.0</c:formatCode>
                <c:ptCount val="12"/>
                <c:pt idx="0">
                  <c:v>-148.80000000000001</c:v>
                </c:pt>
                <c:pt idx="1">
                  <c:v>-153.49999999999997</c:v>
                </c:pt>
                <c:pt idx="2">
                  <c:v>-61.799999999999983</c:v>
                </c:pt>
                <c:pt idx="3">
                  <c:v>-54.600000000000009</c:v>
                </c:pt>
                <c:pt idx="4">
                  <c:v>-0.80000000000000071</c:v>
                </c:pt>
                <c:pt idx="5">
                  <c:v>-18.3</c:v>
                </c:pt>
                <c:pt idx="6">
                  <c:v>-420.90000000000015</c:v>
                </c:pt>
                <c:pt idx="11" formatCode="0.00_ ;[Red]\-0.00\ ">
                  <c:v>30</c:v>
                </c:pt>
              </c:numCache>
            </c:numRef>
          </c:val>
        </c:ser>
        <c:ser>
          <c:idx val="1"/>
          <c:order val="1"/>
          <c:tx>
            <c:strRef>
              <c:f>'Degree Days 2020'!$AB$9</c:f>
              <c:strCache>
                <c:ptCount val="1"/>
                <c:pt idx="0">
                  <c:v>Cooling degree days</c:v>
                </c:pt>
              </c:strCache>
            </c:strRef>
          </c:tx>
          <c:marker>
            <c:symbol val="none"/>
          </c:marker>
          <c:cat>
            <c:strRef>
              <c:f>'Degree Days 2020'!$Z$10:$Z$21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'Degree Days 2020'!$AB$10:$AB$21</c:f>
              <c:numCache>
                <c:formatCode>#,##0.0;[Red]#,##0.0</c:formatCode>
                <c:ptCount val="12"/>
                <c:pt idx="0">
                  <c:v>0</c:v>
                </c:pt>
                <c:pt idx="1">
                  <c:v>0.69999999999999929</c:v>
                </c:pt>
                <c:pt idx="2">
                  <c:v>11.499999999999996</c:v>
                </c:pt>
                <c:pt idx="3">
                  <c:v>25.29999999999999</c:v>
                </c:pt>
                <c:pt idx="4">
                  <c:v>131.50000000000003</c:v>
                </c:pt>
                <c:pt idx="5">
                  <c:v>182.99999999999997</c:v>
                </c:pt>
                <c:pt idx="6">
                  <c:v>65.100000000000009</c:v>
                </c:pt>
                <c:pt idx="11" formatCode="0.00_ ;[Red]\-0.00\ ">
                  <c:v>22</c:v>
                </c:pt>
              </c:numCache>
            </c:numRef>
          </c:val>
        </c:ser>
        <c:marker val="1"/>
        <c:axId val="102408192"/>
        <c:axId val="102409728"/>
      </c:lineChart>
      <c:catAx>
        <c:axId val="102408192"/>
        <c:scaling>
          <c:orientation val="minMax"/>
        </c:scaling>
        <c:axPos val="b"/>
        <c:numFmt formatCode="General" sourceLinked="0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09728"/>
        <c:crosses val="autoZero"/>
        <c:auto val="1"/>
        <c:lblAlgn val="ctr"/>
        <c:lblOffset val="100"/>
      </c:catAx>
      <c:valAx>
        <c:axId val="102409728"/>
        <c:scaling>
          <c:orientation val="minMax"/>
        </c:scaling>
        <c:axPos val="l"/>
        <c:majorGridlines/>
        <c:numFmt formatCode="#,##0.0;[Red]#,##0.0" sourceLinked="1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240819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2780082987551862"/>
          <c:y val="0.45486256926221397"/>
          <c:w val="0.15560165975103471"/>
          <c:h val="9.0278142315542265E-2"/>
        </c:manualLayout>
      </c:layout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13" Type="http://schemas.openxmlformats.org/officeDocument/2006/relationships/chart" Target="../charts/chart23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12" Type="http://schemas.openxmlformats.org/officeDocument/2006/relationships/chart" Target="../charts/chart22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11" Type="http://schemas.openxmlformats.org/officeDocument/2006/relationships/chart" Target="../charts/chart21.xml"/><Relationship Id="rId5" Type="http://schemas.openxmlformats.org/officeDocument/2006/relationships/chart" Target="../charts/chart15.xml"/><Relationship Id="rId10" Type="http://schemas.openxmlformats.org/officeDocument/2006/relationships/chart" Target="../charts/chart20.xml"/><Relationship Id="rId4" Type="http://schemas.openxmlformats.org/officeDocument/2006/relationships/chart" Target="../charts/chart14.xml"/><Relationship Id="rId9" Type="http://schemas.openxmlformats.org/officeDocument/2006/relationships/chart" Target="../charts/chart19.xml"/><Relationship Id="rId14" Type="http://schemas.openxmlformats.org/officeDocument/2006/relationships/chart" Target="../charts/chart2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590550</xdr:colOff>
      <xdr:row>33</xdr:row>
      <xdr:rowOff>152400</xdr:rowOff>
    </xdr:from>
    <xdr:to>
      <xdr:col>6</xdr:col>
      <xdr:colOff>609600</xdr:colOff>
      <xdr:row>48</xdr:row>
      <xdr:rowOff>47625</xdr:rowOff>
    </xdr:to>
    <xdr:graphicFrame macro="">
      <xdr:nvGraphicFramePr>
        <xdr:cNvPr id="1843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762000</xdr:colOff>
      <xdr:row>34</xdr:row>
      <xdr:rowOff>38100</xdr:rowOff>
    </xdr:from>
    <xdr:to>
      <xdr:col>14</xdr:col>
      <xdr:colOff>114300</xdr:colOff>
      <xdr:row>48</xdr:row>
      <xdr:rowOff>114300</xdr:rowOff>
    </xdr:to>
    <xdr:graphicFrame macro="">
      <xdr:nvGraphicFramePr>
        <xdr:cNvPr id="1843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495300</xdr:colOff>
      <xdr:row>33</xdr:row>
      <xdr:rowOff>180975</xdr:rowOff>
    </xdr:from>
    <xdr:to>
      <xdr:col>21</xdr:col>
      <xdr:colOff>266700</xdr:colOff>
      <xdr:row>48</xdr:row>
      <xdr:rowOff>76200</xdr:rowOff>
    </xdr:to>
    <xdr:graphicFrame macro="">
      <xdr:nvGraphicFramePr>
        <xdr:cNvPr id="1843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19050</xdr:colOff>
      <xdr:row>34</xdr:row>
      <xdr:rowOff>142875</xdr:rowOff>
    </xdr:from>
    <xdr:to>
      <xdr:col>30</xdr:col>
      <xdr:colOff>219075</xdr:colOff>
      <xdr:row>49</xdr:row>
      <xdr:rowOff>28575</xdr:rowOff>
    </xdr:to>
    <xdr:graphicFrame macro="">
      <xdr:nvGraphicFramePr>
        <xdr:cNvPr id="1843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752475</xdr:colOff>
      <xdr:row>34</xdr:row>
      <xdr:rowOff>180975</xdr:rowOff>
    </xdr:from>
    <xdr:to>
      <xdr:col>38</xdr:col>
      <xdr:colOff>295275</xdr:colOff>
      <xdr:row>49</xdr:row>
      <xdr:rowOff>47625</xdr:rowOff>
    </xdr:to>
    <xdr:graphicFrame macro="">
      <xdr:nvGraphicFramePr>
        <xdr:cNvPr id="1843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39</xdr:row>
      <xdr:rowOff>0</xdr:rowOff>
    </xdr:from>
    <xdr:to>
      <xdr:col>7</xdr:col>
      <xdr:colOff>523875</xdr:colOff>
      <xdr:row>53</xdr:row>
      <xdr:rowOff>66675</xdr:rowOff>
    </xdr:to>
    <xdr:graphicFrame macro="">
      <xdr:nvGraphicFramePr>
        <xdr:cNvPr id="1306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57150</xdr:colOff>
      <xdr:row>39</xdr:row>
      <xdr:rowOff>57150</xdr:rowOff>
    </xdr:from>
    <xdr:to>
      <xdr:col>39</xdr:col>
      <xdr:colOff>295275</xdr:colOff>
      <xdr:row>53</xdr:row>
      <xdr:rowOff>123825</xdr:rowOff>
    </xdr:to>
    <xdr:graphicFrame macro="">
      <xdr:nvGraphicFramePr>
        <xdr:cNvPr id="1306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40</xdr:col>
      <xdr:colOff>28575</xdr:colOff>
      <xdr:row>40</xdr:row>
      <xdr:rowOff>114300</xdr:rowOff>
    </xdr:from>
    <xdr:to>
      <xdr:col>47</xdr:col>
      <xdr:colOff>152400</xdr:colOff>
      <xdr:row>54</xdr:row>
      <xdr:rowOff>180975</xdr:rowOff>
    </xdr:to>
    <xdr:graphicFrame macro="">
      <xdr:nvGraphicFramePr>
        <xdr:cNvPr id="1306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352425</xdr:colOff>
      <xdr:row>38</xdr:row>
      <xdr:rowOff>180975</xdr:rowOff>
    </xdr:from>
    <xdr:to>
      <xdr:col>55</xdr:col>
      <xdr:colOff>123825</xdr:colOff>
      <xdr:row>53</xdr:row>
      <xdr:rowOff>57150</xdr:rowOff>
    </xdr:to>
    <xdr:graphicFrame macro="">
      <xdr:nvGraphicFramePr>
        <xdr:cNvPr id="13066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676275</xdr:colOff>
      <xdr:row>54</xdr:row>
      <xdr:rowOff>161925</xdr:rowOff>
    </xdr:from>
    <xdr:to>
      <xdr:col>23</xdr:col>
      <xdr:colOff>276225</xdr:colOff>
      <xdr:row>69</xdr:row>
      <xdr:rowOff>180975</xdr:rowOff>
    </xdr:to>
    <xdr:graphicFrame macro="">
      <xdr:nvGraphicFramePr>
        <xdr:cNvPr id="1306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9697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17</xdr:row>
      <xdr:rowOff>0</xdr:rowOff>
    </xdr:from>
    <xdr:to>
      <xdr:col>8</xdr:col>
      <xdr:colOff>304800</xdr:colOff>
      <xdr:row>31</xdr:row>
      <xdr:rowOff>76200</xdr:rowOff>
    </xdr:to>
    <xdr:graphicFrame macro="">
      <xdr:nvGraphicFramePr>
        <xdr:cNvPr id="29698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85725</xdr:rowOff>
    </xdr:to>
    <xdr:graphicFrame macro="">
      <xdr:nvGraphicFramePr>
        <xdr:cNvPr id="29699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17</xdr:row>
      <xdr:rowOff>0</xdr:rowOff>
    </xdr:from>
    <xdr:to>
      <xdr:col>16</xdr:col>
      <xdr:colOff>304800</xdr:colOff>
      <xdr:row>31</xdr:row>
      <xdr:rowOff>76200</xdr:rowOff>
    </xdr:to>
    <xdr:graphicFrame macro="">
      <xdr:nvGraphicFramePr>
        <xdr:cNvPr id="29700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</xdr:row>
      <xdr:rowOff>0</xdr:rowOff>
    </xdr:from>
    <xdr:to>
      <xdr:col>24</xdr:col>
      <xdr:colOff>304800</xdr:colOff>
      <xdr:row>15</xdr:row>
      <xdr:rowOff>85725</xdr:rowOff>
    </xdr:to>
    <xdr:graphicFrame macro="">
      <xdr:nvGraphicFramePr>
        <xdr:cNvPr id="29701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0</xdr:colOff>
      <xdr:row>17</xdr:row>
      <xdr:rowOff>0</xdr:rowOff>
    </xdr:from>
    <xdr:to>
      <xdr:col>24</xdr:col>
      <xdr:colOff>304800</xdr:colOff>
      <xdr:row>31</xdr:row>
      <xdr:rowOff>76200</xdr:rowOff>
    </xdr:to>
    <xdr:graphicFrame macro="">
      <xdr:nvGraphicFramePr>
        <xdr:cNvPr id="29702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32</xdr:row>
      <xdr:rowOff>0</xdr:rowOff>
    </xdr:from>
    <xdr:to>
      <xdr:col>8</xdr:col>
      <xdr:colOff>304800</xdr:colOff>
      <xdr:row>46</xdr:row>
      <xdr:rowOff>85725</xdr:rowOff>
    </xdr:to>
    <xdr:graphicFrame macro="">
      <xdr:nvGraphicFramePr>
        <xdr:cNvPr id="29703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571500</xdr:colOff>
      <xdr:row>0</xdr:row>
      <xdr:rowOff>161925</xdr:rowOff>
    </xdr:from>
    <xdr:to>
      <xdr:col>32</xdr:col>
      <xdr:colOff>295275</xdr:colOff>
      <xdr:row>15</xdr:row>
      <xdr:rowOff>57150</xdr:rowOff>
    </xdr:to>
    <xdr:graphicFrame macro="">
      <xdr:nvGraphicFramePr>
        <xdr:cNvPr id="29704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24</xdr:col>
      <xdr:colOff>571500</xdr:colOff>
      <xdr:row>17</xdr:row>
      <xdr:rowOff>9525</xdr:rowOff>
    </xdr:from>
    <xdr:to>
      <xdr:col>32</xdr:col>
      <xdr:colOff>304800</xdr:colOff>
      <xdr:row>31</xdr:row>
      <xdr:rowOff>95250</xdr:rowOff>
    </xdr:to>
    <xdr:graphicFrame macro="">
      <xdr:nvGraphicFramePr>
        <xdr:cNvPr id="29705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581025</xdr:colOff>
      <xdr:row>32</xdr:row>
      <xdr:rowOff>19050</xdr:rowOff>
    </xdr:from>
    <xdr:to>
      <xdr:col>16</xdr:col>
      <xdr:colOff>304800</xdr:colOff>
      <xdr:row>46</xdr:row>
      <xdr:rowOff>104775</xdr:rowOff>
    </xdr:to>
    <xdr:graphicFrame macro="">
      <xdr:nvGraphicFramePr>
        <xdr:cNvPr id="29706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16</xdr:col>
      <xdr:colOff>590550</xdr:colOff>
      <xdr:row>32</xdr:row>
      <xdr:rowOff>47625</xdr:rowOff>
    </xdr:from>
    <xdr:to>
      <xdr:col>24</xdr:col>
      <xdr:colOff>323850</xdr:colOff>
      <xdr:row>46</xdr:row>
      <xdr:rowOff>123825</xdr:rowOff>
    </xdr:to>
    <xdr:graphicFrame macro="">
      <xdr:nvGraphicFramePr>
        <xdr:cNvPr id="29707" name="Chart 1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24</xdr:col>
      <xdr:colOff>600075</xdr:colOff>
      <xdr:row>32</xdr:row>
      <xdr:rowOff>57150</xdr:rowOff>
    </xdr:from>
    <xdr:to>
      <xdr:col>32</xdr:col>
      <xdr:colOff>276225</xdr:colOff>
      <xdr:row>46</xdr:row>
      <xdr:rowOff>133350</xdr:rowOff>
    </xdr:to>
    <xdr:graphicFrame macro="">
      <xdr:nvGraphicFramePr>
        <xdr:cNvPr id="29708" name="Chart 1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33</xdr:col>
      <xdr:colOff>0</xdr:colOff>
      <xdr:row>1</xdr:row>
      <xdr:rowOff>0</xdr:rowOff>
    </xdr:from>
    <xdr:to>
      <xdr:col>40</xdr:col>
      <xdr:colOff>285750</xdr:colOff>
      <xdr:row>15</xdr:row>
      <xdr:rowOff>76200</xdr:rowOff>
    </xdr:to>
    <xdr:graphicFrame macro="">
      <xdr:nvGraphicFramePr>
        <xdr:cNvPr id="29709" name="Chart 2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33</xdr:col>
      <xdr:colOff>0</xdr:colOff>
      <xdr:row>17</xdr:row>
      <xdr:rowOff>0</xdr:rowOff>
    </xdr:from>
    <xdr:to>
      <xdr:col>40</xdr:col>
      <xdr:colOff>285750</xdr:colOff>
      <xdr:row>31</xdr:row>
      <xdr:rowOff>85725</xdr:rowOff>
    </xdr:to>
    <xdr:graphicFrame macro="">
      <xdr:nvGraphicFramePr>
        <xdr:cNvPr id="29710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44</xdr:row>
      <xdr:rowOff>161925</xdr:rowOff>
    </xdr:from>
    <xdr:to>
      <xdr:col>6</xdr:col>
      <xdr:colOff>638175</xdr:colOff>
      <xdr:row>59</xdr:row>
      <xdr:rowOff>57150</xdr:rowOff>
    </xdr:to>
    <xdr:graphicFrame macro="">
      <xdr:nvGraphicFramePr>
        <xdr:cNvPr id="45057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37</xdr:col>
      <xdr:colOff>171450</xdr:colOff>
      <xdr:row>2</xdr:row>
      <xdr:rowOff>104775</xdr:rowOff>
    </xdr:from>
    <xdr:to>
      <xdr:col>44</xdr:col>
      <xdr:colOff>457200</xdr:colOff>
      <xdr:row>16</xdr:row>
      <xdr:rowOff>180975</xdr:rowOff>
    </xdr:to>
    <xdr:graphicFrame macro="">
      <xdr:nvGraphicFramePr>
        <xdr:cNvPr id="47105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40</xdr:row>
      <xdr:rowOff>38100</xdr:rowOff>
    </xdr:from>
    <xdr:to>
      <xdr:col>19</xdr:col>
      <xdr:colOff>209550</xdr:colOff>
      <xdr:row>54</xdr:row>
      <xdr:rowOff>114300</xdr:rowOff>
    </xdr:to>
    <xdr:graphicFrame macro="">
      <xdr:nvGraphicFramePr>
        <xdr:cNvPr id="4915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476250</xdr:colOff>
      <xdr:row>77</xdr:row>
      <xdr:rowOff>9525</xdr:rowOff>
    </xdr:from>
    <xdr:to>
      <xdr:col>8</xdr:col>
      <xdr:colOff>314325</xdr:colOff>
      <xdr:row>78</xdr:row>
      <xdr:rowOff>9525</xdr:rowOff>
    </xdr:to>
    <xdr:sp macro="" textlink="">
      <xdr:nvSpPr>
        <xdr:cNvPr id="5122" name="Line 11"/>
        <xdr:cNvSpPr>
          <a:spLocks noChangeShapeType="1"/>
        </xdr:cNvSpPr>
      </xdr:nvSpPr>
      <xdr:spPr bwMode="auto">
        <a:xfrm flipH="1">
          <a:off x="4743450" y="15401925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24</xdr:col>
      <xdr:colOff>571500</xdr:colOff>
      <xdr:row>24</xdr:row>
      <xdr:rowOff>9525</xdr:rowOff>
    </xdr:from>
    <xdr:to>
      <xdr:col>32</xdr:col>
      <xdr:colOff>285750</xdr:colOff>
      <xdr:row>38</xdr:row>
      <xdr:rowOff>85725</xdr:rowOff>
    </xdr:to>
    <xdr:graphicFrame macro="">
      <xdr:nvGraphicFramePr>
        <xdr:cNvPr id="512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77</xdr:row>
      <xdr:rowOff>0</xdr:rowOff>
    </xdr:from>
    <xdr:to>
      <xdr:col>16</xdr:col>
      <xdr:colOff>447675</xdr:colOff>
      <xdr:row>78</xdr:row>
      <xdr:rowOff>0</xdr:rowOff>
    </xdr:to>
    <xdr:sp macro="" textlink="">
      <xdr:nvSpPr>
        <xdr:cNvPr id="5124" name="Line 11"/>
        <xdr:cNvSpPr>
          <a:spLocks noChangeShapeType="1"/>
        </xdr:cNvSpPr>
      </xdr:nvSpPr>
      <xdr:spPr bwMode="auto">
        <a:xfrm flipH="1">
          <a:off x="9753600" y="15392400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20</xdr:col>
      <xdr:colOff>126206</xdr:colOff>
      <xdr:row>39</xdr:row>
      <xdr:rowOff>2381</xdr:rowOff>
    </xdr:from>
    <xdr:to>
      <xdr:col>20</xdr:col>
      <xdr:colOff>571500</xdr:colOff>
      <xdr:row>40</xdr:row>
      <xdr:rowOff>2381</xdr:rowOff>
    </xdr:to>
    <xdr:sp macro="" textlink="">
      <xdr:nvSpPr>
        <xdr:cNvPr id="5125" name="Line 12"/>
        <xdr:cNvSpPr>
          <a:spLocks noChangeShapeType="1"/>
        </xdr:cNvSpPr>
      </xdr:nvSpPr>
      <xdr:spPr bwMode="auto">
        <a:xfrm flipH="1">
          <a:off x="12270581" y="7991475"/>
          <a:ext cx="445294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59532</xdr:colOff>
      <xdr:row>39</xdr:row>
      <xdr:rowOff>11907</xdr:rowOff>
    </xdr:from>
    <xdr:to>
      <xdr:col>12</xdr:col>
      <xdr:colOff>507207</xdr:colOff>
      <xdr:row>40</xdr:row>
      <xdr:rowOff>11907</xdr:rowOff>
    </xdr:to>
    <xdr:sp macro="" textlink="">
      <xdr:nvSpPr>
        <xdr:cNvPr id="5126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28575</xdr:colOff>
      <xdr:row>37</xdr:row>
      <xdr:rowOff>176213</xdr:rowOff>
    </xdr:from>
    <xdr:to>
      <xdr:col>4</xdr:col>
      <xdr:colOff>476250</xdr:colOff>
      <xdr:row>38</xdr:row>
      <xdr:rowOff>176213</xdr:rowOff>
    </xdr:to>
    <xdr:sp macro="" textlink="">
      <xdr:nvSpPr>
        <xdr:cNvPr id="5127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111919</xdr:colOff>
      <xdr:row>76</xdr:row>
      <xdr:rowOff>188119</xdr:rowOff>
    </xdr:from>
    <xdr:to>
      <xdr:col>1</xdr:col>
      <xdr:colOff>559594</xdr:colOff>
      <xdr:row>77</xdr:row>
      <xdr:rowOff>188119</xdr:rowOff>
    </xdr:to>
    <xdr:sp macro="" textlink="">
      <xdr:nvSpPr>
        <xdr:cNvPr id="15" name="Line 12"/>
        <xdr:cNvSpPr>
          <a:spLocks noChangeShapeType="1"/>
        </xdr:cNvSpPr>
      </xdr:nvSpPr>
      <xdr:spPr bwMode="auto">
        <a:xfrm flipH="1">
          <a:off x="719138" y="1540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76200</xdr:colOff>
      <xdr:row>75</xdr:row>
      <xdr:rowOff>9525</xdr:rowOff>
    </xdr:from>
    <xdr:to>
      <xdr:col>5</xdr:col>
      <xdr:colOff>523875</xdr:colOff>
      <xdr:row>76</xdr:row>
      <xdr:rowOff>9525</xdr:rowOff>
    </xdr:to>
    <xdr:sp macro="" textlink="">
      <xdr:nvSpPr>
        <xdr:cNvPr id="16" name="Line 12"/>
        <xdr:cNvSpPr>
          <a:spLocks noChangeShapeType="1"/>
        </xdr:cNvSpPr>
      </xdr:nvSpPr>
      <xdr:spPr bwMode="auto">
        <a:xfrm flipH="1">
          <a:off x="6834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76200</xdr:colOff>
      <xdr:row>75</xdr:row>
      <xdr:rowOff>9525</xdr:rowOff>
    </xdr:from>
    <xdr:to>
      <xdr:col>9</xdr:col>
      <xdr:colOff>523875</xdr:colOff>
      <xdr:row>76</xdr:row>
      <xdr:rowOff>9525</xdr:rowOff>
    </xdr:to>
    <xdr:sp macro="" textlink="">
      <xdr:nvSpPr>
        <xdr:cNvPr id="17" name="Line 12"/>
        <xdr:cNvSpPr>
          <a:spLocks noChangeShapeType="1"/>
        </xdr:cNvSpPr>
      </xdr:nvSpPr>
      <xdr:spPr bwMode="auto">
        <a:xfrm flipH="1">
          <a:off x="311229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76200</xdr:colOff>
      <xdr:row>75</xdr:row>
      <xdr:rowOff>9525</xdr:rowOff>
    </xdr:from>
    <xdr:to>
      <xdr:col>13</xdr:col>
      <xdr:colOff>523875</xdr:colOff>
      <xdr:row>76</xdr:row>
      <xdr:rowOff>9525</xdr:rowOff>
    </xdr:to>
    <xdr:sp macro="" textlink="">
      <xdr:nvSpPr>
        <xdr:cNvPr id="18" name="Line 12"/>
        <xdr:cNvSpPr>
          <a:spLocks noChangeShapeType="1"/>
        </xdr:cNvSpPr>
      </xdr:nvSpPr>
      <xdr:spPr bwMode="auto">
        <a:xfrm flipH="1">
          <a:off x="554116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76200</xdr:colOff>
      <xdr:row>75</xdr:row>
      <xdr:rowOff>9525</xdr:rowOff>
    </xdr:from>
    <xdr:to>
      <xdr:col>17</xdr:col>
      <xdr:colOff>523875</xdr:colOff>
      <xdr:row>76</xdr:row>
      <xdr:rowOff>9525</xdr:rowOff>
    </xdr:to>
    <xdr:sp macro="" textlink="">
      <xdr:nvSpPr>
        <xdr:cNvPr id="19" name="Line 12"/>
        <xdr:cNvSpPr>
          <a:spLocks noChangeShapeType="1"/>
        </xdr:cNvSpPr>
      </xdr:nvSpPr>
      <xdr:spPr bwMode="auto">
        <a:xfrm flipH="1">
          <a:off x="7970044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76200</xdr:colOff>
      <xdr:row>75</xdr:row>
      <xdr:rowOff>9525</xdr:rowOff>
    </xdr:from>
    <xdr:to>
      <xdr:col>21</xdr:col>
      <xdr:colOff>523875</xdr:colOff>
      <xdr:row>76</xdr:row>
      <xdr:rowOff>9525</xdr:rowOff>
    </xdr:to>
    <xdr:sp macro="" textlink="">
      <xdr:nvSpPr>
        <xdr:cNvPr id="20" name="Line 12"/>
        <xdr:cNvSpPr>
          <a:spLocks noChangeShapeType="1"/>
        </xdr:cNvSpPr>
      </xdr:nvSpPr>
      <xdr:spPr bwMode="auto">
        <a:xfrm flipH="1">
          <a:off x="10398919" y="15035213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28575</xdr:colOff>
      <xdr:row>37</xdr:row>
      <xdr:rowOff>176213</xdr:rowOff>
    </xdr:from>
    <xdr:to>
      <xdr:col>5</xdr:col>
      <xdr:colOff>476250</xdr:colOff>
      <xdr:row>38</xdr:row>
      <xdr:rowOff>176213</xdr:rowOff>
    </xdr:to>
    <xdr:sp macro="" textlink="">
      <xdr:nvSpPr>
        <xdr:cNvPr id="14" name="Line 12"/>
        <xdr:cNvSpPr>
          <a:spLocks noChangeShapeType="1"/>
        </xdr:cNvSpPr>
      </xdr:nvSpPr>
      <xdr:spPr bwMode="auto">
        <a:xfrm flipH="1">
          <a:off x="245745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28575</xdr:colOff>
      <xdr:row>37</xdr:row>
      <xdr:rowOff>176213</xdr:rowOff>
    </xdr:from>
    <xdr:to>
      <xdr:col>6</xdr:col>
      <xdr:colOff>476250</xdr:colOff>
      <xdr:row>38</xdr:row>
      <xdr:rowOff>176213</xdr:rowOff>
    </xdr:to>
    <xdr:sp macro="" textlink="">
      <xdr:nvSpPr>
        <xdr:cNvPr id="21" name="Line 12"/>
        <xdr:cNvSpPr>
          <a:spLocks noChangeShapeType="1"/>
        </xdr:cNvSpPr>
      </xdr:nvSpPr>
      <xdr:spPr bwMode="auto">
        <a:xfrm flipH="1">
          <a:off x="30646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9</xdr:col>
      <xdr:colOff>28575</xdr:colOff>
      <xdr:row>37</xdr:row>
      <xdr:rowOff>176213</xdr:rowOff>
    </xdr:from>
    <xdr:to>
      <xdr:col>9</xdr:col>
      <xdr:colOff>476250</xdr:colOff>
      <xdr:row>38</xdr:row>
      <xdr:rowOff>176213</xdr:rowOff>
    </xdr:to>
    <xdr:sp macro="" textlink="">
      <xdr:nvSpPr>
        <xdr:cNvPr id="22" name="Line 12"/>
        <xdr:cNvSpPr>
          <a:spLocks noChangeShapeType="1"/>
        </xdr:cNvSpPr>
      </xdr:nvSpPr>
      <xdr:spPr bwMode="auto">
        <a:xfrm flipH="1">
          <a:off x="367188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10</xdr:col>
      <xdr:colOff>28575</xdr:colOff>
      <xdr:row>37</xdr:row>
      <xdr:rowOff>176213</xdr:rowOff>
    </xdr:from>
    <xdr:to>
      <xdr:col>10</xdr:col>
      <xdr:colOff>476250</xdr:colOff>
      <xdr:row>38</xdr:row>
      <xdr:rowOff>176213</xdr:rowOff>
    </xdr:to>
    <xdr:sp macro="" textlink="">
      <xdr:nvSpPr>
        <xdr:cNvPr id="23" name="Line 12"/>
        <xdr:cNvSpPr>
          <a:spLocks noChangeShapeType="1"/>
        </xdr:cNvSpPr>
      </xdr:nvSpPr>
      <xdr:spPr bwMode="auto">
        <a:xfrm flipH="1">
          <a:off x="549354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12</xdr:col>
      <xdr:colOff>28575</xdr:colOff>
      <xdr:row>37</xdr:row>
      <xdr:rowOff>176213</xdr:rowOff>
    </xdr:from>
    <xdr:to>
      <xdr:col>12</xdr:col>
      <xdr:colOff>476250</xdr:colOff>
      <xdr:row>38</xdr:row>
      <xdr:rowOff>176213</xdr:rowOff>
    </xdr:to>
    <xdr:sp macro="" textlink="">
      <xdr:nvSpPr>
        <xdr:cNvPr id="24" name="Line 12"/>
        <xdr:cNvSpPr>
          <a:spLocks noChangeShapeType="1"/>
        </xdr:cNvSpPr>
      </xdr:nvSpPr>
      <xdr:spPr bwMode="auto">
        <a:xfrm flipH="1">
          <a:off x="610076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59532</xdr:colOff>
      <xdr:row>39</xdr:row>
      <xdr:rowOff>11907</xdr:rowOff>
    </xdr:from>
    <xdr:to>
      <xdr:col>13</xdr:col>
      <xdr:colOff>507207</xdr:colOff>
      <xdr:row>40</xdr:row>
      <xdr:rowOff>11907</xdr:rowOff>
    </xdr:to>
    <xdr:sp macro="" textlink="">
      <xdr:nvSpPr>
        <xdr:cNvPr id="25" name="Line 12"/>
        <xdr:cNvSpPr>
          <a:spLocks noChangeShapeType="1"/>
        </xdr:cNvSpPr>
      </xdr:nvSpPr>
      <xdr:spPr bwMode="auto">
        <a:xfrm flipH="1">
          <a:off x="7346157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28575</xdr:colOff>
      <xdr:row>37</xdr:row>
      <xdr:rowOff>176213</xdr:rowOff>
    </xdr:from>
    <xdr:to>
      <xdr:col>13</xdr:col>
      <xdr:colOff>476250</xdr:colOff>
      <xdr:row>38</xdr:row>
      <xdr:rowOff>176213</xdr:rowOff>
    </xdr:to>
    <xdr:sp macro="" textlink="">
      <xdr:nvSpPr>
        <xdr:cNvPr id="26" name="Line 12"/>
        <xdr:cNvSpPr>
          <a:spLocks noChangeShapeType="1"/>
        </xdr:cNvSpPr>
      </xdr:nvSpPr>
      <xdr:spPr bwMode="auto">
        <a:xfrm flipH="1">
          <a:off x="7315200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59532</xdr:colOff>
      <xdr:row>39</xdr:row>
      <xdr:rowOff>11907</xdr:rowOff>
    </xdr:from>
    <xdr:to>
      <xdr:col>14</xdr:col>
      <xdr:colOff>507207</xdr:colOff>
      <xdr:row>40</xdr:row>
      <xdr:rowOff>11907</xdr:rowOff>
    </xdr:to>
    <xdr:sp macro="" textlink="">
      <xdr:nvSpPr>
        <xdr:cNvPr id="27" name="Line 12"/>
        <xdr:cNvSpPr>
          <a:spLocks noChangeShapeType="1"/>
        </xdr:cNvSpPr>
      </xdr:nvSpPr>
      <xdr:spPr bwMode="auto">
        <a:xfrm flipH="1">
          <a:off x="795337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28575</xdr:colOff>
      <xdr:row>37</xdr:row>
      <xdr:rowOff>176213</xdr:rowOff>
    </xdr:from>
    <xdr:to>
      <xdr:col>14</xdr:col>
      <xdr:colOff>476250</xdr:colOff>
      <xdr:row>38</xdr:row>
      <xdr:rowOff>176213</xdr:rowOff>
    </xdr:to>
    <xdr:sp macro="" textlink="">
      <xdr:nvSpPr>
        <xdr:cNvPr id="28" name="Line 12"/>
        <xdr:cNvSpPr>
          <a:spLocks noChangeShapeType="1"/>
        </xdr:cNvSpPr>
      </xdr:nvSpPr>
      <xdr:spPr bwMode="auto">
        <a:xfrm flipH="1">
          <a:off x="792241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59532</xdr:colOff>
      <xdr:row>39</xdr:row>
      <xdr:rowOff>11907</xdr:rowOff>
    </xdr:from>
    <xdr:to>
      <xdr:col>17</xdr:col>
      <xdr:colOff>507207</xdr:colOff>
      <xdr:row>40</xdr:row>
      <xdr:rowOff>11907</xdr:rowOff>
    </xdr:to>
    <xdr:sp macro="" textlink="">
      <xdr:nvSpPr>
        <xdr:cNvPr id="29" name="Line 12"/>
        <xdr:cNvSpPr>
          <a:spLocks noChangeShapeType="1"/>
        </xdr:cNvSpPr>
      </xdr:nvSpPr>
      <xdr:spPr bwMode="auto">
        <a:xfrm flipH="1">
          <a:off x="8560595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17</xdr:col>
      <xdr:colOff>28575</xdr:colOff>
      <xdr:row>37</xdr:row>
      <xdr:rowOff>176213</xdr:rowOff>
    </xdr:from>
    <xdr:to>
      <xdr:col>17</xdr:col>
      <xdr:colOff>476250</xdr:colOff>
      <xdr:row>38</xdr:row>
      <xdr:rowOff>176213</xdr:rowOff>
    </xdr:to>
    <xdr:sp macro="" textlink="">
      <xdr:nvSpPr>
        <xdr:cNvPr id="30" name="Line 12"/>
        <xdr:cNvSpPr>
          <a:spLocks noChangeShapeType="1"/>
        </xdr:cNvSpPr>
      </xdr:nvSpPr>
      <xdr:spPr bwMode="auto">
        <a:xfrm flipH="1">
          <a:off x="8529638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59532</xdr:colOff>
      <xdr:row>39</xdr:row>
      <xdr:rowOff>11907</xdr:rowOff>
    </xdr:from>
    <xdr:to>
      <xdr:col>18</xdr:col>
      <xdr:colOff>507207</xdr:colOff>
      <xdr:row>40</xdr:row>
      <xdr:rowOff>11907</xdr:rowOff>
    </xdr:to>
    <xdr:sp macro="" textlink="">
      <xdr:nvSpPr>
        <xdr:cNvPr id="31" name="Line 12"/>
        <xdr:cNvSpPr>
          <a:spLocks noChangeShapeType="1"/>
        </xdr:cNvSpPr>
      </xdr:nvSpPr>
      <xdr:spPr bwMode="auto">
        <a:xfrm flipH="1">
          <a:off x="10382251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28575</xdr:colOff>
      <xdr:row>37</xdr:row>
      <xdr:rowOff>176213</xdr:rowOff>
    </xdr:from>
    <xdr:to>
      <xdr:col>18</xdr:col>
      <xdr:colOff>476250</xdr:colOff>
      <xdr:row>38</xdr:row>
      <xdr:rowOff>176213</xdr:rowOff>
    </xdr:to>
    <xdr:sp macro="" textlink="">
      <xdr:nvSpPr>
        <xdr:cNvPr id="32" name="Line 12"/>
        <xdr:cNvSpPr>
          <a:spLocks noChangeShapeType="1"/>
        </xdr:cNvSpPr>
      </xdr:nvSpPr>
      <xdr:spPr bwMode="auto">
        <a:xfrm flipH="1">
          <a:off x="10351294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59532</xdr:colOff>
      <xdr:row>39</xdr:row>
      <xdr:rowOff>11907</xdr:rowOff>
    </xdr:from>
    <xdr:to>
      <xdr:col>21</xdr:col>
      <xdr:colOff>507207</xdr:colOff>
      <xdr:row>40</xdr:row>
      <xdr:rowOff>11907</xdr:rowOff>
    </xdr:to>
    <xdr:sp macro="" textlink="">
      <xdr:nvSpPr>
        <xdr:cNvPr id="33" name="Line 12"/>
        <xdr:cNvSpPr>
          <a:spLocks noChangeShapeType="1"/>
        </xdr:cNvSpPr>
      </xdr:nvSpPr>
      <xdr:spPr bwMode="auto">
        <a:xfrm flipH="1">
          <a:off x="10989470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21</xdr:col>
      <xdr:colOff>28575</xdr:colOff>
      <xdr:row>37</xdr:row>
      <xdr:rowOff>176213</xdr:rowOff>
    </xdr:from>
    <xdr:to>
      <xdr:col>21</xdr:col>
      <xdr:colOff>476250</xdr:colOff>
      <xdr:row>38</xdr:row>
      <xdr:rowOff>176213</xdr:rowOff>
    </xdr:to>
    <xdr:sp macro="" textlink="">
      <xdr:nvSpPr>
        <xdr:cNvPr id="34" name="Line 12"/>
        <xdr:cNvSpPr>
          <a:spLocks noChangeShapeType="1"/>
        </xdr:cNvSpPr>
      </xdr:nvSpPr>
      <xdr:spPr bwMode="auto">
        <a:xfrm flipH="1">
          <a:off x="10958513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59532</xdr:colOff>
      <xdr:row>39</xdr:row>
      <xdr:rowOff>11907</xdr:rowOff>
    </xdr:from>
    <xdr:to>
      <xdr:col>22</xdr:col>
      <xdr:colOff>507207</xdr:colOff>
      <xdr:row>40</xdr:row>
      <xdr:rowOff>11907</xdr:rowOff>
    </xdr:to>
    <xdr:sp macro="" textlink="">
      <xdr:nvSpPr>
        <xdr:cNvPr id="35" name="Line 12"/>
        <xdr:cNvSpPr>
          <a:spLocks noChangeShapeType="1"/>
        </xdr:cNvSpPr>
      </xdr:nvSpPr>
      <xdr:spPr bwMode="auto">
        <a:xfrm flipH="1">
          <a:off x="12811126" y="8001001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22</xdr:col>
      <xdr:colOff>28575</xdr:colOff>
      <xdr:row>37</xdr:row>
      <xdr:rowOff>176213</xdr:rowOff>
    </xdr:from>
    <xdr:to>
      <xdr:col>22</xdr:col>
      <xdr:colOff>476250</xdr:colOff>
      <xdr:row>38</xdr:row>
      <xdr:rowOff>176213</xdr:rowOff>
    </xdr:to>
    <xdr:sp macro="" textlink="">
      <xdr:nvSpPr>
        <xdr:cNvPr id="36" name="Line 12"/>
        <xdr:cNvSpPr>
          <a:spLocks noChangeShapeType="1"/>
        </xdr:cNvSpPr>
      </xdr:nvSpPr>
      <xdr:spPr bwMode="auto">
        <a:xfrm flipH="1">
          <a:off x="12780169" y="7784307"/>
          <a:ext cx="447675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20/JUNE%20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ussein.saleh\Downloads\MAY%2020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April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UZAN~1.ABO\AppData\Local\Temp\notesA2CAC6\NOV%202017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HE%20Portal%20utilities%20management\2020\April%202020\30.04.202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ngineering%20Management\Daily%20Reports%20(utility)\2019\DEC.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%20Management/Daily%20Reports%20(utility)/2019/Jul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Purchasing%20,%20stock%20&amp;%20logistics/Budget/Budget%202020/Utility%20Budget%202020%20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20"/>
      <sheetName val="Utility Cost "/>
      <sheetName val="MDB"/>
      <sheetName val="Sheet7"/>
      <sheetName val="Sheet6"/>
      <sheetName val="Sheet2"/>
      <sheetName val="Sheet3"/>
      <sheetName val="Sheet4"/>
    </sheetNames>
    <sheetDataSet>
      <sheetData sheetId="0"/>
      <sheetData sheetId="1"/>
      <sheetData sheetId="2">
        <row r="32">
          <cell r="A32">
            <v>4.7800000000000002E-2</v>
          </cell>
          <cell r="B32">
            <v>10.994</v>
          </cell>
          <cell r="D32">
            <v>31865522</v>
          </cell>
          <cell r="E32">
            <v>4902</v>
          </cell>
          <cell r="F32">
            <v>3741866</v>
          </cell>
          <cell r="G32">
            <v>1782</v>
          </cell>
          <cell r="H32">
            <v>17521942</v>
          </cell>
          <cell r="I32">
            <v>1668</v>
          </cell>
          <cell r="J32">
            <v>28525590</v>
          </cell>
          <cell r="K32">
            <v>2504</v>
          </cell>
          <cell r="L32">
            <v>23233636</v>
          </cell>
          <cell r="M32">
            <v>5614</v>
          </cell>
          <cell r="N32">
            <v>16470</v>
          </cell>
          <cell r="O32">
            <v>1498.0898672002911</v>
          </cell>
          <cell r="P32">
            <v>15675</v>
          </cell>
          <cell r="Q32">
            <v>12000</v>
          </cell>
          <cell r="R32">
            <v>4470</v>
          </cell>
          <cell r="S32">
            <v>8883</v>
          </cell>
          <cell r="T32">
            <v>12</v>
          </cell>
          <cell r="U32">
            <v>137518</v>
          </cell>
          <cell r="V32">
            <v>2919</v>
          </cell>
          <cell r="W32">
            <v>31853</v>
          </cell>
          <cell r="X32">
            <v>0</v>
          </cell>
          <cell r="Y32">
            <v>625865</v>
          </cell>
          <cell r="Z32">
            <v>0</v>
          </cell>
          <cell r="AA32">
            <v>35228</v>
          </cell>
          <cell r="AB32">
            <v>7</v>
          </cell>
          <cell r="AC32">
            <v>814514</v>
          </cell>
          <cell r="AD32">
            <v>1414</v>
          </cell>
          <cell r="AE32">
            <v>19</v>
          </cell>
          <cell r="AF32">
            <v>4333</v>
          </cell>
          <cell r="AG32">
            <v>228.05263157894737</v>
          </cell>
          <cell r="AI32">
            <v>-94226</v>
          </cell>
        </row>
      </sheetData>
      <sheetData sheetId="3">
        <row r="34">
          <cell r="B34">
            <v>140</v>
          </cell>
          <cell r="C34">
            <v>147</v>
          </cell>
          <cell r="D34">
            <v>11</v>
          </cell>
          <cell r="E34">
            <v>92.18</v>
          </cell>
          <cell r="F34">
            <v>1602</v>
          </cell>
          <cell r="G34">
            <v>1</v>
          </cell>
          <cell r="H34">
            <v>354323</v>
          </cell>
          <cell r="I34">
            <v>50</v>
          </cell>
          <cell r="J34">
            <v>50</v>
          </cell>
          <cell r="K34">
            <v>2069</v>
          </cell>
          <cell r="L34">
            <v>3</v>
          </cell>
          <cell r="M34">
            <v>151781</v>
          </cell>
          <cell r="N34">
            <v>193</v>
          </cell>
          <cell r="O34">
            <v>211.87499999999994</v>
          </cell>
          <cell r="P34">
            <v>1807</v>
          </cell>
          <cell r="Q34">
            <v>153299</v>
          </cell>
          <cell r="R34">
            <v>117</v>
          </cell>
          <cell r="S34">
            <v>1</v>
          </cell>
          <cell r="T34">
            <v>0</v>
          </cell>
          <cell r="U34">
            <v>5</v>
          </cell>
          <cell r="V34">
            <v>360</v>
          </cell>
          <cell r="X34">
            <v>2418</v>
          </cell>
          <cell r="Y34">
            <v>0</v>
          </cell>
          <cell r="Z34">
            <v>135964.1</v>
          </cell>
          <cell r="AA34">
            <v>0</v>
          </cell>
          <cell r="AB34">
            <v>0</v>
          </cell>
          <cell r="AC34">
            <v>1857</v>
          </cell>
          <cell r="AD34">
            <v>0</v>
          </cell>
          <cell r="AE34">
            <v>360818</v>
          </cell>
          <cell r="AF34">
            <v>0</v>
          </cell>
          <cell r="AG34">
            <v>0</v>
          </cell>
          <cell r="AH34">
            <v>0</v>
          </cell>
          <cell r="AI34">
            <v>360</v>
          </cell>
          <cell r="AJ34">
            <v>360</v>
          </cell>
          <cell r="AK34">
            <v>0</v>
          </cell>
          <cell r="AL34">
            <v>5</v>
          </cell>
          <cell r="AM34">
            <v>0</v>
          </cell>
          <cell r="AN34">
            <v>70</v>
          </cell>
          <cell r="AO34">
            <v>2100</v>
          </cell>
          <cell r="AP34">
            <v>77</v>
          </cell>
          <cell r="AQ34">
            <v>2310</v>
          </cell>
          <cell r="AR34">
            <v>77</v>
          </cell>
          <cell r="AS34">
            <v>2310</v>
          </cell>
          <cell r="AT34">
            <v>6720</v>
          </cell>
          <cell r="AU34">
            <v>150</v>
          </cell>
          <cell r="AX34">
            <v>0.7</v>
          </cell>
        </row>
      </sheetData>
      <sheetData sheetId="4">
        <row r="35">
          <cell r="A35">
            <v>44012</v>
          </cell>
          <cell r="B35">
            <v>108535</v>
          </cell>
          <cell r="C35">
            <v>0</v>
          </cell>
          <cell r="D35">
            <v>0</v>
          </cell>
          <cell r="E35">
            <v>250</v>
          </cell>
          <cell r="G35">
            <v>601246</v>
          </cell>
          <cell r="H35">
            <v>413</v>
          </cell>
          <cell r="I35">
            <v>413</v>
          </cell>
          <cell r="J35">
            <v>0.60532687651331718</v>
          </cell>
          <cell r="K35">
            <v>6366</v>
          </cell>
          <cell r="L35">
            <v>10</v>
          </cell>
          <cell r="M35">
            <v>457.44</v>
          </cell>
          <cell r="N35">
            <v>0</v>
          </cell>
          <cell r="O35">
            <v>529.52</v>
          </cell>
          <cell r="P35">
            <v>0</v>
          </cell>
          <cell r="Q35">
            <v>0</v>
          </cell>
          <cell r="T35">
            <v>4899</v>
          </cell>
          <cell r="U35">
            <v>2</v>
          </cell>
          <cell r="V35">
            <v>410</v>
          </cell>
          <cell r="W35">
            <v>0</v>
          </cell>
          <cell r="X35">
            <v>144569</v>
          </cell>
          <cell r="Y35">
            <v>108</v>
          </cell>
          <cell r="Z35">
            <v>95357</v>
          </cell>
          <cell r="AA35">
            <v>36</v>
          </cell>
          <cell r="AB35">
            <v>259</v>
          </cell>
          <cell r="AC35">
            <v>670</v>
          </cell>
          <cell r="AD35">
            <v>0</v>
          </cell>
          <cell r="AE35">
            <v>162.18</v>
          </cell>
          <cell r="AF35">
            <v>0</v>
          </cell>
          <cell r="AG35">
            <v>1697.9</v>
          </cell>
          <cell r="AH35">
            <v>0</v>
          </cell>
          <cell r="AI35">
            <v>0</v>
          </cell>
          <cell r="AJ35">
            <v>36</v>
          </cell>
          <cell r="AK35">
            <v>98</v>
          </cell>
          <cell r="AL35">
            <v>36</v>
          </cell>
          <cell r="AM35">
            <v>26</v>
          </cell>
          <cell r="AN35">
            <v>0</v>
          </cell>
          <cell r="AP35">
            <v>203</v>
          </cell>
          <cell r="AR35">
            <v>44012</v>
          </cell>
          <cell r="AS35">
            <v>0.9</v>
          </cell>
          <cell r="AT35">
            <v>150</v>
          </cell>
          <cell r="AU35">
            <v>1.1000000000000001</v>
          </cell>
          <cell r="AV35">
            <v>100</v>
          </cell>
          <cell r="AW35">
            <v>2.9</v>
          </cell>
          <cell r="AX35">
            <v>103</v>
          </cell>
          <cell r="AY35">
            <v>135</v>
          </cell>
          <cell r="AZ35">
            <v>110.00000000000001</v>
          </cell>
          <cell r="BA35">
            <v>298.7</v>
          </cell>
          <cell r="BB35">
            <v>72</v>
          </cell>
          <cell r="BC35">
            <v>15.400000000000006</v>
          </cell>
          <cell r="BD35">
            <v>92.799999999999983</v>
          </cell>
          <cell r="BE35">
            <v>180.2</v>
          </cell>
          <cell r="BF35">
            <v>232.8</v>
          </cell>
          <cell r="BG35">
            <v>180.2</v>
          </cell>
        </row>
      </sheetData>
      <sheetData sheetId="5"/>
      <sheetData sheetId="6">
        <row r="35">
          <cell r="B35">
            <v>30</v>
          </cell>
          <cell r="C35">
            <v>22</v>
          </cell>
          <cell r="D35">
            <v>26</v>
          </cell>
          <cell r="E35">
            <v>0.75</v>
          </cell>
          <cell r="F35">
            <v>4.7800000000000002E-2</v>
          </cell>
          <cell r="G35">
            <v>10.994</v>
          </cell>
          <cell r="J35">
            <v>203</v>
          </cell>
          <cell r="K35">
            <v>203</v>
          </cell>
        </row>
      </sheetData>
      <sheetData sheetId="7">
        <row r="35">
          <cell r="B35">
            <v>140</v>
          </cell>
          <cell r="C35">
            <v>3012.2580645161288</v>
          </cell>
          <cell r="D35">
            <v>140</v>
          </cell>
          <cell r="E35">
            <v>3012.2580645161288</v>
          </cell>
          <cell r="F35">
            <v>140</v>
          </cell>
          <cell r="G35">
            <v>3012.2580645161288</v>
          </cell>
          <cell r="H35">
            <v>140</v>
          </cell>
          <cell r="I35">
            <v>3012.2580645161288</v>
          </cell>
          <cell r="J35">
            <v>140</v>
          </cell>
          <cell r="K35">
            <v>3012.2580645161288</v>
          </cell>
          <cell r="L35">
            <v>140</v>
          </cell>
          <cell r="M35">
            <v>3012.2580645161288</v>
          </cell>
          <cell r="N35">
            <v>140</v>
          </cell>
          <cell r="O35">
            <v>3012.2580645161288</v>
          </cell>
          <cell r="P35">
            <v>140</v>
          </cell>
          <cell r="Q35">
            <v>3012.2580645161288</v>
          </cell>
          <cell r="R35">
            <v>140</v>
          </cell>
          <cell r="S35">
            <v>3012.2580645161288</v>
          </cell>
          <cell r="T35">
            <v>140</v>
          </cell>
          <cell r="U35">
            <v>3012.2580645161288</v>
          </cell>
          <cell r="V35">
            <v>140</v>
          </cell>
          <cell r="W35">
            <v>3012.2580645161288</v>
          </cell>
          <cell r="X35">
            <v>0.45161290322580644</v>
          </cell>
          <cell r="Y35">
            <v>33134.838709677417</v>
          </cell>
          <cell r="Z35">
            <v>147</v>
          </cell>
          <cell r="AA35">
            <v>1470</v>
          </cell>
          <cell r="AB35">
            <v>147</v>
          </cell>
          <cell r="AC35">
            <v>1470</v>
          </cell>
          <cell r="AD35">
            <v>147</v>
          </cell>
          <cell r="AE35">
            <v>1470</v>
          </cell>
          <cell r="AF35">
            <v>147</v>
          </cell>
          <cell r="AG35">
            <v>1470</v>
          </cell>
          <cell r="AH35">
            <v>147</v>
          </cell>
          <cell r="AI35">
            <v>1470</v>
          </cell>
          <cell r="AJ35">
            <v>147</v>
          </cell>
          <cell r="AK35">
            <v>1470</v>
          </cell>
          <cell r="AL35">
            <v>147</v>
          </cell>
          <cell r="AM35">
            <v>1470</v>
          </cell>
          <cell r="AN35">
            <v>0.52500000000000002</v>
          </cell>
          <cell r="AO35">
            <v>10290</v>
          </cell>
          <cell r="AQ35">
            <v>0.46708442196060468</v>
          </cell>
          <cell r="AR35">
            <v>43424.838709677417</v>
          </cell>
          <cell r="AS35">
            <v>-3373.4516129032345</v>
          </cell>
          <cell r="AV35">
            <v>0.4128</v>
          </cell>
          <cell r="AW35">
            <v>-360</v>
          </cell>
          <cell r="AX35">
            <v>-3013.4516129032345</v>
          </cell>
          <cell r="AY35">
            <v>-3373.4516129032345</v>
          </cell>
          <cell r="AZ35">
            <v>4.7800000000000002E-2</v>
          </cell>
          <cell r="BA35">
            <v>26</v>
          </cell>
          <cell r="BB35">
            <v>0.75</v>
          </cell>
        </row>
      </sheetData>
      <sheetData sheetId="8">
        <row r="32">
          <cell r="B32">
            <v>8777</v>
          </cell>
          <cell r="C32">
            <v>15</v>
          </cell>
          <cell r="D32">
            <v>171037</v>
          </cell>
          <cell r="E32">
            <v>2409</v>
          </cell>
          <cell r="F32">
            <v>160.6</v>
          </cell>
          <cell r="H32">
            <v>8770</v>
          </cell>
          <cell r="I32" t="str">
            <v>oil change</v>
          </cell>
          <cell r="J32">
            <v>10698</v>
          </cell>
          <cell r="K32">
            <v>0</v>
          </cell>
          <cell r="L32">
            <v>238499</v>
          </cell>
          <cell r="M32">
            <v>2</v>
          </cell>
          <cell r="N32">
            <v>0</v>
          </cell>
          <cell r="P32">
            <v>10873</v>
          </cell>
          <cell r="Q32" t="str">
            <v>ok</v>
          </cell>
          <cell r="R32">
            <v>11252</v>
          </cell>
          <cell r="S32">
            <v>0</v>
          </cell>
          <cell r="T32">
            <v>264828</v>
          </cell>
          <cell r="U32">
            <v>47</v>
          </cell>
          <cell r="V32">
            <v>0</v>
          </cell>
          <cell r="X32">
            <v>12069</v>
          </cell>
          <cell r="Y32" t="str">
            <v>ok</v>
          </cell>
          <cell r="Z32">
            <v>15</v>
          </cell>
          <cell r="AA32">
            <v>2458</v>
          </cell>
          <cell r="AB32">
            <v>160.6</v>
          </cell>
          <cell r="AC32">
            <v>163.86666666666667</v>
          </cell>
          <cell r="AD32">
            <v>12000</v>
          </cell>
          <cell r="AE32">
            <v>800</v>
          </cell>
          <cell r="AF32">
            <v>0.5</v>
          </cell>
          <cell r="AG32">
            <v>160</v>
          </cell>
          <cell r="AH32">
            <v>3.8666666666666742</v>
          </cell>
          <cell r="AI32">
            <v>3088.6075949367091</v>
          </cell>
          <cell r="AJ32">
            <v>0.25738396624472576</v>
          </cell>
          <cell r="AK32">
            <v>205.9071729957806</v>
          </cell>
        </row>
      </sheetData>
      <sheetData sheetId="9"/>
      <sheetData sheetId="10"/>
      <sheetData sheetId="11"/>
      <sheetData sheetId="12">
        <row r="9">
          <cell r="X9" t="str">
            <v>Night</v>
          </cell>
          <cell r="Y9">
            <v>80</v>
          </cell>
          <cell r="Z9">
            <v>1</v>
          </cell>
        </row>
        <row r="10">
          <cell r="X10" t="str">
            <v>day</v>
          </cell>
          <cell r="Y10">
            <v>112</v>
          </cell>
          <cell r="Z10">
            <v>1</v>
          </cell>
        </row>
        <row r="11">
          <cell r="X11" t="str">
            <v>Peak</v>
          </cell>
          <cell r="Y11">
            <v>320</v>
          </cell>
          <cell r="Z11">
            <v>1</v>
          </cell>
        </row>
        <row r="13">
          <cell r="W13">
            <v>1.9296774193548385E-2</v>
          </cell>
          <cell r="X13">
            <v>0</v>
          </cell>
        </row>
        <row r="14">
          <cell r="W14">
            <v>119.48999999999978</v>
          </cell>
          <cell r="X14">
            <v>3.8545161290322509</v>
          </cell>
          <cell r="Y14">
            <v>1.9272580645161255</v>
          </cell>
        </row>
        <row r="16">
          <cell r="W16">
            <v>-549.00000000000011</v>
          </cell>
          <cell r="X16">
            <v>0</v>
          </cell>
        </row>
        <row r="17">
          <cell r="W17">
            <v>0</v>
          </cell>
        </row>
        <row r="27">
          <cell r="AA27">
            <v>22569</v>
          </cell>
          <cell r="AB27">
            <v>1805520</v>
          </cell>
          <cell r="AC27">
            <v>1033333</v>
          </cell>
          <cell r="AD27">
            <v>0.36036971356738795</v>
          </cell>
        </row>
        <row r="28">
          <cell r="AB28">
            <v>3865120</v>
          </cell>
          <cell r="AC28">
            <v>6200000</v>
          </cell>
          <cell r="AD28">
            <v>0.48598141330699468</v>
          </cell>
        </row>
        <row r="29">
          <cell r="AB29">
            <v>2856000</v>
          </cell>
          <cell r="AC29">
            <v>1000</v>
          </cell>
          <cell r="AD29">
            <v>0.15365448504983387</v>
          </cell>
        </row>
        <row r="31">
          <cell r="AB31">
            <v>8526640</v>
          </cell>
          <cell r="AC31">
            <v>7234333</v>
          </cell>
        </row>
        <row r="32">
          <cell r="AB32">
            <v>30832109</v>
          </cell>
          <cell r="AC32">
            <v>7234333</v>
          </cell>
        </row>
        <row r="34">
          <cell r="B34">
            <v>112190</v>
          </cell>
          <cell r="C34">
            <v>2832</v>
          </cell>
          <cell r="D34">
            <v>2827</v>
          </cell>
          <cell r="E34">
            <v>112185</v>
          </cell>
          <cell r="F34">
            <v>18455</v>
          </cell>
          <cell r="G34">
            <v>430</v>
          </cell>
          <cell r="H34">
            <v>52088</v>
          </cell>
          <cell r="I34">
            <v>676</v>
          </cell>
          <cell r="J34">
            <v>41646</v>
          </cell>
          <cell r="K34">
            <v>1721</v>
          </cell>
          <cell r="L34">
            <v>91.276948590381423</v>
          </cell>
          <cell r="M34">
            <v>50.223548922056388</v>
          </cell>
          <cell r="N34">
            <v>91.330016583747934</v>
          </cell>
          <cell r="O34">
            <v>159.96313985627418</v>
          </cell>
          <cell r="P34">
            <v>392.79365395245998</v>
          </cell>
          <cell r="Q34">
            <v>967.80012000000283</v>
          </cell>
          <cell r="R34">
            <v>1360.5937739524629</v>
          </cell>
          <cell r="S34">
            <v>16470</v>
          </cell>
          <cell r="T34">
            <v>8.2610429505310445E-2</v>
          </cell>
        </row>
        <row r="36">
          <cell r="AB36">
            <v>3391531.99</v>
          </cell>
        </row>
        <row r="37">
          <cell r="AB37">
            <v>34223640.990000002</v>
          </cell>
        </row>
        <row r="52">
          <cell r="V52">
            <v>0</v>
          </cell>
          <cell r="W52">
            <v>41646</v>
          </cell>
        </row>
        <row r="53">
          <cell r="V53">
            <v>0</v>
          </cell>
          <cell r="W53">
            <v>52088</v>
          </cell>
          <cell r="AA53">
            <v>52088</v>
          </cell>
        </row>
        <row r="54">
          <cell r="V54">
            <v>0</v>
          </cell>
          <cell r="W54">
            <v>18455</v>
          </cell>
          <cell r="AA54">
            <v>18455</v>
          </cell>
        </row>
        <row r="55">
          <cell r="AA55">
            <v>112189</v>
          </cell>
        </row>
      </sheetData>
      <sheetData sheetId="13">
        <row r="35">
          <cell r="B35">
            <v>2.5</v>
          </cell>
          <cell r="C35">
            <v>7.8</v>
          </cell>
          <cell r="D35">
            <v>29</v>
          </cell>
          <cell r="E35">
            <v>3</v>
          </cell>
          <cell r="F35">
            <v>8.1</v>
          </cell>
          <cell r="G35">
            <v>36</v>
          </cell>
          <cell r="H35">
            <v>6366</v>
          </cell>
        </row>
      </sheetData>
      <sheetData sheetId="14">
        <row r="10">
          <cell r="B10">
            <v>16</v>
          </cell>
          <cell r="C10">
            <v>11</v>
          </cell>
          <cell r="E10">
            <v>1</v>
          </cell>
          <cell r="F10">
            <v>17</v>
          </cell>
          <cell r="G10">
            <v>12</v>
          </cell>
          <cell r="J10">
            <v>17</v>
          </cell>
          <cell r="K10">
            <v>10</v>
          </cell>
          <cell r="M10">
            <v>1</v>
          </cell>
          <cell r="N10">
            <v>19</v>
          </cell>
          <cell r="O10">
            <v>14</v>
          </cell>
          <cell r="R10">
            <v>22</v>
          </cell>
          <cell r="S10">
            <v>16</v>
          </cell>
          <cell r="V10">
            <v>25</v>
          </cell>
          <cell r="W10">
            <v>20</v>
          </cell>
        </row>
        <row r="11">
          <cell r="B11">
            <v>17</v>
          </cell>
          <cell r="C11">
            <v>12</v>
          </cell>
          <cell r="E11">
            <v>2</v>
          </cell>
          <cell r="F11">
            <v>17</v>
          </cell>
          <cell r="G11">
            <v>11</v>
          </cell>
          <cell r="J11">
            <v>18</v>
          </cell>
          <cell r="K11">
            <v>11</v>
          </cell>
          <cell r="M11">
            <v>2</v>
          </cell>
          <cell r="N11">
            <v>19</v>
          </cell>
          <cell r="O11">
            <v>15</v>
          </cell>
          <cell r="R11">
            <v>21</v>
          </cell>
          <cell r="S11">
            <v>14</v>
          </cell>
          <cell r="V11">
            <v>24</v>
          </cell>
          <cell r="W11">
            <v>20</v>
          </cell>
        </row>
        <row r="12">
          <cell r="B12">
            <v>16</v>
          </cell>
          <cell r="C12">
            <v>12</v>
          </cell>
          <cell r="E12">
            <v>3</v>
          </cell>
          <cell r="F12">
            <v>16</v>
          </cell>
          <cell r="G12">
            <v>10</v>
          </cell>
          <cell r="J12">
            <v>19</v>
          </cell>
          <cell r="K12">
            <v>12</v>
          </cell>
          <cell r="M12">
            <v>3</v>
          </cell>
          <cell r="N12">
            <v>20</v>
          </cell>
          <cell r="O12">
            <v>14</v>
          </cell>
          <cell r="R12">
            <v>24</v>
          </cell>
          <cell r="S12">
            <v>17</v>
          </cell>
          <cell r="V12">
            <v>27</v>
          </cell>
          <cell r="W12">
            <v>19</v>
          </cell>
        </row>
        <row r="13">
          <cell r="B13">
            <v>15</v>
          </cell>
          <cell r="C13">
            <v>11</v>
          </cell>
          <cell r="E13">
            <v>4</v>
          </cell>
          <cell r="F13">
            <v>17</v>
          </cell>
          <cell r="G13">
            <v>13</v>
          </cell>
          <cell r="J13">
            <v>19</v>
          </cell>
          <cell r="K13">
            <v>12</v>
          </cell>
          <cell r="M13">
            <v>4</v>
          </cell>
          <cell r="N13">
            <v>23</v>
          </cell>
          <cell r="O13">
            <v>14</v>
          </cell>
          <cell r="R13">
            <v>23</v>
          </cell>
          <cell r="S13">
            <v>17</v>
          </cell>
          <cell r="V13">
            <v>26</v>
          </cell>
          <cell r="W13">
            <v>18</v>
          </cell>
        </row>
        <row r="14">
          <cell r="B14">
            <v>15</v>
          </cell>
          <cell r="C14">
            <v>11</v>
          </cell>
          <cell r="E14">
            <v>5</v>
          </cell>
          <cell r="F14">
            <v>20</v>
          </cell>
          <cell r="G14">
            <v>15</v>
          </cell>
          <cell r="J14">
            <v>19</v>
          </cell>
          <cell r="K14">
            <v>14</v>
          </cell>
          <cell r="M14">
            <v>5</v>
          </cell>
          <cell r="N14">
            <v>34</v>
          </cell>
          <cell r="O14">
            <v>17</v>
          </cell>
          <cell r="R14">
            <v>22</v>
          </cell>
          <cell r="S14">
            <v>18</v>
          </cell>
          <cell r="V14">
            <v>25</v>
          </cell>
          <cell r="W14">
            <v>17</v>
          </cell>
        </row>
        <row r="15">
          <cell r="B15">
            <v>16</v>
          </cell>
          <cell r="C15">
            <v>12</v>
          </cell>
          <cell r="E15">
            <v>6</v>
          </cell>
          <cell r="F15">
            <v>22</v>
          </cell>
          <cell r="G15">
            <v>16</v>
          </cell>
          <cell r="J15">
            <v>18</v>
          </cell>
          <cell r="K15">
            <v>12</v>
          </cell>
          <cell r="M15">
            <v>6</v>
          </cell>
          <cell r="N15">
            <v>19</v>
          </cell>
          <cell r="O15">
            <v>17</v>
          </cell>
          <cell r="R15">
            <v>23</v>
          </cell>
          <cell r="S15">
            <v>17</v>
          </cell>
          <cell r="V15">
            <v>26</v>
          </cell>
          <cell r="W15">
            <v>18</v>
          </cell>
        </row>
        <row r="16">
          <cell r="B16">
            <v>16</v>
          </cell>
          <cell r="C16">
            <v>12</v>
          </cell>
          <cell r="E16">
            <v>7</v>
          </cell>
          <cell r="F16">
            <v>16</v>
          </cell>
          <cell r="G16">
            <v>10</v>
          </cell>
          <cell r="J16">
            <v>18</v>
          </cell>
          <cell r="K16">
            <v>12</v>
          </cell>
          <cell r="M16">
            <v>7</v>
          </cell>
          <cell r="N16">
            <v>20</v>
          </cell>
          <cell r="O16">
            <v>16</v>
          </cell>
          <cell r="R16">
            <v>25</v>
          </cell>
          <cell r="S16">
            <v>18</v>
          </cell>
          <cell r="V16">
            <v>27</v>
          </cell>
          <cell r="W16">
            <v>21</v>
          </cell>
        </row>
        <row r="17">
          <cell r="B17">
            <v>14</v>
          </cell>
          <cell r="C17">
            <v>11</v>
          </cell>
          <cell r="E17">
            <v>8</v>
          </cell>
          <cell r="F17">
            <v>14</v>
          </cell>
          <cell r="G17">
            <v>9</v>
          </cell>
          <cell r="J17">
            <v>19</v>
          </cell>
          <cell r="K17">
            <v>13</v>
          </cell>
          <cell r="M17">
            <v>8</v>
          </cell>
          <cell r="N17">
            <v>19</v>
          </cell>
          <cell r="O17">
            <v>15</v>
          </cell>
          <cell r="R17">
            <v>23</v>
          </cell>
          <cell r="S17">
            <v>17</v>
          </cell>
          <cell r="V17">
            <v>26</v>
          </cell>
          <cell r="W17">
            <v>22</v>
          </cell>
        </row>
        <row r="18">
          <cell r="B18">
            <v>14</v>
          </cell>
          <cell r="C18">
            <v>11</v>
          </cell>
          <cell r="E18">
            <v>9</v>
          </cell>
          <cell r="F18">
            <v>9</v>
          </cell>
          <cell r="G18">
            <v>8</v>
          </cell>
          <cell r="J18">
            <v>20</v>
          </cell>
          <cell r="K18">
            <v>14</v>
          </cell>
          <cell r="M18">
            <v>9</v>
          </cell>
          <cell r="N18">
            <v>18</v>
          </cell>
          <cell r="O18">
            <v>15</v>
          </cell>
          <cell r="R18">
            <v>24</v>
          </cell>
          <cell r="S18">
            <v>18</v>
          </cell>
          <cell r="V18">
            <v>28</v>
          </cell>
          <cell r="W18">
            <v>20</v>
          </cell>
        </row>
        <row r="19">
          <cell r="B19">
            <v>17</v>
          </cell>
          <cell r="C19">
            <v>12</v>
          </cell>
          <cell r="E19">
            <v>10</v>
          </cell>
          <cell r="F19">
            <v>10</v>
          </cell>
          <cell r="G19">
            <v>7</v>
          </cell>
          <cell r="J19">
            <v>19</v>
          </cell>
          <cell r="K19">
            <v>16</v>
          </cell>
          <cell r="M19">
            <v>10</v>
          </cell>
          <cell r="N19">
            <v>16</v>
          </cell>
          <cell r="O19">
            <v>13</v>
          </cell>
          <cell r="R19">
            <v>23</v>
          </cell>
          <cell r="S19">
            <v>17</v>
          </cell>
          <cell r="V19">
            <v>28</v>
          </cell>
          <cell r="W19">
            <v>20</v>
          </cell>
        </row>
        <row r="20">
          <cell r="B20">
            <v>17</v>
          </cell>
          <cell r="C20">
            <v>13</v>
          </cell>
          <cell r="E20">
            <v>11</v>
          </cell>
          <cell r="F20">
            <v>14</v>
          </cell>
          <cell r="G20">
            <v>8</v>
          </cell>
          <cell r="J20">
            <v>18</v>
          </cell>
          <cell r="K20">
            <v>14</v>
          </cell>
          <cell r="M20">
            <v>11</v>
          </cell>
          <cell r="N20">
            <v>17</v>
          </cell>
          <cell r="O20">
            <v>14</v>
          </cell>
          <cell r="R20">
            <v>23</v>
          </cell>
          <cell r="S20">
            <v>18</v>
          </cell>
          <cell r="V20">
            <v>28</v>
          </cell>
          <cell r="W20">
            <v>20</v>
          </cell>
        </row>
        <row r="21">
          <cell r="B21">
            <v>16</v>
          </cell>
          <cell r="C21">
            <v>12</v>
          </cell>
          <cell r="E21">
            <v>12</v>
          </cell>
          <cell r="F21">
            <v>16</v>
          </cell>
          <cell r="G21">
            <v>13</v>
          </cell>
          <cell r="J21">
            <v>27</v>
          </cell>
          <cell r="K21">
            <v>16</v>
          </cell>
          <cell r="M21">
            <v>12</v>
          </cell>
          <cell r="N21">
            <v>20</v>
          </cell>
          <cell r="O21">
            <v>14</v>
          </cell>
          <cell r="R21">
            <v>24</v>
          </cell>
          <cell r="S21">
            <v>18</v>
          </cell>
          <cell r="V21">
            <v>27</v>
          </cell>
          <cell r="W21">
            <v>20</v>
          </cell>
        </row>
        <row r="22">
          <cell r="B22">
            <v>17</v>
          </cell>
          <cell r="C22">
            <v>13</v>
          </cell>
          <cell r="E22">
            <v>13</v>
          </cell>
          <cell r="F22">
            <v>17</v>
          </cell>
          <cell r="G22">
            <v>14</v>
          </cell>
          <cell r="J22">
            <v>26</v>
          </cell>
          <cell r="K22">
            <v>15</v>
          </cell>
          <cell r="M22">
            <v>13</v>
          </cell>
          <cell r="N22">
            <v>21</v>
          </cell>
          <cell r="O22">
            <v>15</v>
          </cell>
          <cell r="R22">
            <v>27</v>
          </cell>
          <cell r="S22">
            <v>21</v>
          </cell>
          <cell r="V22">
            <v>25</v>
          </cell>
          <cell r="W22">
            <v>20</v>
          </cell>
        </row>
        <row r="23">
          <cell r="B23">
            <v>16</v>
          </cell>
          <cell r="C23">
            <v>12</v>
          </cell>
          <cell r="E23">
            <v>14</v>
          </cell>
          <cell r="F23">
            <v>17</v>
          </cell>
          <cell r="G23">
            <v>11</v>
          </cell>
          <cell r="J23">
            <v>19</v>
          </cell>
          <cell r="K23">
            <v>15</v>
          </cell>
          <cell r="M23">
            <v>14</v>
          </cell>
          <cell r="N23">
            <v>22</v>
          </cell>
          <cell r="O23">
            <v>16</v>
          </cell>
          <cell r="R23">
            <v>29</v>
          </cell>
          <cell r="S23">
            <v>22</v>
          </cell>
          <cell r="V23">
            <v>26</v>
          </cell>
          <cell r="W23">
            <v>21</v>
          </cell>
        </row>
        <row r="24">
          <cell r="B24">
            <v>17</v>
          </cell>
          <cell r="C24">
            <v>13</v>
          </cell>
          <cell r="E24">
            <v>15</v>
          </cell>
          <cell r="F24">
            <v>17</v>
          </cell>
          <cell r="G24">
            <v>12</v>
          </cell>
          <cell r="J24">
            <v>19</v>
          </cell>
          <cell r="K24">
            <v>15</v>
          </cell>
          <cell r="M24">
            <v>15</v>
          </cell>
          <cell r="N24">
            <v>20</v>
          </cell>
          <cell r="O24">
            <v>16</v>
          </cell>
          <cell r="R24">
            <v>30</v>
          </cell>
          <cell r="S24">
            <v>23</v>
          </cell>
          <cell r="V24">
            <v>26</v>
          </cell>
          <cell r="W24">
            <v>20</v>
          </cell>
        </row>
        <row r="25">
          <cell r="B25">
            <v>19</v>
          </cell>
          <cell r="C25">
            <v>13</v>
          </cell>
          <cell r="E25">
            <v>16</v>
          </cell>
          <cell r="F25">
            <v>17</v>
          </cell>
          <cell r="G25">
            <v>11</v>
          </cell>
          <cell r="J25">
            <v>18</v>
          </cell>
          <cell r="K25">
            <v>11</v>
          </cell>
          <cell r="M25">
            <v>16</v>
          </cell>
          <cell r="N25">
            <v>20</v>
          </cell>
          <cell r="O25">
            <v>15</v>
          </cell>
          <cell r="R25">
            <v>32</v>
          </cell>
          <cell r="S25">
            <v>24</v>
          </cell>
          <cell r="V25">
            <v>26</v>
          </cell>
          <cell r="W25">
            <v>21</v>
          </cell>
        </row>
        <row r="26">
          <cell r="B26">
            <v>20</v>
          </cell>
          <cell r="C26">
            <v>13</v>
          </cell>
          <cell r="E26">
            <v>17</v>
          </cell>
          <cell r="F26">
            <v>16</v>
          </cell>
          <cell r="G26">
            <v>12</v>
          </cell>
          <cell r="J26">
            <v>19</v>
          </cell>
          <cell r="K26">
            <v>12</v>
          </cell>
          <cell r="M26">
            <v>17</v>
          </cell>
          <cell r="N26">
            <v>22</v>
          </cell>
          <cell r="O26">
            <v>17</v>
          </cell>
          <cell r="R26">
            <v>36</v>
          </cell>
          <cell r="S26">
            <v>26</v>
          </cell>
          <cell r="V26">
            <v>27</v>
          </cell>
          <cell r="W26">
            <v>22</v>
          </cell>
        </row>
        <row r="27">
          <cell r="B27">
            <v>14</v>
          </cell>
          <cell r="C27">
            <v>13</v>
          </cell>
          <cell r="E27">
            <v>18</v>
          </cell>
          <cell r="F27">
            <v>17</v>
          </cell>
          <cell r="G27">
            <v>11</v>
          </cell>
          <cell r="J27">
            <v>15</v>
          </cell>
          <cell r="K27">
            <v>13</v>
          </cell>
          <cell r="M27">
            <v>18</v>
          </cell>
          <cell r="N27">
            <v>24</v>
          </cell>
          <cell r="O27">
            <v>17</v>
          </cell>
          <cell r="R27">
            <v>32</v>
          </cell>
          <cell r="S27">
            <v>24</v>
          </cell>
          <cell r="V27">
            <v>27</v>
          </cell>
          <cell r="W27">
            <v>24</v>
          </cell>
        </row>
        <row r="28">
          <cell r="B28">
            <v>15</v>
          </cell>
          <cell r="C28">
            <v>13</v>
          </cell>
          <cell r="E28">
            <v>19</v>
          </cell>
          <cell r="F28">
            <v>17</v>
          </cell>
          <cell r="G28">
            <v>14</v>
          </cell>
          <cell r="J28">
            <v>17</v>
          </cell>
          <cell r="K28">
            <v>14</v>
          </cell>
          <cell r="M28">
            <v>19</v>
          </cell>
          <cell r="N28">
            <v>24</v>
          </cell>
          <cell r="O28">
            <v>17</v>
          </cell>
          <cell r="R28">
            <v>34</v>
          </cell>
          <cell r="S28">
            <v>27</v>
          </cell>
          <cell r="V28">
            <v>27</v>
          </cell>
          <cell r="W28">
            <v>24</v>
          </cell>
        </row>
        <row r="29">
          <cell r="B29">
            <v>15</v>
          </cell>
          <cell r="C29">
            <v>10</v>
          </cell>
          <cell r="E29">
            <v>20</v>
          </cell>
          <cell r="F29">
            <v>17</v>
          </cell>
          <cell r="G29">
            <v>14</v>
          </cell>
          <cell r="J29">
            <v>16</v>
          </cell>
          <cell r="K29">
            <v>13</v>
          </cell>
          <cell r="M29">
            <v>20</v>
          </cell>
          <cell r="N29">
            <v>23</v>
          </cell>
          <cell r="O29">
            <v>18</v>
          </cell>
          <cell r="R29">
            <v>30</v>
          </cell>
          <cell r="S29">
            <v>22</v>
          </cell>
          <cell r="V29">
            <v>26</v>
          </cell>
          <cell r="W29">
            <v>23</v>
          </cell>
        </row>
        <row r="30">
          <cell r="B30">
            <v>13</v>
          </cell>
          <cell r="C30">
            <v>9</v>
          </cell>
          <cell r="E30">
            <v>21</v>
          </cell>
          <cell r="F30">
            <v>16</v>
          </cell>
          <cell r="G30">
            <v>12</v>
          </cell>
          <cell r="J30">
            <v>17</v>
          </cell>
          <cell r="K30">
            <v>14</v>
          </cell>
          <cell r="M30">
            <v>21</v>
          </cell>
          <cell r="N30">
            <v>24</v>
          </cell>
          <cell r="O30">
            <v>18</v>
          </cell>
          <cell r="R30">
            <v>31</v>
          </cell>
          <cell r="S30">
            <v>23</v>
          </cell>
          <cell r="V30">
            <v>29</v>
          </cell>
          <cell r="W30">
            <v>21</v>
          </cell>
        </row>
        <row r="31">
          <cell r="B31">
            <v>14</v>
          </cell>
          <cell r="C31">
            <v>10</v>
          </cell>
          <cell r="E31">
            <v>22</v>
          </cell>
          <cell r="F31">
            <v>17</v>
          </cell>
          <cell r="G31">
            <v>12</v>
          </cell>
          <cell r="J31">
            <v>19</v>
          </cell>
          <cell r="K31">
            <v>14</v>
          </cell>
          <cell r="M31">
            <v>22</v>
          </cell>
          <cell r="N31">
            <v>25</v>
          </cell>
          <cell r="O31">
            <v>18</v>
          </cell>
          <cell r="R31">
            <v>25</v>
          </cell>
          <cell r="S31">
            <v>16</v>
          </cell>
          <cell r="V31">
            <v>29</v>
          </cell>
          <cell r="W31">
            <v>22</v>
          </cell>
        </row>
        <row r="32">
          <cell r="B32">
            <v>13</v>
          </cell>
          <cell r="C32">
            <v>7</v>
          </cell>
          <cell r="E32">
            <v>23</v>
          </cell>
          <cell r="F32">
            <v>16</v>
          </cell>
          <cell r="G32">
            <v>14</v>
          </cell>
          <cell r="J32">
            <v>21</v>
          </cell>
          <cell r="K32">
            <v>14</v>
          </cell>
          <cell r="M32">
            <v>23</v>
          </cell>
          <cell r="N32">
            <v>23</v>
          </cell>
          <cell r="O32">
            <v>15</v>
          </cell>
          <cell r="R32">
            <v>22</v>
          </cell>
          <cell r="S32">
            <v>19</v>
          </cell>
          <cell r="V32">
            <v>27</v>
          </cell>
          <cell r="W32">
            <v>23</v>
          </cell>
        </row>
        <row r="33">
          <cell r="B33">
            <v>14</v>
          </cell>
          <cell r="C33">
            <v>8</v>
          </cell>
          <cell r="E33">
            <v>24</v>
          </cell>
          <cell r="F33">
            <v>17</v>
          </cell>
          <cell r="G33">
            <v>13</v>
          </cell>
          <cell r="J33">
            <v>22</v>
          </cell>
          <cell r="K33">
            <v>15</v>
          </cell>
          <cell r="M33">
            <v>24</v>
          </cell>
          <cell r="N33">
            <v>23</v>
          </cell>
          <cell r="O33">
            <v>16</v>
          </cell>
          <cell r="R33">
            <v>24</v>
          </cell>
          <cell r="S33">
            <v>16</v>
          </cell>
          <cell r="V33">
            <v>27</v>
          </cell>
          <cell r="W33">
            <v>23</v>
          </cell>
        </row>
        <row r="34">
          <cell r="B34">
            <v>16</v>
          </cell>
          <cell r="C34">
            <v>10</v>
          </cell>
          <cell r="E34">
            <v>25</v>
          </cell>
          <cell r="F34">
            <v>17</v>
          </cell>
          <cell r="G34">
            <v>13</v>
          </cell>
          <cell r="J34">
            <v>21</v>
          </cell>
          <cell r="K34">
            <v>15</v>
          </cell>
          <cell r="M34">
            <v>25</v>
          </cell>
          <cell r="N34">
            <v>22</v>
          </cell>
          <cell r="O34">
            <v>14</v>
          </cell>
          <cell r="R34">
            <v>24</v>
          </cell>
          <cell r="S34">
            <v>18</v>
          </cell>
          <cell r="V34">
            <v>33</v>
          </cell>
          <cell r="W34">
            <v>27</v>
          </cell>
        </row>
        <row r="35">
          <cell r="B35">
            <v>15</v>
          </cell>
          <cell r="C35">
            <v>9</v>
          </cell>
          <cell r="E35">
            <v>26</v>
          </cell>
          <cell r="F35">
            <v>18</v>
          </cell>
          <cell r="G35">
            <v>14</v>
          </cell>
          <cell r="J35">
            <v>21</v>
          </cell>
          <cell r="K35">
            <v>15</v>
          </cell>
          <cell r="M35">
            <v>26</v>
          </cell>
          <cell r="N35">
            <v>21</v>
          </cell>
          <cell r="O35">
            <v>17</v>
          </cell>
          <cell r="R35">
            <v>25</v>
          </cell>
          <cell r="S35">
            <v>20</v>
          </cell>
          <cell r="V35">
            <v>28</v>
          </cell>
          <cell r="W35">
            <v>24</v>
          </cell>
        </row>
        <row r="36">
          <cell r="B36">
            <v>17</v>
          </cell>
          <cell r="C36">
            <v>11</v>
          </cell>
          <cell r="E36">
            <v>27</v>
          </cell>
          <cell r="F36">
            <v>19</v>
          </cell>
          <cell r="G36">
            <v>13</v>
          </cell>
          <cell r="J36">
            <v>18</v>
          </cell>
          <cell r="K36">
            <v>13</v>
          </cell>
          <cell r="M36">
            <v>27</v>
          </cell>
          <cell r="N36">
            <v>20</v>
          </cell>
          <cell r="O36">
            <v>16</v>
          </cell>
          <cell r="R36">
            <v>27</v>
          </cell>
          <cell r="S36">
            <v>19</v>
          </cell>
          <cell r="V36">
            <v>29</v>
          </cell>
          <cell r="W36">
            <v>25</v>
          </cell>
        </row>
        <row r="37">
          <cell r="B37">
            <v>16</v>
          </cell>
          <cell r="C37">
            <v>10</v>
          </cell>
          <cell r="E37">
            <v>28</v>
          </cell>
          <cell r="F37">
            <v>19</v>
          </cell>
          <cell r="G37">
            <v>14</v>
          </cell>
          <cell r="J37">
            <v>17</v>
          </cell>
          <cell r="K37">
            <v>13</v>
          </cell>
          <cell r="M37">
            <v>28</v>
          </cell>
          <cell r="N37">
            <v>21</v>
          </cell>
          <cell r="O37">
            <v>16</v>
          </cell>
          <cell r="R37">
            <v>27</v>
          </cell>
          <cell r="S37">
            <v>19</v>
          </cell>
          <cell r="V37">
            <v>30</v>
          </cell>
          <cell r="W37">
            <v>26</v>
          </cell>
        </row>
        <row r="38">
          <cell r="B38">
            <v>16</v>
          </cell>
          <cell r="C38">
            <v>10</v>
          </cell>
          <cell r="E38">
            <v>29</v>
          </cell>
          <cell r="F38">
            <v>18</v>
          </cell>
          <cell r="G38">
            <v>13</v>
          </cell>
          <cell r="J38">
            <v>20</v>
          </cell>
          <cell r="K38">
            <v>16</v>
          </cell>
          <cell r="M38">
            <v>29</v>
          </cell>
          <cell r="N38">
            <v>21</v>
          </cell>
          <cell r="O38">
            <v>17</v>
          </cell>
          <cell r="R38">
            <v>23</v>
          </cell>
          <cell r="S38">
            <v>14</v>
          </cell>
          <cell r="V38">
            <v>28</v>
          </cell>
          <cell r="W38">
            <v>24</v>
          </cell>
        </row>
        <row r="39">
          <cell r="B39">
            <v>16</v>
          </cell>
          <cell r="C39">
            <v>11</v>
          </cell>
          <cell r="E39">
            <v>0</v>
          </cell>
          <cell r="F39">
            <v>0</v>
          </cell>
          <cell r="G39">
            <v>0</v>
          </cell>
          <cell r="J39">
            <v>20</v>
          </cell>
          <cell r="K39">
            <v>17</v>
          </cell>
          <cell r="M39">
            <v>30</v>
          </cell>
          <cell r="N39">
            <v>0</v>
          </cell>
          <cell r="O39">
            <v>0</v>
          </cell>
          <cell r="R39">
            <v>23</v>
          </cell>
          <cell r="S39">
            <v>17</v>
          </cell>
          <cell r="V39">
            <v>30</v>
          </cell>
          <cell r="W39">
            <v>22</v>
          </cell>
        </row>
        <row r="40">
          <cell r="B40">
            <v>17</v>
          </cell>
          <cell r="C40">
            <v>13</v>
          </cell>
          <cell r="E40">
            <v>0</v>
          </cell>
          <cell r="F40">
            <v>0</v>
          </cell>
          <cell r="G40">
            <v>0</v>
          </cell>
          <cell r="J40">
            <v>30</v>
          </cell>
          <cell r="K40">
            <v>18</v>
          </cell>
          <cell r="M40">
            <v>0</v>
          </cell>
          <cell r="N40">
            <v>0</v>
          </cell>
          <cell r="O40">
            <v>0</v>
          </cell>
          <cell r="R40">
            <v>24</v>
          </cell>
          <cell r="S40">
            <v>19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3">
          <cell r="D33">
            <v>31738156</v>
          </cell>
        </row>
      </sheetData>
      <sheetData sheetId="3">
        <row r="35">
          <cell r="B35">
            <v>179</v>
          </cell>
        </row>
      </sheetData>
      <sheetData sheetId="4">
        <row r="36">
          <cell r="B36">
            <v>108473</v>
          </cell>
        </row>
      </sheetData>
      <sheetData sheetId="5" refreshError="1"/>
      <sheetData sheetId="6">
        <row r="36">
          <cell r="B36">
            <v>24</v>
          </cell>
        </row>
      </sheetData>
      <sheetData sheetId="7">
        <row r="36">
          <cell r="B36">
            <v>179</v>
          </cell>
        </row>
      </sheetData>
      <sheetData sheetId="8">
        <row r="33">
          <cell r="B33">
            <v>8655</v>
          </cell>
        </row>
      </sheetData>
      <sheetData sheetId="9" refreshError="1"/>
      <sheetData sheetId="10" refreshError="1"/>
      <sheetData sheetId="11" refreshError="1"/>
      <sheetData sheetId="12">
        <row r="22">
          <cell r="AA22">
            <v>5000</v>
          </cell>
        </row>
        <row r="30">
          <cell r="V30" t="str">
            <v>Occ %</v>
          </cell>
          <cell r="Y30" t="str">
            <v>Per G</v>
          </cell>
        </row>
        <row r="31">
          <cell r="V31" t="str">
            <v>Gen RH</v>
          </cell>
        </row>
        <row r="32">
          <cell r="V32" t="str">
            <v>H Deg</v>
          </cell>
        </row>
        <row r="33">
          <cell r="V33" t="str">
            <v>C Deg</v>
          </cell>
        </row>
        <row r="35">
          <cell r="Z35" t="str">
            <v xml:space="preserve">VAT </v>
          </cell>
          <cell r="AA35">
            <v>0.11</v>
          </cell>
        </row>
      </sheetData>
      <sheetData sheetId="13">
        <row r="36">
          <cell r="B36">
            <v>2</v>
          </cell>
          <cell r="I36">
            <v>5</v>
          </cell>
          <cell r="M36">
            <v>6194</v>
          </cell>
          <cell r="N36">
            <v>642</v>
          </cell>
          <cell r="O36">
            <v>6836</v>
          </cell>
        </row>
      </sheetData>
      <sheetData sheetId="14">
        <row r="10">
          <cell r="B10">
            <v>16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9">
          <cell r="AA29">
            <v>314436</v>
          </cell>
        </row>
      </sheetData>
      <sheetData sheetId="13">
        <row r="10">
          <cell r="N10">
            <v>22</v>
          </cell>
        </row>
      </sheetData>
      <sheetData sheetId="14"/>
      <sheetData sheetId="15"/>
      <sheetData sheetId="16"/>
      <sheetData sheetId="17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"/>
      <sheetName val="tanks"/>
      <sheetName val="Sheet1"/>
      <sheetName val="Report"/>
      <sheetName val="General information "/>
      <sheetName val="Sheet5"/>
      <sheetName val="EDl log"/>
      <sheetName val="Degree days 2016"/>
      <sheetName val="Utility Cost "/>
      <sheetName val="MDB"/>
      <sheetName val="Swimming Pool quality check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21">
          <cell r="V21" t="str">
            <v xml:space="preserve">EDL 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WATER"/>
      <sheetName val="graphic"/>
      <sheetName val="General information "/>
      <sheetName val="tanks"/>
      <sheetName val="Sheet1"/>
      <sheetName val="Report"/>
      <sheetName val="Sheet5"/>
      <sheetName val="GEN"/>
      <sheetName val="EDl log"/>
      <sheetName val="Swimming Pool quality check "/>
      <sheetName val="Degree Days 2018"/>
      <sheetName val="Utility Cost "/>
      <sheetName val="MDB"/>
      <sheetName val="Sheet6"/>
      <sheetName val="Sheet2"/>
      <sheetName val="Sheet7"/>
      <sheetName val="Sheet3"/>
      <sheetName val="Sheet4"/>
    </sheetNames>
    <sheetDataSet>
      <sheetData sheetId="0" refreshError="1"/>
      <sheetData sheetId="1" refreshError="1"/>
      <sheetData sheetId="2">
        <row r="32">
          <cell r="A32">
            <v>0</v>
          </cell>
        </row>
      </sheetData>
      <sheetData sheetId="3">
        <row r="34">
          <cell r="B34">
            <v>248</v>
          </cell>
        </row>
      </sheetData>
      <sheetData sheetId="4">
        <row r="35">
          <cell r="B35">
            <v>108473</v>
          </cell>
        </row>
      </sheetData>
      <sheetData sheetId="5" refreshError="1"/>
      <sheetData sheetId="6">
        <row r="35">
          <cell r="D35">
            <v>0</v>
          </cell>
        </row>
      </sheetData>
      <sheetData sheetId="7">
        <row r="35">
          <cell r="B35">
            <v>248</v>
          </cell>
        </row>
      </sheetData>
      <sheetData sheetId="8" refreshError="1"/>
      <sheetData sheetId="9" refreshError="1"/>
      <sheetData sheetId="10" refreshError="1"/>
      <sheetData sheetId="11">
        <row r="32">
          <cell r="B32">
            <v>8621.09</v>
          </cell>
        </row>
      </sheetData>
      <sheetData sheetId="12">
        <row r="25">
          <cell r="AB25" t="str">
            <v>Total cost LL</v>
          </cell>
        </row>
      </sheetData>
      <sheetData sheetId="13">
        <row r="35">
          <cell r="H35">
            <v>6083</v>
          </cell>
        </row>
      </sheetData>
      <sheetData sheetId="14">
        <row r="10">
          <cell r="B10">
            <v>16</v>
          </cell>
          <cell r="I10">
            <v>1</v>
          </cell>
        </row>
        <row r="11">
          <cell r="I11">
            <v>2</v>
          </cell>
        </row>
        <row r="12">
          <cell r="I12">
            <v>3</v>
          </cell>
        </row>
        <row r="13">
          <cell r="I13">
            <v>4</v>
          </cell>
        </row>
        <row r="14">
          <cell r="I14">
            <v>5</v>
          </cell>
        </row>
        <row r="15">
          <cell r="I15">
            <v>6</v>
          </cell>
        </row>
        <row r="16">
          <cell r="I16">
            <v>7</v>
          </cell>
        </row>
        <row r="17">
          <cell r="I17">
            <v>8</v>
          </cell>
        </row>
        <row r="18">
          <cell r="I18">
            <v>9</v>
          </cell>
        </row>
        <row r="19">
          <cell r="I19">
            <v>10</v>
          </cell>
        </row>
        <row r="20">
          <cell r="I20">
            <v>11</v>
          </cell>
        </row>
        <row r="21">
          <cell r="I21">
            <v>12</v>
          </cell>
        </row>
        <row r="22">
          <cell r="I22">
            <v>13</v>
          </cell>
        </row>
        <row r="23">
          <cell r="I23">
            <v>14</v>
          </cell>
        </row>
        <row r="24">
          <cell r="I24">
            <v>15</v>
          </cell>
        </row>
        <row r="25">
          <cell r="I25">
            <v>16</v>
          </cell>
        </row>
        <row r="26">
          <cell r="I26">
            <v>17</v>
          </cell>
        </row>
        <row r="27">
          <cell r="I27">
            <v>18</v>
          </cell>
        </row>
        <row r="28">
          <cell r="I28">
            <v>19</v>
          </cell>
        </row>
        <row r="29">
          <cell r="I29">
            <v>20</v>
          </cell>
        </row>
        <row r="30">
          <cell r="I30">
            <v>21</v>
          </cell>
        </row>
        <row r="31">
          <cell r="I31">
            <v>22</v>
          </cell>
        </row>
        <row r="32">
          <cell r="I32">
            <v>23</v>
          </cell>
        </row>
        <row r="33">
          <cell r="I33">
            <v>24</v>
          </cell>
        </row>
        <row r="34">
          <cell r="I34">
            <v>25</v>
          </cell>
        </row>
        <row r="35">
          <cell r="I35">
            <v>26</v>
          </cell>
        </row>
        <row r="36">
          <cell r="I36">
            <v>27</v>
          </cell>
        </row>
        <row r="37">
          <cell r="I37">
            <v>28</v>
          </cell>
        </row>
        <row r="38">
          <cell r="I38">
            <v>29</v>
          </cell>
        </row>
        <row r="39">
          <cell r="I39">
            <v>30</v>
          </cell>
        </row>
        <row r="40">
          <cell r="I40">
            <v>31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ELEC"/>
      <sheetName val="B5"/>
      <sheetName val="GEN"/>
      <sheetName val="WATER"/>
      <sheetName val="graphic"/>
      <sheetName val="General information "/>
      <sheetName val="tanks"/>
      <sheetName val="EDl log"/>
      <sheetName val="Degree Days 2018"/>
      <sheetName val="Sheet1"/>
      <sheetName val="Report"/>
      <sheetName val="Sheet5"/>
      <sheetName val="Utility Cost "/>
      <sheetName val="MDB"/>
      <sheetName val="Swimming Pool quality check "/>
      <sheetName val="Sheet2"/>
      <sheetName val="Sheet6"/>
      <sheetName val="Sheet7"/>
    </sheetNames>
    <sheetDataSet>
      <sheetData sheetId="0"/>
      <sheetData sheetId="1"/>
      <sheetData sheetId="2">
        <row r="33">
          <cell r="D33">
            <v>31308238</v>
          </cell>
        </row>
      </sheetData>
      <sheetData sheetId="3">
        <row r="35">
          <cell r="B35">
            <v>238</v>
          </cell>
        </row>
      </sheetData>
      <sheetData sheetId="4">
        <row r="33">
          <cell r="B33">
            <v>8486</v>
          </cell>
        </row>
      </sheetData>
      <sheetData sheetId="5">
        <row r="36">
          <cell r="B36">
            <v>108202</v>
          </cell>
        </row>
      </sheetData>
      <sheetData sheetId="6"/>
      <sheetData sheetId="7">
        <row r="36">
          <cell r="B36">
            <v>16</v>
          </cell>
        </row>
      </sheetData>
      <sheetData sheetId="8">
        <row r="36">
          <cell r="B36">
            <v>238</v>
          </cell>
        </row>
      </sheetData>
      <sheetData sheetId="9">
        <row r="26">
          <cell r="V26">
            <v>17015254</v>
          </cell>
        </row>
      </sheetData>
      <sheetData sheetId="10"/>
      <sheetData sheetId="11"/>
      <sheetData sheetId="12"/>
      <sheetData sheetId="13"/>
      <sheetData sheetId="14"/>
      <sheetData sheetId="15"/>
      <sheetData sheetId="16">
        <row r="36">
          <cell r="B36">
            <v>1</v>
          </cell>
          <cell r="J36">
            <v>0.33333333333333398</v>
          </cell>
        </row>
      </sheetData>
      <sheetData sheetId="17"/>
      <sheetData sheetId="18"/>
      <sheetData sheetId="19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Sheet3"/>
      <sheetName val="Sheet4"/>
      <sheetName val="ELEC"/>
      <sheetName val="B5"/>
      <sheetName val="WATER"/>
      <sheetName val="graphic"/>
      <sheetName val="General information "/>
      <sheetName val="tanks"/>
      <sheetName val="GEN"/>
      <sheetName val="Sheet1"/>
      <sheetName val="Report"/>
      <sheetName val="Sheet5"/>
      <sheetName val="EDl log"/>
      <sheetName val="Degree Days 2018"/>
      <sheetName val="Utility Cost "/>
      <sheetName val="Swimming Pool quality check "/>
      <sheetName val="MDB"/>
      <sheetName val="Sheet2"/>
      <sheetName val="Sheet6"/>
      <sheetName val="Sheet7"/>
    </sheetNames>
    <sheetDataSet>
      <sheetData sheetId="0"/>
      <sheetData sheetId="1"/>
      <sheetData sheetId="2"/>
      <sheetData sheetId="3">
        <row r="36">
          <cell r="V36">
            <v>10733</v>
          </cell>
        </row>
      </sheetData>
      <sheetData sheetId="4">
        <row r="5">
          <cell r="B5">
            <v>86615</v>
          </cell>
        </row>
      </sheetData>
      <sheetData sheetId="5"/>
      <sheetData sheetId="6"/>
      <sheetData sheetId="7"/>
      <sheetData sheetId="8">
        <row r="34">
          <cell r="Z34">
            <v>243</v>
          </cell>
        </row>
      </sheetData>
      <sheetData sheetId="9"/>
      <sheetData sheetId="10"/>
      <sheetData sheetId="11"/>
      <sheetData sheetId="12">
        <row r="29">
          <cell r="AA29">
            <v>452924</v>
          </cell>
        </row>
      </sheetData>
      <sheetData sheetId="13"/>
      <sheetData sheetId="14">
        <row r="8">
          <cell r="C8">
            <v>87114</v>
          </cell>
        </row>
        <row r="14">
          <cell r="C14">
            <v>151</v>
          </cell>
        </row>
        <row r="15">
          <cell r="C15">
            <v>-18.3</v>
          </cell>
        </row>
        <row r="16">
          <cell r="C16">
            <v>27.967741935483872</v>
          </cell>
        </row>
        <row r="17">
          <cell r="C17">
            <v>0.83235161290322568</v>
          </cell>
        </row>
        <row r="18">
          <cell r="C18">
            <v>243</v>
          </cell>
        </row>
        <row r="19">
          <cell r="C19">
            <v>7.838709677419355</v>
          </cell>
        </row>
      </sheetData>
      <sheetData sheetId="15"/>
      <sheetData sheetId="16"/>
      <sheetData sheetId="17"/>
      <sheetData sheetId="18"/>
      <sheetData sheetId="19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otal Operating Expenses"/>
      <sheetName val="Electricity"/>
      <sheetName val="Gas"/>
      <sheetName val="Other Fuels"/>
      <sheetName val="Water"/>
      <sheetName val="Budget 2020"/>
      <sheetName val="Water prod Calculation2020"/>
      <sheetName val="Electrical Calculation2020"/>
      <sheetName val="Gas calculation 2020"/>
      <sheetName val="Other Fuel Calculation 2020"/>
    </sheetNames>
    <sheetDataSet>
      <sheetData sheetId="0"/>
      <sheetData sheetId="1"/>
      <sheetData sheetId="2"/>
      <sheetData sheetId="3"/>
      <sheetData sheetId="4"/>
      <sheetData sheetId="5"/>
      <sheetData sheetId="6">
        <row r="82">
          <cell r="F82">
            <v>0.35670000000000002</v>
          </cell>
        </row>
      </sheetData>
      <sheetData sheetId="7"/>
      <sheetData sheetId="8"/>
      <sheetData sheetId="9">
        <row r="60">
          <cell r="D60">
            <v>142.66666666666666</v>
          </cell>
          <cell r="H60">
            <v>220</v>
          </cell>
        </row>
        <row r="62">
          <cell r="H62">
            <v>0.68010000000000004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accuweather.com/en/lb/lebanon-weather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7.xml"/><Relationship Id="rId2" Type="http://schemas.openxmlformats.org/officeDocument/2006/relationships/printerSettings" Target="../printerSettings/printerSettings15.bin"/><Relationship Id="rId1" Type="http://schemas.openxmlformats.org/officeDocument/2006/relationships/hyperlink" Target="http://www.accuweather.com/en/lb/beirut" TargetMode="External"/><Relationship Id="rId5" Type="http://schemas.openxmlformats.org/officeDocument/2006/relationships/comments" Target="../comments3.xml"/><Relationship Id="rId4" Type="http://schemas.openxmlformats.org/officeDocument/2006/relationships/vmlDrawing" Target="../drawings/vmlDrawing3.v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2"/>
  <sheetViews>
    <sheetView topLeftCell="A3" workbookViewId="0">
      <selection activeCell="C2" sqref="C2:C32"/>
    </sheetView>
  </sheetViews>
  <sheetFormatPr defaultColWidth="11.5703125" defaultRowHeight="15"/>
  <cols>
    <col min="2" max="2" width="4.28515625" bestFit="1" customWidth="1"/>
    <col min="3" max="3" width="6.85546875" bestFit="1" customWidth="1"/>
    <col min="4" max="4" width="6" bestFit="1" customWidth="1"/>
    <col min="5" max="5" width="10.5703125" bestFit="1" customWidth="1"/>
    <col min="6" max="6" width="9.85546875" bestFit="1" customWidth="1"/>
    <col min="7" max="10" width="11.7109375" bestFit="1" customWidth="1"/>
    <col min="11" max="11" width="14.140625" bestFit="1" customWidth="1"/>
    <col min="12" max="12" width="12.140625" style="301" bestFit="1" customWidth="1"/>
    <col min="13" max="13" width="12.140625" style="301" customWidth="1"/>
    <col min="14" max="14" width="12.140625" style="514" customWidth="1"/>
    <col min="15" max="15" width="11.7109375" bestFit="1" customWidth="1"/>
  </cols>
  <sheetData>
    <row r="1" spans="1:15" ht="60">
      <c r="A1" t="s">
        <v>344</v>
      </c>
      <c r="B1" t="s">
        <v>198</v>
      </c>
      <c r="C1" t="s">
        <v>345</v>
      </c>
      <c r="D1" t="s">
        <v>346</v>
      </c>
      <c r="E1" s="279" t="s">
        <v>356</v>
      </c>
      <c r="F1" s="279" t="s">
        <v>357</v>
      </c>
      <c r="G1" s="279" t="s">
        <v>358</v>
      </c>
      <c r="H1" s="279" t="s">
        <v>359</v>
      </c>
      <c r="I1" s="279" t="s">
        <v>360</v>
      </c>
      <c r="J1" s="279" t="s">
        <v>361</v>
      </c>
      <c r="K1" s="279" t="s">
        <v>362</v>
      </c>
      <c r="L1" s="313" t="s">
        <v>363</v>
      </c>
      <c r="M1" s="511" t="s">
        <v>404</v>
      </c>
      <c r="N1" s="512" t="s">
        <v>405</v>
      </c>
      <c r="O1" s="279" t="s">
        <v>347</v>
      </c>
    </row>
    <row r="2" spans="1:15">
      <c r="A2" t="s">
        <v>348</v>
      </c>
      <c r="B2">
        <v>1</v>
      </c>
      <c r="C2">
        <v>7</v>
      </c>
      <c r="D2">
        <v>2020</v>
      </c>
      <c r="E2" s="206">
        <f>ELEC!N3</f>
        <v>18028</v>
      </c>
      <c r="F2" s="338">
        <f>SUM('EDl log'!T4)</f>
        <v>7.1304039676069103E-2</v>
      </c>
      <c r="G2" s="206">
        <f>-tanks!AW6</f>
        <v>417</v>
      </c>
      <c r="H2" s="338">
        <f>SUM(tanks!AV6)</f>
        <v>0.46239999999999998</v>
      </c>
      <c r="I2" s="10">
        <f>('B5'!AU5)*0.51</f>
        <v>45.9</v>
      </c>
      <c r="J2" s="317">
        <f>'B5'!AX5/0.51</f>
        <v>1.3725490196078429</v>
      </c>
      <c r="K2" s="206">
        <f>WATER!I6</f>
        <v>0</v>
      </c>
      <c r="L2" s="339">
        <f>SUM(WATER!J6)</f>
        <v>0</v>
      </c>
      <c r="M2" s="339">
        <f>WATER!Q6</f>
        <v>0</v>
      </c>
      <c r="N2" s="513">
        <v>0.6</v>
      </c>
      <c r="O2" s="10">
        <f>ELEC!B3</f>
        <v>12.995000000000001</v>
      </c>
    </row>
    <row r="3" spans="1:15">
      <c r="A3" t="s">
        <v>348</v>
      </c>
      <c r="B3">
        <f>B2+1</f>
        <v>2</v>
      </c>
      <c r="C3">
        <v>7</v>
      </c>
      <c r="D3">
        <v>2020</v>
      </c>
      <c r="E3" s="206">
        <f>ELEC!N4</f>
        <v>18859</v>
      </c>
      <c r="F3" s="338">
        <f>SUM('EDl log'!T5)</f>
        <v>0.13561989343302872</v>
      </c>
      <c r="G3" s="206">
        <f>-tanks!AW7</f>
        <v>735</v>
      </c>
      <c r="H3" s="338">
        <f>SUM(tanks!AV7)</f>
        <v>0.46239999999999998</v>
      </c>
      <c r="I3" s="10">
        <f>('B5'!AU6)*0.51</f>
        <v>204</v>
      </c>
      <c r="J3" s="317">
        <f>'B5'!AX6/0.51</f>
        <v>1.3725490196078429</v>
      </c>
      <c r="K3" s="206">
        <f>WATER!I7</f>
        <v>393</v>
      </c>
      <c r="L3" s="339">
        <f>SUM(WATER!J7)</f>
        <v>0.61561191824673722</v>
      </c>
      <c r="M3" s="339">
        <f>WATER!Q7</f>
        <v>0</v>
      </c>
      <c r="N3" s="513">
        <v>0.6</v>
      </c>
      <c r="O3" s="10">
        <f>ELEC!B4</f>
        <v>8.9700000000000006</v>
      </c>
    </row>
    <row r="4" spans="1:15">
      <c r="A4" t="s">
        <v>348</v>
      </c>
      <c r="B4">
        <f t="shared" ref="B4:B32" si="0">B3+1</f>
        <v>3</v>
      </c>
      <c r="C4">
        <v>7</v>
      </c>
      <c r="D4">
        <v>2020</v>
      </c>
      <c r="E4" s="206">
        <f>ELEC!N5</f>
        <v>20891</v>
      </c>
      <c r="F4" s="338">
        <f>SUM('EDl log'!T6)</f>
        <v>0.11918325685953292</v>
      </c>
      <c r="G4" s="206">
        <f>-tanks!AW8</f>
        <v>388</v>
      </c>
      <c r="H4" s="338">
        <f>SUM(tanks!AV8)</f>
        <v>0.46239999999999998</v>
      </c>
      <c r="I4" s="10">
        <f>('B5'!AU7)*0.51</f>
        <v>91.8</v>
      </c>
      <c r="J4" s="317">
        <f>'B5'!AX7/0.51</f>
        <v>1.3725490196078429</v>
      </c>
      <c r="K4" s="206">
        <f>WATER!I8</f>
        <v>0</v>
      </c>
      <c r="L4" s="339">
        <f>SUM(WATER!J8)</f>
        <v>0</v>
      </c>
      <c r="M4" s="339">
        <f>WATER!Q8</f>
        <v>0</v>
      </c>
      <c r="N4" s="513">
        <v>0.6</v>
      </c>
      <c r="O4" s="10">
        <f>ELEC!B5</f>
        <v>20.009999999999998</v>
      </c>
    </row>
    <row r="5" spans="1:15">
      <c r="A5" t="s">
        <v>348</v>
      </c>
      <c r="B5">
        <f t="shared" si="0"/>
        <v>4</v>
      </c>
      <c r="C5">
        <v>7</v>
      </c>
      <c r="D5">
        <v>2020</v>
      </c>
      <c r="E5" s="206">
        <f>ELEC!N6</f>
        <v>18152</v>
      </c>
      <c r="F5" s="338">
        <f>SUM('EDl log'!T7)</f>
        <v>0.13582535903401766</v>
      </c>
      <c r="G5" s="206">
        <f>-tanks!AW9</f>
        <v>534</v>
      </c>
      <c r="H5" s="338">
        <f>SUM(tanks!AV9)</f>
        <v>0.46239999999999998</v>
      </c>
      <c r="I5" s="10">
        <f>('B5'!AU8)*0.51</f>
        <v>15.3</v>
      </c>
      <c r="J5" s="317">
        <f>'B5'!AX8/0.51</f>
        <v>1.3725490196078429</v>
      </c>
      <c r="K5" s="206">
        <f>WATER!I9</f>
        <v>563</v>
      </c>
      <c r="L5" s="339">
        <f>SUM(WATER!J9)</f>
        <v>0.42972554861628376</v>
      </c>
      <c r="M5" s="339">
        <f>WATER!Q9</f>
        <v>0</v>
      </c>
      <c r="N5" s="513">
        <v>0.6</v>
      </c>
      <c r="O5" s="10">
        <f>ELEC!B6</f>
        <v>20.009999999999998</v>
      </c>
    </row>
    <row r="6" spans="1:15">
      <c r="A6" t="s">
        <v>348</v>
      </c>
      <c r="B6">
        <f t="shared" si="0"/>
        <v>5</v>
      </c>
      <c r="C6">
        <v>7</v>
      </c>
      <c r="D6">
        <v>2020</v>
      </c>
      <c r="E6" s="206">
        <f>ELEC!N7</f>
        <v>18161</v>
      </c>
      <c r="F6" s="338">
        <f>SUM('EDl log'!T8)</f>
        <v>0.13954352489729549</v>
      </c>
      <c r="G6" s="206">
        <f>-tanks!AW10</f>
        <v>338</v>
      </c>
      <c r="H6" s="338">
        <f>SUM(tanks!AV10)</f>
        <v>0.46239999999999998</v>
      </c>
      <c r="I6" s="10">
        <f>('B5'!AU9)*0.51</f>
        <v>61.2</v>
      </c>
      <c r="J6" s="317">
        <f>'B5'!AX9/0.51</f>
        <v>1.3725490196078429</v>
      </c>
      <c r="K6" s="206">
        <f>WATER!I10</f>
        <v>45</v>
      </c>
      <c r="L6" s="339">
        <f>SUM(WATER!J10)</f>
        <v>5.376344086021505</v>
      </c>
      <c r="M6" s="339">
        <f>WATER!Q10</f>
        <v>0</v>
      </c>
      <c r="N6" s="513">
        <v>0.6</v>
      </c>
      <c r="O6" s="10">
        <f>ELEC!B7</f>
        <v>18.009</v>
      </c>
    </row>
    <row r="7" spans="1:15">
      <c r="A7" t="s">
        <v>348</v>
      </c>
      <c r="B7">
        <f t="shared" si="0"/>
        <v>6</v>
      </c>
      <c r="C7">
        <v>7</v>
      </c>
      <c r="D7">
        <v>2020</v>
      </c>
      <c r="E7" s="206">
        <f>ELEC!N8</f>
        <v>20764</v>
      </c>
      <c r="F7" s="338">
        <f>SUM('EDl log'!T9)</f>
        <v>0.11026518526227497</v>
      </c>
      <c r="G7" s="206">
        <f>-tanks!AW11</f>
        <v>430</v>
      </c>
      <c r="H7" s="338">
        <f>SUM(tanks!AV11)</f>
        <v>0.46239999999999998</v>
      </c>
      <c r="I7" s="10">
        <f>('B5'!AU10)*0.51</f>
        <v>76.5</v>
      </c>
      <c r="J7" s="317">
        <f>'B5'!AX10/0.51</f>
        <v>1.3725490196078429</v>
      </c>
      <c r="K7" s="206">
        <f>WATER!I11</f>
        <v>227</v>
      </c>
      <c r="L7" s="339">
        <f>SUM(WATER!J11)</f>
        <v>1.0657950831320164</v>
      </c>
      <c r="M7" s="339">
        <f>WATER!Q11</f>
        <v>0</v>
      </c>
      <c r="N7" s="513">
        <v>0.6</v>
      </c>
      <c r="O7" s="10">
        <f>ELEC!B8</f>
        <v>18.998000000000001</v>
      </c>
    </row>
    <row r="8" spans="1:15">
      <c r="A8" t="s">
        <v>348</v>
      </c>
      <c r="B8">
        <f t="shared" si="0"/>
        <v>7</v>
      </c>
      <c r="C8">
        <v>7</v>
      </c>
      <c r="D8">
        <v>2020</v>
      </c>
      <c r="E8" s="206">
        <f>ELEC!N9</f>
        <v>20479</v>
      </c>
      <c r="F8" s="338">
        <f>SUM('EDl log'!T10)</f>
        <v>0.11583229812352804</v>
      </c>
      <c r="G8" s="206">
        <f>-tanks!AW12</f>
        <v>657</v>
      </c>
      <c r="H8" s="338">
        <f>SUM(tanks!AV12)</f>
        <v>0.46239999999999998</v>
      </c>
      <c r="I8" s="10">
        <f>('B5'!AU11)*0.51</f>
        <v>76.5</v>
      </c>
      <c r="J8" s="317">
        <f>'B5'!AX11/0.51</f>
        <v>1.3725490196078429</v>
      </c>
      <c r="K8" s="206">
        <f>WATER!I12</f>
        <v>201</v>
      </c>
      <c r="L8" s="339">
        <f>SUM(WATER!J12)</f>
        <v>1.203659123736158</v>
      </c>
      <c r="M8" s="339">
        <f>WATER!Q12</f>
        <v>0</v>
      </c>
      <c r="N8" s="513">
        <v>0.6</v>
      </c>
      <c r="O8" s="10">
        <f>ELEC!B9</f>
        <v>18.009</v>
      </c>
    </row>
    <row r="9" spans="1:15">
      <c r="A9" t="s">
        <v>348</v>
      </c>
      <c r="B9">
        <f t="shared" si="0"/>
        <v>8</v>
      </c>
      <c r="C9">
        <v>7</v>
      </c>
      <c r="D9">
        <v>2020</v>
      </c>
      <c r="E9" s="206">
        <f>ELEC!N10</f>
        <v>23543</v>
      </c>
      <c r="F9" s="338">
        <f>SUM('EDl log'!T11)</f>
        <v>9.5714825270196882E-2</v>
      </c>
      <c r="G9" s="206">
        <f>-tanks!AW13</f>
        <v>512</v>
      </c>
      <c r="H9" s="338">
        <f>SUM(tanks!AV13)</f>
        <v>0.52839999999999998</v>
      </c>
      <c r="I9" s="10">
        <f>('B5'!AU12)*0.51</f>
        <v>107.10000000000001</v>
      </c>
      <c r="J9" s="317">
        <f>'B5'!AX12/0.51</f>
        <v>1.3725490196078429</v>
      </c>
      <c r="K9" s="206">
        <f>WATER!I13</f>
        <v>0</v>
      </c>
      <c r="L9" s="339">
        <f>SUM(WATER!J13)</f>
        <v>0</v>
      </c>
      <c r="M9" s="339">
        <f>WATER!Q13</f>
        <v>0</v>
      </c>
      <c r="N9" s="513">
        <v>0.6</v>
      </c>
      <c r="O9" s="10">
        <f>ELEC!B10</f>
        <v>20.009999999999998</v>
      </c>
    </row>
    <row r="10" spans="1:15">
      <c r="A10" t="s">
        <v>348</v>
      </c>
      <c r="B10">
        <f t="shared" si="0"/>
        <v>9</v>
      </c>
      <c r="C10">
        <v>7</v>
      </c>
      <c r="D10">
        <v>2020</v>
      </c>
      <c r="E10" s="206">
        <f>ELEC!N11</f>
        <v>0</v>
      </c>
      <c r="F10" s="338">
        <f>SUM('EDl log'!T12)</f>
        <v>0</v>
      </c>
      <c r="G10" s="206">
        <f>-tanks!AW14</f>
        <v>0</v>
      </c>
      <c r="H10" s="338">
        <f>SUM(tanks!AV14)</f>
        <v>0.52839999999999998</v>
      </c>
      <c r="I10" s="10">
        <f>('B5'!AU13)*0.51</f>
        <v>0</v>
      </c>
      <c r="J10" s="317">
        <f>'B5'!AX13/0.51</f>
        <v>1.3725490196078429</v>
      </c>
      <c r="K10" s="206">
        <f>WATER!I14</f>
        <v>0</v>
      </c>
      <c r="L10" s="339">
        <f>SUM(WATER!J14)</f>
        <v>0</v>
      </c>
      <c r="M10" s="339">
        <f>WATER!Q14</f>
        <v>0</v>
      </c>
      <c r="N10" s="513">
        <v>0.6</v>
      </c>
      <c r="O10" s="10">
        <f>ELEC!B11</f>
        <v>0</v>
      </c>
    </row>
    <row r="11" spans="1:15">
      <c r="A11" t="s">
        <v>348</v>
      </c>
      <c r="B11">
        <f t="shared" si="0"/>
        <v>10</v>
      </c>
      <c r="C11">
        <v>7</v>
      </c>
      <c r="D11">
        <v>2020</v>
      </c>
      <c r="E11" s="206">
        <f>ELEC!N12</f>
        <v>0</v>
      </c>
      <c r="F11" s="338">
        <f>SUM('EDl log'!T13)</f>
        <v>0</v>
      </c>
      <c r="G11" s="206">
        <f>-tanks!AW15</f>
        <v>0</v>
      </c>
      <c r="H11" s="338">
        <f>SUM(tanks!AV15)</f>
        <v>0.52839999999999998</v>
      </c>
      <c r="I11" s="10">
        <f>('B5'!AU14)*0.51</f>
        <v>0</v>
      </c>
      <c r="J11" s="317">
        <f>'B5'!AX14/0.51</f>
        <v>1.3725490196078429</v>
      </c>
      <c r="K11" s="206">
        <f>WATER!I15</f>
        <v>0</v>
      </c>
      <c r="L11" s="339">
        <f>SUM(WATER!J15)</f>
        <v>0</v>
      </c>
      <c r="M11" s="339">
        <f>WATER!Q15</f>
        <v>0</v>
      </c>
      <c r="N11" s="513">
        <v>0.6</v>
      </c>
      <c r="O11" s="10">
        <f>ELEC!B12</f>
        <v>0</v>
      </c>
    </row>
    <row r="12" spans="1:15">
      <c r="A12" t="s">
        <v>348</v>
      </c>
      <c r="B12">
        <f t="shared" si="0"/>
        <v>11</v>
      </c>
      <c r="C12">
        <v>7</v>
      </c>
      <c r="D12">
        <v>2020</v>
      </c>
      <c r="E12" s="206">
        <f>ELEC!N13</f>
        <v>0</v>
      </c>
      <c r="F12" s="338">
        <f>SUM('EDl log'!T14)</f>
        <v>0</v>
      </c>
      <c r="G12" s="206">
        <f>-tanks!AW16</f>
        <v>0</v>
      </c>
      <c r="H12" s="338">
        <f>SUM(tanks!AV16)</f>
        <v>0.52839999999999998</v>
      </c>
      <c r="I12" s="10">
        <f>('B5'!AU15)*0.51</f>
        <v>0</v>
      </c>
      <c r="J12" s="317">
        <f>'B5'!AX15/0.51</f>
        <v>1.3725490196078429</v>
      </c>
      <c r="K12" s="206">
        <f>WATER!I16</f>
        <v>0</v>
      </c>
      <c r="L12" s="339">
        <f>SUM(WATER!J16)</f>
        <v>0</v>
      </c>
      <c r="M12" s="339">
        <f>WATER!Q16</f>
        <v>0</v>
      </c>
      <c r="N12" s="513">
        <v>0.6</v>
      </c>
      <c r="O12" s="10">
        <f>ELEC!B13</f>
        <v>0</v>
      </c>
    </row>
    <row r="13" spans="1:15">
      <c r="A13" t="s">
        <v>348</v>
      </c>
      <c r="B13">
        <f t="shared" si="0"/>
        <v>12</v>
      </c>
      <c r="C13">
        <v>7</v>
      </c>
      <c r="D13">
        <v>2020</v>
      </c>
      <c r="E13" s="206">
        <f>ELEC!N14</f>
        <v>0</v>
      </c>
      <c r="F13" s="338">
        <f>SUM('EDl log'!T15)</f>
        <v>0</v>
      </c>
      <c r="G13" s="206">
        <f>-tanks!AW17</f>
        <v>0</v>
      </c>
      <c r="H13" s="338">
        <f>SUM(tanks!AV17)</f>
        <v>0.52839999999999998</v>
      </c>
      <c r="I13" s="10">
        <f>('B5'!AU16)*0.51</f>
        <v>0</v>
      </c>
      <c r="J13" s="317">
        <f>'B5'!AX16/0.51</f>
        <v>1.3725490196078429</v>
      </c>
      <c r="K13" s="206">
        <f>WATER!I17</f>
        <v>0</v>
      </c>
      <c r="L13" s="339">
        <f>SUM(WATER!J17)</f>
        <v>0</v>
      </c>
      <c r="M13" s="339">
        <f>WATER!Q17</f>
        <v>0</v>
      </c>
      <c r="N13" s="513">
        <v>0.6</v>
      </c>
      <c r="O13" s="10">
        <f>ELEC!B14</f>
        <v>0</v>
      </c>
    </row>
    <row r="14" spans="1:15">
      <c r="A14" t="s">
        <v>348</v>
      </c>
      <c r="B14">
        <f t="shared" si="0"/>
        <v>13</v>
      </c>
      <c r="C14">
        <v>7</v>
      </c>
      <c r="D14">
        <v>2020</v>
      </c>
      <c r="E14" s="206">
        <f>ELEC!N15</f>
        <v>0</v>
      </c>
      <c r="F14" s="338">
        <f>SUM('EDl log'!T16)</f>
        <v>0</v>
      </c>
      <c r="G14" s="206">
        <f>-tanks!AW18</f>
        <v>0</v>
      </c>
      <c r="H14" s="338">
        <f>SUM(tanks!AV18)</f>
        <v>0.52839999999999998</v>
      </c>
      <c r="I14" s="10">
        <f>('B5'!AU17)*0.51</f>
        <v>0</v>
      </c>
      <c r="J14" s="317">
        <f>'B5'!AX17/0.51</f>
        <v>1.3725490196078429</v>
      </c>
      <c r="K14" s="206">
        <f>WATER!I18</f>
        <v>0</v>
      </c>
      <c r="L14" s="339">
        <f>SUM(WATER!J18)</f>
        <v>0</v>
      </c>
      <c r="M14" s="339">
        <f>WATER!Q18</f>
        <v>0</v>
      </c>
      <c r="N14" s="513">
        <v>0.6</v>
      </c>
      <c r="O14" s="10">
        <f>ELEC!B15</f>
        <v>0</v>
      </c>
    </row>
    <row r="15" spans="1:15">
      <c r="A15" t="s">
        <v>348</v>
      </c>
      <c r="B15">
        <f t="shared" si="0"/>
        <v>14</v>
      </c>
      <c r="C15">
        <v>7</v>
      </c>
      <c r="D15">
        <v>2020</v>
      </c>
      <c r="E15" s="206">
        <f>ELEC!N16</f>
        <v>0</v>
      </c>
      <c r="F15" s="338">
        <f>SUM('EDl log'!T17)</f>
        <v>0</v>
      </c>
      <c r="G15" s="206">
        <f>-tanks!AW19</f>
        <v>0</v>
      </c>
      <c r="H15" s="338">
        <f>SUM(tanks!AV19)</f>
        <v>0.52839999999999998</v>
      </c>
      <c r="I15" s="10">
        <f>('B5'!AU18)*0.51</f>
        <v>0</v>
      </c>
      <c r="J15" s="317">
        <f>'B5'!AX18/0.51</f>
        <v>1.3725490196078429</v>
      </c>
      <c r="K15" s="206">
        <f>WATER!I19</f>
        <v>0</v>
      </c>
      <c r="L15" s="339">
        <f>SUM(WATER!J19)</f>
        <v>0</v>
      </c>
      <c r="M15" s="339">
        <f>WATER!Q19</f>
        <v>0</v>
      </c>
      <c r="N15" s="513">
        <v>0.6</v>
      </c>
      <c r="O15" s="10">
        <f>ELEC!B16</f>
        <v>0</v>
      </c>
    </row>
    <row r="16" spans="1:15">
      <c r="A16" t="s">
        <v>348</v>
      </c>
      <c r="B16">
        <f t="shared" si="0"/>
        <v>15</v>
      </c>
      <c r="C16">
        <v>7</v>
      </c>
      <c r="D16">
        <v>2020</v>
      </c>
      <c r="E16" s="206">
        <f>ELEC!N17</f>
        <v>0</v>
      </c>
      <c r="F16" s="338">
        <f>SUM('EDl log'!T18)</f>
        <v>0</v>
      </c>
      <c r="G16" s="206">
        <f>-tanks!AW20</f>
        <v>0</v>
      </c>
      <c r="H16" s="338">
        <f>SUM(tanks!AV20)</f>
        <v>0.52839999999999998</v>
      </c>
      <c r="I16" s="10">
        <f>('B5'!AU19)*0.51</f>
        <v>0</v>
      </c>
      <c r="J16" s="317">
        <f>'B5'!AX19/0.51</f>
        <v>1.3725490196078429</v>
      </c>
      <c r="K16" s="206">
        <f>WATER!I20</f>
        <v>0</v>
      </c>
      <c r="L16" s="339">
        <f>SUM(WATER!J20)</f>
        <v>0</v>
      </c>
      <c r="M16" s="339">
        <f>WATER!Q20</f>
        <v>0</v>
      </c>
      <c r="N16" s="513">
        <v>0.6</v>
      </c>
      <c r="O16" s="10">
        <f>ELEC!B17</f>
        <v>0</v>
      </c>
    </row>
    <row r="17" spans="1:15">
      <c r="A17" t="s">
        <v>348</v>
      </c>
      <c r="B17">
        <f t="shared" si="0"/>
        <v>16</v>
      </c>
      <c r="C17">
        <v>7</v>
      </c>
      <c r="D17">
        <v>2020</v>
      </c>
      <c r="E17" s="206">
        <f>ELEC!N18</f>
        <v>0</v>
      </c>
      <c r="F17" s="338">
        <f>SUM('EDl log'!T19)</f>
        <v>0</v>
      </c>
      <c r="G17" s="206">
        <f>-tanks!AW21</f>
        <v>0</v>
      </c>
      <c r="H17" s="338">
        <f>SUM(tanks!AV21)</f>
        <v>0.52839999999999998</v>
      </c>
      <c r="I17" s="10">
        <f>('B5'!AU20)*0.51</f>
        <v>0</v>
      </c>
      <c r="J17" s="317">
        <f>'B5'!AX20/0.51</f>
        <v>1.3725490196078429</v>
      </c>
      <c r="K17" s="206">
        <f>WATER!I21</f>
        <v>0</v>
      </c>
      <c r="L17" s="339">
        <f>SUM(WATER!J21)</f>
        <v>0</v>
      </c>
      <c r="M17" s="339">
        <f>WATER!Q21</f>
        <v>0</v>
      </c>
      <c r="N17" s="513">
        <v>0.6</v>
      </c>
      <c r="O17" s="10">
        <f>ELEC!B18</f>
        <v>0</v>
      </c>
    </row>
    <row r="18" spans="1:15">
      <c r="A18" t="s">
        <v>348</v>
      </c>
      <c r="B18">
        <f t="shared" si="0"/>
        <v>17</v>
      </c>
      <c r="C18">
        <v>7</v>
      </c>
      <c r="D18">
        <v>2020</v>
      </c>
      <c r="E18" s="206">
        <f>ELEC!N19</f>
        <v>0</v>
      </c>
      <c r="F18" s="338">
        <f>SUM('EDl log'!T20)</f>
        <v>0</v>
      </c>
      <c r="G18" s="206">
        <f>-tanks!AW22</f>
        <v>0</v>
      </c>
      <c r="H18" s="338">
        <f>SUM(tanks!AV22)</f>
        <v>0.52839999999999998</v>
      </c>
      <c r="I18" s="10">
        <f>('B5'!AU21)*0.51</f>
        <v>0</v>
      </c>
      <c r="J18" s="317">
        <f>'B5'!AX21/0.51</f>
        <v>1.3725490196078429</v>
      </c>
      <c r="K18" s="206">
        <f>WATER!I22</f>
        <v>0</v>
      </c>
      <c r="L18" s="339">
        <f>SUM(WATER!J22)</f>
        <v>0</v>
      </c>
      <c r="M18" s="339">
        <f>WATER!Q22</f>
        <v>0</v>
      </c>
      <c r="N18" s="513">
        <v>0.6</v>
      </c>
      <c r="O18" s="10">
        <f>ELEC!B19</f>
        <v>0</v>
      </c>
    </row>
    <row r="19" spans="1:15">
      <c r="A19" t="s">
        <v>348</v>
      </c>
      <c r="B19">
        <f t="shared" si="0"/>
        <v>18</v>
      </c>
      <c r="C19">
        <v>7</v>
      </c>
      <c r="D19">
        <v>2020</v>
      </c>
      <c r="E19" s="206">
        <f>ELEC!N20</f>
        <v>0</v>
      </c>
      <c r="F19" s="338">
        <f>SUM('EDl log'!T21)</f>
        <v>0</v>
      </c>
      <c r="G19" s="206">
        <f>-tanks!AW23</f>
        <v>0</v>
      </c>
      <c r="H19" s="338">
        <f>SUM(tanks!AV23)</f>
        <v>0.52839999999999998</v>
      </c>
      <c r="I19" s="10">
        <f>('B5'!AU22)*0.51</f>
        <v>0</v>
      </c>
      <c r="J19" s="317">
        <f>'B5'!AX22/0.51</f>
        <v>1.3725490196078429</v>
      </c>
      <c r="K19" s="206">
        <f>WATER!I23</f>
        <v>0</v>
      </c>
      <c r="L19" s="339">
        <f>SUM(WATER!J23)</f>
        <v>0</v>
      </c>
      <c r="M19" s="339">
        <f>WATER!Q23</f>
        <v>0</v>
      </c>
      <c r="N19" s="513">
        <v>0.6</v>
      </c>
      <c r="O19" s="10">
        <f>ELEC!B20</f>
        <v>0</v>
      </c>
    </row>
    <row r="20" spans="1:15">
      <c r="A20" t="s">
        <v>348</v>
      </c>
      <c r="B20">
        <f t="shared" si="0"/>
        <v>19</v>
      </c>
      <c r="C20">
        <v>7</v>
      </c>
      <c r="D20">
        <v>2020</v>
      </c>
      <c r="E20" s="206">
        <f>ELEC!N21</f>
        <v>0</v>
      </c>
      <c r="F20" s="338">
        <f>SUM('EDl log'!T22)</f>
        <v>0</v>
      </c>
      <c r="G20" s="206">
        <f>-tanks!AW24</f>
        <v>0</v>
      </c>
      <c r="H20" s="338">
        <f>SUM(tanks!AV24)</f>
        <v>0.52839999999999998</v>
      </c>
      <c r="I20" s="10">
        <f>('B5'!AU23)*0.51</f>
        <v>0</v>
      </c>
      <c r="J20" s="317">
        <f>'B5'!AX23/0.51</f>
        <v>1.3725490196078429</v>
      </c>
      <c r="K20" s="206">
        <f>WATER!I24</f>
        <v>0</v>
      </c>
      <c r="L20" s="339">
        <f>SUM(WATER!J24)</f>
        <v>0</v>
      </c>
      <c r="M20" s="339">
        <f>WATER!Q24</f>
        <v>0</v>
      </c>
      <c r="N20" s="513">
        <v>0.6</v>
      </c>
      <c r="O20" s="10">
        <f>ELEC!B21</f>
        <v>0</v>
      </c>
    </row>
    <row r="21" spans="1:15">
      <c r="A21" t="s">
        <v>348</v>
      </c>
      <c r="B21">
        <f t="shared" si="0"/>
        <v>20</v>
      </c>
      <c r="C21">
        <v>7</v>
      </c>
      <c r="D21">
        <v>2020</v>
      </c>
      <c r="E21" s="206">
        <f>ELEC!N22</f>
        <v>0</v>
      </c>
      <c r="F21" s="338">
        <f>SUM('EDl log'!T23)</f>
        <v>0</v>
      </c>
      <c r="G21" s="206">
        <f>-tanks!AW25</f>
        <v>0</v>
      </c>
      <c r="H21" s="338">
        <f>SUM(tanks!AV25)</f>
        <v>0.52839999999999998</v>
      </c>
      <c r="I21" s="10">
        <f>('B5'!AU24)*0.51</f>
        <v>0</v>
      </c>
      <c r="J21" s="317">
        <f>'B5'!AX24/0.51</f>
        <v>1.3725490196078429</v>
      </c>
      <c r="K21" s="206">
        <f>WATER!I25</f>
        <v>0</v>
      </c>
      <c r="L21" s="339">
        <f>SUM(WATER!J25)</f>
        <v>0</v>
      </c>
      <c r="M21" s="339">
        <f>WATER!Q25</f>
        <v>0</v>
      </c>
      <c r="N21" s="513">
        <v>0.6</v>
      </c>
      <c r="O21" s="10">
        <f>ELEC!B22</f>
        <v>0</v>
      </c>
    </row>
    <row r="22" spans="1:15">
      <c r="A22" t="s">
        <v>348</v>
      </c>
      <c r="B22">
        <f t="shared" si="0"/>
        <v>21</v>
      </c>
      <c r="C22">
        <v>7</v>
      </c>
      <c r="D22">
        <v>2020</v>
      </c>
      <c r="E22" s="206">
        <f>ELEC!N23</f>
        <v>0</v>
      </c>
      <c r="F22" s="338">
        <f>SUM('EDl log'!T24)</f>
        <v>0</v>
      </c>
      <c r="G22" s="206">
        <f>-tanks!AW26</f>
        <v>0</v>
      </c>
      <c r="H22" s="338">
        <f>SUM(tanks!AV26)</f>
        <v>0.52839999999999998</v>
      </c>
      <c r="I22" s="10">
        <f>('B5'!AU25)*0.51</f>
        <v>0</v>
      </c>
      <c r="J22" s="317">
        <f>'B5'!AX25/0.51</f>
        <v>1.3725490196078429</v>
      </c>
      <c r="K22" s="206">
        <f>WATER!I26</f>
        <v>0</v>
      </c>
      <c r="L22" s="339">
        <f>SUM(WATER!J26)</f>
        <v>0</v>
      </c>
      <c r="M22" s="339">
        <f>WATER!Q26</f>
        <v>0</v>
      </c>
      <c r="N22" s="513">
        <v>0.6</v>
      </c>
      <c r="O22" s="10">
        <f>ELEC!B23</f>
        <v>0</v>
      </c>
    </row>
    <row r="23" spans="1:15">
      <c r="A23" t="s">
        <v>348</v>
      </c>
      <c r="B23">
        <f t="shared" si="0"/>
        <v>22</v>
      </c>
      <c r="C23">
        <v>7</v>
      </c>
      <c r="D23">
        <v>2020</v>
      </c>
      <c r="E23" s="206">
        <f>ELEC!N24</f>
        <v>0</v>
      </c>
      <c r="F23" s="338">
        <f>SUM('EDl log'!T25)</f>
        <v>0</v>
      </c>
      <c r="G23" s="206">
        <f>-tanks!AW27</f>
        <v>0</v>
      </c>
      <c r="H23" s="338">
        <f>SUM(tanks!AV27)</f>
        <v>0.52839999999999998</v>
      </c>
      <c r="I23" s="10">
        <f>('B5'!AU26)*0.51</f>
        <v>0</v>
      </c>
      <c r="J23" s="317">
        <f>'B5'!AX26/0.51</f>
        <v>1.3725490196078429</v>
      </c>
      <c r="K23" s="206">
        <f>WATER!I27</f>
        <v>0</v>
      </c>
      <c r="L23" s="339">
        <f>SUM(WATER!J27)</f>
        <v>0</v>
      </c>
      <c r="M23" s="339">
        <f>WATER!Q27</f>
        <v>0</v>
      </c>
      <c r="N23" s="513">
        <v>0.6</v>
      </c>
      <c r="O23" s="10">
        <f>ELEC!B24</f>
        <v>0</v>
      </c>
    </row>
    <row r="24" spans="1:15">
      <c r="A24" t="s">
        <v>348</v>
      </c>
      <c r="B24">
        <f t="shared" si="0"/>
        <v>23</v>
      </c>
      <c r="C24">
        <v>7</v>
      </c>
      <c r="D24">
        <v>2020</v>
      </c>
      <c r="E24" s="206">
        <f>ELEC!N25</f>
        <v>0</v>
      </c>
      <c r="F24" s="338">
        <f>SUM('EDl log'!T26)</f>
        <v>0</v>
      </c>
      <c r="G24" s="206">
        <f>-tanks!AW28</f>
        <v>0</v>
      </c>
      <c r="H24" s="338">
        <f>SUM(tanks!AV28)</f>
        <v>0.52839999999999998</v>
      </c>
      <c r="I24" s="10">
        <f>('B5'!AU27)*0.51</f>
        <v>0</v>
      </c>
      <c r="J24" s="317">
        <f>'B5'!AX27/0.51</f>
        <v>1.3725490196078429</v>
      </c>
      <c r="K24" s="206">
        <f>WATER!I28</f>
        <v>0</v>
      </c>
      <c r="L24" s="339">
        <f>SUM(WATER!J28)</f>
        <v>0</v>
      </c>
      <c r="M24" s="339">
        <f>WATER!Q28</f>
        <v>0</v>
      </c>
      <c r="N24" s="513">
        <v>0.6</v>
      </c>
      <c r="O24" s="10">
        <f>ELEC!B25</f>
        <v>0</v>
      </c>
    </row>
    <row r="25" spans="1:15">
      <c r="A25" t="s">
        <v>348</v>
      </c>
      <c r="B25">
        <f t="shared" si="0"/>
        <v>24</v>
      </c>
      <c r="C25">
        <v>7</v>
      </c>
      <c r="D25">
        <v>2020</v>
      </c>
      <c r="E25" s="206">
        <f>ELEC!N26</f>
        <v>0</v>
      </c>
      <c r="F25" s="338">
        <f>SUM('EDl log'!T27)</f>
        <v>0</v>
      </c>
      <c r="G25" s="206">
        <f>-tanks!AW29</f>
        <v>0</v>
      </c>
      <c r="H25" s="338">
        <f>SUM(tanks!AV29)</f>
        <v>0.52839999999999998</v>
      </c>
      <c r="I25" s="10">
        <f>('B5'!AU28)*0.51</f>
        <v>0</v>
      </c>
      <c r="J25" s="317">
        <f>'B5'!AX28/0.51</f>
        <v>1.3725490196078429</v>
      </c>
      <c r="K25" s="206">
        <f>WATER!I29</f>
        <v>0</v>
      </c>
      <c r="L25" s="339">
        <f>SUM(WATER!J29)</f>
        <v>0</v>
      </c>
      <c r="M25" s="339">
        <f>WATER!Q29</f>
        <v>0</v>
      </c>
      <c r="N25" s="513">
        <v>0.6</v>
      </c>
      <c r="O25" s="10">
        <f>ELEC!B26</f>
        <v>0</v>
      </c>
    </row>
    <row r="26" spans="1:15">
      <c r="A26" t="s">
        <v>348</v>
      </c>
      <c r="B26">
        <f>B25+1</f>
        <v>25</v>
      </c>
      <c r="C26">
        <v>7</v>
      </c>
      <c r="D26">
        <v>2020</v>
      </c>
      <c r="E26" s="206">
        <f>ELEC!N27</f>
        <v>0</v>
      </c>
      <c r="F26" s="338">
        <f>SUM('EDl log'!T28)</f>
        <v>0</v>
      </c>
      <c r="G26" s="206">
        <f>-tanks!AW30</f>
        <v>0</v>
      </c>
      <c r="H26" s="338">
        <f>SUM(tanks!AV30)</f>
        <v>0.52839999999999998</v>
      </c>
      <c r="I26" s="10">
        <f>('B5'!AU29)*0.51</f>
        <v>0</v>
      </c>
      <c r="J26" s="317">
        <f>'B5'!AX29/0.51</f>
        <v>1.3725490196078429</v>
      </c>
      <c r="K26" s="206">
        <f>WATER!I30</f>
        <v>0</v>
      </c>
      <c r="L26" s="339">
        <f>SUM(WATER!J30)</f>
        <v>0</v>
      </c>
      <c r="M26" s="339">
        <f>WATER!Q30</f>
        <v>0</v>
      </c>
      <c r="N26" s="513">
        <v>0.6</v>
      </c>
      <c r="O26" s="10">
        <f>ELEC!B27</f>
        <v>0</v>
      </c>
    </row>
    <row r="27" spans="1:15">
      <c r="A27" t="s">
        <v>348</v>
      </c>
      <c r="B27">
        <f t="shared" si="0"/>
        <v>26</v>
      </c>
      <c r="C27">
        <v>7</v>
      </c>
      <c r="D27">
        <v>2020</v>
      </c>
      <c r="E27" s="206">
        <f>ELEC!N28</f>
        <v>0</v>
      </c>
      <c r="F27" s="338">
        <f>SUM('EDl log'!T29)</f>
        <v>0</v>
      </c>
      <c r="G27" s="206">
        <f>-tanks!AW31</f>
        <v>0</v>
      </c>
      <c r="H27" s="338">
        <f>SUM(tanks!AV31)</f>
        <v>0.52839999999999998</v>
      </c>
      <c r="I27" s="10">
        <f>('B5'!AU30)*0.51</f>
        <v>0</v>
      </c>
      <c r="J27" s="317">
        <f>'B5'!AX30/0.51</f>
        <v>1.3725490196078429</v>
      </c>
      <c r="K27" s="206">
        <f>WATER!I31</f>
        <v>0</v>
      </c>
      <c r="L27" s="339">
        <f>SUM(WATER!J31)</f>
        <v>0</v>
      </c>
      <c r="M27" s="339">
        <f>WATER!Q31</f>
        <v>0</v>
      </c>
      <c r="N27" s="513">
        <v>0.6</v>
      </c>
      <c r="O27" s="10">
        <f>ELEC!B28</f>
        <v>0</v>
      </c>
    </row>
    <row r="28" spans="1:15">
      <c r="A28" t="s">
        <v>348</v>
      </c>
      <c r="B28">
        <f t="shared" si="0"/>
        <v>27</v>
      </c>
      <c r="C28">
        <v>7</v>
      </c>
      <c r="D28">
        <v>2020</v>
      </c>
      <c r="E28" s="206">
        <f>ELEC!N29</f>
        <v>0</v>
      </c>
      <c r="F28" s="338">
        <f>SUM('EDl log'!T30)</f>
        <v>0</v>
      </c>
      <c r="G28" s="206">
        <f>-tanks!AW32</f>
        <v>0</v>
      </c>
      <c r="H28" s="338">
        <f>SUM(tanks!AV32)</f>
        <v>0.52839999999999998</v>
      </c>
      <c r="I28" s="10">
        <f>('B5'!AU31)*0.51</f>
        <v>0</v>
      </c>
      <c r="J28" s="317">
        <f>'B5'!AX31/0.51</f>
        <v>1.3725490196078429</v>
      </c>
      <c r="K28" s="206">
        <f>WATER!I32</f>
        <v>0</v>
      </c>
      <c r="L28" s="339">
        <f>SUM(WATER!J32)</f>
        <v>0</v>
      </c>
      <c r="M28" s="339">
        <f>WATER!Q32</f>
        <v>0</v>
      </c>
      <c r="N28" s="513">
        <v>0.6</v>
      </c>
      <c r="O28" s="10">
        <f>ELEC!B29</f>
        <v>0</v>
      </c>
    </row>
    <row r="29" spans="1:15">
      <c r="A29" t="s">
        <v>348</v>
      </c>
      <c r="B29">
        <f t="shared" si="0"/>
        <v>28</v>
      </c>
      <c r="C29">
        <v>7</v>
      </c>
      <c r="D29">
        <v>2020</v>
      </c>
      <c r="E29" s="206">
        <f>ELEC!N30</f>
        <v>0</v>
      </c>
      <c r="F29" s="338">
        <f>SUM('EDl log'!T31)</f>
        <v>0</v>
      </c>
      <c r="G29" s="206">
        <f>-tanks!AW33</f>
        <v>0</v>
      </c>
      <c r="H29" s="338">
        <f>SUM(tanks!AV33)</f>
        <v>0.52839999999999998</v>
      </c>
      <c r="I29" s="10">
        <f>('B5'!AU32)*0.51</f>
        <v>0</v>
      </c>
      <c r="J29" s="317">
        <f>'B5'!AX32/0.51</f>
        <v>1.3725490196078429</v>
      </c>
      <c r="K29" s="206">
        <f>WATER!I33</f>
        <v>0</v>
      </c>
      <c r="L29" s="339">
        <f>SUM(WATER!J33)</f>
        <v>0</v>
      </c>
      <c r="M29" s="339">
        <f>WATER!Q33</f>
        <v>0</v>
      </c>
      <c r="N29" s="513">
        <v>0.6</v>
      </c>
      <c r="O29" s="10">
        <f>ELEC!B30</f>
        <v>0</v>
      </c>
    </row>
    <row r="30" spans="1:15">
      <c r="A30" t="s">
        <v>348</v>
      </c>
      <c r="B30">
        <f t="shared" si="0"/>
        <v>29</v>
      </c>
      <c r="C30">
        <v>7</v>
      </c>
      <c r="D30">
        <v>2020</v>
      </c>
      <c r="E30" s="206">
        <f>ELEC!N31</f>
        <v>0</v>
      </c>
      <c r="F30" s="338">
        <f>SUM('EDl log'!T32)</f>
        <v>0</v>
      </c>
      <c r="G30" s="206">
        <f>-tanks!AW34</f>
        <v>0</v>
      </c>
      <c r="H30" s="338">
        <f>SUM(tanks!AV34)</f>
        <v>0.52839999999999998</v>
      </c>
      <c r="I30" s="10">
        <f>('B5'!AU33)*0.51</f>
        <v>0</v>
      </c>
      <c r="J30" s="317">
        <f>'B5'!AX33/0.51</f>
        <v>1.3725490196078429</v>
      </c>
      <c r="K30" s="206">
        <f>WATER!I34</f>
        <v>0</v>
      </c>
      <c r="L30" s="339">
        <f>SUM(WATER!J34)</f>
        <v>0</v>
      </c>
      <c r="M30" s="339">
        <f>WATER!Q34</f>
        <v>0</v>
      </c>
      <c r="N30" s="513">
        <v>0.6</v>
      </c>
      <c r="O30" s="10">
        <f>ELEC!B31</f>
        <v>0</v>
      </c>
    </row>
    <row r="31" spans="1:15">
      <c r="A31" t="s">
        <v>348</v>
      </c>
      <c r="B31">
        <f t="shared" si="0"/>
        <v>30</v>
      </c>
      <c r="C31">
        <v>7</v>
      </c>
      <c r="D31">
        <v>2020</v>
      </c>
      <c r="E31" s="206">
        <f>ELEC!N32</f>
        <v>0</v>
      </c>
      <c r="F31" s="338">
        <f>SUM('EDl log'!T33)</f>
        <v>0</v>
      </c>
      <c r="G31" s="206">
        <f>-tanks!AW35</f>
        <v>0</v>
      </c>
      <c r="H31" s="338">
        <f>SUM(tanks!AV35)</f>
        <v>0.52839999999999998</v>
      </c>
      <c r="I31" s="10">
        <f>('B5'!AU34)*0.51</f>
        <v>0</v>
      </c>
      <c r="J31" s="317">
        <f>'B5'!AX34/0.51</f>
        <v>1.3725490196078429</v>
      </c>
      <c r="K31" s="206">
        <f>WATER!I35</f>
        <v>0</v>
      </c>
      <c r="L31" s="339">
        <f>SUM(WATER!J35)</f>
        <v>0</v>
      </c>
      <c r="M31" s="339">
        <f>WATER!Q35</f>
        <v>0</v>
      </c>
      <c r="N31" s="513">
        <v>0.6</v>
      </c>
      <c r="O31" s="10">
        <f>ELEC!B32</f>
        <v>0</v>
      </c>
    </row>
    <row r="32" spans="1:15">
      <c r="A32" t="s">
        <v>348</v>
      </c>
      <c r="B32">
        <f t="shared" si="0"/>
        <v>31</v>
      </c>
      <c r="C32">
        <v>7</v>
      </c>
      <c r="D32">
        <v>2020</v>
      </c>
      <c r="E32" s="206">
        <f>ELEC!N33</f>
        <v>0</v>
      </c>
      <c r="F32" s="338">
        <f>SUM('EDl log'!T35)</f>
        <v>0</v>
      </c>
      <c r="G32" s="206">
        <f>-tanks!AW37</f>
        <v>0</v>
      </c>
      <c r="H32" s="338">
        <f>SUM(tanks!AV37)</f>
        <v>0</v>
      </c>
      <c r="I32" s="10">
        <f>('B5'!AU36)*0.51</f>
        <v>678.30000000000007</v>
      </c>
      <c r="J32" s="317">
        <f>'B5'!AX36/0.51</f>
        <v>0</v>
      </c>
      <c r="K32" s="206">
        <f>WATER!I37</f>
        <v>1429</v>
      </c>
      <c r="L32" s="339">
        <f>SUM(WATER!J37)</f>
        <v>0</v>
      </c>
      <c r="M32" s="339">
        <f>WATER!Q37</f>
        <v>0</v>
      </c>
      <c r="N32" s="513">
        <v>0.6</v>
      </c>
      <c r="O32" s="10">
        <f>ELEC!B33</f>
        <v>17.126374999999996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2"/>
  <sheetViews>
    <sheetView topLeftCell="A3" workbookViewId="0">
      <selection activeCell="J32" sqref="J32"/>
    </sheetView>
  </sheetViews>
  <sheetFormatPr defaultRowHeight="15"/>
  <cols>
    <col min="1" max="1" width="9.7109375" customWidth="1"/>
    <col min="2" max="2" width="4.5703125" customWidth="1"/>
    <col min="3" max="3" width="7" customWidth="1"/>
    <col min="4" max="4" width="7.42578125" customWidth="1"/>
    <col min="5" max="6" width="10.5703125" bestFit="1" customWidth="1"/>
    <col min="7" max="7" width="9.85546875" bestFit="1" customWidth="1"/>
    <col min="8" max="9" width="9.5703125" bestFit="1" customWidth="1"/>
    <col min="10" max="10" width="11.42578125" bestFit="1" customWidth="1"/>
    <col min="11" max="12" width="9.28515625" bestFit="1" customWidth="1"/>
  </cols>
  <sheetData>
    <row r="1" spans="1:13" ht="60">
      <c r="A1" t="s">
        <v>344</v>
      </c>
      <c r="B1" t="s">
        <v>198</v>
      </c>
      <c r="C1" t="s">
        <v>345</v>
      </c>
      <c r="D1" t="s">
        <v>346</v>
      </c>
      <c r="E1" s="20" t="s">
        <v>353</v>
      </c>
      <c r="F1" s="20" t="s">
        <v>349</v>
      </c>
      <c r="G1" s="20" t="s">
        <v>354</v>
      </c>
      <c r="H1" s="20" t="s">
        <v>350</v>
      </c>
      <c r="I1" s="20" t="s">
        <v>355</v>
      </c>
      <c r="J1" s="20" t="s">
        <v>351</v>
      </c>
      <c r="K1" s="20" t="s">
        <v>352</v>
      </c>
      <c r="L1" s="279" t="s">
        <v>347</v>
      </c>
    </row>
    <row r="2" spans="1:13">
      <c r="A2" t="s">
        <v>348</v>
      </c>
      <c r="B2">
        <v>1</v>
      </c>
      <c r="C2">
        <v>7</v>
      </c>
      <c r="D2">
        <v>2020</v>
      </c>
      <c r="E2" s="206">
        <f>ELEC!M3</f>
        <v>7896</v>
      </c>
      <c r="F2" s="206">
        <f>ELEC!K3</f>
        <v>2847</v>
      </c>
      <c r="G2" s="206">
        <f>ELEC!I3</f>
        <v>1774</v>
      </c>
      <c r="H2" s="206">
        <f>ELEC!E3</f>
        <v>3656</v>
      </c>
      <c r="I2" s="206">
        <f>ELEC!G3</f>
        <v>1855</v>
      </c>
      <c r="J2" s="206">
        <f>WATER!Y6</f>
        <v>115</v>
      </c>
      <c r="K2" s="206">
        <f>WATER!AJ6</f>
        <v>10</v>
      </c>
      <c r="L2" s="10">
        <f>ELEC!B3</f>
        <v>12.995000000000001</v>
      </c>
      <c r="M2" s="10"/>
    </row>
    <row r="3" spans="1:13">
      <c r="A3" t="s">
        <v>348</v>
      </c>
      <c r="B3">
        <f>B2+1</f>
        <v>2</v>
      </c>
      <c r="C3">
        <v>7</v>
      </c>
      <c r="D3">
        <v>2020</v>
      </c>
      <c r="E3" s="206">
        <f>ELEC!M4</f>
        <v>8320</v>
      </c>
      <c r="F3" s="206">
        <f>ELEC!K4</f>
        <v>3057</v>
      </c>
      <c r="G3" s="206">
        <f>ELEC!I4</f>
        <v>1778</v>
      </c>
      <c r="H3" s="206">
        <f>ELEC!E4</f>
        <v>3856</v>
      </c>
      <c r="I3" s="206">
        <f>ELEC!G4</f>
        <v>1848</v>
      </c>
      <c r="J3" s="206">
        <f>WATER!Y7</f>
        <v>69</v>
      </c>
      <c r="K3" s="206">
        <f>WATER!AJ7</f>
        <v>48</v>
      </c>
      <c r="L3" s="10">
        <f>ELEC!B4</f>
        <v>8.9700000000000006</v>
      </c>
      <c r="M3" s="10"/>
    </row>
    <row r="4" spans="1:13">
      <c r="A4" t="s">
        <v>348</v>
      </c>
      <c r="B4">
        <f t="shared" ref="B4:B32" si="0">B3+1</f>
        <v>3</v>
      </c>
      <c r="C4">
        <v>7</v>
      </c>
      <c r="D4">
        <v>2020</v>
      </c>
      <c r="E4" s="206">
        <f>ELEC!M5</f>
        <v>9244</v>
      </c>
      <c r="F4" s="206">
        <f>ELEC!K5</f>
        <v>3108</v>
      </c>
      <c r="G4" s="206">
        <f>ELEC!I5</f>
        <v>2010</v>
      </c>
      <c r="H4" s="206">
        <f>ELEC!E5</f>
        <v>4478</v>
      </c>
      <c r="I4" s="206">
        <f>ELEC!G5</f>
        <v>2051</v>
      </c>
      <c r="J4" s="206">
        <f>WATER!Y8</f>
        <v>48</v>
      </c>
      <c r="K4" s="206">
        <f>WATER!AJ8</f>
        <v>52</v>
      </c>
      <c r="L4" s="10">
        <f>ELEC!B5</f>
        <v>20.009999999999998</v>
      </c>
      <c r="M4" s="10"/>
    </row>
    <row r="5" spans="1:13">
      <c r="A5" t="s">
        <v>348</v>
      </c>
      <c r="B5">
        <f t="shared" si="0"/>
        <v>4</v>
      </c>
      <c r="C5">
        <v>7</v>
      </c>
      <c r="D5">
        <v>2020</v>
      </c>
      <c r="E5" s="206">
        <f>ELEC!M6</f>
        <v>8346</v>
      </c>
      <c r="F5" s="206">
        <f>ELEC!K6</f>
        <v>2220</v>
      </c>
      <c r="G5" s="206">
        <f>ELEC!I6</f>
        <v>1890</v>
      </c>
      <c r="H5" s="206">
        <f>ELEC!E6</f>
        <v>3772</v>
      </c>
      <c r="I5" s="206">
        <f>ELEC!G6</f>
        <v>1924</v>
      </c>
      <c r="J5" s="206">
        <f>WATER!Y9</f>
        <v>180</v>
      </c>
      <c r="K5" s="206">
        <f>WATER!AJ9</f>
        <v>73</v>
      </c>
      <c r="L5" s="10">
        <f>ELEC!B6</f>
        <v>20.009999999999998</v>
      </c>
      <c r="M5" s="10"/>
    </row>
    <row r="6" spans="1:13">
      <c r="A6" t="s">
        <v>348</v>
      </c>
      <c r="B6">
        <f t="shared" si="0"/>
        <v>5</v>
      </c>
      <c r="C6">
        <v>7</v>
      </c>
      <c r="D6">
        <v>2020</v>
      </c>
      <c r="E6" s="206">
        <f>ELEC!M7</f>
        <v>6172</v>
      </c>
      <c r="F6" s="206">
        <f>ELEC!K7</f>
        <v>2178</v>
      </c>
      <c r="G6" s="206">
        <f>ELEC!I7</f>
        <v>1996</v>
      </c>
      <c r="H6" s="206">
        <f>ELEC!E7</f>
        <v>5838</v>
      </c>
      <c r="I6" s="206">
        <f>ELEC!G7</f>
        <v>1977</v>
      </c>
      <c r="J6" s="206">
        <f>WATER!Y10</f>
        <v>2</v>
      </c>
      <c r="K6" s="206">
        <f>WATER!AJ10</f>
        <v>1</v>
      </c>
      <c r="L6" s="10">
        <f>ELEC!B7</f>
        <v>18.009</v>
      </c>
      <c r="M6" s="10"/>
    </row>
    <row r="7" spans="1:13">
      <c r="A7" t="s">
        <v>348</v>
      </c>
      <c r="B7">
        <f t="shared" si="0"/>
        <v>6</v>
      </c>
      <c r="C7">
        <v>7</v>
      </c>
      <c r="D7">
        <v>2020</v>
      </c>
      <c r="E7" s="206">
        <f>ELEC!M8</f>
        <v>8976</v>
      </c>
      <c r="F7" s="206">
        <f>ELEC!K8</f>
        <v>2448</v>
      </c>
      <c r="G7" s="206">
        <f>ELEC!I8</f>
        <v>2216</v>
      </c>
      <c r="H7" s="206">
        <f>ELEC!E8</f>
        <v>5028</v>
      </c>
      <c r="I7" s="206">
        <f>ELEC!G8</f>
        <v>2096</v>
      </c>
      <c r="J7" s="206">
        <f>WATER!Y11</f>
        <v>110</v>
      </c>
      <c r="K7" s="206">
        <f>WATER!AJ11</f>
        <v>43</v>
      </c>
      <c r="L7" s="10">
        <f>ELEC!B8</f>
        <v>18.998000000000001</v>
      </c>
      <c r="M7" s="10"/>
    </row>
    <row r="8" spans="1:13">
      <c r="A8" t="s">
        <v>348</v>
      </c>
      <c r="B8">
        <f t="shared" si="0"/>
        <v>7</v>
      </c>
      <c r="C8">
        <v>7</v>
      </c>
      <c r="D8">
        <v>2020</v>
      </c>
      <c r="E8" s="206">
        <f>ELEC!M9</f>
        <v>6248</v>
      </c>
      <c r="F8" s="206">
        <f>ELEC!K9</f>
        <v>2470</v>
      </c>
      <c r="G8" s="206">
        <f>ELEC!I9</f>
        <v>2320</v>
      </c>
      <c r="H8" s="206">
        <f>ELEC!E9</f>
        <v>7468</v>
      </c>
      <c r="I8" s="206">
        <f>ELEC!G9</f>
        <v>1973</v>
      </c>
      <c r="J8" s="206">
        <f>WATER!Y12</f>
        <v>111</v>
      </c>
      <c r="K8" s="206">
        <f>WATER!AJ12</f>
        <v>53</v>
      </c>
      <c r="L8" s="10">
        <f>ELEC!B9</f>
        <v>18.009</v>
      </c>
      <c r="M8" s="10"/>
    </row>
    <row r="9" spans="1:13">
      <c r="A9" t="s">
        <v>348</v>
      </c>
      <c r="B9">
        <f t="shared" si="0"/>
        <v>8</v>
      </c>
      <c r="C9">
        <v>7</v>
      </c>
      <c r="D9">
        <v>2020</v>
      </c>
      <c r="E9" s="206">
        <f>ELEC!M10</f>
        <v>10244</v>
      </c>
      <c r="F9" s="206">
        <f>ELEC!K10</f>
        <v>3566</v>
      </c>
      <c r="G9" s="206">
        <f>ELEC!I10</f>
        <v>2396</v>
      </c>
      <c r="H9" s="206">
        <f>ELEC!E10</f>
        <v>5190</v>
      </c>
      <c r="I9" s="206">
        <f>ELEC!G10</f>
        <v>2147</v>
      </c>
      <c r="J9" s="206">
        <f>WATER!Y13</f>
        <v>0</v>
      </c>
      <c r="K9" s="206">
        <f>WATER!AJ13</f>
        <v>0</v>
      </c>
      <c r="L9" s="10">
        <f>ELEC!B10</f>
        <v>20.009999999999998</v>
      </c>
      <c r="M9" s="10"/>
    </row>
    <row r="10" spans="1:13">
      <c r="A10" t="s">
        <v>348</v>
      </c>
      <c r="B10">
        <f t="shared" si="0"/>
        <v>9</v>
      </c>
      <c r="C10">
        <v>7</v>
      </c>
      <c r="D10">
        <v>2020</v>
      </c>
      <c r="E10" s="206">
        <f>ELEC!M11</f>
        <v>0</v>
      </c>
      <c r="F10" s="206">
        <f>ELEC!K11</f>
        <v>0</v>
      </c>
      <c r="G10" s="206">
        <f>ELEC!I11</f>
        <v>0</v>
      </c>
      <c r="H10" s="206">
        <f>ELEC!E11</f>
        <v>0</v>
      </c>
      <c r="I10" s="206">
        <f>ELEC!G11</f>
        <v>0</v>
      </c>
      <c r="J10" s="206">
        <f>WATER!Y14</f>
        <v>0</v>
      </c>
      <c r="K10" s="206">
        <f>WATER!AJ14</f>
        <v>0</v>
      </c>
      <c r="L10" s="10">
        <f>ELEC!B11</f>
        <v>0</v>
      </c>
      <c r="M10" s="10"/>
    </row>
    <row r="11" spans="1:13">
      <c r="A11" t="s">
        <v>348</v>
      </c>
      <c r="B11">
        <f t="shared" si="0"/>
        <v>10</v>
      </c>
      <c r="C11">
        <v>7</v>
      </c>
      <c r="D11">
        <v>2020</v>
      </c>
      <c r="E11" s="206">
        <f>ELEC!M12</f>
        <v>0</v>
      </c>
      <c r="F11" s="206">
        <f>ELEC!K12</f>
        <v>0</v>
      </c>
      <c r="G11" s="206">
        <f>ELEC!I12</f>
        <v>0</v>
      </c>
      <c r="H11" s="206">
        <f>ELEC!E12</f>
        <v>0</v>
      </c>
      <c r="I11" s="206">
        <f>ELEC!G12</f>
        <v>0</v>
      </c>
      <c r="J11" s="206">
        <f>WATER!Y15</f>
        <v>0</v>
      </c>
      <c r="K11" s="206">
        <f>WATER!AJ15</f>
        <v>0</v>
      </c>
      <c r="L11" s="10">
        <f>ELEC!B12</f>
        <v>0</v>
      </c>
      <c r="M11" s="10"/>
    </row>
    <row r="12" spans="1:13">
      <c r="A12" t="s">
        <v>348</v>
      </c>
      <c r="B12">
        <f t="shared" si="0"/>
        <v>11</v>
      </c>
      <c r="C12">
        <v>7</v>
      </c>
      <c r="D12">
        <v>2020</v>
      </c>
      <c r="E12" s="206">
        <f>ELEC!M13</f>
        <v>0</v>
      </c>
      <c r="F12" s="206">
        <f>ELEC!K13</f>
        <v>0</v>
      </c>
      <c r="G12" s="206">
        <f>ELEC!I13</f>
        <v>0</v>
      </c>
      <c r="H12" s="206">
        <f>ELEC!E13</f>
        <v>0</v>
      </c>
      <c r="I12" s="206">
        <f>ELEC!G13</f>
        <v>0</v>
      </c>
      <c r="J12" s="206">
        <f>WATER!Y16</f>
        <v>0</v>
      </c>
      <c r="K12" s="206">
        <f>WATER!AJ16</f>
        <v>0</v>
      </c>
      <c r="L12" s="10">
        <f>ELEC!B13</f>
        <v>0</v>
      </c>
      <c r="M12" s="10"/>
    </row>
    <row r="13" spans="1:13">
      <c r="A13" t="s">
        <v>348</v>
      </c>
      <c r="B13">
        <f t="shared" si="0"/>
        <v>12</v>
      </c>
      <c r="C13">
        <v>7</v>
      </c>
      <c r="D13">
        <v>2020</v>
      </c>
      <c r="E13" s="206">
        <f>ELEC!M14</f>
        <v>0</v>
      </c>
      <c r="F13" s="206">
        <f>ELEC!K14</f>
        <v>0</v>
      </c>
      <c r="G13" s="206">
        <f>ELEC!I14</f>
        <v>0</v>
      </c>
      <c r="H13" s="206">
        <f>ELEC!E14</f>
        <v>0</v>
      </c>
      <c r="I13" s="206">
        <f>ELEC!G14</f>
        <v>0</v>
      </c>
      <c r="J13" s="206">
        <f>WATER!Y17</f>
        <v>0</v>
      </c>
      <c r="K13" s="206">
        <f>WATER!AJ17</f>
        <v>0</v>
      </c>
      <c r="L13" s="10">
        <f>ELEC!B14</f>
        <v>0</v>
      </c>
      <c r="M13" s="10"/>
    </row>
    <row r="14" spans="1:13">
      <c r="A14" t="s">
        <v>348</v>
      </c>
      <c r="B14">
        <f t="shared" si="0"/>
        <v>13</v>
      </c>
      <c r="C14">
        <v>7</v>
      </c>
      <c r="D14">
        <v>2020</v>
      </c>
      <c r="E14" s="206">
        <f>ELEC!M15</f>
        <v>0</v>
      </c>
      <c r="F14" s="206">
        <f>ELEC!K15</f>
        <v>0</v>
      </c>
      <c r="G14" s="206">
        <f>ELEC!I15</f>
        <v>0</v>
      </c>
      <c r="H14" s="206">
        <f>ELEC!E15</f>
        <v>0</v>
      </c>
      <c r="I14" s="206">
        <f>ELEC!G15</f>
        <v>0</v>
      </c>
      <c r="J14" s="206">
        <f>WATER!Y18</f>
        <v>0</v>
      </c>
      <c r="K14" s="206">
        <f>WATER!AJ18</f>
        <v>0</v>
      </c>
      <c r="L14" s="10">
        <f>ELEC!B15</f>
        <v>0</v>
      </c>
      <c r="M14" s="10"/>
    </row>
    <row r="15" spans="1:13">
      <c r="A15" t="s">
        <v>348</v>
      </c>
      <c r="B15">
        <f t="shared" si="0"/>
        <v>14</v>
      </c>
      <c r="C15">
        <v>7</v>
      </c>
      <c r="D15">
        <v>2020</v>
      </c>
      <c r="E15" s="206">
        <f>ELEC!M16</f>
        <v>0</v>
      </c>
      <c r="F15" s="206">
        <f>ELEC!K16</f>
        <v>0</v>
      </c>
      <c r="G15" s="206">
        <f>ELEC!I16</f>
        <v>0</v>
      </c>
      <c r="H15" s="206">
        <f>ELEC!E16</f>
        <v>0</v>
      </c>
      <c r="I15" s="206">
        <f>ELEC!G16</f>
        <v>0</v>
      </c>
      <c r="J15" s="206">
        <f>WATER!Y19</f>
        <v>0</v>
      </c>
      <c r="K15" s="206">
        <f>WATER!AJ19</f>
        <v>0</v>
      </c>
      <c r="L15" s="10">
        <f>ELEC!B16</f>
        <v>0</v>
      </c>
      <c r="M15" s="10"/>
    </row>
    <row r="16" spans="1:13">
      <c r="A16" t="s">
        <v>348</v>
      </c>
      <c r="B16">
        <f t="shared" si="0"/>
        <v>15</v>
      </c>
      <c r="C16">
        <v>7</v>
      </c>
      <c r="D16">
        <v>2020</v>
      </c>
      <c r="E16" s="206">
        <f>ELEC!M17</f>
        <v>0</v>
      </c>
      <c r="F16" s="206">
        <f>ELEC!K17</f>
        <v>0</v>
      </c>
      <c r="G16" s="206">
        <f>ELEC!I17</f>
        <v>0</v>
      </c>
      <c r="H16" s="206">
        <f>ELEC!E17</f>
        <v>0</v>
      </c>
      <c r="I16" s="206">
        <f>ELEC!G17</f>
        <v>0</v>
      </c>
      <c r="J16" s="206">
        <f>WATER!Y20</f>
        <v>0</v>
      </c>
      <c r="K16" s="206">
        <f>WATER!AJ20</f>
        <v>0</v>
      </c>
      <c r="L16" s="10">
        <f>ELEC!B17</f>
        <v>0</v>
      </c>
      <c r="M16" s="10"/>
    </row>
    <row r="17" spans="1:13">
      <c r="A17" t="s">
        <v>348</v>
      </c>
      <c r="B17">
        <f t="shared" si="0"/>
        <v>16</v>
      </c>
      <c r="C17">
        <v>7</v>
      </c>
      <c r="D17">
        <v>2020</v>
      </c>
      <c r="E17" s="206">
        <f>ELEC!M18</f>
        <v>0</v>
      </c>
      <c r="F17" s="206">
        <f>ELEC!K18</f>
        <v>0</v>
      </c>
      <c r="G17" s="206">
        <f>ELEC!I18</f>
        <v>0</v>
      </c>
      <c r="H17" s="206">
        <f>ELEC!E18</f>
        <v>0</v>
      </c>
      <c r="I17" s="206">
        <f>ELEC!G18</f>
        <v>0</v>
      </c>
      <c r="J17" s="206">
        <f>WATER!Y21</f>
        <v>0</v>
      </c>
      <c r="K17" s="206">
        <f>WATER!AJ21</f>
        <v>0</v>
      </c>
      <c r="L17" s="10">
        <f>ELEC!B18</f>
        <v>0</v>
      </c>
      <c r="M17" s="10"/>
    </row>
    <row r="18" spans="1:13">
      <c r="A18" t="s">
        <v>348</v>
      </c>
      <c r="B18">
        <f t="shared" si="0"/>
        <v>17</v>
      </c>
      <c r="C18">
        <v>7</v>
      </c>
      <c r="D18">
        <v>2020</v>
      </c>
      <c r="E18" s="206">
        <f>ELEC!M19</f>
        <v>0</v>
      </c>
      <c r="F18" s="206">
        <f>ELEC!K19</f>
        <v>0</v>
      </c>
      <c r="G18" s="206">
        <f>ELEC!I19</f>
        <v>0</v>
      </c>
      <c r="H18" s="206">
        <f>ELEC!E19</f>
        <v>0</v>
      </c>
      <c r="I18" s="206">
        <f>ELEC!G19</f>
        <v>0</v>
      </c>
      <c r="J18" s="206">
        <f>WATER!Y22</f>
        <v>0</v>
      </c>
      <c r="K18" s="206">
        <f>WATER!AJ22</f>
        <v>0</v>
      </c>
      <c r="L18" s="10">
        <f>ELEC!B19</f>
        <v>0</v>
      </c>
      <c r="M18" s="10"/>
    </row>
    <row r="19" spans="1:13">
      <c r="A19" t="s">
        <v>348</v>
      </c>
      <c r="B19">
        <f t="shared" si="0"/>
        <v>18</v>
      </c>
      <c r="C19">
        <v>7</v>
      </c>
      <c r="D19">
        <v>2020</v>
      </c>
      <c r="E19" s="206">
        <f>ELEC!M20</f>
        <v>0</v>
      </c>
      <c r="F19" s="206">
        <f>ELEC!K20</f>
        <v>0</v>
      </c>
      <c r="G19" s="206">
        <f>ELEC!I20</f>
        <v>0</v>
      </c>
      <c r="H19" s="206">
        <f>ELEC!E20</f>
        <v>0</v>
      </c>
      <c r="I19" s="206">
        <f>ELEC!G20</f>
        <v>0</v>
      </c>
      <c r="J19" s="206">
        <f>WATER!Y23</f>
        <v>0</v>
      </c>
      <c r="K19" s="206">
        <f>WATER!AJ23</f>
        <v>0</v>
      </c>
      <c r="L19" s="10">
        <f>ELEC!B20</f>
        <v>0</v>
      </c>
      <c r="M19" s="10"/>
    </row>
    <row r="20" spans="1:13">
      <c r="A20" t="s">
        <v>348</v>
      </c>
      <c r="B20">
        <f t="shared" si="0"/>
        <v>19</v>
      </c>
      <c r="C20">
        <v>7</v>
      </c>
      <c r="D20">
        <v>2020</v>
      </c>
      <c r="E20" s="206">
        <f>ELEC!M21</f>
        <v>0</v>
      </c>
      <c r="F20" s="206">
        <f>ELEC!K21</f>
        <v>0</v>
      </c>
      <c r="G20" s="206">
        <f>ELEC!I21</f>
        <v>0</v>
      </c>
      <c r="H20" s="206">
        <f>ELEC!E21</f>
        <v>0</v>
      </c>
      <c r="I20" s="206">
        <f>ELEC!G21</f>
        <v>0</v>
      </c>
      <c r="J20" s="206">
        <f>WATER!Y24</f>
        <v>0</v>
      </c>
      <c r="K20" s="206">
        <f>WATER!AJ24</f>
        <v>0</v>
      </c>
      <c r="L20" s="10">
        <f>ELEC!B21</f>
        <v>0</v>
      </c>
      <c r="M20" s="10"/>
    </row>
    <row r="21" spans="1:13">
      <c r="A21" t="s">
        <v>348</v>
      </c>
      <c r="B21">
        <f t="shared" si="0"/>
        <v>20</v>
      </c>
      <c r="C21">
        <v>7</v>
      </c>
      <c r="D21">
        <v>2020</v>
      </c>
      <c r="E21" s="206">
        <f>ELEC!M22</f>
        <v>0</v>
      </c>
      <c r="F21" s="206">
        <f>ELEC!K22</f>
        <v>0</v>
      </c>
      <c r="G21" s="206">
        <f>ELEC!I22</f>
        <v>0</v>
      </c>
      <c r="H21" s="206">
        <f>ELEC!E22</f>
        <v>0</v>
      </c>
      <c r="I21" s="206">
        <f>ELEC!G22</f>
        <v>0</v>
      </c>
      <c r="J21" s="206">
        <f>WATER!Y25</f>
        <v>0</v>
      </c>
      <c r="K21" s="206">
        <f>WATER!AJ25</f>
        <v>0</v>
      </c>
      <c r="L21" s="10">
        <f>ELEC!B22</f>
        <v>0</v>
      </c>
      <c r="M21" s="10"/>
    </row>
    <row r="22" spans="1:13">
      <c r="A22" t="s">
        <v>348</v>
      </c>
      <c r="B22">
        <f t="shared" si="0"/>
        <v>21</v>
      </c>
      <c r="C22">
        <v>7</v>
      </c>
      <c r="D22">
        <v>2020</v>
      </c>
      <c r="E22" s="206">
        <f>ELEC!M23</f>
        <v>0</v>
      </c>
      <c r="F22" s="206">
        <f>ELEC!K23</f>
        <v>0</v>
      </c>
      <c r="G22" s="206">
        <f>ELEC!I23</f>
        <v>0</v>
      </c>
      <c r="H22" s="206">
        <f>ELEC!E23</f>
        <v>0</v>
      </c>
      <c r="I22" s="206">
        <f>ELEC!G23</f>
        <v>0</v>
      </c>
      <c r="J22" s="206">
        <f>WATER!Y26</f>
        <v>0</v>
      </c>
      <c r="K22" s="206">
        <f>WATER!AJ26</f>
        <v>0</v>
      </c>
      <c r="L22" s="10">
        <f>ELEC!B23</f>
        <v>0</v>
      </c>
      <c r="M22" s="10"/>
    </row>
    <row r="23" spans="1:13">
      <c r="A23" t="s">
        <v>348</v>
      </c>
      <c r="B23">
        <f t="shared" si="0"/>
        <v>22</v>
      </c>
      <c r="C23">
        <v>7</v>
      </c>
      <c r="D23">
        <v>2020</v>
      </c>
      <c r="E23" s="206">
        <f>ELEC!M24</f>
        <v>0</v>
      </c>
      <c r="F23" s="206">
        <f>ELEC!K24</f>
        <v>0</v>
      </c>
      <c r="G23" s="206">
        <f>ELEC!I24</f>
        <v>0</v>
      </c>
      <c r="H23" s="206">
        <f>ELEC!E24</f>
        <v>0</v>
      </c>
      <c r="I23" s="206">
        <f>ELEC!G24</f>
        <v>0</v>
      </c>
      <c r="J23" s="206">
        <f>WATER!Y27</f>
        <v>0</v>
      </c>
      <c r="K23" s="206">
        <f>WATER!AJ27</f>
        <v>0</v>
      </c>
      <c r="L23" s="10">
        <f>ELEC!B24</f>
        <v>0</v>
      </c>
      <c r="M23" s="10"/>
    </row>
    <row r="24" spans="1:13">
      <c r="A24" t="s">
        <v>348</v>
      </c>
      <c r="B24">
        <f t="shared" si="0"/>
        <v>23</v>
      </c>
      <c r="C24">
        <v>7</v>
      </c>
      <c r="D24">
        <v>2020</v>
      </c>
      <c r="E24" s="206">
        <f>ELEC!M25</f>
        <v>0</v>
      </c>
      <c r="F24" s="206">
        <f>ELEC!K25</f>
        <v>0</v>
      </c>
      <c r="G24" s="206">
        <f>ELEC!I25</f>
        <v>0</v>
      </c>
      <c r="H24" s="206">
        <f>ELEC!E25</f>
        <v>0</v>
      </c>
      <c r="I24" s="206">
        <f>ELEC!G25</f>
        <v>0</v>
      </c>
      <c r="J24" s="206">
        <f>WATER!Y28</f>
        <v>0</v>
      </c>
      <c r="K24" s="206">
        <f>WATER!AJ28</f>
        <v>0</v>
      </c>
      <c r="L24" s="10">
        <f>ELEC!B25</f>
        <v>0</v>
      </c>
      <c r="M24" s="10"/>
    </row>
    <row r="25" spans="1:13">
      <c r="A25" t="s">
        <v>348</v>
      </c>
      <c r="B25">
        <f t="shared" si="0"/>
        <v>24</v>
      </c>
      <c r="C25">
        <v>7</v>
      </c>
      <c r="D25">
        <v>2020</v>
      </c>
      <c r="E25" s="206">
        <f>ELEC!M26</f>
        <v>0</v>
      </c>
      <c r="F25" s="206">
        <f>ELEC!K26</f>
        <v>0</v>
      </c>
      <c r="G25" s="206">
        <f>ELEC!I26</f>
        <v>0</v>
      </c>
      <c r="H25" s="206">
        <f>ELEC!E26</f>
        <v>0</v>
      </c>
      <c r="I25" s="206">
        <f>ELEC!G26</f>
        <v>0</v>
      </c>
      <c r="J25" s="206">
        <f>WATER!Y29</f>
        <v>0</v>
      </c>
      <c r="K25" s="206">
        <f>WATER!AJ29</f>
        <v>0</v>
      </c>
      <c r="L25" s="10">
        <f>ELEC!B26</f>
        <v>0</v>
      </c>
      <c r="M25" s="10"/>
    </row>
    <row r="26" spans="1:13">
      <c r="A26" t="s">
        <v>348</v>
      </c>
      <c r="B26">
        <f>B25+1</f>
        <v>25</v>
      </c>
      <c r="C26">
        <v>7</v>
      </c>
      <c r="D26">
        <v>2020</v>
      </c>
      <c r="E26" s="206">
        <f>ELEC!M27</f>
        <v>0</v>
      </c>
      <c r="F26" s="206">
        <f>ELEC!K27</f>
        <v>0</v>
      </c>
      <c r="G26" s="206">
        <f>ELEC!I27</f>
        <v>0</v>
      </c>
      <c r="H26" s="206">
        <f>ELEC!E27</f>
        <v>0</v>
      </c>
      <c r="I26" s="206">
        <f>ELEC!G27</f>
        <v>0</v>
      </c>
      <c r="J26" s="206">
        <f>WATER!Y30</f>
        <v>0</v>
      </c>
      <c r="K26" s="206">
        <f>WATER!AJ30</f>
        <v>0</v>
      </c>
      <c r="L26" s="10">
        <f>ELEC!B27</f>
        <v>0</v>
      </c>
      <c r="M26" s="10"/>
    </row>
    <row r="27" spans="1:13">
      <c r="A27" t="s">
        <v>348</v>
      </c>
      <c r="B27">
        <f t="shared" si="0"/>
        <v>26</v>
      </c>
      <c r="C27">
        <v>7</v>
      </c>
      <c r="D27">
        <v>2020</v>
      </c>
      <c r="E27" s="206">
        <f>ELEC!M28</f>
        <v>0</v>
      </c>
      <c r="F27" s="206">
        <f>ELEC!K28</f>
        <v>0</v>
      </c>
      <c r="G27" s="206">
        <f>ELEC!I28</f>
        <v>0</v>
      </c>
      <c r="H27" s="206">
        <f>ELEC!E28</f>
        <v>0</v>
      </c>
      <c r="I27" s="206">
        <f>ELEC!G28</f>
        <v>0</v>
      </c>
      <c r="J27" s="206">
        <f>WATER!Y31</f>
        <v>0</v>
      </c>
      <c r="K27" s="206">
        <f>WATER!AJ31</f>
        <v>0</v>
      </c>
      <c r="L27" s="10">
        <f>ELEC!B28</f>
        <v>0</v>
      </c>
      <c r="M27" s="10"/>
    </row>
    <row r="28" spans="1:13">
      <c r="A28" t="s">
        <v>348</v>
      </c>
      <c r="B28">
        <f t="shared" si="0"/>
        <v>27</v>
      </c>
      <c r="C28">
        <v>7</v>
      </c>
      <c r="D28">
        <v>2020</v>
      </c>
      <c r="E28" s="206">
        <f>ELEC!M29</f>
        <v>0</v>
      </c>
      <c r="F28" s="206">
        <f>ELEC!K29</f>
        <v>0</v>
      </c>
      <c r="G28" s="206">
        <f>ELEC!I29</f>
        <v>0</v>
      </c>
      <c r="H28" s="206">
        <f>ELEC!E29</f>
        <v>0</v>
      </c>
      <c r="I28" s="206">
        <f>ELEC!G29</f>
        <v>0</v>
      </c>
      <c r="J28" s="206">
        <f>WATER!Y32</f>
        <v>0</v>
      </c>
      <c r="K28" s="206">
        <f>WATER!AJ32</f>
        <v>0</v>
      </c>
      <c r="L28" s="10">
        <f>ELEC!B29</f>
        <v>0</v>
      </c>
      <c r="M28" s="10"/>
    </row>
    <row r="29" spans="1:13">
      <c r="A29" t="s">
        <v>348</v>
      </c>
      <c r="B29">
        <f t="shared" si="0"/>
        <v>28</v>
      </c>
      <c r="C29">
        <v>7</v>
      </c>
      <c r="D29">
        <v>2020</v>
      </c>
      <c r="E29" s="206">
        <f>ELEC!M30</f>
        <v>0</v>
      </c>
      <c r="F29" s="206">
        <f>ELEC!K30</f>
        <v>0</v>
      </c>
      <c r="G29" s="206">
        <f>ELEC!I30</f>
        <v>0</v>
      </c>
      <c r="H29" s="206">
        <f>ELEC!E30</f>
        <v>0</v>
      </c>
      <c r="I29" s="206">
        <f>ELEC!G30</f>
        <v>0</v>
      </c>
      <c r="J29" s="206">
        <f>WATER!Y33</f>
        <v>0</v>
      </c>
      <c r="K29" s="206">
        <f>WATER!AJ33</f>
        <v>0</v>
      </c>
      <c r="L29" s="10">
        <f>ELEC!B30</f>
        <v>0</v>
      </c>
      <c r="M29" s="10"/>
    </row>
    <row r="30" spans="1:13">
      <c r="A30" t="s">
        <v>348</v>
      </c>
      <c r="B30">
        <f t="shared" si="0"/>
        <v>29</v>
      </c>
      <c r="C30">
        <v>7</v>
      </c>
      <c r="D30">
        <v>2020</v>
      </c>
      <c r="E30" s="206">
        <f>ELEC!M31</f>
        <v>0</v>
      </c>
      <c r="F30" s="206">
        <f>ELEC!K31</f>
        <v>0</v>
      </c>
      <c r="G30" s="206">
        <f>ELEC!I31</f>
        <v>0</v>
      </c>
      <c r="H30" s="206">
        <f>ELEC!E31</f>
        <v>0</v>
      </c>
      <c r="I30" s="206">
        <f>ELEC!G31</f>
        <v>0</v>
      </c>
      <c r="J30" s="206">
        <f>WATER!Y34</f>
        <v>0</v>
      </c>
      <c r="K30" s="206">
        <f>WATER!AJ34</f>
        <v>0</v>
      </c>
      <c r="L30" s="10">
        <f>ELEC!B31</f>
        <v>0</v>
      </c>
      <c r="M30" s="10"/>
    </row>
    <row r="31" spans="1:13">
      <c r="A31" t="s">
        <v>348</v>
      </c>
      <c r="B31">
        <f t="shared" si="0"/>
        <v>30</v>
      </c>
      <c r="C31">
        <v>7</v>
      </c>
      <c r="D31">
        <v>2020</v>
      </c>
      <c r="E31" s="206">
        <f>ELEC!M32</f>
        <v>0</v>
      </c>
      <c r="F31" s="206">
        <f>ELEC!K32</f>
        <v>0</v>
      </c>
      <c r="G31" s="206">
        <f>ELEC!I32</f>
        <v>0</v>
      </c>
      <c r="H31" s="206">
        <f>ELEC!E32</f>
        <v>0</v>
      </c>
      <c r="I31" s="206">
        <f>ELEC!G32</f>
        <v>0</v>
      </c>
      <c r="J31" s="206">
        <f>WATER!Y35</f>
        <v>0</v>
      </c>
      <c r="K31" s="206">
        <f>WATER!AJ35</f>
        <v>0</v>
      </c>
      <c r="L31" s="10">
        <f>ELEC!B32</f>
        <v>0</v>
      </c>
      <c r="M31" s="10"/>
    </row>
    <row r="32" spans="1:13">
      <c r="A32" t="s">
        <v>348</v>
      </c>
      <c r="B32">
        <f t="shared" si="0"/>
        <v>31</v>
      </c>
      <c r="C32">
        <v>7</v>
      </c>
      <c r="D32">
        <v>2020</v>
      </c>
      <c r="E32" s="206">
        <f>ELEC!M33</f>
        <v>0</v>
      </c>
      <c r="F32" s="206">
        <f>ELEC!K33</f>
        <v>0</v>
      </c>
      <c r="G32" s="206">
        <f>ELEC!I33</f>
        <v>0</v>
      </c>
      <c r="H32" s="206">
        <f>ELEC!E33</f>
        <v>0</v>
      </c>
      <c r="I32" s="206">
        <f>ELEC!G33</f>
        <v>0</v>
      </c>
      <c r="J32" s="206">
        <f>WATER!Y36</f>
        <v>0</v>
      </c>
      <c r="K32" s="206">
        <f>WATER!AJ37</f>
        <v>280</v>
      </c>
      <c r="L32" s="10">
        <f>ELEC!B33</f>
        <v>17.126374999999996</v>
      </c>
      <c r="M32" s="1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K33"/>
  <sheetViews>
    <sheetView topLeftCell="T1" zoomScale="85" zoomScaleNormal="85" zoomScaleSheetLayoutView="100" workbookViewId="0">
      <pane ySplit="1" topLeftCell="A3" activePane="bottomLeft" state="frozen"/>
      <selection activeCell="C1" sqref="C1"/>
      <selection pane="bottomLeft" activeCell="AJ10" sqref="AJ10"/>
    </sheetView>
  </sheetViews>
  <sheetFormatPr defaultRowHeight="15"/>
  <cols>
    <col min="1" max="1" width="7.7109375" style="479" bestFit="1" customWidth="1"/>
    <col min="2" max="2" width="10.28515625" style="488" bestFit="1" customWidth="1"/>
    <col min="3" max="3" width="11.5703125" style="479" customWidth="1"/>
    <col min="4" max="4" width="18" style="489" bestFit="1" customWidth="1"/>
    <col min="5" max="5" width="14.42578125" style="489" bestFit="1" customWidth="1"/>
    <col min="6" max="6" width="15.28515625" style="489" bestFit="1" customWidth="1"/>
    <col min="7" max="7" width="12" style="489" bestFit="1" customWidth="1"/>
    <col min="8" max="8" width="18" style="489" bestFit="1" customWidth="1"/>
    <col min="9" max="9" width="13" style="489" bestFit="1" customWidth="1"/>
    <col min="10" max="10" width="18" style="489" bestFit="1" customWidth="1"/>
    <col min="11" max="11" width="11.7109375" style="489" customWidth="1"/>
    <col min="12" max="12" width="18" style="489" bestFit="1" customWidth="1"/>
    <col min="13" max="13" width="12.5703125" style="489" bestFit="1" customWidth="1"/>
    <col min="14" max="14" width="15.42578125" style="479" bestFit="1" customWidth="1"/>
    <col min="15" max="15" width="13.140625" style="490" bestFit="1" customWidth="1"/>
    <col min="16" max="16" width="14.28515625" style="479" bestFit="1" customWidth="1"/>
    <col min="17" max="17" width="13.7109375" style="479" bestFit="1" customWidth="1"/>
    <col min="18" max="18" width="12.42578125" style="479" bestFit="1" customWidth="1"/>
    <col min="19" max="21" width="11.5703125" style="479" bestFit="1" customWidth="1"/>
    <col min="22" max="22" width="13.140625" style="479" bestFit="1" customWidth="1"/>
    <col min="23" max="25" width="11.5703125" style="479" bestFit="1" customWidth="1"/>
    <col min="26" max="26" width="13.140625" style="479" bestFit="1" customWidth="1"/>
    <col min="27" max="29" width="11.5703125" style="479" bestFit="1" customWidth="1"/>
    <col min="30" max="30" width="13.140625" style="479" bestFit="1" customWidth="1"/>
    <col min="31" max="32" width="11.5703125" style="479" bestFit="1" customWidth="1"/>
    <col min="33" max="33" width="14.42578125" style="479" bestFit="1" customWidth="1"/>
    <col min="34" max="34" width="9.140625" style="479"/>
    <col min="35" max="35" width="9.7109375" style="479" bestFit="1" customWidth="1"/>
    <col min="36" max="16384" width="9.140625" style="479"/>
  </cols>
  <sheetData>
    <row r="1" spans="1:115" s="463" customFormat="1" ht="18.75" customHeight="1">
      <c r="A1" s="463" t="s">
        <v>19</v>
      </c>
      <c r="B1" s="464" t="s">
        <v>155</v>
      </c>
      <c r="C1" s="465"/>
      <c r="D1" s="466" t="s">
        <v>20</v>
      </c>
      <c r="E1" s="466" t="s">
        <v>21</v>
      </c>
      <c r="F1" s="466" t="s">
        <v>22</v>
      </c>
      <c r="G1" s="466" t="s">
        <v>23</v>
      </c>
      <c r="H1" s="466" t="s">
        <v>24</v>
      </c>
      <c r="I1" s="466" t="s">
        <v>25</v>
      </c>
      <c r="J1" s="466" t="s">
        <v>26</v>
      </c>
      <c r="K1" s="466" t="s">
        <v>27</v>
      </c>
      <c r="L1" s="466" t="s">
        <v>28</v>
      </c>
      <c r="M1" s="466" t="s">
        <v>29</v>
      </c>
      <c r="N1" s="467" t="s">
        <v>30</v>
      </c>
      <c r="O1" s="468" t="s">
        <v>156</v>
      </c>
      <c r="P1" s="469" t="s">
        <v>329</v>
      </c>
      <c r="Q1" s="467" t="s">
        <v>31</v>
      </c>
      <c r="R1" s="467" t="s">
        <v>32</v>
      </c>
      <c r="S1" s="467" t="s">
        <v>364</v>
      </c>
      <c r="T1" s="467" t="s">
        <v>33</v>
      </c>
      <c r="U1" s="467" t="s">
        <v>34</v>
      </c>
      <c r="V1" s="467" t="s">
        <v>35</v>
      </c>
      <c r="W1" s="467" t="s">
        <v>36</v>
      </c>
      <c r="X1" s="467" t="s">
        <v>33</v>
      </c>
      <c r="Y1" s="467" t="s">
        <v>37</v>
      </c>
      <c r="Z1" s="467" t="s">
        <v>38</v>
      </c>
      <c r="AA1" s="467" t="s">
        <v>39</v>
      </c>
      <c r="AB1" s="467" t="s">
        <v>33</v>
      </c>
      <c r="AC1" s="467" t="s">
        <v>77</v>
      </c>
      <c r="AD1" s="467" t="s">
        <v>40</v>
      </c>
      <c r="AE1" s="467" t="s">
        <v>41</v>
      </c>
      <c r="AF1" s="467" t="s">
        <v>42</v>
      </c>
      <c r="AG1" s="463" t="s">
        <v>132</v>
      </c>
    </row>
    <row r="2" spans="1:115" s="462" customFormat="1">
      <c r="A2" s="553">
        <f>[1]ELEC!A32</f>
        <v>4.7800000000000002E-2</v>
      </c>
      <c r="B2" s="549">
        <f>[1]ELEC!B32</f>
        <v>10.994</v>
      </c>
      <c r="C2" s="471">
        <v>44012</v>
      </c>
      <c r="D2" s="554">
        <f>[1]ELEC!D32</f>
        <v>31865522</v>
      </c>
      <c r="E2" s="554">
        <f>[1]ELEC!E32</f>
        <v>4902</v>
      </c>
      <c r="F2" s="554">
        <f>[1]ELEC!F32</f>
        <v>3741866</v>
      </c>
      <c r="G2" s="554">
        <f>[1]ELEC!G32</f>
        <v>1782</v>
      </c>
      <c r="H2" s="554">
        <f>[1]ELEC!H32</f>
        <v>17521942</v>
      </c>
      <c r="I2" s="554">
        <f>[1]ELEC!I32</f>
        <v>1668</v>
      </c>
      <c r="J2" s="554">
        <f>[1]ELEC!J32</f>
        <v>28525590</v>
      </c>
      <c r="K2" s="554">
        <f>[1]ELEC!K32</f>
        <v>2504</v>
      </c>
      <c r="L2" s="554">
        <f>[1]ELEC!L32</f>
        <v>23233636</v>
      </c>
      <c r="M2" s="554">
        <f>[1]ELEC!M32</f>
        <v>5614</v>
      </c>
      <c r="N2" s="554">
        <f>[1]ELEC!N32</f>
        <v>16470</v>
      </c>
      <c r="O2" s="554">
        <f>[1]ELEC!O32</f>
        <v>1498.0898672002911</v>
      </c>
      <c r="P2" s="554">
        <f>[1]ELEC!P32</f>
        <v>15675</v>
      </c>
      <c r="Q2" s="554">
        <f>[1]ELEC!Q32</f>
        <v>12000</v>
      </c>
      <c r="R2" s="554">
        <f>[1]ELEC!R32</f>
        <v>4470</v>
      </c>
      <c r="S2" s="554">
        <f>[1]ELEC!S32</f>
        <v>8883</v>
      </c>
      <c r="T2" s="554">
        <f>[1]ELEC!T32</f>
        <v>12</v>
      </c>
      <c r="U2" s="554">
        <f>[1]ELEC!U32</f>
        <v>137518</v>
      </c>
      <c r="V2" s="554">
        <f>[1]ELEC!V32</f>
        <v>2919</v>
      </c>
      <c r="W2" s="554">
        <f>[1]ELEC!W32</f>
        <v>31853</v>
      </c>
      <c r="X2" s="554">
        <f>[1]ELEC!X32</f>
        <v>0</v>
      </c>
      <c r="Y2" s="554">
        <f>[1]ELEC!Y32</f>
        <v>625865</v>
      </c>
      <c r="Z2" s="554">
        <f>[1]ELEC!Z32</f>
        <v>0</v>
      </c>
      <c r="AA2" s="554">
        <f>[1]ELEC!AA32</f>
        <v>35228</v>
      </c>
      <c r="AB2" s="554">
        <f>[1]ELEC!AB32</f>
        <v>7</v>
      </c>
      <c r="AC2" s="554">
        <f>[1]ELEC!AC32</f>
        <v>814514</v>
      </c>
      <c r="AD2" s="554">
        <f>[1]ELEC!AD32</f>
        <v>1414</v>
      </c>
      <c r="AE2" s="554">
        <f>[1]ELEC!AE32</f>
        <v>19</v>
      </c>
      <c r="AF2" s="554">
        <f>[1]ELEC!AF32</f>
        <v>4333</v>
      </c>
      <c r="AG2" s="554">
        <f>[1]ELEC!AG32</f>
        <v>228.05263157894737</v>
      </c>
      <c r="AH2" s="554">
        <f>[1]ELEC!AH32</f>
        <v>0</v>
      </c>
      <c r="AI2" s="554">
        <f>[1]ELEC!AI32</f>
        <v>-94226</v>
      </c>
      <c r="AJ2" s="494"/>
      <c r="AK2" s="494"/>
      <c r="AL2" s="494"/>
      <c r="AM2" s="494"/>
      <c r="AN2" s="494"/>
      <c r="AO2" s="494"/>
      <c r="AP2" s="494"/>
      <c r="AQ2" s="494"/>
      <c r="AR2" s="494"/>
      <c r="AS2" s="494"/>
      <c r="AT2" s="494"/>
      <c r="AU2" s="494"/>
      <c r="AV2" s="494"/>
      <c r="AW2" s="494"/>
      <c r="AX2" s="494"/>
      <c r="AY2" s="494"/>
      <c r="AZ2" s="494"/>
      <c r="BA2" s="494"/>
      <c r="BB2" s="494"/>
      <c r="BC2" s="494"/>
      <c r="BD2" s="494"/>
      <c r="BE2" s="494"/>
      <c r="BF2" s="494"/>
      <c r="BG2" s="494"/>
      <c r="BH2" s="494"/>
      <c r="BI2" s="494"/>
      <c r="BJ2" s="494"/>
      <c r="BK2" s="494"/>
      <c r="BL2" s="494"/>
      <c r="BM2" s="494"/>
      <c r="BN2" s="494"/>
      <c r="BO2" s="494"/>
      <c r="BP2" s="494"/>
      <c r="BQ2" s="494"/>
      <c r="BR2" s="494"/>
      <c r="BS2" s="494"/>
      <c r="BT2" s="494"/>
      <c r="BU2" s="494"/>
      <c r="BV2" s="494"/>
      <c r="BW2" s="494"/>
      <c r="BX2" s="494"/>
      <c r="BY2" s="494"/>
      <c r="BZ2" s="494"/>
      <c r="CA2" s="494"/>
      <c r="CB2" s="494"/>
      <c r="CC2" s="494"/>
      <c r="CD2" s="494"/>
      <c r="CE2" s="494"/>
      <c r="CF2" s="494"/>
      <c r="CG2" s="494"/>
      <c r="CH2" s="494"/>
      <c r="CI2" s="494"/>
      <c r="CJ2" s="494"/>
      <c r="CK2" s="494"/>
      <c r="CL2" s="494"/>
      <c r="CM2" s="494"/>
      <c r="CN2" s="494"/>
      <c r="CO2" s="494"/>
      <c r="CP2" s="494"/>
      <c r="CQ2" s="494"/>
      <c r="CR2" s="494"/>
      <c r="CS2" s="494"/>
      <c r="CT2" s="494"/>
      <c r="CU2" s="494"/>
      <c r="CV2" s="494"/>
      <c r="CW2" s="494"/>
      <c r="CX2" s="494"/>
      <c r="CY2" s="494"/>
      <c r="CZ2" s="494"/>
      <c r="DA2" s="494"/>
      <c r="DB2" s="494"/>
      <c r="DC2" s="494"/>
      <c r="DD2" s="494"/>
      <c r="DE2" s="494"/>
      <c r="DF2" s="494"/>
      <c r="DG2" s="494"/>
      <c r="DH2" s="494"/>
      <c r="DI2" s="494"/>
      <c r="DJ2" s="494"/>
      <c r="DK2" s="494"/>
    </row>
    <row r="3" spans="1:115">
      <c r="A3" s="470">
        <f>'General information '!F6</f>
        <v>5.6500000000000002E-2</v>
      </c>
      <c r="B3" s="464">
        <f>SUM(230*A3)</f>
        <v>12.995000000000001</v>
      </c>
      <c r="C3" s="471">
        <v>44013</v>
      </c>
      <c r="D3" s="458">
        <v>31869178</v>
      </c>
      <c r="E3" s="459">
        <f>D3-D2</f>
        <v>3656</v>
      </c>
      <c r="F3" s="458">
        <v>3743721</v>
      </c>
      <c r="G3" s="460">
        <f t="shared" ref="G3:G31" si="0">F3-F2</f>
        <v>1855</v>
      </c>
      <c r="H3" s="458">
        <v>17523716</v>
      </c>
      <c r="I3" s="460">
        <f>H3-H2</f>
        <v>1774</v>
      </c>
      <c r="J3" s="458">
        <v>28528437</v>
      </c>
      <c r="K3" s="460">
        <f>J3-J2</f>
        <v>2847</v>
      </c>
      <c r="L3" s="458">
        <v>23241532</v>
      </c>
      <c r="M3" s="460">
        <f>L3-L2</f>
        <v>7896</v>
      </c>
      <c r="N3" s="461">
        <f>M3+K3+I3+G3+E3</f>
        <v>18028</v>
      </c>
      <c r="O3" s="472">
        <f t="shared" ref="O3:O9" si="1">IF(B3&gt;0,N3/B3,0)</f>
        <v>1387.3028087726047</v>
      </c>
      <c r="P3" s="458">
        <v>15689</v>
      </c>
      <c r="Q3" s="481">
        <f t="shared" ref="Q3:Q12" si="2">(P3-P2)*1000</f>
        <v>14000</v>
      </c>
      <c r="R3" s="474">
        <f>+N3-Q3</f>
        <v>4028</v>
      </c>
      <c r="S3" s="458">
        <v>8899</v>
      </c>
      <c r="T3" s="475">
        <f t="shared" ref="T3:T32" si="3">S3-S2</f>
        <v>16</v>
      </c>
      <c r="U3" s="458">
        <v>141258</v>
      </c>
      <c r="V3" s="473">
        <f>U3-U2</f>
        <v>3740</v>
      </c>
      <c r="W3" s="458">
        <v>31853</v>
      </c>
      <c r="X3" s="473">
        <f t="shared" ref="X3:X8" si="4">W3-W2</f>
        <v>0</v>
      </c>
      <c r="Y3" s="458">
        <f>Y2</f>
        <v>625865</v>
      </c>
      <c r="Z3" s="473">
        <f>Y3-Y2</f>
        <v>0</v>
      </c>
      <c r="AA3" s="458">
        <v>35228</v>
      </c>
      <c r="AB3" s="473">
        <f>AA3-AA2</f>
        <v>0</v>
      </c>
      <c r="AC3" s="458">
        <f>AC2</f>
        <v>814514</v>
      </c>
      <c r="AD3" s="476">
        <f>AC3-AC2</f>
        <v>0</v>
      </c>
      <c r="AE3" s="477">
        <f>AB3+X3+T3</f>
        <v>16</v>
      </c>
      <c r="AF3" s="458">
        <f>V3+Z3+AD3</f>
        <v>3740</v>
      </c>
      <c r="AG3" s="478">
        <f t="shared" ref="AG3:AG9" si="5">IF(AE3&gt;0,AF3/AE3,0)</f>
        <v>233.75</v>
      </c>
    </row>
    <row r="4" spans="1:115">
      <c r="A4" s="470">
        <f>'General information '!F7</f>
        <v>3.9E-2</v>
      </c>
      <c r="B4" s="464">
        <f t="shared" ref="B4:B31" si="6">SUM(230*A4)</f>
        <v>8.9700000000000006</v>
      </c>
      <c r="C4" s="471">
        <v>44014</v>
      </c>
      <c r="D4" s="458">
        <v>31873034</v>
      </c>
      <c r="E4" s="319">
        <f>D4-D3</f>
        <v>3856</v>
      </c>
      <c r="F4" s="458">
        <v>3745569</v>
      </c>
      <c r="G4" s="320">
        <f t="shared" si="0"/>
        <v>1848</v>
      </c>
      <c r="H4" s="458">
        <v>17525494</v>
      </c>
      <c r="I4" s="320">
        <f>H4-H3</f>
        <v>1778</v>
      </c>
      <c r="J4" s="458">
        <v>28531494</v>
      </c>
      <c r="K4" s="320">
        <f>J4-J3</f>
        <v>3057</v>
      </c>
      <c r="L4" s="458">
        <v>23249852</v>
      </c>
      <c r="M4" s="320">
        <f>L4-L3</f>
        <v>8320</v>
      </c>
      <c r="N4" s="318">
        <f>M4+K4+I4+G4+E4</f>
        <v>18859</v>
      </c>
      <c r="O4" s="480">
        <f t="shared" si="1"/>
        <v>2102.4526198439239</v>
      </c>
      <c r="P4" s="458">
        <v>15702</v>
      </c>
      <c r="Q4" s="481">
        <f t="shared" si="2"/>
        <v>13000</v>
      </c>
      <c r="R4" s="462">
        <f>N4-Q4</f>
        <v>5859</v>
      </c>
      <c r="S4" s="458">
        <v>8921</v>
      </c>
      <c r="T4" s="482">
        <f t="shared" si="3"/>
        <v>22</v>
      </c>
      <c r="U4" s="458">
        <v>146286</v>
      </c>
      <c r="V4" s="462">
        <f>U4-U3</f>
        <v>5028</v>
      </c>
      <c r="W4" s="458">
        <f t="shared" ref="W4:W33" si="7">W3</f>
        <v>31853</v>
      </c>
      <c r="X4" s="462">
        <f t="shared" si="4"/>
        <v>0</v>
      </c>
      <c r="Y4" s="458">
        <f t="shared" ref="Y4:AA4" si="8">Y3</f>
        <v>625865</v>
      </c>
      <c r="Z4" s="462">
        <f>Y4-Y3</f>
        <v>0</v>
      </c>
      <c r="AA4" s="458">
        <f t="shared" si="8"/>
        <v>35228</v>
      </c>
      <c r="AB4" s="483">
        <f>AA4-AA3</f>
        <v>0</v>
      </c>
      <c r="AC4" s="458">
        <f t="shared" ref="AC4" si="9">AC3</f>
        <v>814514</v>
      </c>
      <c r="AD4" s="484">
        <f>AC4-AC3</f>
        <v>0</v>
      </c>
      <c r="AE4" s="485">
        <f t="shared" ref="AE4:AE32" si="10">AB4+X4+T4</f>
        <v>22</v>
      </c>
      <c r="AF4" s="486">
        <f t="shared" ref="AF4:AF31" si="11">V4+Z4+AD4</f>
        <v>5028</v>
      </c>
      <c r="AG4" s="478">
        <f t="shared" si="5"/>
        <v>228.54545454545453</v>
      </c>
    </row>
    <row r="5" spans="1:115">
      <c r="A5" s="470">
        <f>'General information '!F8</f>
        <v>8.6999999999999994E-2</v>
      </c>
      <c r="B5" s="464">
        <f>SUM(230*A5)</f>
        <v>20.009999999999998</v>
      </c>
      <c r="C5" s="471">
        <v>44015</v>
      </c>
      <c r="D5" s="458">
        <v>31877512</v>
      </c>
      <c r="E5" s="319">
        <f t="shared" ref="E5:E32" si="12">D5-D4</f>
        <v>4478</v>
      </c>
      <c r="F5" s="458">
        <v>3747620</v>
      </c>
      <c r="G5" s="320">
        <f t="shared" si="0"/>
        <v>2051</v>
      </c>
      <c r="H5" s="458">
        <v>17527504</v>
      </c>
      <c r="I5" s="320">
        <f t="shared" ref="I5:I31" si="13">H5-H4</f>
        <v>2010</v>
      </c>
      <c r="J5" s="458">
        <v>28534602</v>
      </c>
      <c r="K5" s="320">
        <f t="shared" ref="K5:K31" si="14">J5-J4</f>
        <v>3108</v>
      </c>
      <c r="L5" s="458">
        <v>23259096</v>
      </c>
      <c r="M5" s="320">
        <f t="shared" ref="M5:M31" si="15">L5-L4</f>
        <v>9244</v>
      </c>
      <c r="N5" s="318">
        <f t="shared" ref="N5:N31" si="16">M5+K5+I5+G5+E5</f>
        <v>20891</v>
      </c>
      <c r="O5" s="480">
        <f t="shared" si="1"/>
        <v>1044.0279860069966</v>
      </c>
      <c r="P5" s="458">
        <v>15716</v>
      </c>
      <c r="Q5" s="481">
        <f>(P5-P4)*1000</f>
        <v>14000</v>
      </c>
      <c r="R5" s="462">
        <f>N5-Q5</f>
        <v>6891</v>
      </c>
      <c r="S5" s="458">
        <v>8939</v>
      </c>
      <c r="T5" s="482">
        <f t="shared" si="3"/>
        <v>18</v>
      </c>
      <c r="U5" s="458">
        <v>150883</v>
      </c>
      <c r="V5" s="462">
        <f t="shared" ref="V5:V32" si="17">U5-U4</f>
        <v>4597</v>
      </c>
      <c r="W5" s="458">
        <f>W4</f>
        <v>31853</v>
      </c>
      <c r="X5" s="462">
        <f t="shared" si="4"/>
        <v>0</v>
      </c>
      <c r="Y5" s="458">
        <f t="shared" ref="Y5" si="18">Y4</f>
        <v>625865</v>
      </c>
      <c r="Z5" s="462">
        <f>Y5-Y4</f>
        <v>0</v>
      </c>
      <c r="AA5" s="458">
        <v>35229</v>
      </c>
      <c r="AB5" s="462">
        <f t="shared" ref="AB5:AB32" si="19">AA5-AA4</f>
        <v>1</v>
      </c>
      <c r="AC5" s="458">
        <v>814845</v>
      </c>
      <c r="AD5" s="462">
        <f t="shared" ref="AD5:AD16" si="20">AC5-AC4</f>
        <v>331</v>
      </c>
      <c r="AE5" s="485">
        <f t="shared" si="10"/>
        <v>19</v>
      </c>
      <c r="AF5" s="486">
        <f t="shared" si="11"/>
        <v>4928</v>
      </c>
      <c r="AG5" s="478">
        <f t="shared" si="5"/>
        <v>259.36842105263156</v>
      </c>
      <c r="AI5" s="479">
        <f>R5-'EDl log'!B3</f>
        <v>-105299</v>
      </c>
    </row>
    <row r="6" spans="1:115">
      <c r="A6" s="470">
        <f>'General information '!F9</f>
        <v>8.6999999999999994E-2</v>
      </c>
      <c r="B6" s="464">
        <f t="shared" si="6"/>
        <v>20.009999999999998</v>
      </c>
      <c r="C6" s="471">
        <v>44016</v>
      </c>
      <c r="D6" s="458">
        <v>31881284</v>
      </c>
      <c r="E6" s="319">
        <f t="shared" si="12"/>
        <v>3772</v>
      </c>
      <c r="F6" s="458">
        <v>3749544</v>
      </c>
      <c r="G6" s="320">
        <f t="shared" si="0"/>
        <v>1924</v>
      </c>
      <c r="H6" s="458">
        <v>17529394</v>
      </c>
      <c r="I6" s="320">
        <f t="shared" si="13"/>
        <v>1890</v>
      </c>
      <c r="J6" s="458">
        <v>28536822</v>
      </c>
      <c r="K6" s="320">
        <f t="shared" si="14"/>
        <v>2220</v>
      </c>
      <c r="L6" s="458">
        <v>23267442</v>
      </c>
      <c r="M6" s="320">
        <f t="shared" si="15"/>
        <v>8346</v>
      </c>
      <c r="N6" s="318">
        <f t="shared" si="16"/>
        <v>18152</v>
      </c>
      <c r="O6" s="480">
        <f t="shared" si="1"/>
        <v>907.14642678660675</v>
      </c>
      <c r="P6" s="458">
        <v>15732</v>
      </c>
      <c r="Q6" s="462">
        <f t="shared" si="2"/>
        <v>16000</v>
      </c>
      <c r="R6" s="462">
        <f t="shared" ref="R6:R31" si="21">N6-Q6</f>
        <v>2152</v>
      </c>
      <c r="S6" s="458">
        <v>8959</v>
      </c>
      <c r="T6" s="482">
        <f t="shared" si="3"/>
        <v>20</v>
      </c>
      <c r="U6" s="458">
        <v>155326</v>
      </c>
      <c r="V6" s="462">
        <f t="shared" si="17"/>
        <v>4443</v>
      </c>
      <c r="W6" s="458">
        <f t="shared" si="7"/>
        <v>31853</v>
      </c>
      <c r="X6" s="462">
        <f t="shared" si="4"/>
        <v>0</v>
      </c>
      <c r="Y6" s="458">
        <f t="shared" ref="Y6" si="22">Y5</f>
        <v>625865</v>
      </c>
      <c r="Z6" s="462">
        <f t="shared" ref="Z6:Z30" si="23">Y6-Y5</f>
        <v>0</v>
      </c>
      <c r="AA6" s="458">
        <v>35229</v>
      </c>
      <c r="AB6" s="462">
        <f t="shared" si="19"/>
        <v>0</v>
      </c>
      <c r="AC6" s="458">
        <f t="shared" ref="AC6" si="24">AC5</f>
        <v>814845</v>
      </c>
      <c r="AD6" s="462">
        <f t="shared" si="20"/>
        <v>0</v>
      </c>
      <c r="AE6" s="485">
        <f t="shared" si="10"/>
        <v>20</v>
      </c>
      <c r="AF6" s="486">
        <f t="shared" si="11"/>
        <v>4443</v>
      </c>
      <c r="AG6" s="478">
        <f t="shared" si="5"/>
        <v>222.15</v>
      </c>
      <c r="AI6" s="479">
        <f>R6-'EDl log'!B4</f>
        <v>-111978</v>
      </c>
    </row>
    <row r="7" spans="1:115">
      <c r="A7" s="470">
        <f>'General information '!F10</f>
        <v>7.8299999999999995E-2</v>
      </c>
      <c r="B7" s="464">
        <f t="shared" si="6"/>
        <v>18.009</v>
      </c>
      <c r="C7" s="471">
        <v>44017</v>
      </c>
      <c r="D7" s="458">
        <v>31887122</v>
      </c>
      <c r="E7" s="319">
        <f t="shared" si="12"/>
        <v>5838</v>
      </c>
      <c r="F7" s="458">
        <v>3751521</v>
      </c>
      <c r="G7" s="320">
        <f t="shared" si="0"/>
        <v>1977</v>
      </c>
      <c r="H7" s="458">
        <v>17531390</v>
      </c>
      <c r="I7" s="320">
        <f t="shared" si="13"/>
        <v>1996</v>
      </c>
      <c r="J7" s="458">
        <v>28539000</v>
      </c>
      <c r="K7" s="320">
        <f t="shared" si="14"/>
        <v>2178</v>
      </c>
      <c r="L7" s="458">
        <v>23273614</v>
      </c>
      <c r="M7" s="320">
        <f t="shared" si="15"/>
        <v>6172</v>
      </c>
      <c r="N7" s="318">
        <f t="shared" si="16"/>
        <v>18161</v>
      </c>
      <c r="O7" s="480">
        <f t="shared" si="1"/>
        <v>1008.4402243322783</v>
      </c>
      <c r="P7" s="458">
        <v>15747</v>
      </c>
      <c r="Q7" s="462">
        <f t="shared" si="2"/>
        <v>15000</v>
      </c>
      <c r="R7" s="462">
        <f t="shared" si="21"/>
        <v>3161</v>
      </c>
      <c r="S7" s="458">
        <v>8971</v>
      </c>
      <c r="T7" s="482">
        <f t="shared" si="3"/>
        <v>12</v>
      </c>
      <c r="U7" s="458">
        <v>158305</v>
      </c>
      <c r="V7" s="462">
        <f t="shared" si="17"/>
        <v>2979</v>
      </c>
      <c r="W7" s="458">
        <v>31853</v>
      </c>
      <c r="X7" s="462">
        <f t="shared" si="4"/>
        <v>0</v>
      </c>
      <c r="Y7" s="458">
        <f t="shared" ref="Y7" si="25">Y6</f>
        <v>625865</v>
      </c>
      <c r="Z7" s="462">
        <f t="shared" si="23"/>
        <v>0</v>
      </c>
      <c r="AA7" s="458">
        <v>35238</v>
      </c>
      <c r="AB7" s="462">
        <f t="shared" si="19"/>
        <v>9</v>
      </c>
      <c r="AC7" s="458">
        <v>816851</v>
      </c>
      <c r="AD7" s="462">
        <f t="shared" si="20"/>
        <v>2006</v>
      </c>
      <c r="AE7" s="485">
        <f t="shared" si="10"/>
        <v>21</v>
      </c>
      <c r="AF7" s="486">
        <f t="shared" si="11"/>
        <v>4985</v>
      </c>
      <c r="AG7" s="478">
        <f t="shared" si="5"/>
        <v>237.38095238095238</v>
      </c>
      <c r="AI7" s="479">
        <f>R7-'EDl log'!B5</f>
        <v>-114241</v>
      </c>
    </row>
    <row r="8" spans="1:115">
      <c r="A8" s="470">
        <f>'General information '!F11</f>
        <v>8.2600000000000007E-2</v>
      </c>
      <c r="B8" s="464">
        <f t="shared" si="6"/>
        <v>18.998000000000001</v>
      </c>
      <c r="C8" s="471">
        <v>44018</v>
      </c>
      <c r="D8" s="458">
        <v>31892150</v>
      </c>
      <c r="E8" s="319">
        <f t="shared" si="12"/>
        <v>5028</v>
      </c>
      <c r="F8" s="458">
        <v>3753617</v>
      </c>
      <c r="G8" s="320">
        <f t="shared" si="0"/>
        <v>2096</v>
      </c>
      <c r="H8" s="458">
        <v>17533606</v>
      </c>
      <c r="I8" s="320">
        <f t="shared" si="13"/>
        <v>2216</v>
      </c>
      <c r="J8" s="458">
        <v>28541448</v>
      </c>
      <c r="K8" s="320">
        <f t="shared" si="14"/>
        <v>2448</v>
      </c>
      <c r="L8" s="458">
        <v>23282590</v>
      </c>
      <c r="M8" s="320">
        <f t="shared" si="15"/>
        <v>8976</v>
      </c>
      <c r="N8" s="318">
        <f t="shared" si="16"/>
        <v>20764</v>
      </c>
      <c r="O8" s="480">
        <f t="shared" si="1"/>
        <v>1092.9571533845667</v>
      </c>
      <c r="P8" s="458">
        <v>15765</v>
      </c>
      <c r="Q8" s="462">
        <f t="shared" si="2"/>
        <v>18000</v>
      </c>
      <c r="R8" s="462">
        <f t="shared" si="21"/>
        <v>2764</v>
      </c>
      <c r="S8" s="458">
        <v>8991</v>
      </c>
      <c r="T8" s="482">
        <f t="shared" si="3"/>
        <v>20</v>
      </c>
      <c r="U8" s="458">
        <v>162800</v>
      </c>
      <c r="V8" s="462">
        <f t="shared" si="17"/>
        <v>4495</v>
      </c>
      <c r="W8" s="458">
        <f t="shared" si="7"/>
        <v>31853</v>
      </c>
      <c r="X8" s="462">
        <f t="shared" si="4"/>
        <v>0</v>
      </c>
      <c r="Y8" s="458">
        <f t="shared" ref="Y8" si="26">Y7</f>
        <v>625865</v>
      </c>
      <c r="Z8" s="462">
        <f t="shared" si="23"/>
        <v>0</v>
      </c>
      <c r="AA8" s="458">
        <v>35240</v>
      </c>
      <c r="AB8" s="462">
        <f t="shared" si="19"/>
        <v>2</v>
      </c>
      <c r="AC8" s="458">
        <v>817378</v>
      </c>
      <c r="AD8" s="462">
        <f t="shared" si="20"/>
        <v>527</v>
      </c>
      <c r="AE8" s="485">
        <f t="shared" si="10"/>
        <v>22</v>
      </c>
      <c r="AF8" s="486">
        <f t="shared" si="11"/>
        <v>5022</v>
      </c>
      <c r="AG8" s="478">
        <f t="shared" si="5"/>
        <v>228.27272727272728</v>
      </c>
      <c r="AI8" s="479">
        <f>R8-'EDl log'!B6</f>
        <v>-118318</v>
      </c>
    </row>
    <row r="9" spans="1:115">
      <c r="A9" s="470">
        <f>'General information '!F12</f>
        <v>7.8299999999999995E-2</v>
      </c>
      <c r="B9" s="464">
        <f t="shared" si="6"/>
        <v>18.009</v>
      </c>
      <c r="C9" s="471">
        <v>44019</v>
      </c>
      <c r="D9" s="458">
        <v>31899618</v>
      </c>
      <c r="E9" s="319">
        <f t="shared" si="12"/>
        <v>7468</v>
      </c>
      <c r="F9" s="458">
        <v>3755590</v>
      </c>
      <c r="G9" s="320">
        <f t="shared" si="0"/>
        <v>1973</v>
      </c>
      <c r="H9" s="458">
        <v>17535926</v>
      </c>
      <c r="I9" s="320">
        <f t="shared" si="13"/>
        <v>2320</v>
      </c>
      <c r="J9" s="458">
        <v>28543918</v>
      </c>
      <c r="K9" s="320">
        <f t="shared" si="14"/>
        <v>2470</v>
      </c>
      <c r="L9" s="458">
        <v>23288838</v>
      </c>
      <c r="M9" s="320">
        <f t="shared" si="15"/>
        <v>6248</v>
      </c>
      <c r="N9" s="318">
        <f t="shared" si="16"/>
        <v>20479</v>
      </c>
      <c r="O9" s="480">
        <f t="shared" si="1"/>
        <v>1137.1536453995225</v>
      </c>
      <c r="P9" s="458">
        <v>15780</v>
      </c>
      <c r="Q9" s="462">
        <f t="shared" si="2"/>
        <v>15000</v>
      </c>
      <c r="R9" s="462">
        <f t="shared" si="21"/>
        <v>5479</v>
      </c>
      <c r="S9" s="458">
        <v>9001</v>
      </c>
      <c r="T9" s="482">
        <f t="shared" si="3"/>
        <v>10</v>
      </c>
      <c r="U9" s="458">
        <v>165542</v>
      </c>
      <c r="V9" s="462">
        <f t="shared" si="17"/>
        <v>2742</v>
      </c>
      <c r="W9" s="458">
        <v>31853</v>
      </c>
      <c r="X9" s="462">
        <f t="shared" ref="X9:X32" si="27">W9-W8</f>
        <v>0</v>
      </c>
      <c r="Y9" s="458">
        <f t="shared" ref="Y9" si="28">Y8</f>
        <v>625865</v>
      </c>
      <c r="Z9" s="462">
        <f t="shared" si="23"/>
        <v>0</v>
      </c>
      <c r="AA9" s="458">
        <v>35253</v>
      </c>
      <c r="AB9" s="462">
        <f t="shared" si="19"/>
        <v>13</v>
      </c>
      <c r="AC9" s="458">
        <v>820446</v>
      </c>
      <c r="AD9" s="462">
        <f t="shared" si="20"/>
        <v>3068</v>
      </c>
      <c r="AE9" s="485">
        <f t="shared" si="10"/>
        <v>23</v>
      </c>
      <c r="AF9" s="486">
        <f t="shared" si="11"/>
        <v>5810</v>
      </c>
      <c r="AG9" s="478">
        <f t="shared" si="5"/>
        <v>252.60869565217391</v>
      </c>
      <c r="AI9" s="479">
        <f>R9-'EDl log'!B7</f>
        <v>-116573</v>
      </c>
    </row>
    <row r="10" spans="1:115">
      <c r="A10" s="470">
        <f>'General information '!F13</f>
        <v>8.6999999999999994E-2</v>
      </c>
      <c r="B10" s="464">
        <f t="shared" si="6"/>
        <v>20.009999999999998</v>
      </c>
      <c r="C10" s="471">
        <v>44020</v>
      </c>
      <c r="D10" s="458">
        <v>31904808</v>
      </c>
      <c r="E10" s="319">
        <f t="shared" si="12"/>
        <v>5190</v>
      </c>
      <c r="F10" s="458">
        <v>3757737</v>
      </c>
      <c r="G10" s="320">
        <f t="shared" si="0"/>
        <v>2147</v>
      </c>
      <c r="H10" s="458">
        <v>17538322</v>
      </c>
      <c r="I10" s="320">
        <f t="shared" si="13"/>
        <v>2396</v>
      </c>
      <c r="J10" s="458">
        <v>28547484</v>
      </c>
      <c r="K10" s="320">
        <f t="shared" si="14"/>
        <v>3566</v>
      </c>
      <c r="L10" s="458">
        <v>23299082</v>
      </c>
      <c r="M10" s="320">
        <f t="shared" si="15"/>
        <v>10244</v>
      </c>
      <c r="N10" s="318">
        <f t="shared" si="16"/>
        <v>23543</v>
      </c>
      <c r="O10" s="480">
        <f t="shared" ref="O10:O32" si="29">IF(B10&gt;0,N10/B10,0)</f>
        <v>1176.5617191404299</v>
      </c>
      <c r="P10" s="458">
        <v>15795</v>
      </c>
      <c r="Q10" s="462">
        <f t="shared" si="2"/>
        <v>15000</v>
      </c>
      <c r="R10" s="462">
        <f t="shared" si="21"/>
        <v>8543</v>
      </c>
      <c r="S10" s="458">
        <v>9025</v>
      </c>
      <c r="T10" s="482">
        <f t="shared" si="3"/>
        <v>24</v>
      </c>
      <c r="U10" s="458">
        <v>171163</v>
      </c>
      <c r="V10" s="462">
        <f t="shared" si="17"/>
        <v>5621</v>
      </c>
      <c r="W10" s="458">
        <v>31853</v>
      </c>
      <c r="X10" s="462">
        <f t="shared" si="27"/>
        <v>0</v>
      </c>
      <c r="Y10" s="458">
        <v>625865</v>
      </c>
      <c r="Z10" s="462">
        <f t="shared" si="23"/>
        <v>0</v>
      </c>
      <c r="AA10" s="458">
        <v>35253</v>
      </c>
      <c r="AB10" s="462">
        <f t="shared" si="19"/>
        <v>0</v>
      </c>
      <c r="AC10" s="458">
        <v>820459</v>
      </c>
      <c r="AD10" s="462">
        <f t="shared" si="20"/>
        <v>13</v>
      </c>
      <c r="AE10" s="485">
        <f t="shared" si="10"/>
        <v>24</v>
      </c>
      <c r="AF10" s="486">
        <f t="shared" si="11"/>
        <v>5634</v>
      </c>
      <c r="AG10" s="478">
        <f t="shared" ref="AG10:AG32" si="30">IF(AE10&gt;0,AF10/AE10,0)</f>
        <v>234.75</v>
      </c>
      <c r="AI10" s="479">
        <f>R10-'EDl log'!B8</f>
        <v>-115625</v>
      </c>
    </row>
    <row r="11" spans="1:115">
      <c r="A11" s="470">
        <f>'General information '!F14</f>
        <v>0</v>
      </c>
      <c r="B11" s="464">
        <f>SUM(230*A11)</f>
        <v>0</v>
      </c>
      <c r="C11" s="471">
        <v>44021</v>
      </c>
      <c r="D11" s="458">
        <f t="shared" ref="D11:L33" si="31">D10</f>
        <v>31904808</v>
      </c>
      <c r="E11" s="319">
        <f t="shared" si="12"/>
        <v>0</v>
      </c>
      <c r="F11" s="458">
        <f t="shared" si="31"/>
        <v>3757737</v>
      </c>
      <c r="G11" s="320">
        <f t="shared" si="0"/>
        <v>0</v>
      </c>
      <c r="H11" s="458">
        <f t="shared" si="31"/>
        <v>17538322</v>
      </c>
      <c r="I11" s="320">
        <f t="shared" si="13"/>
        <v>0</v>
      </c>
      <c r="J11" s="458">
        <f t="shared" si="31"/>
        <v>28547484</v>
      </c>
      <c r="K11" s="320">
        <f t="shared" si="14"/>
        <v>0</v>
      </c>
      <c r="L11" s="458">
        <f t="shared" si="31"/>
        <v>23299082</v>
      </c>
      <c r="M11" s="320">
        <f t="shared" si="15"/>
        <v>0</v>
      </c>
      <c r="N11" s="318">
        <f>M11+K11+I11+G11+E11</f>
        <v>0</v>
      </c>
      <c r="O11" s="480">
        <f t="shared" si="29"/>
        <v>0</v>
      </c>
      <c r="P11" s="458">
        <f t="shared" ref="P11:P33" si="32">P10</f>
        <v>15795</v>
      </c>
      <c r="Q11" s="462">
        <f t="shared" si="2"/>
        <v>0</v>
      </c>
      <c r="R11" s="462">
        <f t="shared" si="21"/>
        <v>0</v>
      </c>
      <c r="S11" s="458">
        <f t="shared" ref="S11:S33" si="33">S10</f>
        <v>9025</v>
      </c>
      <c r="T11" s="482">
        <f t="shared" si="3"/>
        <v>0</v>
      </c>
      <c r="U11" s="458">
        <f t="shared" ref="U11:U33" si="34">U10</f>
        <v>171163</v>
      </c>
      <c r="V11" s="462">
        <f t="shared" si="17"/>
        <v>0</v>
      </c>
      <c r="W11" s="458">
        <v>31853</v>
      </c>
      <c r="X11" s="462">
        <f t="shared" si="27"/>
        <v>0</v>
      </c>
      <c r="Y11" s="458">
        <f t="shared" ref="Y11:AA11" si="35">Y10</f>
        <v>625865</v>
      </c>
      <c r="Z11" s="462">
        <f t="shared" si="23"/>
        <v>0</v>
      </c>
      <c r="AA11" s="458">
        <f t="shared" si="35"/>
        <v>35253</v>
      </c>
      <c r="AB11" s="462">
        <f t="shared" si="19"/>
        <v>0</v>
      </c>
      <c r="AC11" s="458">
        <f t="shared" ref="AC11" si="36">AC10</f>
        <v>820459</v>
      </c>
      <c r="AD11" s="462">
        <f t="shared" si="20"/>
        <v>0</v>
      </c>
      <c r="AE11" s="485">
        <f t="shared" si="10"/>
        <v>0</v>
      </c>
      <c r="AF11" s="486">
        <f t="shared" si="11"/>
        <v>0</v>
      </c>
      <c r="AG11" s="478">
        <f t="shared" si="30"/>
        <v>0</v>
      </c>
      <c r="AI11" s="479">
        <f>R11-'EDl log'!B9</f>
        <v>-125693</v>
      </c>
    </row>
    <row r="12" spans="1:115">
      <c r="A12" s="470">
        <f>'General information '!F15</f>
        <v>0</v>
      </c>
      <c r="B12" s="464">
        <f t="shared" si="6"/>
        <v>0</v>
      </c>
      <c r="C12" s="471">
        <v>44022</v>
      </c>
      <c r="D12" s="458">
        <f t="shared" si="31"/>
        <v>31904808</v>
      </c>
      <c r="E12" s="319">
        <f t="shared" si="12"/>
        <v>0</v>
      </c>
      <c r="F12" s="458">
        <f t="shared" si="31"/>
        <v>3757737</v>
      </c>
      <c r="G12" s="320">
        <f t="shared" si="0"/>
        <v>0</v>
      </c>
      <c r="H12" s="458">
        <f t="shared" si="31"/>
        <v>17538322</v>
      </c>
      <c r="I12" s="320">
        <f t="shared" si="13"/>
        <v>0</v>
      </c>
      <c r="J12" s="458">
        <f t="shared" si="31"/>
        <v>28547484</v>
      </c>
      <c r="K12" s="320">
        <f t="shared" si="14"/>
        <v>0</v>
      </c>
      <c r="L12" s="458">
        <f t="shared" si="31"/>
        <v>23299082</v>
      </c>
      <c r="M12" s="320">
        <f t="shared" si="15"/>
        <v>0</v>
      </c>
      <c r="N12" s="318">
        <f>M12+K12+I12+G12+E12</f>
        <v>0</v>
      </c>
      <c r="O12" s="480">
        <f t="shared" si="29"/>
        <v>0</v>
      </c>
      <c r="P12" s="458">
        <f t="shared" si="32"/>
        <v>15795</v>
      </c>
      <c r="Q12" s="462">
        <f t="shared" si="2"/>
        <v>0</v>
      </c>
      <c r="R12" s="462">
        <f t="shared" si="21"/>
        <v>0</v>
      </c>
      <c r="S12" s="458">
        <f t="shared" si="33"/>
        <v>9025</v>
      </c>
      <c r="T12" s="482">
        <f t="shared" si="3"/>
        <v>0</v>
      </c>
      <c r="U12" s="458">
        <f t="shared" si="34"/>
        <v>171163</v>
      </c>
      <c r="V12" s="462">
        <f t="shared" si="17"/>
        <v>0</v>
      </c>
      <c r="W12" s="458">
        <v>31853</v>
      </c>
      <c r="X12" s="462">
        <f t="shared" si="27"/>
        <v>0</v>
      </c>
      <c r="Y12" s="458">
        <f t="shared" ref="Y12:AA12" si="37">Y11</f>
        <v>625865</v>
      </c>
      <c r="Z12" s="462">
        <f t="shared" si="23"/>
        <v>0</v>
      </c>
      <c r="AA12" s="458">
        <f t="shared" si="37"/>
        <v>35253</v>
      </c>
      <c r="AB12" s="462">
        <f t="shared" si="19"/>
        <v>0</v>
      </c>
      <c r="AC12" s="458">
        <f t="shared" ref="AC12" si="38">AC11</f>
        <v>820459</v>
      </c>
      <c r="AD12" s="462">
        <f t="shared" si="20"/>
        <v>0</v>
      </c>
      <c r="AE12" s="485">
        <f t="shared" si="10"/>
        <v>0</v>
      </c>
      <c r="AF12" s="486">
        <f t="shared" si="11"/>
        <v>0</v>
      </c>
      <c r="AG12" s="478">
        <f t="shared" si="30"/>
        <v>0</v>
      </c>
      <c r="AI12" s="479">
        <f>R12-'EDl log'!B10</f>
        <v>-125693</v>
      </c>
    </row>
    <row r="13" spans="1:115">
      <c r="A13" s="470">
        <f>'General information '!F16</f>
        <v>0</v>
      </c>
      <c r="B13" s="464">
        <f t="shared" si="6"/>
        <v>0</v>
      </c>
      <c r="C13" s="471">
        <v>44023</v>
      </c>
      <c r="D13" s="458">
        <f t="shared" si="31"/>
        <v>31904808</v>
      </c>
      <c r="E13" s="319">
        <f t="shared" si="12"/>
        <v>0</v>
      </c>
      <c r="F13" s="458">
        <f t="shared" si="31"/>
        <v>3757737</v>
      </c>
      <c r="G13" s="320">
        <f t="shared" si="0"/>
        <v>0</v>
      </c>
      <c r="H13" s="458">
        <f t="shared" si="31"/>
        <v>17538322</v>
      </c>
      <c r="I13" s="320">
        <f t="shared" si="13"/>
        <v>0</v>
      </c>
      <c r="J13" s="458">
        <f t="shared" si="31"/>
        <v>28547484</v>
      </c>
      <c r="K13" s="320">
        <f t="shared" si="14"/>
        <v>0</v>
      </c>
      <c r="L13" s="458">
        <f t="shared" si="31"/>
        <v>23299082</v>
      </c>
      <c r="M13" s="320">
        <f t="shared" si="15"/>
        <v>0</v>
      </c>
      <c r="N13" s="318">
        <f t="shared" si="16"/>
        <v>0</v>
      </c>
      <c r="O13" s="480">
        <f t="shared" si="29"/>
        <v>0</v>
      </c>
      <c r="P13" s="458">
        <f t="shared" si="32"/>
        <v>15795</v>
      </c>
      <c r="Q13" s="462">
        <f t="shared" ref="Q13:Q31" si="39">(P13-P12)*1000</f>
        <v>0</v>
      </c>
      <c r="R13" s="462">
        <f t="shared" si="21"/>
        <v>0</v>
      </c>
      <c r="S13" s="458">
        <f t="shared" si="33"/>
        <v>9025</v>
      </c>
      <c r="T13" s="482">
        <f t="shared" si="3"/>
        <v>0</v>
      </c>
      <c r="U13" s="458">
        <f t="shared" si="34"/>
        <v>171163</v>
      </c>
      <c r="V13" s="462">
        <f t="shared" si="17"/>
        <v>0</v>
      </c>
      <c r="W13" s="458">
        <v>31853</v>
      </c>
      <c r="X13" s="462">
        <f t="shared" si="27"/>
        <v>0</v>
      </c>
      <c r="Y13" s="458">
        <f t="shared" ref="Y13:AA13" si="40">Y12</f>
        <v>625865</v>
      </c>
      <c r="Z13" s="462">
        <f t="shared" si="23"/>
        <v>0</v>
      </c>
      <c r="AA13" s="458">
        <f t="shared" si="40"/>
        <v>35253</v>
      </c>
      <c r="AB13" s="462">
        <f t="shared" si="19"/>
        <v>0</v>
      </c>
      <c r="AC13" s="458">
        <f t="shared" ref="AC13" si="41">AC12</f>
        <v>820459</v>
      </c>
      <c r="AD13" s="462">
        <f t="shared" si="20"/>
        <v>0</v>
      </c>
      <c r="AE13" s="485">
        <f t="shared" si="10"/>
        <v>0</v>
      </c>
      <c r="AF13" s="486">
        <f t="shared" si="11"/>
        <v>0</v>
      </c>
      <c r="AG13" s="478">
        <f t="shared" si="30"/>
        <v>0</v>
      </c>
      <c r="AI13" s="479">
        <f>R13-'EDl log'!B11</f>
        <v>-125693</v>
      </c>
    </row>
    <row r="14" spans="1:115">
      <c r="A14" s="470">
        <f>'General information '!F17</f>
        <v>0</v>
      </c>
      <c r="B14" s="464">
        <f t="shared" si="6"/>
        <v>0</v>
      </c>
      <c r="C14" s="471">
        <v>44024</v>
      </c>
      <c r="D14" s="458">
        <f t="shared" si="31"/>
        <v>31904808</v>
      </c>
      <c r="E14" s="319">
        <f t="shared" si="12"/>
        <v>0</v>
      </c>
      <c r="F14" s="458">
        <f t="shared" si="31"/>
        <v>3757737</v>
      </c>
      <c r="G14" s="320">
        <f t="shared" si="0"/>
        <v>0</v>
      </c>
      <c r="H14" s="458">
        <f t="shared" si="31"/>
        <v>17538322</v>
      </c>
      <c r="I14" s="320">
        <f t="shared" si="13"/>
        <v>0</v>
      </c>
      <c r="J14" s="458">
        <f t="shared" si="31"/>
        <v>28547484</v>
      </c>
      <c r="K14" s="320">
        <f t="shared" si="14"/>
        <v>0</v>
      </c>
      <c r="L14" s="458">
        <f t="shared" si="31"/>
        <v>23299082</v>
      </c>
      <c r="M14" s="320">
        <f t="shared" si="15"/>
        <v>0</v>
      </c>
      <c r="N14" s="318">
        <f t="shared" si="16"/>
        <v>0</v>
      </c>
      <c r="O14" s="480">
        <f t="shared" si="29"/>
        <v>0</v>
      </c>
      <c r="P14" s="458">
        <f t="shared" si="32"/>
        <v>15795</v>
      </c>
      <c r="Q14" s="462">
        <f t="shared" si="39"/>
        <v>0</v>
      </c>
      <c r="R14" s="462">
        <f t="shared" si="21"/>
        <v>0</v>
      </c>
      <c r="S14" s="458">
        <f t="shared" si="33"/>
        <v>9025</v>
      </c>
      <c r="T14" s="482">
        <f t="shared" si="3"/>
        <v>0</v>
      </c>
      <c r="U14" s="458">
        <f t="shared" si="34"/>
        <v>171163</v>
      </c>
      <c r="V14" s="462">
        <f t="shared" si="17"/>
        <v>0</v>
      </c>
      <c r="W14" s="458">
        <f t="shared" si="7"/>
        <v>31853</v>
      </c>
      <c r="X14" s="462">
        <f t="shared" si="27"/>
        <v>0</v>
      </c>
      <c r="Y14" s="458">
        <f t="shared" ref="Y14:AA14" si="42">Y13</f>
        <v>625865</v>
      </c>
      <c r="Z14" s="462">
        <f t="shared" si="23"/>
        <v>0</v>
      </c>
      <c r="AA14" s="458">
        <f t="shared" si="42"/>
        <v>35253</v>
      </c>
      <c r="AB14" s="462">
        <f t="shared" si="19"/>
        <v>0</v>
      </c>
      <c r="AC14" s="458">
        <f t="shared" ref="AC14" si="43">AC13</f>
        <v>820459</v>
      </c>
      <c r="AD14" s="462">
        <f t="shared" si="20"/>
        <v>0</v>
      </c>
      <c r="AE14" s="485">
        <f t="shared" si="10"/>
        <v>0</v>
      </c>
      <c r="AF14" s="486">
        <f t="shared" si="11"/>
        <v>0</v>
      </c>
      <c r="AG14" s="478">
        <f t="shared" si="30"/>
        <v>0</v>
      </c>
      <c r="AI14" s="479">
        <f>R14-'EDl log'!B12</f>
        <v>-125693</v>
      </c>
    </row>
    <row r="15" spans="1:115">
      <c r="A15" s="470">
        <f>'General information '!F18</f>
        <v>0</v>
      </c>
      <c r="B15" s="464">
        <f t="shared" si="6"/>
        <v>0</v>
      </c>
      <c r="C15" s="471">
        <v>44025</v>
      </c>
      <c r="D15" s="458">
        <f t="shared" si="31"/>
        <v>31904808</v>
      </c>
      <c r="E15" s="319">
        <f t="shared" si="12"/>
        <v>0</v>
      </c>
      <c r="F15" s="458">
        <f t="shared" si="31"/>
        <v>3757737</v>
      </c>
      <c r="G15" s="320">
        <f t="shared" si="0"/>
        <v>0</v>
      </c>
      <c r="H15" s="458">
        <f t="shared" si="31"/>
        <v>17538322</v>
      </c>
      <c r="I15" s="320">
        <f t="shared" si="13"/>
        <v>0</v>
      </c>
      <c r="J15" s="458">
        <f t="shared" si="31"/>
        <v>28547484</v>
      </c>
      <c r="K15" s="320">
        <f t="shared" si="14"/>
        <v>0</v>
      </c>
      <c r="L15" s="458">
        <f t="shared" si="31"/>
        <v>23299082</v>
      </c>
      <c r="M15" s="320">
        <f t="shared" si="15"/>
        <v>0</v>
      </c>
      <c r="N15" s="318">
        <f t="shared" si="16"/>
        <v>0</v>
      </c>
      <c r="O15" s="480">
        <f t="shared" si="29"/>
        <v>0</v>
      </c>
      <c r="P15" s="458">
        <f t="shared" si="32"/>
        <v>15795</v>
      </c>
      <c r="Q15" s="462">
        <f>(P15-P14)*1000</f>
        <v>0</v>
      </c>
      <c r="R15" s="462">
        <f t="shared" si="21"/>
        <v>0</v>
      </c>
      <c r="S15" s="458">
        <f t="shared" si="33"/>
        <v>9025</v>
      </c>
      <c r="T15" s="482">
        <f t="shared" si="3"/>
        <v>0</v>
      </c>
      <c r="U15" s="458">
        <f t="shared" si="34"/>
        <v>171163</v>
      </c>
      <c r="V15" s="462">
        <f t="shared" si="17"/>
        <v>0</v>
      </c>
      <c r="W15" s="458">
        <f t="shared" si="7"/>
        <v>31853</v>
      </c>
      <c r="X15" s="462">
        <f t="shared" si="27"/>
        <v>0</v>
      </c>
      <c r="Y15" s="458">
        <f t="shared" ref="Y15:AA15" si="44">Y14</f>
        <v>625865</v>
      </c>
      <c r="Z15" s="462">
        <f t="shared" si="23"/>
        <v>0</v>
      </c>
      <c r="AA15" s="458">
        <f t="shared" si="44"/>
        <v>35253</v>
      </c>
      <c r="AB15" s="462">
        <f t="shared" si="19"/>
        <v>0</v>
      </c>
      <c r="AC15" s="458">
        <f t="shared" ref="AC15" si="45">AC14</f>
        <v>820459</v>
      </c>
      <c r="AD15" s="462">
        <f t="shared" si="20"/>
        <v>0</v>
      </c>
      <c r="AE15" s="485">
        <f t="shared" si="10"/>
        <v>0</v>
      </c>
      <c r="AF15" s="486">
        <f t="shared" si="11"/>
        <v>0</v>
      </c>
      <c r="AG15" s="478">
        <f t="shared" si="30"/>
        <v>0</v>
      </c>
      <c r="AI15" s="479">
        <f>R15-'EDl log'!B13</f>
        <v>-125693</v>
      </c>
    </row>
    <row r="16" spans="1:115">
      <c r="A16" s="470">
        <f>'General information '!F19</f>
        <v>0</v>
      </c>
      <c r="B16" s="464">
        <f t="shared" si="6"/>
        <v>0</v>
      </c>
      <c r="C16" s="471">
        <v>44026</v>
      </c>
      <c r="D16" s="458">
        <f t="shared" si="31"/>
        <v>31904808</v>
      </c>
      <c r="E16" s="319">
        <f t="shared" si="12"/>
        <v>0</v>
      </c>
      <c r="F16" s="458">
        <f t="shared" si="31"/>
        <v>3757737</v>
      </c>
      <c r="G16" s="320">
        <f t="shared" si="0"/>
        <v>0</v>
      </c>
      <c r="H16" s="458">
        <f t="shared" si="31"/>
        <v>17538322</v>
      </c>
      <c r="I16" s="320">
        <f t="shared" si="13"/>
        <v>0</v>
      </c>
      <c r="J16" s="458">
        <f t="shared" si="31"/>
        <v>28547484</v>
      </c>
      <c r="K16" s="320">
        <f t="shared" si="14"/>
        <v>0</v>
      </c>
      <c r="L16" s="458">
        <f t="shared" si="31"/>
        <v>23299082</v>
      </c>
      <c r="M16" s="320">
        <f t="shared" si="15"/>
        <v>0</v>
      </c>
      <c r="N16" s="318">
        <f t="shared" si="16"/>
        <v>0</v>
      </c>
      <c r="O16" s="480">
        <f t="shared" si="29"/>
        <v>0</v>
      </c>
      <c r="P16" s="458">
        <f t="shared" si="32"/>
        <v>15795</v>
      </c>
      <c r="Q16" s="462">
        <f>(P16-P15)*1000</f>
        <v>0</v>
      </c>
      <c r="R16" s="462">
        <f t="shared" si="21"/>
        <v>0</v>
      </c>
      <c r="S16" s="458">
        <f t="shared" si="33"/>
        <v>9025</v>
      </c>
      <c r="T16" s="482">
        <f t="shared" si="3"/>
        <v>0</v>
      </c>
      <c r="U16" s="458">
        <f t="shared" si="34"/>
        <v>171163</v>
      </c>
      <c r="V16" s="462">
        <f t="shared" si="17"/>
        <v>0</v>
      </c>
      <c r="W16" s="458">
        <f t="shared" si="7"/>
        <v>31853</v>
      </c>
      <c r="X16" s="462">
        <f>W16-W15</f>
        <v>0</v>
      </c>
      <c r="Y16" s="458">
        <f t="shared" ref="Y16:AA16" si="46">Y15</f>
        <v>625865</v>
      </c>
      <c r="Z16" s="462">
        <f>Y16-Y15</f>
        <v>0</v>
      </c>
      <c r="AA16" s="458">
        <f t="shared" si="46"/>
        <v>35253</v>
      </c>
      <c r="AB16" s="462">
        <f>AA16-AA15</f>
        <v>0</v>
      </c>
      <c r="AC16" s="458">
        <f t="shared" ref="AC16" si="47">AC15</f>
        <v>820459</v>
      </c>
      <c r="AD16" s="462">
        <f t="shared" si="20"/>
        <v>0</v>
      </c>
      <c r="AE16" s="485">
        <f t="shared" si="10"/>
        <v>0</v>
      </c>
      <c r="AF16" s="486">
        <f t="shared" si="11"/>
        <v>0</v>
      </c>
      <c r="AG16" s="478">
        <f t="shared" si="30"/>
        <v>0</v>
      </c>
      <c r="AI16" s="479">
        <f>R16-'EDl log'!B14</f>
        <v>-125693</v>
      </c>
    </row>
    <row r="17" spans="1:35">
      <c r="A17" s="470">
        <f>'General information '!F20</f>
        <v>0</v>
      </c>
      <c r="B17" s="464">
        <f t="shared" si="6"/>
        <v>0</v>
      </c>
      <c r="C17" s="471">
        <v>44027</v>
      </c>
      <c r="D17" s="458">
        <f t="shared" si="31"/>
        <v>31904808</v>
      </c>
      <c r="E17" s="319">
        <f t="shared" si="12"/>
        <v>0</v>
      </c>
      <c r="F17" s="458">
        <f t="shared" si="31"/>
        <v>3757737</v>
      </c>
      <c r="G17" s="320">
        <f t="shared" si="0"/>
        <v>0</v>
      </c>
      <c r="H17" s="458">
        <f t="shared" si="31"/>
        <v>17538322</v>
      </c>
      <c r="I17" s="320">
        <f t="shared" si="13"/>
        <v>0</v>
      </c>
      <c r="J17" s="458">
        <f t="shared" si="31"/>
        <v>28547484</v>
      </c>
      <c r="K17" s="320">
        <f t="shared" si="14"/>
        <v>0</v>
      </c>
      <c r="L17" s="458">
        <f t="shared" si="31"/>
        <v>23299082</v>
      </c>
      <c r="M17" s="320">
        <f t="shared" si="15"/>
        <v>0</v>
      </c>
      <c r="N17" s="318">
        <f t="shared" si="16"/>
        <v>0</v>
      </c>
      <c r="O17" s="480">
        <f t="shared" si="29"/>
        <v>0</v>
      </c>
      <c r="P17" s="458">
        <f t="shared" si="32"/>
        <v>15795</v>
      </c>
      <c r="Q17" s="462">
        <f t="shared" si="39"/>
        <v>0</v>
      </c>
      <c r="R17" s="462">
        <f t="shared" si="21"/>
        <v>0</v>
      </c>
      <c r="S17" s="458">
        <f t="shared" si="33"/>
        <v>9025</v>
      </c>
      <c r="T17" s="482">
        <f t="shared" si="3"/>
        <v>0</v>
      </c>
      <c r="U17" s="458">
        <f t="shared" si="34"/>
        <v>171163</v>
      </c>
      <c r="V17" s="462">
        <f t="shared" si="17"/>
        <v>0</v>
      </c>
      <c r="W17" s="458">
        <f t="shared" si="7"/>
        <v>31853</v>
      </c>
      <c r="X17" s="462">
        <f t="shared" si="27"/>
        <v>0</v>
      </c>
      <c r="Y17" s="458">
        <f t="shared" ref="Y17:AA17" si="48">Y16</f>
        <v>625865</v>
      </c>
      <c r="Z17" s="462">
        <f t="shared" si="23"/>
        <v>0</v>
      </c>
      <c r="AA17" s="458">
        <f t="shared" si="48"/>
        <v>35253</v>
      </c>
      <c r="AB17" s="462">
        <f t="shared" si="19"/>
        <v>0</v>
      </c>
      <c r="AC17" s="458">
        <f t="shared" ref="AC17" si="49">AC16</f>
        <v>820459</v>
      </c>
      <c r="AD17" s="462">
        <f t="shared" ref="AD17:AD32" si="50">AC17-AC16</f>
        <v>0</v>
      </c>
      <c r="AE17" s="485">
        <f t="shared" si="10"/>
        <v>0</v>
      </c>
      <c r="AF17" s="486">
        <f t="shared" si="11"/>
        <v>0</v>
      </c>
      <c r="AG17" s="478">
        <f t="shared" si="30"/>
        <v>0</v>
      </c>
      <c r="AI17" s="479">
        <f>R17-'EDl log'!B15</f>
        <v>-125693</v>
      </c>
    </row>
    <row r="18" spans="1:35">
      <c r="A18" s="470">
        <f>'General information '!F21</f>
        <v>0</v>
      </c>
      <c r="B18" s="464">
        <f t="shared" si="6"/>
        <v>0</v>
      </c>
      <c r="C18" s="471">
        <v>44028</v>
      </c>
      <c r="D18" s="458">
        <f t="shared" si="31"/>
        <v>31904808</v>
      </c>
      <c r="E18" s="319">
        <f t="shared" si="12"/>
        <v>0</v>
      </c>
      <c r="F18" s="458">
        <f t="shared" si="31"/>
        <v>3757737</v>
      </c>
      <c r="G18" s="320">
        <f t="shared" si="0"/>
        <v>0</v>
      </c>
      <c r="H18" s="458">
        <f t="shared" si="31"/>
        <v>17538322</v>
      </c>
      <c r="I18" s="320">
        <f t="shared" si="13"/>
        <v>0</v>
      </c>
      <c r="J18" s="458">
        <f t="shared" si="31"/>
        <v>28547484</v>
      </c>
      <c r="K18" s="320">
        <f t="shared" si="14"/>
        <v>0</v>
      </c>
      <c r="L18" s="458">
        <f t="shared" si="31"/>
        <v>23299082</v>
      </c>
      <c r="M18" s="320">
        <f t="shared" si="15"/>
        <v>0</v>
      </c>
      <c r="N18" s="318">
        <f t="shared" si="16"/>
        <v>0</v>
      </c>
      <c r="O18" s="480">
        <f t="shared" si="29"/>
        <v>0</v>
      </c>
      <c r="P18" s="458">
        <f t="shared" si="32"/>
        <v>15795</v>
      </c>
      <c r="Q18" s="462">
        <f t="shared" si="39"/>
        <v>0</v>
      </c>
      <c r="R18" s="462">
        <f t="shared" si="21"/>
        <v>0</v>
      </c>
      <c r="S18" s="458">
        <f t="shared" si="33"/>
        <v>9025</v>
      </c>
      <c r="T18" s="482">
        <f t="shared" si="3"/>
        <v>0</v>
      </c>
      <c r="U18" s="458">
        <f t="shared" si="34"/>
        <v>171163</v>
      </c>
      <c r="V18" s="462">
        <f t="shared" si="17"/>
        <v>0</v>
      </c>
      <c r="W18" s="458">
        <f t="shared" si="7"/>
        <v>31853</v>
      </c>
      <c r="X18" s="462">
        <f t="shared" si="27"/>
        <v>0</v>
      </c>
      <c r="Y18" s="458">
        <f t="shared" ref="Y18:AA18" si="51">Y17</f>
        <v>625865</v>
      </c>
      <c r="Z18" s="462">
        <f t="shared" si="23"/>
        <v>0</v>
      </c>
      <c r="AA18" s="458">
        <f t="shared" si="51"/>
        <v>35253</v>
      </c>
      <c r="AB18" s="462">
        <f t="shared" si="19"/>
        <v>0</v>
      </c>
      <c r="AC18" s="458">
        <f t="shared" ref="AC18" si="52">AC17</f>
        <v>820459</v>
      </c>
      <c r="AD18" s="462">
        <f t="shared" si="50"/>
        <v>0</v>
      </c>
      <c r="AE18" s="485">
        <f t="shared" si="10"/>
        <v>0</v>
      </c>
      <c r="AF18" s="486">
        <f t="shared" si="11"/>
        <v>0</v>
      </c>
      <c r="AG18" s="478">
        <f t="shared" si="30"/>
        <v>0</v>
      </c>
      <c r="AI18" s="479">
        <f>R18-'EDl log'!B16</f>
        <v>-125693</v>
      </c>
    </row>
    <row r="19" spans="1:35">
      <c r="A19" s="470">
        <f>'General information '!F22</f>
        <v>0</v>
      </c>
      <c r="B19" s="464">
        <f t="shared" si="6"/>
        <v>0</v>
      </c>
      <c r="C19" s="471">
        <v>44029</v>
      </c>
      <c r="D19" s="458">
        <f t="shared" si="31"/>
        <v>31904808</v>
      </c>
      <c r="E19" s="319">
        <f t="shared" si="12"/>
        <v>0</v>
      </c>
      <c r="F19" s="458">
        <f t="shared" si="31"/>
        <v>3757737</v>
      </c>
      <c r="G19" s="320">
        <f t="shared" si="0"/>
        <v>0</v>
      </c>
      <c r="H19" s="458">
        <f t="shared" si="31"/>
        <v>17538322</v>
      </c>
      <c r="I19" s="320">
        <f t="shared" si="13"/>
        <v>0</v>
      </c>
      <c r="J19" s="458">
        <f t="shared" si="31"/>
        <v>28547484</v>
      </c>
      <c r="K19" s="320">
        <f t="shared" si="14"/>
        <v>0</v>
      </c>
      <c r="L19" s="458">
        <f t="shared" si="31"/>
        <v>23299082</v>
      </c>
      <c r="M19" s="320">
        <f t="shared" si="15"/>
        <v>0</v>
      </c>
      <c r="N19" s="318">
        <f t="shared" si="16"/>
        <v>0</v>
      </c>
      <c r="O19" s="480">
        <f t="shared" si="29"/>
        <v>0</v>
      </c>
      <c r="P19" s="458">
        <f t="shared" si="32"/>
        <v>15795</v>
      </c>
      <c r="Q19" s="462">
        <f>(P19-P18)*1000</f>
        <v>0</v>
      </c>
      <c r="R19" s="462">
        <f t="shared" si="21"/>
        <v>0</v>
      </c>
      <c r="S19" s="458">
        <f t="shared" si="33"/>
        <v>9025</v>
      </c>
      <c r="T19" s="482">
        <f t="shared" si="3"/>
        <v>0</v>
      </c>
      <c r="U19" s="458">
        <f t="shared" si="34"/>
        <v>171163</v>
      </c>
      <c r="V19" s="462">
        <f t="shared" si="17"/>
        <v>0</v>
      </c>
      <c r="W19" s="458">
        <f t="shared" si="7"/>
        <v>31853</v>
      </c>
      <c r="X19" s="462">
        <f t="shared" si="27"/>
        <v>0</v>
      </c>
      <c r="Y19" s="458">
        <f t="shared" ref="Y19:AA19" si="53">Y18</f>
        <v>625865</v>
      </c>
      <c r="Z19" s="462">
        <f t="shared" si="23"/>
        <v>0</v>
      </c>
      <c r="AA19" s="458">
        <f t="shared" si="53"/>
        <v>35253</v>
      </c>
      <c r="AB19" s="462">
        <f t="shared" si="19"/>
        <v>0</v>
      </c>
      <c r="AC19" s="458">
        <f t="shared" ref="AC19" si="54">AC18</f>
        <v>820459</v>
      </c>
      <c r="AD19" s="462">
        <f t="shared" si="50"/>
        <v>0</v>
      </c>
      <c r="AE19" s="485">
        <f t="shared" si="10"/>
        <v>0</v>
      </c>
      <c r="AF19" s="486">
        <f t="shared" si="11"/>
        <v>0</v>
      </c>
      <c r="AG19" s="478">
        <f t="shared" si="30"/>
        <v>0</v>
      </c>
      <c r="AI19" s="479">
        <f>R19-'EDl log'!B17</f>
        <v>-125693</v>
      </c>
    </row>
    <row r="20" spans="1:35">
      <c r="A20" s="470">
        <f>'General information '!F23</f>
        <v>0</v>
      </c>
      <c r="B20" s="464">
        <f t="shared" si="6"/>
        <v>0</v>
      </c>
      <c r="C20" s="471">
        <v>44030</v>
      </c>
      <c r="D20" s="458">
        <f t="shared" si="31"/>
        <v>31904808</v>
      </c>
      <c r="E20" s="319">
        <f t="shared" si="12"/>
        <v>0</v>
      </c>
      <c r="F20" s="458">
        <f t="shared" si="31"/>
        <v>3757737</v>
      </c>
      <c r="G20" s="320">
        <f t="shared" si="0"/>
        <v>0</v>
      </c>
      <c r="H20" s="458">
        <f t="shared" si="31"/>
        <v>17538322</v>
      </c>
      <c r="I20" s="320">
        <f t="shared" si="13"/>
        <v>0</v>
      </c>
      <c r="J20" s="458">
        <f t="shared" si="31"/>
        <v>28547484</v>
      </c>
      <c r="K20" s="320">
        <f t="shared" si="14"/>
        <v>0</v>
      </c>
      <c r="L20" s="458">
        <f t="shared" si="31"/>
        <v>23299082</v>
      </c>
      <c r="M20" s="320">
        <f t="shared" si="15"/>
        <v>0</v>
      </c>
      <c r="N20" s="318">
        <f t="shared" si="16"/>
        <v>0</v>
      </c>
      <c r="O20" s="480">
        <f t="shared" si="29"/>
        <v>0</v>
      </c>
      <c r="P20" s="458">
        <f t="shared" si="32"/>
        <v>15795</v>
      </c>
      <c r="Q20" s="462">
        <f t="shared" si="39"/>
        <v>0</v>
      </c>
      <c r="R20" s="462">
        <f t="shared" si="21"/>
        <v>0</v>
      </c>
      <c r="S20" s="458">
        <f t="shared" si="33"/>
        <v>9025</v>
      </c>
      <c r="T20" s="482">
        <f t="shared" si="3"/>
        <v>0</v>
      </c>
      <c r="U20" s="458">
        <f t="shared" si="34"/>
        <v>171163</v>
      </c>
      <c r="V20" s="462">
        <f t="shared" si="17"/>
        <v>0</v>
      </c>
      <c r="W20" s="458">
        <v>31853</v>
      </c>
      <c r="X20" s="462">
        <f t="shared" si="27"/>
        <v>0</v>
      </c>
      <c r="Y20" s="458">
        <f t="shared" ref="Y20:AA20" si="55">Y19</f>
        <v>625865</v>
      </c>
      <c r="Z20" s="462">
        <f t="shared" si="23"/>
        <v>0</v>
      </c>
      <c r="AA20" s="458">
        <f t="shared" si="55"/>
        <v>35253</v>
      </c>
      <c r="AB20" s="462">
        <f t="shared" si="19"/>
        <v>0</v>
      </c>
      <c r="AC20" s="458">
        <f t="shared" ref="AC20" si="56">AC19</f>
        <v>820459</v>
      </c>
      <c r="AD20" s="462">
        <f t="shared" si="50"/>
        <v>0</v>
      </c>
      <c r="AE20" s="485">
        <f t="shared" si="10"/>
        <v>0</v>
      </c>
      <c r="AF20" s="486">
        <f t="shared" si="11"/>
        <v>0</v>
      </c>
      <c r="AG20" s="478">
        <f t="shared" si="30"/>
        <v>0</v>
      </c>
      <c r="AI20" s="479">
        <f>R20-'EDl log'!B18</f>
        <v>-125693</v>
      </c>
    </row>
    <row r="21" spans="1:35">
      <c r="A21" s="470">
        <f>'General information '!F24</f>
        <v>0</v>
      </c>
      <c r="B21" s="464">
        <f t="shared" si="6"/>
        <v>0</v>
      </c>
      <c r="C21" s="471">
        <v>44031</v>
      </c>
      <c r="D21" s="458">
        <f t="shared" si="31"/>
        <v>31904808</v>
      </c>
      <c r="E21" s="319">
        <f t="shared" si="12"/>
        <v>0</v>
      </c>
      <c r="F21" s="458">
        <f t="shared" si="31"/>
        <v>3757737</v>
      </c>
      <c r="G21" s="320">
        <f t="shared" si="0"/>
        <v>0</v>
      </c>
      <c r="H21" s="458">
        <f t="shared" si="31"/>
        <v>17538322</v>
      </c>
      <c r="I21" s="320">
        <f t="shared" si="13"/>
        <v>0</v>
      </c>
      <c r="J21" s="458">
        <f t="shared" si="31"/>
        <v>28547484</v>
      </c>
      <c r="K21" s="320">
        <f t="shared" si="14"/>
        <v>0</v>
      </c>
      <c r="L21" s="458">
        <f t="shared" si="31"/>
        <v>23299082</v>
      </c>
      <c r="M21" s="320">
        <f t="shared" si="15"/>
        <v>0</v>
      </c>
      <c r="N21" s="318">
        <f t="shared" si="16"/>
        <v>0</v>
      </c>
      <c r="O21" s="480">
        <f t="shared" si="29"/>
        <v>0</v>
      </c>
      <c r="P21" s="458">
        <f t="shared" si="32"/>
        <v>15795</v>
      </c>
      <c r="Q21" s="462">
        <f>(P21-P20)*1000</f>
        <v>0</v>
      </c>
      <c r="R21" s="462">
        <f t="shared" si="21"/>
        <v>0</v>
      </c>
      <c r="S21" s="458">
        <f t="shared" si="33"/>
        <v>9025</v>
      </c>
      <c r="T21" s="482">
        <f t="shared" si="3"/>
        <v>0</v>
      </c>
      <c r="U21" s="458">
        <f t="shared" si="34"/>
        <v>171163</v>
      </c>
      <c r="V21" s="462">
        <f t="shared" si="17"/>
        <v>0</v>
      </c>
      <c r="W21" s="458">
        <f t="shared" si="7"/>
        <v>31853</v>
      </c>
      <c r="X21" s="462">
        <f t="shared" si="27"/>
        <v>0</v>
      </c>
      <c r="Y21" s="458">
        <f t="shared" ref="Y21:AA21" si="57">Y20</f>
        <v>625865</v>
      </c>
      <c r="Z21" s="462">
        <f t="shared" si="23"/>
        <v>0</v>
      </c>
      <c r="AA21" s="458">
        <f t="shared" si="57"/>
        <v>35253</v>
      </c>
      <c r="AB21" s="462">
        <f t="shared" si="19"/>
        <v>0</v>
      </c>
      <c r="AC21" s="458">
        <f t="shared" ref="AC21" si="58">AC20</f>
        <v>820459</v>
      </c>
      <c r="AD21" s="462">
        <f t="shared" si="50"/>
        <v>0</v>
      </c>
      <c r="AE21" s="485">
        <f t="shared" si="10"/>
        <v>0</v>
      </c>
      <c r="AF21" s="486">
        <f t="shared" si="11"/>
        <v>0</v>
      </c>
      <c r="AG21" s="478">
        <f t="shared" si="30"/>
        <v>0</v>
      </c>
      <c r="AI21" s="479">
        <f>R21-'EDl log'!B19</f>
        <v>-125693</v>
      </c>
    </row>
    <row r="22" spans="1:35">
      <c r="A22" s="470">
        <f>'General information '!F25</f>
        <v>0</v>
      </c>
      <c r="B22" s="464">
        <f t="shared" si="6"/>
        <v>0</v>
      </c>
      <c r="C22" s="471">
        <v>44032</v>
      </c>
      <c r="D22" s="458">
        <f t="shared" si="31"/>
        <v>31904808</v>
      </c>
      <c r="E22" s="319">
        <f t="shared" si="12"/>
        <v>0</v>
      </c>
      <c r="F22" s="458">
        <f t="shared" si="31"/>
        <v>3757737</v>
      </c>
      <c r="G22" s="320">
        <f t="shared" si="0"/>
        <v>0</v>
      </c>
      <c r="H22" s="458">
        <f t="shared" si="31"/>
        <v>17538322</v>
      </c>
      <c r="I22" s="320">
        <f t="shared" si="13"/>
        <v>0</v>
      </c>
      <c r="J22" s="458">
        <f t="shared" si="31"/>
        <v>28547484</v>
      </c>
      <c r="K22" s="320">
        <f t="shared" si="14"/>
        <v>0</v>
      </c>
      <c r="L22" s="458">
        <f t="shared" si="31"/>
        <v>23299082</v>
      </c>
      <c r="M22" s="320">
        <f t="shared" si="15"/>
        <v>0</v>
      </c>
      <c r="N22" s="318">
        <f t="shared" si="16"/>
        <v>0</v>
      </c>
      <c r="O22" s="480">
        <f t="shared" si="29"/>
        <v>0</v>
      </c>
      <c r="P22" s="458">
        <f t="shared" si="32"/>
        <v>15795</v>
      </c>
      <c r="Q22" s="462">
        <f t="shared" si="39"/>
        <v>0</v>
      </c>
      <c r="R22" s="462">
        <f t="shared" si="21"/>
        <v>0</v>
      </c>
      <c r="S22" s="458">
        <f t="shared" si="33"/>
        <v>9025</v>
      </c>
      <c r="T22" s="482">
        <f t="shared" si="3"/>
        <v>0</v>
      </c>
      <c r="U22" s="458">
        <f t="shared" si="34"/>
        <v>171163</v>
      </c>
      <c r="V22" s="462">
        <f t="shared" si="17"/>
        <v>0</v>
      </c>
      <c r="W22" s="458">
        <f t="shared" si="7"/>
        <v>31853</v>
      </c>
      <c r="X22" s="462">
        <f t="shared" si="27"/>
        <v>0</v>
      </c>
      <c r="Y22" s="458">
        <f t="shared" ref="Y22:AA22" si="59">Y21</f>
        <v>625865</v>
      </c>
      <c r="Z22" s="462">
        <f t="shared" si="23"/>
        <v>0</v>
      </c>
      <c r="AA22" s="458">
        <f t="shared" si="59"/>
        <v>35253</v>
      </c>
      <c r="AB22" s="462">
        <f t="shared" si="19"/>
        <v>0</v>
      </c>
      <c r="AC22" s="458">
        <f t="shared" ref="AC22" si="60">AC21</f>
        <v>820459</v>
      </c>
      <c r="AD22" s="462">
        <f t="shared" si="50"/>
        <v>0</v>
      </c>
      <c r="AE22" s="485">
        <f t="shared" si="10"/>
        <v>0</v>
      </c>
      <c r="AF22" s="486">
        <f t="shared" si="11"/>
        <v>0</v>
      </c>
      <c r="AG22" s="478">
        <f t="shared" si="30"/>
        <v>0</v>
      </c>
      <c r="AI22" s="479">
        <f>R22-'EDl log'!B20</f>
        <v>-125693</v>
      </c>
    </row>
    <row r="23" spans="1:35">
      <c r="A23" s="470">
        <f>'General information '!F26</f>
        <v>0</v>
      </c>
      <c r="B23" s="464">
        <f t="shared" si="6"/>
        <v>0</v>
      </c>
      <c r="C23" s="471">
        <v>44033</v>
      </c>
      <c r="D23" s="458">
        <f t="shared" si="31"/>
        <v>31904808</v>
      </c>
      <c r="E23" s="319">
        <f t="shared" si="12"/>
        <v>0</v>
      </c>
      <c r="F23" s="458">
        <f t="shared" si="31"/>
        <v>3757737</v>
      </c>
      <c r="G23" s="320">
        <f t="shared" si="0"/>
        <v>0</v>
      </c>
      <c r="H23" s="458">
        <f t="shared" si="31"/>
        <v>17538322</v>
      </c>
      <c r="I23" s="451">
        <f t="shared" si="13"/>
        <v>0</v>
      </c>
      <c r="J23" s="458">
        <f t="shared" si="31"/>
        <v>28547484</v>
      </c>
      <c r="K23" s="320">
        <f t="shared" si="14"/>
        <v>0</v>
      </c>
      <c r="L23" s="458">
        <f t="shared" si="31"/>
        <v>23299082</v>
      </c>
      <c r="M23" s="320">
        <f t="shared" si="15"/>
        <v>0</v>
      </c>
      <c r="N23" s="318">
        <f t="shared" si="16"/>
        <v>0</v>
      </c>
      <c r="O23" s="480">
        <f t="shared" si="29"/>
        <v>0</v>
      </c>
      <c r="P23" s="458">
        <f t="shared" si="32"/>
        <v>15795</v>
      </c>
      <c r="Q23" s="462">
        <f t="shared" si="39"/>
        <v>0</v>
      </c>
      <c r="R23" s="462">
        <f t="shared" si="21"/>
        <v>0</v>
      </c>
      <c r="S23" s="458">
        <f t="shared" si="33"/>
        <v>9025</v>
      </c>
      <c r="T23" s="482">
        <f t="shared" si="3"/>
        <v>0</v>
      </c>
      <c r="U23" s="458">
        <f t="shared" si="34"/>
        <v>171163</v>
      </c>
      <c r="V23" s="462">
        <f t="shared" si="17"/>
        <v>0</v>
      </c>
      <c r="W23" s="458">
        <f t="shared" si="7"/>
        <v>31853</v>
      </c>
      <c r="X23" s="462">
        <f t="shared" si="27"/>
        <v>0</v>
      </c>
      <c r="Y23" s="458">
        <f t="shared" ref="Y23:AA23" si="61">Y22</f>
        <v>625865</v>
      </c>
      <c r="Z23" s="462">
        <f t="shared" si="23"/>
        <v>0</v>
      </c>
      <c r="AA23" s="458">
        <f t="shared" si="61"/>
        <v>35253</v>
      </c>
      <c r="AB23" s="462">
        <f t="shared" si="19"/>
        <v>0</v>
      </c>
      <c r="AC23" s="458">
        <f t="shared" ref="AC23" si="62">AC22</f>
        <v>820459</v>
      </c>
      <c r="AD23" s="462">
        <f t="shared" si="50"/>
        <v>0</v>
      </c>
      <c r="AE23" s="485">
        <f t="shared" si="10"/>
        <v>0</v>
      </c>
      <c r="AF23" s="486">
        <f t="shared" si="11"/>
        <v>0</v>
      </c>
      <c r="AG23" s="478">
        <f t="shared" si="30"/>
        <v>0</v>
      </c>
      <c r="AI23" s="479">
        <f>R23-'EDl log'!B21</f>
        <v>-125693</v>
      </c>
    </row>
    <row r="24" spans="1:35">
      <c r="A24" s="470">
        <f>'General information '!F27</f>
        <v>0</v>
      </c>
      <c r="B24" s="464">
        <f t="shared" si="6"/>
        <v>0</v>
      </c>
      <c r="C24" s="471">
        <v>44034</v>
      </c>
      <c r="D24" s="458">
        <f t="shared" si="31"/>
        <v>31904808</v>
      </c>
      <c r="E24" s="319">
        <f t="shared" si="12"/>
        <v>0</v>
      </c>
      <c r="F24" s="458">
        <f t="shared" si="31"/>
        <v>3757737</v>
      </c>
      <c r="G24" s="320">
        <f t="shared" si="0"/>
        <v>0</v>
      </c>
      <c r="H24" s="458">
        <f t="shared" si="31"/>
        <v>17538322</v>
      </c>
      <c r="I24" s="320">
        <f t="shared" si="13"/>
        <v>0</v>
      </c>
      <c r="J24" s="458">
        <f t="shared" si="31"/>
        <v>28547484</v>
      </c>
      <c r="K24" s="320">
        <f t="shared" si="14"/>
        <v>0</v>
      </c>
      <c r="L24" s="458">
        <f t="shared" si="31"/>
        <v>23299082</v>
      </c>
      <c r="M24" s="320">
        <f t="shared" si="15"/>
        <v>0</v>
      </c>
      <c r="N24" s="318">
        <f t="shared" si="16"/>
        <v>0</v>
      </c>
      <c r="O24" s="480">
        <f t="shared" si="29"/>
        <v>0</v>
      </c>
      <c r="P24" s="458">
        <f t="shared" si="32"/>
        <v>15795</v>
      </c>
      <c r="Q24" s="462">
        <f t="shared" si="39"/>
        <v>0</v>
      </c>
      <c r="R24" s="462">
        <f t="shared" si="21"/>
        <v>0</v>
      </c>
      <c r="S24" s="458">
        <f t="shared" si="33"/>
        <v>9025</v>
      </c>
      <c r="T24" s="482">
        <f t="shared" si="3"/>
        <v>0</v>
      </c>
      <c r="U24" s="458">
        <f t="shared" si="34"/>
        <v>171163</v>
      </c>
      <c r="V24" s="462">
        <f t="shared" si="17"/>
        <v>0</v>
      </c>
      <c r="W24" s="458">
        <v>31853</v>
      </c>
      <c r="X24" s="462">
        <f t="shared" si="27"/>
        <v>0</v>
      </c>
      <c r="Y24" s="458">
        <f t="shared" ref="Y24:AA24" si="63">Y23</f>
        <v>625865</v>
      </c>
      <c r="Z24" s="462">
        <f t="shared" si="23"/>
        <v>0</v>
      </c>
      <c r="AA24" s="458">
        <f t="shared" si="63"/>
        <v>35253</v>
      </c>
      <c r="AB24" s="462">
        <f t="shared" si="19"/>
        <v>0</v>
      </c>
      <c r="AC24" s="458">
        <f t="shared" ref="AC24" si="64">AC23</f>
        <v>820459</v>
      </c>
      <c r="AD24" s="462">
        <f t="shared" si="50"/>
        <v>0</v>
      </c>
      <c r="AE24" s="485">
        <f t="shared" si="10"/>
        <v>0</v>
      </c>
      <c r="AF24" s="486">
        <f t="shared" si="11"/>
        <v>0</v>
      </c>
      <c r="AG24" s="478">
        <f t="shared" si="30"/>
        <v>0</v>
      </c>
      <c r="AI24" s="479">
        <f>R24-'EDl log'!B22</f>
        <v>-125693</v>
      </c>
    </row>
    <row r="25" spans="1:35">
      <c r="A25" s="470">
        <f>'General information '!F28</f>
        <v>0</v>
      </c>
      <c r="B25" s="464">
        <f t="shared" si="6"/>
        <v>0</v>
      </c>
      <c r="C25" s="471">
        <v>44035</v>
      </c>
      <c r="D25" s="458">
        <f t="shared" si="31"/>
        <v>31904808</v>
      </c>
      <c r="E25" s="319">
        <f t="shared" si="12"/>
        <v>0</v>
      </c>
      <c r="F25" s="458">
        <f t="shared" si="31"/>
        <v>3757737</v>
      </c>
      <c r="G25" s="320">
        <f t="shared" si="0"/>
        <v>0</v>
      </c>
      <c r="H25" s="458">
        <f t="shared" si="31"/>
        <v>17538322</v>
      </c>
      <c r="I25" s="320">
        <f t="shared" si="13"/>
        <v>0</v>
      </c>
      <c r="J25" s="458">
        <f t="shared" si="31"/>
        <v>28547484</v>
      </c>
      <c r="K25" s="320">
        <f t="shared" si="14"/>
        <v>0</v>
      </c>
      <c r="L25" s="458">
        <f t="shared" si="31"/>
        <v>23299082</v>
      </c>
      <c r="M25" s="320">
        <f t="shared" si="15"/>
        <v>0</v>
      </c>
      <c r="N25" s="318">
        <f t="shared" si="16"/>
        <v>0</v>
      </c>
      <c r="O25" s="480">
        <f t="shared" si="29"/>
        <v>0</v>
      </c>
      <c r="P25" s="458">
        <f t="shared" si="32"/>
        <v>15795</v>
      </c>
      <c r="Q25" s="462">
        <f t="shared" si="39"/>
        <v>0</v>
      </c>
      <c r="R25" s="462">
        <f t="shared" si="21"/>
        <v>0</v>
      </c>
      <c r="S25" s="458">
        <f t="shared" si="33"/>
        <v>9025</v>
      </c>
      <c r="T25" s="482">
        <f t="shared" si="3"/>
        <v>0</v>
      </c>
      <c r="U25" s="458">
        <f t="shared" si="34"/>
        <v>171163</v>
      </c>
      <c r="V25" s="462">
        <f t="shared" si="17"/>
        <v>0</v>
      </c>
      <c r="W25" s="458">
        <f t="shared" si="7"/>
        <v>31853</v>
      </c>
      <c r="X25" s="462">
        <f t="shared" si="27"/>
        <v>0</v>
      </c>
      <c r="Y25" s="458">
        <f t="shared" ref="Y25:AA25" si="65">Y24</f>
        <v>625865</v>
      </c>
      <c r="Z25" s="462">
        <f t="shared" si="23"/>
        <v>0</v>
      </c>
      <c r="AA25" s="458">
        <f t="shared" si="65"/>
        <v>35253</v>
      </c>
      <c r="AB25" s="462">
        <f t="shared" si="19"/>
        <v>0</v>
      </c>
      <c r="AC25" s="458">
        <f t="shared" ref="AC25" si="66">AC24</f>
        <v>820459</v>
      </c>
      <c r="AD25" s="462">
        <f t="shared" si="50"/>
        <v>0</v>
      </c>
      <c r="AE25" s="485">
        <f t="shared" si="10"/>
        <v>0</v>
      </c>
      <c r="AF25" s="486">
        <f t="shared" si="11"/>
        <v>0</v>
      </c>
      <c r="AG25" s="478">
        <f t="shared" si="30"/>
        <v>0</v>
      </c>
      <c r="AI25" s="479">
        <f>R25-'EDl log'!B23</f>
        <v>-125693</v>
      </c>
    </row>
    <row r="26" spans="1:35">
      <c r="A26" s="470">
        <f>'General information '!F29</f>
        <v>0</v>
      </c>
      <c r="B26" s="464">
        <f t="shared" si="6"/>
        <v>0</v>
      </c>
      <c r="C26" s="471">
        <v>44036</v>
      </c>
      <c r="D26" s="458">
        <f t="shared" si="31"/>
        <v>31904808</v>
      </c>
      <c r="E26" s="319">
        <f t="shared" si="12"/>
        <v>0</v>
      </c>
      <c r="F26" s="458">
        <f t="shared" si="31"/>
        <v>3757737</v>
      </c>
      <c r="G26" s="320">
        <f t="shared" si="0"/>
        <v>0</v>
      </c>
      <c r="H26" s="458">
        <f t="shared" si="31"/>
        <v>17538322</v>
      </c>
      <c r="I26" s="320">
        <f t="shared" si="13"/>
        <v>0</v>
      </c>
      <c r="J26" s="458">
        <f t="shared" si="31"/>
        <v>28547484</v>
      </c>
      <c r="K26" s="320">
        <f t="shared" si="14"/>
        <v>0</v>
      </c>
      <c r="L26" s="458">
        <f t="shared" si="31"/>
        <v>23299082</v>
      </c>
      <c r="M26" s="320">
        <f t="shared" si="15"/>
        <v>0</v>
      </c>
      <c r="N26" s="318">
        <f t="shared" si="16"/>
        <v>0</v>
      </c>
      <c r="O26" s="480">
        <f t="shared" si="29"/>
        <v>0</v>
      </c>
      <c r="P26" s="458">
        <f t="shared" si="32"/>
        <v>15795</v>
      </c>
      <c r="Q26" s="462">
        <f t="shared" si="39"/>
        <v>0</v>
      </c>
      <c r="R26" s="487">
        <f>N26-Q26</f>
        <v>0</v>
      </c>
      <c r="S26" s="458">
        <f t="shared" si="33"/>
        <v>9025</v>
      </c>
      <c r="T26" s="482">
        <f t="shared" si="3"/>
        <v>0</v>
      </c>
      <c r="U26" s="458">
        <f t="shared" si="34"/>
        <v>171163</v>
      </c>
      <c r="V26" s="462">
        <f t="shared" si="17"/>
        <v>0</v>
      </c>
      <c r="W26" s="458">
        <v>31853</v>
      </c>
      <c r="X26" s="462">
        <f t="shared" si="27"/>
        <v>0</v>
      </c>
      <c r="Y26" s="458">
        <f t="shared" ref="Y26:AA26" si="67">Y25</f>
        <v>625865</v>
      </c>
      <c r="Z26" s="462">
        <f t="shared" si="23"/>
        <v>0</v>
      </c>
      <c r="AA26" s="458">
        <f t="shared" si="67"/>
        <v>35253</v>
      </c>
      <c r="AB26" s="462">
        <f t="shared" si="19"/>
        <v>0</v>
      </c>
      <c r="AC26" s="458">
        <f t="shared" ref="AC26" si="68">AC25</f>
        <v>820459</v>
      </c>
      <c r="AD26" s="462">
        <f t="shared" si="50"/>
        <v>0</v>
      </c>
      <c r="AE26" s="485">
        <f t="shared" si="10"/>
        <v>0</v>
      </c>
      <c r="AF26" s="486">
        <f t="shared" si="11"/>
        <v>0</v>
      </c>
      <c r="AG26" s="478">
        <f t="shared" si="30"/>
        <v>0</v>
      </c>
      <c r="AI26" s="479">
        <f>R26-'EDl log'!B24</f>
        <v>-125693</v>
      </c>
    </row>
    <row r="27" spans="1:35">
      <c r="A27" s="470">
        <f>'General information '!F30</f>
        <v>0</v>
      </c>
      <c r="B27" s="464">
        <f t="shared" si="6"/>
        <v>0</v>
      </c>
      <c r="C27" s="471">
        <v>44037</v>
      </c>
      <c r="D27" s="458">
        <f t="shared" si="31"/>
        <v>31904808</v>
      </c>
      <c r="E27" s="319">
        <f t="shared" si="12"/>
        <v>0</v>
      </c>
      <c r="F27" s="458">
        <f t="shared" si="31"/>
        <v>3757737</v>
      </c>
      <c r="G27" s="320">
        <f>F27-F26</f>
        <v>0</v>
      </c>
      <c r="H27" s="458">
        <f t="shared" si="31"/>
        <v>17538322</v>
      </c>
      <c r="I27" s="320">
        <f t="shared" si="13"/>
        <v>0</v>
      </c>
      <c r="J27" s="458">
        <f t="shared" si="31"/>
        <v>28547484</v>
      </c>
      <c r="K27" s="320">
        <f t="shared" si="14"/>
        <v>0</v>
      </c>
      <c r="L27" s="458">
        <f t="shared" si="31"/>
        <v>23299082</v>
      </c>
      <c r="M27" s="320">
        <f t="shared" si="15"/>
        <v>0</v>
      </c>
      <c r="N27" s="318">
        <f t="shared" si="16"/>
        <v>0</v>
      </c>
      <c r="O27" s="480">
        <f t="shared" si="29"/>
        <v>0</v>
      </c>
      <c r="P27" s="458">
        <f t="shared" si="32"/>
        <v>15795</v>
      </c>
      <c r="Q27" s="462">
        <f t="shared" si="39"/>
        <v>0</v>
      </c>
      <c r="R27" s="462">
        <f t="shared" si="21"/>
        <v>0</v>
      </c>
      <c r="S27" s="458">
        <f t="shared" si="33"/>
        <v>9025</v>
      </c>
      <c r="T27" s="482">
        <f t="shared" si="3"/>
        <v>0</v>
      </c>
      <c r="U27" s="458">
        <f t="shared" si="34"/>
        <v>171163</v>
      </c>
      <c r="V27" s="462">
        <f t="shared" si="17"/>
        <v>0</v>
      </c>
      <c r="W27" s="458">
        <f t="shared" si="7"/>
        <v>31853</v>
      </c>
      <c r="X27" s="462">
        <f t="shared" si="27"/>
        <v>0</v>
      </c>
      <c r="Y27" s="458">
        <f t="shared" ref="Y27:AA27" si="69">Y26</f>
        <v>625865</v>
      </c>
      <c r="Z27" s="462">
        <f t="shared" si="23"/>
        <v>0</v>
      </c>
      <c r="AA27" s="458">
        <f t="shared" si="69"/>
        <v>35253</v>
      </c>
      <c r="AB27" s="462">
        <f t="shared" si="19"/>
        <v>0</v>
      </c>
      <c r="AC27" s="458">
        <f t="shared" ref="AC27" si="70">AC26</f>
        <v>820459</v>
      </c>
      <c r="AD27" s="462">
        <f t="shared" si="50"/>
        <v>0</v>
      </c>
      <c r="AE27" s="485">
        <f t="shared" si="10"/>
        <v>0</v>
      </c>
      <c r="AF27" s="486">
        <f t="shared" si="11"/>
        <v>0</v>
      </c>
      <c r="AG27" s="478">
        <f t="shared" si="30"/>
        <v>0</v>
      </c>
      <c r="AI27" s="479">
        <f>R27-'EDl log'!B25</f>
        <v>-125693</v>
      </c>
    </row>
    <row r="28" spans="1:35">
      <c r="A28" s="470">
        <f>'General information '!F31</f>
        <v>0</v>
      </c>
      <c r="B28" s="464">
        <f t="shared" si="6"/>
        <v>0</v>
      </c>
      <c r="C28" s="471">
        <v>44038</v>
      </c>
      <c r="D28" s="458">
        <f t="shared" si="31"/>
        <v>31904808</v>
      </c>
      <c r="E28" s="319">
        <f t="shared" si="12"/>
        <v>0</v>
      </c>
      <c r="F28" s="458">
        <f t="shared" si="31"/>
        <v>3757737</v>
      </c>
      <c r="G28" s="320">
        <f t="shared" si="0"/>
        <v>0</v>
      </c>
      <c r="H28" s="458">
        <f t="shared" si="31"/>
        <v>17538322</v>
      </c>
      <c r="I28" s="320">
        <f t="shared" si="13"/>
        <v>0</v>
      </c>
      <c r="J28" s="458">
        <f t="shared" si="31"/>
        <v>28547484</v>
      </c>
      <c r="K28" s="320">
        <f t="shared" si="14"/>
        <v>0</v>
      </c>
      <c r="L28" s="458">
        <f t="shared" si="31"/>
        <v>23299082</v>
      </c>
      <c r="M28" s="320">
        <f t="shared" si="15"/>
        <v>0</v>
      </c>
      <c r="N28" s="318">
        <f t="shared" si="16"/>
        <v>0</v>
      </c>
      <c r="O28" s="480">
        <f t="shared" si="29"/>
        <v>0</v>
      </c>
      <c r="P28" s="458">
        <f t="shared" si="32"/>
        <v>15795</v>
      </c>
      <c r="Q28" s="462">
        <f t="shared" si="39"/>
        <v>0</v>
      </c>
      <c r="R28" s="462">
        <f>N28-Q28</f>
        <v>0</v>
      </c>
      <c r="S28" s="458">
        <f t="shared" si="33"/>
        <v>9025</v>
      </c>
      <c r="T28" s="482">
        <f t="shared" si="3"/>
        <v>0</v>
      </c>
      <c r="U28" s="458">
        <f t="shared" si="34"/>
        <v>171163</v>
      </c>
      <c r="V28" s="462">
        <f t="shared" si="17"/>
        <v>0</v>
      </c>
      <c r="W28" s="458">
        <f t="shared" si="7"/>
        <v>31853</v>
      </c>
      <c r="X28" s="462">
        <f t="shared" si="27"/>
        <v>0</v>
      </c>
      <c r="Y28" s="458">
        <f t="shared" ref="Y28:AA28" si="71">Y27</f>
        <v>625865</v>
      </c>
      <c r="Z28" s="462">
        <f t="shared" si="23"/>
        <v>0</v>
      </c>
      <c r="AA28" s="458">
        <f t="shared" si="71"/>
        <v>35253</v>
      </c>
      <c r="AB28" s="462">
        <f t="shared" si="19"/>
        <v>0</v>
      </c>
      <c r="AC28" s="458">
        <f t="shared" ref="AC28" si="72">AC27</f>
        <v>820459</v>
      </c>
      <c r="AD28" s="462">
        <f t="shared" si="50"/>
        <v>0</v>
      </c>
      <c r="AE28" s="485">
        <f t="shared" si="10"/>
        <v>0</v>
      </c>
      <c r="AF28" s="486">
        <f t="shared" si="11"/>
        <v>0</v>
      </c>
      <c r="AG28" s="478">
        <f t="shared" si="30"/>
        <v>0</v>
      </c>
      <c r="AI28" s="479">
        <f>R28-'EDl log'!B26</f>
        <v>-125693</v>
      </c>
    </row>
    <row r="29" spans="1:35">
      <c r="A29" s="470">
        <f>'General information '!F32</f>
        <v>0</v>
      </c>
      <c r="B29" s="464">
        <f>SUM(230*A29)</f>
        <v>0</v>
      </c>
      <c r="C29" s="471">
        <v>44039</v>
      </c>
      <c r="D29" s="458">
        <f t="shared" si="31"/>
        <v>31904808</v>
      </c>
      <c r="E29" s="319">
        <f t="shared" si="12"/>
        <v>0</v>
      </c>
      <c r="F29" s="458">
        <f t="shared" si="31"/>
        <v>3757737</v>
      </c>
      <c r="G29" s="320">
        <f t="shared" si="0"/>
        <v>0</v>
      </c>
      <c r="H29" s="458">
        <f t="shared" si="31"/>
        <v>17538322</v>
      </c>
      <c r="I29" s="320">
        <f t="shared" si="13"/>
        <v>0</v>
      </c>
      <c r="J29" s="458">
        <f t="shared" si="31"/>
        <v>28547484</v>
      </c>
      <c r="K29" s="320">
        <f t="shared" si="14"/>
        <v>0</v>
      </c>
      <c r="L29" s="458">
        <f t="shared" si="31"/>
        <v>23299082</v>
      </c>
      <c r="M29" s="320">
        <f t="shared" si="15"/>
        <v>0</v>
      </c>
      <c r="N29" s="318">
        <f t="shared" si="16"/>
        <v>0</v>
      </c>
      <c r="O29" s="480">
        <f t="shared" si="29"/>
        <v>0</v>
      </c>
      <c r="P29" s="458">
        <f t="shared" si="32"/>
        <v>15795</v>
      </c>
      <c r="Q29" s="462">
        <f t="shared" si="39"/>
        <v>0</v>
      </c>
      <c r="R29" s="462">
        <f t="shared" si="21"/>
        <v>0</v>
      </c>
      <c r="S29" s="458">
        <f t="shared" si="33"/>
        <v>9025</v>
      </c>
      <c r="T29" s="482">
        <f t="shared" si="3"/>
        <v>0</v>
      </c>
      <c r="U29" s="458">
        <f t="shared" si="34"/>
        <v>171163</v>
      </c>
      <c r="V29" s="462">
        <f t="shared" si="17"/>
        <v>0</v>
      </c>
      <c r="W29" s="458">
        <f t="shared" si="7"/>
        <v>31853</v>
      </c>
      <c r="X29" s="462">
        <f t="shared" si="27"/>
        <v>0</v>
      </c>
      <c r="Y29" s="458">
        <f t="shared" ref="Y29:AA29" si="73">Y28</f>
        <v>625865</v>
      </c>
      <c r="Z29" s="462">
        <f t="shared" si="23"/>
        <v>0</v>
      </c>
      <c r="AA29" s="458">
        <f t="shared" si="73"/>
        <v>35253</v>
      </c>
      <c r="AB29" s="462">
        <f t="shared" si="19"/>
        <v>0</v>
      </c>
      <c r="AC29" s="458">
        <f t="shared" ref="AC29" si="74">AC28</f>
        <v>820459</v>
      </c>
      <c r="AD29" s="462">
        <f t="shared" si="50"/>
        <v>0</v>
      </c>
      <c r="AE29" s="485">
        <f t="shared" si="10"/>
        <v>0</v>
      </c>
      <c r="AF29" s="486">
        <f t="shared" si="11"/>
        <v>0</v>
      </c>
      <c r="AG29" s="478">
        <f t="shared" si="30"/>
        <v>0</v>
      </c>
      <c r="AI29" s="479">
        <f>R29-'EDl log'!B27</f>
        <v>-125693</v>
      </c>
    </row>
    <row r="30" spans="1:35">
      <c r="A30" s="470">
        <f>'General information '!F33</f>
        <v>0</v>
      </c>
      <c r="B30" s="464">
        <f t="shared" si="6"/>
        <v>0</v>
      </c>
      <c r="C30" s="471">
        <v>44040</v>
      </c>
      <c r="D30" s="458">
        <f t="shared" si="31"/>
        <v>31904808</v>
      </c>
      <c r="E30" s="319">
        <f t="shared" si="12"/>
        <v>0</v>
      </c>
      <c r="F30" s="458">
        <f t="shared" si="31"/>
        <v>3757737</v>
      </c>
      <c r="G30" s="320">
        <f t="shared" si="0"/>
        <v>0</v>
      </c>
      <c r="H30" s="458">
        <f t="shared" si="31"/>
        <v>17538322</v>
      </c>
      <c r="I30" s="320">
        <f t="shared" si="13"/>
        <v>0</v>
      </c>
      <c r="J30" s="458">
        <f t="shared" si="31"/>
        <v>28547484</v>
      </c>
      <c r="K30" s="320">
        <f t="shared" si="14"/>
        <v>0</v>
      </c>
      <c r="L30" s="458">
        <f t="shared" si="31"/>
        <v>23299082</v>
      </c>
      <c r="M30" s="320">
        <f t="shared" si="15"/>
        <v>0</v>
      </c>
      <c r="N30" s="318">
        <f t="shared" si="16"/>
        <v>0</v>
      </c>
      <c r="O30" s="480">
        <f t="shared" si="29"/>
        <v>0</v>
      </c>
      <c r="P30" s="458">
        <f t="shared" si="32"/>
        <v>15795</v>
      </c>
      <c r="Q30" s="462">
        <f t="shared" si="39"/>
        <v>0</v>
      </c>
      <c r="R30" s="462">
        <f t="shared" si="21"/>
        <v>0</v>
      </c>
      <c r="S30" s="458">
        <f t="shared" si="33"/>
        <v>9025</v>
      </c>
      <c r="T30" s="482">
        <f t="shared" si="3"/>
        <v>0</v>
      </c>
      <c r="U30" s="458">
        <f t="shared" si="34"/>
        <v>171163</v>
      </c>
      <c r="V30" s="462">
        <f t="shared" si="17"/>
        <v>0</v>
      </c>
      <c r="W30" s="458">
        <f t="shared" si="7"/>
        <v>31853</v>
      </c>
      <c r="X30" s="483">
        <f t="shared" si="27"/>
        <v>0</v>
      </c>
      <c r="Y30" s="458">
        <f t="shared" ref="Y30:AA30" si="75">Y29</f>
        <v>625865</v>
      </c>
      <c r="Z30" s="462">
        <f t="shared" si="23"/>
        <v>0</v>
      </c>
      <c r="AA30" s="458">
        <f t="shared" si="75"/>
        <v>35253</v>
      </c>
      <c r="AB30" s="462">
        <f t="shared" si="19"/>
        <v>0</v>
      </c>
      <c r="AC30" s="458">
        <f t="shared" ref="AC30" si="76">AC29</f>
        <v>820459</v>
      </c>
      <c r="AD30" s="462">
        <f t="shared" si="50"/>
        <v>0</v>
      </c>
      <c r="AE30" s="485">
        <f t="shared" si="10"/>
        <v>0</v>
      </c>
      <c r="AF30" s="486">
        <f t="shared" si="11"/>
        <v>0</v>
      </c>
      <c r="AG30" s="478">
        <f t="shared" si="30"/>
        <v>0</v>
      </c>
      <c r="AI30" s="479">
        <f>R30-'EDl log'!B28</f>
        <v>-125693</v>
      </c>
    </row>
    <row r="31" spans="1:35">
      <c r="A31" s="470">
        <f>'General information '!F34</f>
        <v>0</v>
      </c>
      <c r="B31" s="464">
        <f t="shared" si="6"/>
        <v>0</v>
      </c>
      <c r="C31" s="471">
        <v>44041</v>
      </c>
      <c r="D31" s="458">
        <f t="shared" si="31"/>
        <v>31904808</v>
      </c>
      <c r="E31" s="319">
        <f t="shared" si="12"/>
        <v>0</v>
      </c>
      <c r="F31" s="458">
        <f t="shared" si="31"/>
        <v>3757737</v>
      </c>
      <c r="G31" s="320">
        <f t="shared" si="0"/>
        <v>0</v>
      </c>
      <c r="H31" s="458">
        <f t="shared" si="31"/>
        <v>17538322</v>
      </c>
      <c r="I31" s="320">
        <f t="shared" si="13"/>
        <v>0</v>
      </c>
      <c r="J31" s="458">
        <f t="shared" si="31"/>
        <v>28547484</v>
      </c>
      <c r="K31" s="320">
        <f t="shared" si="14"/>
        <v>0</v>
      </c>
      <c r="L31" s="458">
        <f t="shared" si="31"/>
        <v>23299082</v>
      </c>
      <c r="M31" s="320">
        <f t="shared" si="15"/>
        <v>0</v>
      </c>
      <c r="N31" s="318">
        <f t="shared" si="16"/>
        <v>0</v>
      </c>
      <c r="O31" s="480">
        <f t="shared" si="29"/>
        <v>0</v>
      </c>
      <c r="P31" s="458">
        <f t="shared" si="32"/>
        <v>15795</v>
      </c>
      <c r="Q31" s="462">
        <f t="shared" si="39"/>
        <v>0</v>
      </c>
      <c r="R31" s="462">
        <f t="shared" si="21"/>
        <v>0</v>
      </c>
      <c r="S31" s="458">
        <f t="shared" si="33"/>
        <v>9025</v>
      </c>
      <c r="T31" s="482">
        <f t="shared" si="3"/>
        <v>0</v>
      </c>
      <c r="U31" s="458">
        <f t="shared" si="34"/>
        <v>171163</v>
      </c>
      <c r="V31" s="462">
        <f t="shared" si="17"/>
        <v>0</v>
      </c>
      <c r="W31" s="458">
        <f t="shared" si="7"/>
        <v>31853</v>
      </c>
      <c r="X31" s="483">
        <f t="shared" si="27"/>
        <v>0</v>
      </c>
      <c r="Y31" s="458">
        <f t="shared" ref="Y31:AA31" si="77">Y30</f>
        <v>625865</v>
      </c>
      <c r="Z31" s="484">
        <f>Y31-Y30</f>
        <v>0</v>
      </c>
      <c r="AA31" s="458">
        <f t="shared" si="77"/>
        <v>35253</v>
      </c>
      <c r="AB31" s="462">
        <f t="shared" si="19"/>
        <v>0</v>
      </c>
      <c r="AC31" s="458">
        <f t="shared" ref="AC31" si="78">AC30</f>
        <v>820459</v>
      </c>
      <c r="AD31" s="462">
        <f t="shared" si="50"/>
        <v>0</v>
      </c>
      <c r="AE31" s="485">
        <f t="shared" si="10"/>
        <v>0</v>
      </c>
      <c r="AF31" s="486">
        <f t="shared" si="11"/>
        <v>0</v>
      </c>
      <c r="AG31" s="478">
        <f t="shared" si="30"/>
        <v>0</v>
      </c>
      <c r="AI31" s="479">
        <f>R31-'EDl log'!B29</f>
        <v>-125693</v>
      </c>
    </row>
    <row r="32" spans="1:35">
      <c r="A32" s="470">
        <f>'General information '!F35</f>
        <v>0</v>
      </c>
      <c r="B32" s="464">
        <f>SUM(230*A32)</f>
        <v>0</v>
      </c>
      <c r="C32" s="471">
        <v>44042</v>
      </c>
      <c r="D32" s="458">
        <f t="shared" si="31"/>
        <v>31904808</v>
      </c>
      <c r="E32" s="319">
        <f t="shared" si="12"/>
        <v>0</v>
      </c>
      <c r="F32" s="458">
        <f t="shared" si="31"/>
        <v>3757737</v>
      </c>
      <c r="G32" s="320">
        <f>F32-F31</f>
        <v>0</v>
      </c>
      <c r="H32" s="458">
        <f t="shared" si="31"/>
        <v>17538322</v>
      </c>
      <c r="I32" s="320">
        <f>H32-H31</f>
        <v>0</v>
      </c>
      <c r="J32" s="458">
        <f t="shared" si="31"/>
        <v>28547484</v>
      </c>
      <c r="K32" s="320">
        <f>J32-J31</f>
        <v>0</v>
      </c>
      <c r="L32" s="458">
        <f t="shared" si="31"/>
        <v>23299082</v>
      </c>
      <c r="M32" s="320">
        <f>L32-L31</f>
        <v>0</v>
      </c>
      <c r="N32" s="318">
        <f>M32+K32+I32+G32+E32</f>
        <v>0</v>
      </c>
      <c r="O32" s="480">
        <f t="shared" si="29"/>
        <v>0</v>
      </c>
      <c r="P32" s="458">
        <f t="shared" si="32"/>
        <v>15795</v>
      </c>
      <c r="Q32" s="462">
        <f>(P32-P31)*1000</f>
        <v>0</v>
      </c>
      <c r="R32" s="462">
        <f>N32-Q32</f>
        <v>0</v>
      </c>
      <c r="S32" s="458">
        <f t="shared" si="33"/>
        <v>9025</v>
      </c>
      <c r="T32" s="482">
        <f t="shared" si="3"/>
        <v>0</v>
      </c>
      <c r="U32" s="458">
        <f t="shared" si="34"/>
        <v>171163</v>
      </c>
      <c r="V32" s="462">
        <f t="shared" si="17"/>
        <v>0</v>
      </c>
      <c r="W32" s="458">
        <f t="shared" si="7"/>
        <v>31853</v>
      </c>
      <c r="X32" s="462">
        <f t="shared" si="27"/>
        <v>0</v>
      </c>
      <c r="Y32" s="458">
        <f t="shared" ref="Y32:AA32" si="79">Y31</f>
        <v>625865</v>
      </c>
      <c r="Z32" s="484">
        <f>Y32-Y31</f>
        <v>0</v>
      </c>
      <c r="AA32" s="458">
        <f t="shared" si="79"/>
        <v>35253</v>
      </c>
      <c r="AB32" s="462">
        <f t="shared" si="19"/>
        <v>0</v>
      </c>
      <c r="AC32" s="458">
        <f t="shared" ref="AC32" si="80">AC31</f>
        <v>820459</v>
      </c>
      <c r="AD32" s="462">
        <f t="shared" si="50"/>
        <v>0</v>
      </c>
      <c r="AE32" s="485">
        <f t="shared" si="10"/>
        <v>0</v>
      </c>
      <c r="AF32" s="486">
        <f>V32+Z32+AD32</f>
        <v>0</v>
      </c>
      <c r="AG32" s="478">
        <f t="shared" si="30"/>
        <v>0</v>
      </c>
      <c r="AI32" s="479">
        <f>R32-'EDl log'!B30</f>
        <v>-125693</v>
      </c>
    </row>
    <row r="33" spans="1:35">
      <c r="A33" s="470">
        <f>'General information '!F37</f>
        <v>7.4462499999999987E-2</v>
      </c>
      <c r="B33" s="464">
        <f>SUM(230*A33)</f>
        <v>17.126374999999996</v>
      </c>
      <c r="C33" s="471">
        <v>44043</v>
      </c>
      <c r="D33" s="458">
        <f t="shared" si="31"/>
        <v>31904808</v>
      </c>
      <c r="E33" s="319">
        <f t="shared" ref="E33" si="81">D33-D32</f>
        <v>0</v>
      </c>
      <c r="F33" s="458">
        <f t="shared" si="31"/>
        <v>3757737</v>
      </c>
      <c r="G33" s="320">
        <f>F33-F32</f>
        <v>0</v>
      </c>
      <c r="H33" s="458">
        <f t="shared" si="31"/>
        <v>17538322</v>
      </c>
      <c r="I33" s="320">
        <f>H33-H32</f>
        <v>0</v>
      </c>
      <c r="J33" s="458">
        <f t="shared" si="31"/>
        <v>28547484</v>
      </c>
      <c r="K33" s="320">
        <f>J33-J32</f>
        <v>0</v>
      </c>
      <c r="L33" s="458">
        <f t="shared" si="31"/>
        <v>23299082</v>
      </c>
      <c r="M33" s="320">
        <f>L33-L32</f>
        <v>0</v>
      </c>
      <c r="N33" s="318">
        <f>M33+K33+I33+G33+E33</f>
        <v>0</v>
      </c>
      <c r="O33" s="480">
        <f t="shared" ref="O33" si="82">IF(B33&gt;0,N33/B33,0)</f>
        <v>0</v>
      </c>
      <c r="P33" s="458">
        <f t="shared" si="32"/>
        <v>15795</v>
      </c>
      <c r="Q33" s="462">
        <f>(P33-P32)*1000</f>
        <v>0</v>
      </c>
      <c r="R33" s="462">
        <f>N33-Q33</f>
        <v>0</v>
      </c>
      <c r="S33" s="458">
        <f t="shared" si="33"/>
        <v>9025</v>
      </c>
      <c r="T33" s="482">
        <f t="shared" ref="T33" si="83">S33-S32</f>
        <v>0</v>
      </c>
      <c r="U33" s="458">
        <f t="shared" si="34"/>
        <v>171163</v>
      </c>
      <c r="V33" s="462">
        <f t="shared" ref="V33" si="84">U33-U32</f>
        <v>0</v>
      </c>
      <c r="W33" s="458">
        <f t="shared" si="7"/>
        <v>31853</v>
      </c>
      <c r="X33" s="462">
        <f t="shared" ref="X33" si="85">W33-W32</f>
        <v>0</v>
      </c>
      <c r="Y33" s="458">
        <f t="shared" ref="Y33:AA33" si="86">Y32</f>
        <v>625865</v>
      </c>
      <c r="Z33" s="484">
        <f>Y33-Y32</f>
        <v>0</v>
      </c>
      <c r="AA33" s="458">
        <f t="shared" si="86"/>
        <v>35253</v>
      </c>
      <c r="AB33" s="462">
        <f t="shared" ref="AB33" si="87">AA33-AA32</f>
        <v>0</v>
      </c>
      <c r="AC33" s="458">
        <f t="shared" ref="AC33" si="88">AC32</f>
        <v>820459</v>
      </c>
      <c r="AD33" s="462">
        <f t="shared" ref="AD33" si="89">AC33-AC32</f>
        <v>0</v>
      </c>
      <c r="AE33" s="485">
        <f t="shared" ref="AE33" si="90">AB33+X33+T33</f>
        <v>0</v>
      </c>
      <c r="AF33" s="486">
        <f>V33+Z33+AD33</f>
        <v>0</v>
      </c>
      <c r="AG33" s="478">
        <f t="shared" ref="AG33" si="91">IF(AE33&gt;0,AF33/AE33,0)</f>
        <v>0</v>
      </c>
      <c r="AI33" s="479">
        <f>R33-'EDl log'!B31</f>
        <v>-125693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AZ43"/>
  <sheetViews>
    <sheetView tabSelected="1" topLeftCell="R1" zoomScale="90" zoomScaleNormal="90" workbookViewId="0">
      <pane ySplit="1" topLeftCell="A7" activePane="bottomLeft" state="frozen"/>
      <selection activeCell="K1" sqref="K1"/>
      <selection pane="bottomLeft" activeCell="A12" sqref="A12"/>
    </sheetView>
  </sheetViews>
  <sheetFormatPr defaultRowHeight="15"/>
  <cols>
    <col min="1" max="1" width="11.7109375" style="41" bestFit="1" customWidth="1"/>
    <col min="2" max="2" width="14.140625" style="42" bestFit="1" customWidth="1"/>
    <col min="3" max="3" width="15.85546875" style="42" customWidth="1"/>
    <col min="4" max="4" width="15.140625" style="42" bestFit="1" customWidth="1"/>
    <col min="5" max="5" width="12.42578125" style="42" bestFit="1" customWidth="1"/>
    <col min="6" max="6" width="8.42578125" style="42" bestFit="1" customWidth="1"/>
    <col min="7" max="7" width="8.85546875" style="42" bestFit="1" customWidth="1"/>
    <col min="8" max="8" width="12.5703125" style="42" bestFit="1" customWidth="1"/>
    <col min="9" max="9" width="18.140625" style="42" customWidth="1"/>
    <col min="10" max="10" width="8.42578125" style="42" hidden="1" customWidth="1"/>
    <col min="11" max="11" width="11.5703125" style="42" bestFit="1" customWidth="1"/>
    <col min="12" max="12" width="8" style="42" bestFit="1" customWidth="1"/>
    <col min="13" max="14" width="8" style="42" customWidth="1"/>
    <col min="15" max="15" width="0.28515625" style="68" customWidth="1"/>
    <col min="16" max="16" width="8.140625" style="42" bestFit="1" customWidth="1"/>
    <col min="17" max="17" width="7.85546875" style="42" customWidth="1"/>
    <col min="18" max="18" width="6.140625" style="42" bestFit="1" customWidth="1"/>
    <col min="19" max="19" width="6.42578125" style="42" customWidth="1"/>
    <col min="20" max="20" width="13" style="70" hidden="1" customWidth="1"/>
    <col min="21" max="21" width="13" style="70" customWidth="1"/>
    <col min="22" max="22" width="12.7109375" style="70" customWidth="1"/>
    <col min="23" max="23" width="13" style="70" hidden="1" customWidth="1"/>
    <col min="24" max="24" width="8" style="42" bestFit="1" customWidth="1"/>
    <col min="25" max="25" width="10.140625" style="42" customWidth="1"/>
    <col min="26" max="26" width="15.140625" style="42" bestFit="1" customWidth="1"/>
    <col min="27" max="27" width="9.28515625" style="42" customWidth="1"/>
    <col min="28" max="28" width="8.5703125" style="42" hidden="1" customWidth="1"/>
    <col min="29" max="29" width="8.28515625" style="42" customWidth="1"/>
    <col min="30" max="30" width="11.42578125" style="42" customWidth="1"/>
    <col min="31" max="31" width="14.7109375" style="71" bestFit="1" customWidth="1"/>
    <col min="32" max="32" width="10" style="42" customWidth="1"/>
    <col min="33" max="33" width="11.7109375" style="68" hidden="1" customWidth="1"/>
    <col min="34" max="34" width="12.5703125" style="70" customWidth="1"/>
    <col min="35" max="37" width="12.7109375" style="329" customWidth="1"/>
    <col min="38" max="38" width="11.140625" style="329" bestFit="1" customWidth="1"/>
    <col min="39" max="39" width="11.42578125" style="329" bestFit="1" customWidth="1"/>
    <col min="40" max="40" width="8.42578125" style="71" customWidth="1"/>
    <col min="41" max="41" width="8.140625" style="71" customWidth="1"/>
    <col min="42" max="45" width="9.140625" style="71"/>
    <col min="46" max="46" width="10.140625" style="71" customWidth="1"/>
    <col min="47" max="47" width="10.140625" style="71" bestFit="1" customWidth="1"/>
    <col min="48" max="49" width="9.140625" style="42"/>
    <col min="50" max="50" width="9.140625" style="321"/>
    <col min="51" max="16384" width="9.140625" style="42"/>
  </cols>
  <sheetData>
    <row r="1" spans="1:52" ht="30.75" thickBot="1">
      <c r="F1" s="620" t="s">
        <v>2</v>
      </c>
      <c r="G1" s="621"/>
      <c r="H1" s="621"/>
      <c r="I1" s="622"/>
      <c r="J1" s="290">
        <f>J36</f>
        <v>58.933333333333337</v>
      </c>
      <c r="K1" s="623" t="s">
        <v>4</v>
      </c>
      <c r="L1" s="624"/>
      <c r="M1" s="624"/>
      <c r="N1" s="624"/>
      <c r="O1" s="625"/>
      <c r="P1" s="614" t="s">
        <v>6</v>
      </c>
      <c r="Q1" s="615"/>
      <c r="R1" s="615"/>
      <c r="S1" s="615"/>
      <c r="T1" s="616"/>
      <c r="U1" s="407"/>
      <c r="V1" s="27" t="s">
        <v>104</v>
      </c>
      <c r="W1" s="408"/>
      <c r="X1" s="614" t="s">
        <v>8</v>
      </c>
      <c r="Y1" s="615"/>
      <c r="Z1" s="615"/>
      <c r="AA1" s="615"/>
      <c r="AB1" s="615"/>
      <c r="AC1" s="617" t="s">
        <v>10</v>
      </c>
      <c r="AD1" s="618"/>
      <c r="AE1" s="618"/>
      <c r="AF1" s="619"/>
      <c r="AG1" s="210"/>
      <c r="AH1" s="85" t="s">
        <v>105</v>
      </c>
      <c r="AI1" s="322" t="s">
        <v>128</v>
      </c>
      <c r="AJ1" s="322"/>
      <c r="AK1" s="322"/>
      <c r="AL1" s="322" t="s">
        <v>133</v>
      </c>
      <c r="AM1" s="322" t="s">
        <v>134</v>
      </c>
      <c r="AN1" s="324" t="s">
        <v>12</v>
      </c>
      <c r="AO1" s="324" t="s">
        <v>13</v>
      </c>
      <c r="AP1" s="324" t="s">
        <v>14</v>
      </c>
      <c r="AQ1" s="324" t="s">
        <v>15</v>
      </c>
      <c r="AR1" s="324" t="s">
        <v>16</v>
      </c>
      <c r="AS1" s="324" t="s">
        <v>17</v>
      </c>
      <c r="AT1" s="324"/>
      <c r="AU1" s="325" t="s">
        <v>18</v>
      </c>
      <c r="AV1" s="179" t="s">
        <v>71</v>
      </c>
      <c r="AW1" s="179" t="s">
        <v>224</v>
      </c>
    </row>
    <row r="2" spans="1:52">
      <c r="A2" s="43"/>
      <c r="B2" s="44" t="s">
        <v>106</v>
      </c>
      <c r="C2" s="44" t="s">
        <v>107</v>
      </c>
      <c r="D2" s="45" t="s">
        <v>0</v>
      </c>
      <c r="E2" s="45" t="s">
        <v>1</v>
      </c>
      <c r="F2" s="46" t="s">
        <v>2</v>
      </c>
      <c r="G2" s="46" t="s">
        <v>3</v>
      </c>
      <c r="H2" s="46" t="s">
        <v>78</v>
      </c>
      <c r="I2" s="47" t="s">
        <v>79</v>
      </c>
      <c r="J2" s="48" t="s">
        <v>102</v>
      </c>
      <c r="K2" s="49" t="s">
        <v>101</v>
      </c>
      <c r="L2" s="46" t="s">
        <v>5</v>
      </c>
      <c r="M2" s="47" t="s">
        <v>379</v>
      </c>
      <c r="N2" s="47"/>
      <c r="O2" s="50" t="s">
        <v>79</v>
      </c>
      <c r="P2" s="51" t="s">
        <v>6</v>
      </c>
      <c r="Q2" s="612"/>
      <c r="R2" s="613"/>
      <c r="S2" s="52" t="s">
        <v>7</v>
      </c>
      <c r="T2" s="53"/>
      <c r="U2" s="411" t="s">
        <v>384</v>
      </c>
      <c r="V2" s="54" t="s">
        <v>103</v>
      </c>
      <c r="W2" s="409"/>
      <c r="X2" s="55" t="s">
        <v>8</v>
      </c>
      <c r="Y2" s="46" t="s">
        <v>9</v>
      </c>
      <c r="Z2" s="400" t="s">
        <v>380</v>
      </c>
      <c r="AA2" s="401" t="s">
        <v>381</v>
      </c>
      <c r="AB2" s="289"/>
      <c r="AC2" s="49" t="s">
        <v>10</v>
      </c>
      <c r="AD2" s="56" t="s">
        <v>11</v>
      </c>
      <c r="AE2" s="57" t="s">
        <v>81</v>
      </c>
      <c r="AF2" s="58" t="s">
        <v>82</v>
      </c>
      <c r="AG2" s="211" t="s">
        <v>127</v>
      </c>
      <c r="AH2" s="54" t="s">
        <v>103</v>
      </c>
      <c r="AI2" s="323" t="s">
        <v>103</v>
      </c>
      <c r="AJ2" s="403"/>
      <c r="AK2" s="403"/>
      <c r="AL2" s="403"/>
      <c r="AM2" s="403"/>
      <c r="AN2" s="402"/>
      <c r="AO2" s="402"/>
      <c r="AP2" s="402"/>
      <c r="AQ2" s="402"/>
      <c r="AR2" s="402"/>
      <c r="AS2" s="402"/>
      <c r="AT2" s="402"/>
      <c r="AU2" s="402"/>
      <c r="AV2" s="275"/>
      <c r="AW2" s="275"/>
    </row>
    <row r="3" spans="1:52">
      <c r="A3" s="43"/>
      <c r="B3" s="44"/>
      <c r="C3" s="44"/>
      <c r="D3" s="45"/>
      <c r="E3" s="45"/>
      <c r="F3" s="46"/>
      <c r="G3" s="46"/>
      <c r="H3" s="46"/>
      <c r="I3" s="65"/>
      <c r="J3" s="48"/>
      <c r="K3" s="49"/>
      <c r="L3" s="46"/>
      <c r="M3" s="47"/>
      <c r="N3" s="47"/>
      <c r="O3" s="50"/>
      <c r="P3" s="51"/>
      <c r="Q3" s="51"/>
      <c r="R3" s="51"/>
      <c r="S3" s="52">
        <v>0</v>
      </c>
      <c r="T3" s="53"/>
      <c r="U3" s="411"/>
      <c r="V3" s="59"/>
      <c r="W3" s="409"/>
      <c r="X3" s="55"/>
      <c r="Y3" s="52"/>
      <c r="Z3" s="47"/>
      <c r="AA3" s="47"/>
      <c r="AB3" s="47"/>
      <c r="AC3" s="49"/>
      <c r="AD3" s="45"/>
      <c r="AE3" s="60"/>
      <c r="AF3" s="61"/>
      <c r="AG3" s="212"/>
      <c r="AH3" s="62"/>
      <c r="AI3" s="326"/>
      <c r="AJ3" s="327"/>
      <c r="AK3" s="327"/>
      <c r="AL3" s="327"/>
      <c r="AM3" s="327"/>
    </row>
    <row r="4" spans="1:52" s="347" customFormat="1">
      <c r="A4" s="63">
        <f>ELEC!C2</f>
        <v>44012</v>
      </c>
      <c r="B4" s="405">
        <f>[1]B5!B34</f>
        <v>140</v>
      </c>
      <c r="C4" s="405">
        <f>[1]B5!C34</f>
        <v>147</v>
      </c>
      <c r="D4" s="405">
        <f>[1]B5!D34</f>
        <v>11</v>
      </c>
      <c r="E4" s="405">
        <f>[1]B5!E34</f>
        <v>92.18</v>
      </c>
      <c r="F4" s="405">
        <f>[1]B5!F34</f>
        <v>1602</v>
      </c>
      <c r="G4" s="405">
        <f>[1]B5!G34</f>
        <v>1</v>
      </c>
      <c r="H4" s="405">
        <f>[1]B5!H34</f>
        <v>354323</v>
      </c>
      <c r="I4" s="405">
        <f>[1]B5!I34</f>
        <v>50</v>
      </c>
      <c r="J4" s="405">
        <f>[1]B5!J34</f>
        <v>50</v>
      </c>
      <c r="K4" s="405">
        <f>[1]B5!K34</f>
        <v>2069</v>
      </c>
      <c r="L4" s="405">
        <f>[1]B5!L34</f>
        <v>3</v>
      </c>
      <c r="M4" s="405">
        <f>[1]B5!M34</f>
        <v>151781</v>
      </c>
      <c r="N4" s="405">
        <f>[1]B5!N34</f>
        <v>193</v>
      </c>
      <c r="O4" s="405">
        <f>[1]B5!O34</f>
        <v>211.87499999999994</v>
      </c>
      <c r="P4" s="405">
        <f>[1]B5!P34</f>
        <v>1807</v>
      </c>
      <c r="Q4" s="405">
        <f>[1]B5!Q34</f>
        <v>153299</v>
      </c>
      <c r="R4" s="405">
        <f>[1]B5!R34</f>
        <v>117</v>
      </c>
      <c r="S4" s="405">
        <f>[1]B5!S34</f>
        <v>1</v>
      </c>
      <c r="T4" s="405">
        <f>[1]B5!T34</f>
        <v>0</v>
      </c>
      <c r="U4" s="405">
        <f>[1]B5!U34</f>
        <v>5</v>
      </c>
      <c r="V4" s="405">
        <f>[1]B5!V34</f>
        <v>360</v>
      </c>
      <c r="W4" s="405">
        <f>[1]B5!W34</f>
        <v>0</v>
      </c>
      <c r="X4" s="405">
        <f>[1]B5!X34</f>
        <v>2418</v>
      </c>
      <c r="Y4" s="405">
        <f>[1]B5!Y34</f>
        <v>0</v>
      </c>
      <c r="Z4" s="405">
        <f>[1]B5!Z34</f>
        <v>135964.1</v>
      </c>
      <c r="AA4" s="405">
        <f>[1]B5!AA34</f>
        <v>0</v>
      </c>
      <c r="AB4" s="405">
        <f>[1]B5!AB34</f>
        <v>0</v>
      </c>
      <c r="AC4" s="405">
        <f>[1]B5!AC34</f>
        <v>1857</v>
      </c>
      <c r="AD4" s="405">
        <f>[1]B5!AD34</f>
        <v>0</v>
      </c>
      <c r="AE4" s="405">
        <f>[1]B5!AE34</f>
        <v>360818</v>
      </c>
      <c r="AF4" s="405">
        <f>[1]B5!AF34</f>
        <v>0</v>
      </c>
      <c r="AG4" s="405">
        <f>[1]B5!AG34</f>
        <v>0</v>
      </c>
      <c r="AH4" s="405">
        <f>[1]B5!AH34</f>
        <v>0</v>
      </c>
      <c r="AI4" s="405">
        <f>[1]B5!AI34</f>
        <v>360</v>
      </c>
      <c r="AJ4" s="405">
        <f>[1]B5!AJ34</f>
        <v>360</v>
      </c>
      <c r="AK4" s="405">
        <f>[1]B5!AK34</f>
        <v>0</v>
      </c>
      <c r="AL4" s="405">
        <f>[1]B5!AL34</f>
        <v>5</v>
      </c>
      <c r="AM4" s="405">
        <f>[1]B5!AM34</f>
        <v>0</v>
      </c>
      <c r="AN4" s="405">
        <f>[1]B5!AN34</f>
        <v>70</v>
      </c>
      <c r="AO4" s="405">
        <f>[1]B5!AO34</f>
        <v>2100</v>
      </c>
      <c r="AP4" s="405">
        <f>[1]B5!AP34</f>
        <v>77</v>
      </c>
      <c r="AQ4" s="405">
        <f>[1]B5!AQ34</f>
        <v>2310</v>
      </c>
      <c r="AR4" s="405">
        <f>[1]B5!AR34</f>
        <v>77</v>
      </c>
      <c r="AS4" s="405">
        <f>[1]B5!AS34</f>
        <v>2310</v>
      </c>
      <c r="AT4" s="405">
        <f>[1]B5!AT34</f>
        <v>6720</v>
      </c>
      <c r="AU4" s="405">
        <f>[1]B5!AU34</f>
        <v>150</v>
      </c>
      <c r="AV4" s="405">
        <f>[1]B5!AV34</f>
        <v>0</v>
      </c>
      <c r="AW4" s="405">
        <f>[1]B5!AW34</f>
        <v>0</v>
      </c>
      <c r="AX4" s="405">
        <f>[1]B5!AX34</f>
        <v>0.7</v>
      </c>
    </row>
    <row r="5" spans="1:52">
      <c r="A5" s="63">
        <f>ELEC!C3</f>
        <v>44013</v>
      </c>
      <c r="B5" s="64">
        <v>183</v>
      </c>
      <c r="C5" s="64">
        <v>190</v>
      </c>
      <c r="D5" s="45">
        <f>C4-C5</f>
        <v>-43</v>
      </c>
      <c r="E5" s="45">
        <f>D5*8.38</f>
        <v>-360.34000000000003</v>
      </c>
      <c r="F5" s="64">
        <v>1605</v>
      </c>
      <c r="G5" s="52">
        <f t="shared" ref="G5:G34" si="0">F5-F4</f>
        <v>3</v>
      </c>
      <c r="H5" s="64">
        <v>354564</v>
      </c>
      <c r="I5" s="406">
        <f t="shared" ref="I5:I34" si="1">SUM(H5-H4)</f>
        <v>241</v>
      </c>
      <c r="J5" s="66">
        <v>1</v>
      </c>
      <c r="K5" s="64">
        <f>K4</f>
        <v>2069</v>
      </c>
      <c r="L5" s="52">
        <f t="shared" ref="L5:L34" si="2">K5-K4</f>
        <v>0</v>
      </c>
      <c r="M5" s="64">
        <f>M4</f>
        <v>151781</v>
      </c>
      <c r="N5" s="406">
        <f t="shared" ref="N5:N34" si="3">M5-M4</f>
        <v>0</v>
      </c>
      <c r="O5" s="64">
        <f>O4</f>
        <v>211.87499999999994</v>
      </c>
      <c r="P5" s="64">
        <v>1809</v>
      </c>
      <c r="Q5" s="64">
        <v>153475</v>
      </c>
      <c r="R5" s="405">
        <f t="shared" ref="R5:R10" si="4">Q5-Q4</f>
        <v>176</v>
      </c>
      <c r="S5" s="52">
        <f t="shared" ref="S5:S34" si="5">SUM(P5-P4)</f>
        <v>2</v>
      </c>
      <c r="T5" s="67">
        <f>SUM(S5*$T$2)</f>
        <v>0</v>
      </c>
      <c r="U5" s="412">
        <f>SUM(G5+L5+S5)</f>
        <v>5</v>
      </c>
      <c r="V5" s="62">
        <f>R5+N5+I5:I5</f>
        <v>417</v>
      </c>
      <c r="W5" s="410">
        <f>SUM(V5/U5)</f>
        <v>83.4</v>
      </c>
      <c r="X5" s="64">
        <v>2418</v>
      </c>
      <c r="Y5" s="52">
        <f>X5-X4</f>
        <v>0</v>
      </c>
      <c r="Z5" s="64">
        <f>Z4</f>
        <v>135964.1</v>
      </c>
      <c r="AA5" s="65">
        <f t="shared" ref="AA5:AA34" si="6">Z5-Z4</f>
        <v>0</v>
      </c>
      <c r="AB5" s="292">
        <f>SUM(Y5*$AB$2)</f>
        <v>0</v>
      </c>
      <c r="AC5" s="64">
        <f>AC4</f>
        <v>1857</v>
      </c>
      <c r="AD5" s="45">
        <f t="shared" ref="AD5:AD34" si="7">AC5-AC4</f>
        <v>0</v>
      </c>
      <c r="AE5" s="64">
        <f>AE4</f>
        <v>360818</v>
      </c>
      <c r="AF5" s="314">
        <f>AE5-AE4</f>
        <v>0</v>
      </c>
      <c r="AG5" s="212">
        <f>IF(AD5&gt;0,AF5/AD5,0)</f>
        <v>0</v>
      </c>
      <c r="AH5" s="62">
        <f>AF5+AA5</f>
        <v>0</v>
      </c>
      <c r="AI5" s="326">
        <f>SUM(AH5+V5)</f>
        <v>417</v>
      </c>
      <c r="AJ5" s="326">
        <f>-tanks!AW6</f>
        <v>417</v>
      </c>
      <c r="AK5" s="326">
        <f>SUM(AJ5-AI5)</f>
        <v>0</v>
      </c>
      <c r="AL5" s="326">
        <f t="shared" ref="AL5:AL18" si="8">S5+L5+G5</f>
        <v>5</v>
      </c>
      <c r="AM5" s="326">
        <f>Y5+AD5</f>
        <v>0</v>
      </c>
      <c r="AN5" s="64">
        <v>69</v>
      </c>
      <c r="AO5" s="328">
        <f>(AN5/100)*3000</f>
        <v>2070</v>
      </c>
      <c r="AP5" s="64">
        <v>76</v>
      </c>
      <c r="AQ5" s="328">
        <f>(AP5/100)*3000</f>
        <v>2280</v>
      </c>
      <c r="AR5" s="64">
        <v>76</v>
      </c>
      <c r="AS5" s="328">
        <f>(AR5/100)*3000</f>
        <v>2280</v>
      </c>
      <c r="AT5" s="328">
        <f>SUM(AO5+AQ5+AS5)</f>
        <v>6630</v>
      </c>
      <c r="AU5" s="328">
        <f>AT4-AT5+AV5</f>
        <v>90</v>
      </c>
      <c r="AV5" s="275"/>
      <c r="AW5" s="275"/>
      <c r="AX5" s="321">
        <f>IF(AV5&gt;0,AW5,AX4)</f>
        <v>0.7</v>
      </c>
    </row>
    <row r="6" spans="1:52">
      <c r="A6" s="63">
        <f>ELEC!C4</f>
        <v>44014</v>
      </c>
      <c r="B6" s="64">
        <v>165</v>
      </c>
      <c r="C6" s="64">
        <v>172</v>
      </c>
      <c r="D6" s="45">
        <f>C5-C6</f>
        <v>18</v>
      </c>
      <c r="E6" s="45">
        <f t="shared" ref="E6:E31" si="9">D6*8.38</f>
        <v>150.84</v>
      </c>
      <c r="F6" s="64">
        <f t="shared" ref="F6:H35" si="10">F5</f>
        <v>1605</v>
      </c>
      <c r="G6" s="52">
        <f t="shared" si="0"/>
        <v>0</v>
      </c>
      <c r="H6" s="64">
        <f t="shared" si="10"/>
        <v>354564</v>
      </c>
      <c r="I6" s="406">
        <f t="shared" si="1"/>
        <v>0</v>
      </c>
      <c r="J6" s="66">
        <f t="shared" ref="J6:J34" si="11">IF(G6&gt;0,I6/G6,0)</f>
        <v>0</v>
      </c>
      <c r="K6" s="64">
        <f t="shared" ref="K6:P35" si="12">K5</f>
        <v>2069</v>
      </c>
      <c r="L6" s="52">
        <f t="shared" si="2"/>
        <v>0</v>
      </c>
      <c r="M6" s="64">
        <f t="shared" ref="M6" si="13">M5</f>
        <v>151781</v>
      </c>
      <c r="N6" s="406">
        <f t="shared" si="3"/>
        <v>0</v>
      </c>
      <c r="O6" s="64">
        <f t="shared" si="12"/>
        <v>211.87499999999994</v>
      </c>
      <c r="P6" s="64">
        <v>1815</v>
      </c>
      <c r="Q6" s="64">
        <v>153940</v>
      </c>
      <c r="R6" s="405">
        <f t="shared" si="4"/>
        <v>465</v>
      </c>
      <c r="S6" s="52">
        <f t="shared" si="5"/>
        <v>6</v>
      </c>
      <c r="T6" s="67">
        <f>SUM(S6*$T$2)</f>
        <v>0</v>
      </c>
      <c r="U6" s="412">
        <f t="shared" ref="U6:U34" si="14">SUM(G6+L6+S6)</f>
        <v>6</v>
      </c>
      <c r="V6" s="62">
        <f t="shared" ref="V6:V34" si="15">R6+N6+I6:I6</f>
        <v>465</v>
      </c>
      <c r="W6" s="410">
        <f t="shared" ref="W6:W16" si="16">SUM(V6/U6)</f>
        <v>77.5</v>
      </c>
      <c r="X6" s="64">
        <f t="shared" ref="X6:Z35" si="17">X5</f>
        <v>2418</v>
      </c>
      <c r="Y6" s="52">
        <f t="shared" ref="Y6:Y34" si="18">X6-X5</f>
        <v>0</v>
      </c>
      <c r="Z6" s="64">
        <f t="shared" si="17"/>
        <v>135964.1</v>
      </c>
      <c r="AA6" s="65">
        <f t="shared" si="6"/>
        <v>0</v>
      </c>
      <c r="AB6" s="292">
        <f>SUM(Y6*$AB$2)</f>
        <v>0</v>
      </c>
      <c r="AC6" s="64">
        <v>1862</v>
      </c>
      <c r="AD6" s="45">
        <f t="shared" si="7"/>
        <v>5</v>
      </c>
      <c r="AE6" s="64">
        <v>361088</v>
      </c>
      <c r="AF6" s="314">
        <f t="shared" ref="AF6:AF34" si="19">AE6-AE5</f>
        <v>270</v>
      </c>
      <c r="AG6" s="212">
        <f>IF(AD6&gt;0,AF6/AD6,0)</f>
        <v>54</v>
      </c>
      <c r="AH6" s="62">
        <f>AF6+AA6</f>
        <v>270</v>
      </c>
      <c r="AI6" s="326">
        <f t="shared" ref="AI6:AI34" si="20">SUM(AH6+V6)</f>
        <v>735</v>
      </c>
      <c r="AJ6" s="326">
        <f>-tanks!AW7</f>
        <v>735</v>
      </c>
      <c r="AK6" s="326">
        <f t="shared" ref="AK6:AK34" si="21">SUM(AJ6-AI6)</f>
        <v>0</v>
      </c>
      <c r="AL6" s="326">
        <f t="shared" si="8"/>
        <v>6</v>
      </c>
      <c r="AM6" s="326">
        <f t="shared" ref="AM6:AM33" si="22">Y6+AD6</f>
        <v>5</v>
      </c>
      <c r="AN6" s="64">
        <v>80</v>
      </c>
      <c r="AO6" s="328">
        <f t="shared" ref="AO6:AO26" si="23">(AN6/100)*3000</f>
        <v>2400</v>
      </c>
      <c r="AP6" s="64">
        <v>80</v>
      </c>
      <c r="AQ6" s="328">
        <f t="shared" ref="AQ6:AQ24" si="24">(AP6/100)*3000</f>
        <v>2400</v>
      </c>
      <c r="AR6" s="64">
        <v>81</v>
      </c>
      <c r="AS6" s="328">
        <f>(AR6/100)*3000</f>
        <v>2430</v>
      </c>
      <c r="AT6" s="328">
        <f>SUM(AO6+AQ6+AS6)</f>
        <v>7230</v>
      </c>
      <c r="AU6" s="328">
        <f>AT5-AT6+AV6</f>
        <v>400</v>
      </c>
      <c r="AV6" s="275">
        <v>1000</v>
      </c>
      <c r="AW6" s="275">
        <v>0.7</v>
      </c>
      <c r="AX6" s="321">
        <f t="shared" ref="AX6:AX34" si="25">IF(AV6&gt;0,AW6,AX5)</f>
        <v>0.7</v>
      </c>
    </row>
    <row r="7" spans="1:52">
      <c r="A7" s="63">
        <f>ELEC!C5</f>
        <v>44015</v>
      </c>
      <c r="B7" s="64">
        <v>149</v>
      </c>
      <c r="C7" s="64">
        <v>158</v>
      </c>
      <c r="D7" s="45">
        <f t="shared" ref="D7:D34" si="26">C6-C7</f>
        <v>14</v>
      </c>
      <c r="E7" s="45">
        <f t="shared" si="9"/>
        <v>117.32000000000001</v>
      </c>
      <c r="F7" s="64">
        <v>1608</v>
      </c>
      <c r="G7" s="52">
        <f t="shared" si="0"/>
        <v>3</v>
      </c>
      <c r="H7" s="64">
        <v>354815</v>
      </c>
      <c r="I7" s="406">
        <f t="shared" si="1"/>
        <v>251</v>
      </c>
      <c r="J7" s="66">
        <f t="shared" si="11"/>
        <v>83.666666666666671</v>
      </c>
      <c r="K7" s="64">
        <f t="shared" si="12"/>
        <v>2069</v>
      </c>
      <c r="L7" s="52">
        <f t="shared" si="2"/>
        <v>0</v>
      </c>
      <c r="M7" s="64">
        <f t="shared" ref="M7" si="27">M6</f>
        <v>151781</v>
      </c>
      <c r="N7" s="406">
        <f t="shared" si="3"/>
        <v>0</v>
      </c>
      <c r="O7" s="64">
        <f t="shared" si="12"/>
        <v>211.87499999999994</v>
      </c>
      <c r="P7" s="64">
        <v>1817</v>
      </c>
      <c r="Q7" s="64">
        <v>154077</v>
      </c>
      <c r="R7" s="405">
        <f t="shared" si="4"/>
        <v>137</v>
      </c>
      <c r="S7" s="52">
        <f t="shared" si="5"/>
        <v>2</v>
      </c>
      <c r="T7" s="67">
        <f t="shared" ref="T7:T34" si="28">SUM(S7*$T$2)</f>
        <v>0</v>
      </c>
      <c r="U7" s="412">
        <f t="shared" si="14"/>
        <v>5</v>
      </c>
      <c r="V7" s="62">
        <f t="shared" si="15"/>
        <v>388</v>
      </c>
      <c r="W7" s="410">
        <f t="shared" si="16"/>
        <v>77.599999999999994</v>
      </c>
      <c r="X7" s="64">
        <f t="shared" si="17"/>
        <v>2418</v>
      </c>
      <c r="Y7" s="52">
        <f t="shared" si="18"/>
        <v>0</v>
      </c>
      <c r="Z7" s="64">
        <f t="shared" si="17"/>
        <v>135964.1</v>
      </c>
      <c r="AA7" s="65">
        <f t="shared" si="6"/>
        <v>0</v>
      </c>
      <c r="AB7" s="292">
        <f t="shared" ref="AB7:AB17" si="29">SUM(Y7*$AB$2)</f>
        <v>0</v>
      </c>
      <c r="AC7" s="64">
        <f t="shared" ref="AC7:AE7" si="30">AC6</f>
        <v>1862</v>
      </c>
      <c r="AD7" s="45">
        <f t="shared" si="7"/>
        <v>0</v>
      </c>
      <c r="AE7" s="64">
        <f t="shared" si="30"/>
        <v>361088</v>
      </c>
      <c r="AF7" s="314">
        <f t="shared" si="19"/>
        <v>0</v>
      </c>
      <c r="AG7" s="212">
        <f t="shared" ref="AG7:AG34" si="31">IF(AD7&gt;0,AF7/AD7,0)</f>
        <v>0</v>
      </c>
      <c r="AH7" s="62">
        <f t="shared" ref="AH7:AH34" si="32">AF7+AA7</f>
        <v>0</v>
      </c>
      <c r="AI7" s="326">
        <f t="shared" si="20"/>
        <v>388</v>
      </c>
      <c r="AJ7" s="326">
        <f>-tanks!AW8</f>
        <v>388</v>
      </c>
      <c r="AK7" s="326">
        <f t="shared" si="21"/>
        <v>0</v>
      </c>
      <c r="AL7" s="326">
        <f t="shared" si="8"/>
        <v>5</v>
      </c>
      <c r="AM7" s="326">
        <f t="shared" si="22"/>
        <v>0</v>
      </c>
      <c r="AN7" s="64">
        <v>78</v>
      </c>
      <c r="AO7" s="328">
        <f t="shared" si="23"/>
        <v>2340</v>
      </c>
      <c r="AP7" s="64">
        <v>79</v>
      </c>
      <c r="AQ7" s="328">
        <f t="shared" si="24"/>
        <v>2370</v>
      </c>
      <c r="AR7" s="64">
        <v>78</v>
      </c>
      <c r="AS7" s="328">
        <f t="shared" ref="AS7:AS34" si="33">(AR7/100)*3000</f>
        <v>2340</v>
      </c>
      <c r="AT7" s="328">
        <f t="shared" ref="AT7:AT23" si="34">SUM(AO7+AQ7+AS7)</f>
        <v>7050</v>
      </c>
      <c r="AU7" s="328">
        <f t="shared" ref="AU7:AU34" si="35">AT6-AT7+AV7</f>
        <v>180</v>
      </c>
      <c r="AV7" s="275"/>
      <c r="AW7" s="275"/>
      <c r="AX7" s="321">
        <f t="shared" si="25"/>
        <v>0.7</v>
      </c>
      <c r="AZ7" s="42" t="s">
        <v>416</v>
      </c>
    </row>
    <row r="8" spans="1:52">
      <c r="A8" s="63">
        <f>ELEC!C6</f>
        <v>44016</v>
      </c>
      <c r="B8" s="64">
        <v>131</v>
      </c>
      <c r="C8" s="64">
        <v>141.5</v>
      </c>
      <c r="D8" s="45">
        <f t="shared" si="26"/>
        <v>16.5</v>
      </c>
      <c r="E8" s="45">
        <f t="shared" si="9"/>
        <v>138.27000000000001</v>
      </c>
      <c r="F8" s="64">
        <v>1611</v>
      </c>
      <c r="G8" s="52">
        <f t="shared" si="0"/>
        <v>3</v>
      </c>
      <c r="H8" s="64">
        <v>355017</v>
      </c>
      <c r="I8" s="406">
        <f t="shared" si="1"/>
        <v>202</v>
      </c>
      <c r="J8" s="66">
        <f t="shared" si="11"/>
        <v>67.333333333333329</v>
      </c>
      <c r="K8" s="64">
        <v>2070</v>
      </c>
      <c r="L8" s="52">
        <f t="shared" si="2"/>
        <v>1</v>
      </c>
      <c r="M8" s="64">
        <v>151864</v>
      </c>
      <c r="N8" s="406">
        <f t="shared" si="3"/>
        <v>83</v>
      </c>
      <c r="O8" s="64">
        <f t="shared" si="12"/>
        <v>211.87499999999994</v>
      </c>
      <c r="P8" s="64">
        <v>1819</v>
      </c>
      <c r="Q8" s="64">
        <v>154326</v>
      </c>
      <c r="R8" s="405">
        <f t="shared" si="4"/>
        <v>249</v>
      </c>
      <c r="S8" s="52">
        <f t="shared" si="5"/>
        <v>2</v>
      </c>
      <c r="T8" s="67">
        <f t="shared" si="28"/>
        <v>0</v>
      </c>
      <c r="U8" s="412">
        <f t="shared" si="14"/>
        <v>6</v>
      </c>
      <c r="V8" s="62">
        <f t="shared" si="15"/>
        <v>534</v>
      </c>
      <c r="W8" s="410">
        <f t="shared" si="16"/>
        <v>89</v>
      </c>
      <c r="X8" s="64">
        <f t="shared" si="17"/>
        <v>2418</v>
      </c>
      <c r="Y8" s="52">
        <f t="shared" si="18"/>
        <v>0</v>
      </c>
      <c r="Z8" s="64">
        <f t="shared" si="17"/>
        <v>135964.1</v>
      </c>
      <c r="AA8" s="65">
        <f t="shared" si="6"/>
        <v>0</v>
      </c>
      <c r="AB8" s="292">
        <f t="shared" si="29"/>
        <v>0</v>
      </c>
      <c r="AC8" s="64">
        <f t="shared" ref="AC8:AE8" si="36">AC7</f>
        <v>1862</v>
      </c>
      <c r="AD8" s="45">
        <f t="shared" si="7"/>
        <v>0</v>
      </c>
      <c r="AE8" s="64">
        <f t="shared" si="36"/>
        <v>361088</v>
      </c>
      <c r="AF8" s="314">
        <f t="shared" si="19"/>
        <v>0</v>
      </c>
      <c r="AG8" s="212">
        <f t="shared" si="31"/>
        <v>0</v>
      </c>
      <c r="AH8" s="62">
        <f t="shared" si="32"/>
        <v>0</v>
      </c>
      <c r="AI8" s="326">
        <f t="shared" si="20"/>
        <v>534</v>
      </c>
      <c r="AJ8" s="326">
        <f>-tanks!AW9</f>
        <v>534</v>
      </c>
      <c r="AK8" s="326">
        <f t="shared" si="21"/>
        <v>0</v>
      </c>
      <c r="AL8" s="326">
        <f t="shared" si="8"/>
        <v>6</v>
      </c>
      <c r="AM8" s="326">
        <f t="shared" si="22"/>
        <v>0</v>
      </c>
      <c r="AN8" s="64">
        <v>78</v>
      </c>
      <c r="AO8" s="328">
        <f t="shared" si="23"/>
        <v>2340</v>
      </c>
      <c r="AP8" s="64">
        <v>79</v>
      </c>
      <c r="AQ8" s="328">
        <f t="shared" si="24"/>
        <v>2370</v>
      </c>
      <c r="AR8" s="64">
        <v>77</v>
      </c>
      <c r="AS8" s="328">
        <f t="shared" si="33"/>
        <v>2310</v>
      </c>
      <c r="AT8" s="328">
        <f t="shared" si="34"/>
        <v>7020</v>
      </c>
      <c r="AU8" s="328">
        <f t="shared" si="35"/>
        <v>30</v>
      </c>
      <c r="AV8" s="275"/>
      <c r="AW8" s="275"/>
      <c r="AX8" s="321">
        <f t="shared" si="25"/>
        <v>0.7</v>
      </c>
    </row>
    <row r="9" spans="1:52">
      <c r="A9" s="63">
        <f>ELEC!C7</f>
        <v>44017</v>
      </c>
      <c r="B9" s="64">
        <v>113</v>
      </c>
      <c r="C9" s="64">
        <v>125</v>
      </c>
      <c r="D9" s="45">
        <f t="shared" si="26"/>
        <v>16.5</v>
      </c>
      <c r="E9" s="45">
        <f t="shared" si="9"/>
        <v>138.27000000000001</v>
      </c>
      <c r="F9" s="64">
        <v>1611</v>
      </c>
      <c r="G9" s="52">
        <f t="shared" si="0"/>
        <v>0</v>
      </c>
      <c r="H9" s="64">
        <v>355017</v>
      </c>
      <c r="I9" s="406">
        <f t="shared" si="1"/>
        <v>0</v>
      </c>
      <c r="J9" s="66">
        <f t="shared" si="11"/>
        <v>0</v>
      </c>
      <c r="K9" s="64">
        <v>2071</v>
      </c>
      <c r="L9" s="52">
        <f t="shared" si="2"/>
        <v>1</v>
      </c>
      <c r="M9" s="64">
        <v>151957</v>
      </c>
      <c r="N9" s="406">
        <f t="shared" si="3"/>
        <v>93</v>
      </c>
      <c r="O9" s="64">
        <f t="shared" si="12"/>
        <v>211.87499999999994</v>
      </c>
      <c r="P9" s="64">
        <v>1823</v>
      </c>
      <c r="Q9" s="64">
        <v>154571</v>
      </c>
      <c r="R9" s="405">
        <f t="shared" si="4"/>
        <v>245</v>
      </c>
      <c r="S9" s="52">
        <f t="shared" si="5"/>
        <v>4</v>
      </c>
      <c r="T9" s="67">
        <f t="shared" si="28"/>
        <v>0</v>
      </c>
      <c r="U9" s="412">
        <f t="shared" si="14"/>
        <v>5</v>
      </c>
      <c r="V9" s="62">
        <f t="shared" si="15"/>
        <v>338</v>
      </c>
      <c r="W9" s="410">
        <f t="shared" si="16"/>
        <v>67.599999999999994</v>
      </c>
      <c r="X9" s="64">
        <v>2418</v>
      </c>
      <c r="Y9" s="52">
        <f t="shared" si="18"/>
        <v>0</v>
      </c>
      <c r="Z9" s="64">
        <f>Z8</f>
        <v>135964.1</v>
      </c>
      <c r="AA9" s="65">
        <f t="shared" si="6"/>
        <v>0</v>
      </c>
      <c r="AB9" s="292">
        <f t="shared" si="29"/>
        <v>0</v>
      </c>
      <c r="AC9" s="64">
        <v>1862</v>
      </c>
      <c r="AD9" s="45">
        <f t="shared" si="7"/>
        <v>0</v>
      </c>
      <c r="AE9" s="64">
        <v>361088</v>
      </c>
      <c r="AF9" s="314">
        <f t="shared" si="19"/>
        <v>0</v>
      </c>
      <c r="AG9" s="212">
        <f t="shared" si="31"/>
        <v>0</v>
      </c>
      <c r="AH9" s="62">
        <f t="shared" si="32"/>
        <v>0</v>
      </c>
      <c r="AI9" s="326">
        <f t="shared" si="20"/>
        <v>338</v>
      </c>
      <c r="AJ9" s="326">
        <f>-tanks!AW10</f>
        <v>338</v>
      </c>
      <c r="AK9" s="326">
        <f t="shared" si="21"/>
        <v>0</v>
      </c>
      <c r="AL9" s="326">
        <f t="shared" si="8"/>
        <v>5</v>
      </c>
      <c r="AM9" s="326">
        <f t="shared" si="22"/>
        <v>0</v>
      </c>
      <c r="AN9" s="64">
        <v>77</v>
      </c>
      <c r="AO9" s="328">
        <f t="shared" si="23"/>
        <v>2310</v>
      </c>
      <c r="AP9" s="64">
        <v>78</v>
      </c>
      <c r="AQ9" s="328">
        <f t="shared" si="24"/>
        <v>2340</v>
      </c>
      <c r="AR9" s="64">
        <v>75</v>
      </c>
      <c r="AS9" s="328">
        <f>(AR9/100)*3000</f>
        <v>2250</v>
      </c>
      <c r="AT9" s="328">
        <f t="shared" si="34"/>
        <v>6900</v>
      </c>
      <c r="AU9" s="328">
        <f t="shared" si="35"/>
        <v>120</v>
      </c>
      <c r="AV9" s="275"/>
      <c r="AW9" s="275"/>
      <c r="AX9" s="321">
        <f t="shared" si="25"/>
        <v>0.7</v>
      </c>
    </row>
    <row r="10" spans="1:52">
      <c r="A10" s="63">
        <f>ELEC!C8</f>
        <v>44018</v>
      </c>
      <c r="B10" s="64">
        <v>136</v>
      </c>
      <c r="C10" s="64">
        <v>143</v>
      </c>
      <c r="D10" s="45">
        <f t="shared" si="26"/>
        <v>-18</v>
      </c>
      <c r="E10" s="45">
        <f t="shared" si="9"/>
        <v>-150.84</v>
      </c>
      <c r="F10" s="64">
        <f t="shared" si="10"/>
        <v>1611</v>
      </c>
      <c r="G10" s="52">
        <f t="shared" si="0"/>
        <v>0</v>
      </c>
      <c r="H10" s="64">
        <v>355017</v>
      </c>
      <c r="I10" s="406">
        <f t="shared" si="1"/>
        <v>0</v>
      </c>
      <c r="J10" s="66">
        <f t="shared" si="11"/>
        <v>0</v>
      </c>
      <c r="K10" s="64">
        <v>2072</v>
      </c>
      <c r="L10" s="52">
        <f t="shared" si="2"/>
        <v>1</v>
      </c>
      <c r="M10" s="64">
        <v>152028</v>
      </c>
      <c r="N10" s="406">
        <f t="shared" si="3"/>
        <v>71</v>
      </c>
      <c r="O10" s="64">
        <f t="shared" si="12"/>
        <v>211.87499999999994</v>
      </c>
      <c r="P10" s="64">
        <v>1825</v>
      </c>
      <c r="Q10" s="64">
        <v>154746</v>
      </c>
      <c r="R10" s="405">
        <f t="shared" si="4"/>
        <v>175</v>
      </c>
      <c r="S10" s="52">
        <f t="shared" si="5"/>
        <v>2</v>
      </c>
      <c r="T10" s="67">
        <f t="shared" si="28"/>
        <v>0</v>
      </c>
      <c r="U10" s="412">
        <f t="shared" si="14"/>
        <v>3</v>
      </c>
      <c r="V10" s="62">
        <f t="shared" si="15"/>
        <v>246</v>
      </c>
      <c r="W10" s="410">
        <f t="shared" si="16"/>
        <v>82</v>
      </c>
      <c r="X10" s="64">
        <v>2418</v>
      </c>
      <c r="Y10" s="52">
        <f t="shared" si="18"/>
        <v>0</v>
      </c>
      <c r="Z10" s="64">
        <v>135964.1</v>
      </c>
      <c r="AA10" s="65">
        <f t="shared" si="6"/>
        <v>0</v>
      </c>
      <c r="AB10" s="292">
        <f t="shared" si="29"/>
        <v>0</v>
      </c>
      <c r="AC10" s="64">
        <v>1865</v>
      </c>
      <c r="AD10" s="45">
        <f t="shared" si="7"/>
        <v>3</v>
      </c>
      <c r="AE10" s="64">
        <v>361272</v>
      </c>
      <c r="AF10" s="314">
        <f t="shared" si="19"/>
        <v>184</v>
      </c>
      <c r="AG10" s="212">
        <f t="shared" si="31"/>
        <v>61.333333333333336</v>
      </c>
      <c r="AH10" s="62">
        <f t="shared" si="32"/>
        <v>184</v>
      </c>
      <c r="AI10" s="326">
        <f>SUM(AH10+V10)</f>
        <v>430</v>
      </c>
      <c r="AJ10" s="326">
        <f>-tanks!AW11</f>
        <v>430</v>
      </c>
      <c r="AK10" s="326">
        <f t="shared" si="21"/>
        <v>0</v>
      </c>
      <c r="AL10" s="326">
        <f t="shared" si="8"/>
        <v>3</v>
      </c>
      <c r="AM10" s="326">
        <f t="shared" si="22"/>
        <v>3</v>
      </c>
      <c r="AN10" s="64">
        <v>75</v>
      </c>
      <c r="AO10" s="328">
        <f t="shared" si="23"/>
        <v>2250</v>
      </c>
      <c r="AP10" s="64">
        <v>76</v>
      </c>
      <c r="AQ10" s="328">
        <f t="shared" si="24"/>
        <v>2280</v>
      </c>
      <c r="AR10" s="64">
        <v>74</v>
      </c>
      <c r="AS10" s="328">
        <f t="shared" si="33"/>
        <v>2220</v>
      </c>
      <c r="AT10" s="328">
        <f t="shared" si="34"/>
        <v>6750</v>
      </c>
      <c r="AU10" s="328">
        <f t="shared" si="35"/>
        <v>150</v>
      </c>
      <c r="AV10" s="275"/>
      <c r="AW10" s="275"/>
      <c r="AX10" s="321">
        <f t="shared" si="25"/>
        <v>0.7</v>
      </c>
    </row>
    <row r="11" spans="1:52">
      <c r="A11" s="63">
        <f>ELEC!C9</f>
        <v>44019</v>
      </c>
      <c r="B11" s="64">
        <v>118</v>
      </c>
      <c r="C11" s="64">
        <v>125.4</v>
      </c>
      <c r="D11" s="45">
        <f t="shared" si="26"/>
        <v>17.599999999999994</v>
      </c>
      <c r="E11" s="45">
        <f t="shared" si="9"/>
        <v>147.48799999999997</v>
      </c>
      <c r="F11" s="64">
        <v>1614</v>
      </c>
      <c r="G11" s="52">
        <f t="shared" si="0"/>
        <v>3</v>
      </c>
      <c r="H11" s="64">
        <v>355214</v>
      </c>
      <c r="I11" s="406">
        <f t="shared" si="1"/>
        <v>197</v>
      </c>
      <c r="J11" s="66">
        <f t="shared" si="11"/>
        <v>65.666666666666671</v>
      </c>
      <c r="K11" s="64">
        <v>2075</v>
      </c>
      <c r="L11" s="52">
        <f t="shared" si="2"/>
        <v>3</v>
      </c>
      <c r="M11" s="64">
        <v>152253</v>
      </c>
      <c r="N11" s="406">
        <f t="shared" si="3"/>
        <v>225</v>
      </c>
      <c r="O11" s="64">
        <f t="shared" si="12"/>
        <v>211.87499999999994</v>
      </c>
      <c r="P11" s="64">
        <v>1827</v>
      </c>
      <c r="Q11" s="64">
        <v>154981</v>
      </c>
      <c r="R11" s="405">
        <f t="shared" ref="R11:R34" si="37">Q11-Q10</f>
        <v>235</v>
      </c>
      <c r="S11" s="52">
        <f t="shared" si="5"/>
        <v>2</v>
      </c>
      <c r="T11" s="67">
        <f t="shared" si="28"/>
        <v>0</v>
      </c>
      <c r="U11" s="412">
        <f t="shared" si="14"/>
        <v>8</v>
      </c>
      <c r="V11" s="62">
        <f t="shared" si="15"/>
        <v>657</v>
      </c>
      <c r="W11" s="410">
        <f t="shared" si="16"/>
        <v>82.125</v>
      </c>
      <c r="X11" s="64">
        <v>2418</v>
      </c>
      <c r="Y11" s="52">
        <f t="shared" si="18"/>
        <v>0</v>
      </c>
      <c r="Z11" s="64">
        <f>Z10</f>
        <v>135964.1</v>
      </c>
      <c r="AA11" s="65">
        <f t="shared" si="6"/>
        <v>0</v>
      </c>
      <c r="AB11" s="292">
        <f t="shared" si="29"/>
        <v>0</v>
      </c>
      <c r="AC11" s="64">
        <v>1865</v>
      </c>
      <c r="AD11" s="45">
        <f t="shared" si="7"/>
        <v>0</v>
      </c>
      <c r="AE11" s="64">
        <v>361272</v>
      </c>
      <c r="AF11" s="314">
        <f t="shared" si="19"/>
        <v>0</v>
      </c>
      <c r="AG11" s="212">
        <f t="shared" si="31"/>
        <v>0</v>
      </c>
      <c r="AH11" s="62">
        <f>AF11+AA11</f>
        <v>0</v>
      </c>
      <c r="AI11" s="326">
        <f>SUM(AH11+V11)</f>
        <v>657</v>
      </c>
      <c r="AJ11" s="326">
        <f>-tanks!AW12</f>
        <v>657</v>
      </c>
      <c r="AK11" s="326">
        <f t="shared" si="21"/>
        <v>0</v>
      </c>
      <c r="AL11" s="326">
        <f t="shared" si="8"/>
        <v>8</v>
      </c>
      <c r="AM11" s="326">
        <f t="shared" si="22"/>
        <v>0</v>
      </c>
      <c r="AN11" s="64">
        <v>73</v>
      </c>
      <c r="AO11" s="328">
        <f t="shared" si="23"/>
        <v>2190</v>
      </c>
      <c r="AP11" s="64">
        <v>75</v>
      </c>
      <c r="AQ11" s="328">
        <f t="shared" si="24"/>
        <v>2250</v>
      </c>
      <c r="AR11" s="64">
        <v>72</v>
      </c>
      <c r="AS11" s="328">
        <f t="shared" si="33"/>
        <v>2160</v>
      </c>
      <c r="AT11" s="328">
        <f t="shared" si="34"/>
        <v>6600</v>
      </c>
      <c r="AU11" s="328">
        <f t="shared" si="35"/>
        <v>150</v>
      </c>
      <c r="AV11" s="275"/>
      <c r="AW11" s="275"/>
      <c r="AX11" s="321">
        <f t="shared" si="25"/>
        <v>0.7</v>
      </c>
    </row>
    <row r="12" spans="1:52">
      <c r="A12" s="63">
        <f>ELEC!C10</f>
        <v>44020</v>
      </c>
      <c r="B12" s="64">
        <v>138.19999999999999</v>
      </c>
      <c r="C12" s="64">
        <v>145.30000000000001</v>
      </c>
      <c r="D12" s="45">
        <f t="shared" si="26"/>
        <v>-19.900000000000006</v>
      </c>
      <c r="E12" s="45">
        <f t="shared" si="9"/>
        <v>-166.76200000000006</v>
      </c>
      <c r="F12" s="64">
        <v>1615</v>
      </c>
      <c r="G12" s="52">
        <f t="shared" si="0"/>
        <v>1</v>
      </c>
      <c r="H12" s="64">
        <v>355291</v>
      </c>
      <c r="I12" s="406">
        <f t="shared" si="1"/>
        <v>77</v>
      </c>
      <c r="J12" s="66">
        <f t="shared" si="11"/>
        <v>77</v>
      </c>
      <c r="K12" s="64">
        <v>2075</v>
      </c>
      <c r="L12" s="52">
        <f t="shared" si="2"/>
        <v>0</v>
      </c>
      <c r="M12" s="64">
        <v>152253</v>
      </c>
      <c r="N12" s="406">
        <f t="shared" si="3"/>
        <v>0</v>
      </c>
      <c r="O12" s="64">
        <f t="shared" si="12"/>
        <v>211.87499999999994</v>
      </c>
      <c r="P12" s="64">
        <v>1829</v>
      </c>
      <c r="Q12" s="64">
        <v>155136</v>
      </c>
      <c r="R12" s="405">
        <f t="shared" si="37"/>
        <v>155</v>
      </c>
      <c r="S12" s="52">
        <f t="shared" si="5"/>
        <v>2</v>
      </c>
      <c r="T12" s="67">
        <f t="shared" si="28"/>
        <v>0</v>
      </c>
      <c r="U12" s="412">
        <f t="shared" si="14"/>
        <v>3</v>
      </c>
      <c r="V12" s="62">
        <f t="shared" si="15"/>
        <v>232</v>
      </c>
      <c r="W12" s="410">
        <f t="shared" si="16"/>
        <v>77.333333333333329</v>
      </c>
      <c r="X12" s="64">
        <v>2418</v>
      </c>
      <c r="Y12" s="52">
        <f t="shared" si="18"/>
        <v>0</v>
      </c>
      <c r="Z12" s="64">
        <f>Z11</f>
        <v>135964.1</v>
      </c>
      <c r="AA12" s="65">
        <f t="shared" si="6"/>
        <v>0</v>
      </c>
      <c r="AB12" s="292">
        <f t="shared" si="29"/>
        <v>0</v>
      </c>
      <c r="AC12" s="64">
        <v>1869</v>
      </c>
      <c r="AD12" s="45">
        <f t="shared" si="7"/>
        <v>4</v>
      </c>
      <c r="AE12" s="64">
        <v>361552</v>
      </c>
      <c r="AF12" s="314">
        <f t="shared" si="19"/>
        <v>280</v>
      </c>
      <c r="AG12" s="212">
        <f t="shared" si="31"/>
        <v>70</v>
      </c>
      <c r="AH12" s="62">
        <f t="shared" si="32"/>
        <v>280</v>
      </c>
      <c r="AI12" s="326">
        <f t="shared" si="20"/>
        <v>512</v>
      </c>
      <c r="AJ12" s="326">
        <f>-tanks!AW13</f>
        <v>512</v>
      </c>
      <c r="AK12" s="326">
        <f t="shared" si="21"/>
        <v>0</v>
      </c>
      <c r="AL12" s="326">
        <f t="shared" si="8"/>
        <v>3</v>
      </c>
      <c r="AM12" s="326">
        <f t="shared" si="22"/>
        <v>4</v>
      </c>
      <c r="AN12" s="64">
        <v>70</v>
      </c>
      <c r="AO12" s="328">
        <f t="shared" si="23"/>
        <v>2100</v>
      </c>
      <c r="AP12" s="64">
        <v>73</v>
      </c>
      <c r="AQ12" s="328">
        <f t="shared" si="24"/>
        <v>2190</v>
      </c>
      <c r="AR12" s="64">
        <v>70</v>
      </c>
      <c r="AS12" s="328">
        <f t="shared" si="33"/>
        <v>2100</v>
      </c>
      <c r="AT12" s="328">
        <f t="shared" si="34"/>
        <v>6390</v>
      </c>
      <c r="AU12" s="328">
        <f t="shared" si="35"/>
        <v>210</v>
      </c>
      <c r="AV12" s="275"/>
      <c r="AW12" s="275"/>
      <c r="AX12" s="321">
        <f t="shared" si="25"/>
        <v>0.7</v>
      </c>
    </row>
    <row r="13" spans="1:52">
      <c r="A13" s="63">
        <f>ELEC!C11</f>
        <v>44021</v>
      </c>
      <c r="B13" s="64">
        <f t="shared" ref="B13:B35" si="38">B12</f>
        <v>138.19999999999999</v>
      </c>
      <c r="C13" s="64">
        <f t="shared" ref="C13:C35" si="39">C12</f>
        <v>145.30000000000001</v>
      </c>
      <c r="D13" s="45">
        <f t="shared" si="26"/>
        <v>0</v>
      </c>
      <c r="E13" s="45">
        <f t="shared" si="9"/>
        <v>0</v>
      </c>
      <c r="F13" s="64">
        <f t="shared" si="10"/>
        <v>1615</v>
      </c>
      <c r="G13" s="52">
        <f t="shared" si="0"/>
        <v>0</v>
      </c>
      <c r="H13" s="64">
        <f t="shared" si="10"/>
        <v>355291</v>
      </c>
      <c r="I13" s="406">
        <f t="shared" si="1"/>
        <v>0</v>
      </c>
      <c r="J13" s="66">
        <f t="shared" si="11"/>
        <v>0</v>
      </c>
      <c r="K13" s="64">
        <f t="shared" si="12"/>
        <v>2075</v>
      </c>
      <c r="L13" s="52">
        <f t="shared" si="2"/>
        <v>0</v>
      </c>
      <c r="M13" s="64">
        <f t="shared" ref="M13" si="40">M12</f>
        <v>152253</v>
      </c>
      <c r="N13" s="406">
        <f t="shared" si="3"/>
        <v>0</v>
      </c>
      <c r="O13" s="64">
        <f t="shared" si="12"/>
        <v>211.87499999999994</v>
      </c>
      <c r="P13" s="64">
        <f t="shared" si="12"/>
        <v>1829</v>
      </c>
      <c r="Q13" s="64">
        <f t="shared" ref="Q13" si="41">Q12</f>
        <v>155136</v>
      </c>
      <c r="R13" s="405">
        <f t="shared" si="37"/>
        <v>0</v>
      </c>
      <c r="S13" s="52">
        <f t="shared" si="5"/>
        <v>0</v>
      </c>
      <c r="T13" s="67">
        <f t="shared" si="28"/>
        <v>0</v>
      </c>
      <c r="U13" s="412">
        <f t="shared" si="14"/>
        <v>0</v>
      </c>
      <c r="V13" s="62">
        <f>R13+N13+I13:I13</f>
        <v>0</v>
      </c>
      <c r="W13" s="410" t="e">
        <f t="shared" si="16"/>
        <v>#DIV/0!</v>
      </c>
      <c r="X13" s="64">
        <f t="shared" si="17"/>
        <v>2418</v>
      </c>
      <c r="Y13" s="52">
        <f t="shared" si="18"/>
        <v>0</v>
      </c>
      <c r="Z13" s="64">
        <f t="shared" si="17"/>
        <v>135964.1</v>
      </c>
      <c r="AA13" s="292">
        <f t="shared" si="6"/>
        <v>0</v>
      </c>
      <c r="AB13" s="292">
        <f t="shared" si="29"/>
        <v>0</v>
      </c>
      <c r="AC13" s="64">
        <f t="shared" ref="AC13:AE13" si="42">AC12</f>
        <v>1869</v>
      </c>
      <c r="AD13" s="45">
        <f t="shared" si="7"/>
        <v>0</v>
      </c>
      <c r="AE13" s="64">
        <f t="shared" si="42"/>
        <v>361552</v>
      </c>
      <c r="AF13" s="314">
        <f t="shared" si="19"/>
        <v>0</v>
      </c>
      <c r="AG13" s="212">
        <f t="shared" si="31"/>
        <v>0</v>
      </c>
      <c r="AH13" s="62">
        <f t="shared" si="32"/>
        <v>0</v>
      </c>
      <c r="AI13" s="326">
        <f t="shared" si="20"/>
        <v>0</v>
      </c>
      <c r="AJ13" s="326">
        <f>-tanks!AW14</f>
        <v>0</v>
      </c>
      <c r="AK13" s="326">
        <f t="shared" si="21"/>
        <v>0</v>
      </c>
      <c r="AL13" s="326">
        <f t="shared" si="8"/>
        <v>0</v>
      </c>
      <c r="AM13" s="326">
        <f t="shared" si="22"/>
        <v>0</v>
      </c>
      <c r="AN13" s="64">
        <f t="shared" ref="AN13:AR35" si="43">AN12</f>
        <v>70</v>
      </c>
      <c r="AO13" s="328">
        <f t="shared" si="23"/>
        <v>2100</v>
      </c>
      <c r="AP13" s="64">
        <f t="shared" si="43"/>
        <v>73</v>
      </c>
      <c r="AQ13" s="328">
        <f t="shared" si="24"/>
        <v>2190</v>
      </c>
      <c r="AR13" s="64">
        <f t="shared" si="43"/>
        <v>70</v>
      </c>
      <c r="AS13" s="328">
        <f t="shared" si="33"/>
        <v>2100</v>
      </c>
      <c r="AT13" s="328">
        <f t="shared" si="34"/>
        <v>6390</v>
      </c>
      <c r="AU13" s="328">
        <f t="shared" si="35"/>
        <v>0</v>
      </c>
      <c r="AV13" s="275"/>
      <c r="AW13" s="275"/>
      <c r="AX13" s="321">
        <f t="shared" si="25"/>
        <v>0.7</v>
      </c>
    </row>
    <row r="14" spans="1:52">
      <c r="A14" s="63">
        <f>ELEC!C12</f>
        <v>44022</v>
      </c>
      <c r="B14" s="64">
        <f t="shared" si="38"/>
        <v>138.19999999999999</v>
      </c>
      <c r="C14" s="64">
        <f t="shared" si="39"/>
        <v>145.30000000000001</v>
      </c>
      <c r="D14" s="45">
        <f t="shared" si="26"/>
        <v>0</v>
      </c>
      <c r="E14" s="45">
        <f t="shared" si="9"/>
        <v>0</v>
      </c>
      <c r="F14" s="64">
        <f t="shared" si="10"/>
        <v>1615</v>
      </c>
      <c r="G14" s="52">
        <f t="shared" si="0"/>
        <v>0</v>
      </c>
      <c r="H14" s="64">
        <f t="shared" si="10"/>
        <v>355291</v>
      </c>
      <c r="I14" s="406">
        <f t="shared" si="1"/>
        <v>0</v>
      </c>
      <c r="J14" s="66">
        <f t="shared" si="11"/>
        <v>0</v>
      </c>
      <c r="K14" s="64">
        <f t="shared" si="12"/>
        <v>2075</v>
      </c>
      <c r="L14" s="52">
        <f t="shared" si="2"/>
        <v>0</v>
      </c>
      <c r="M14" s="64">
        <f t="shared" ref="M14" si="44">M13</f>
        <v>152253</v>
      </c>
      <c r="N14" s="406">
        <f t="shared" si="3"/>
        <v>0</v>
      </c>
      <c r="O14" s="64">
        <f t="shared" si="12"/>
        <v>211.87499999999994</v>
      </c>
      <c r="P14" s="64">
        <f t="shared" si="12"/>
        <v>1829</v>
      </c>
      <c r="Q14" s="64">
        <f t="shared" ref="Q14" si="45">Q13</f>
        <v>155136</v>
      </c>
      <c r="R14" s="405">
        <f t="shared" si="37"/>
        <v>0</v>
      </c>
      <c r="S14" s="52">
        <f t="shared" si="5"/>
        <v>0</v>
      </c>
      <c r="T14" s="67">
        <f t="shared" si="28"/>
        <v>0</v>
      </c>
      <c r="U14" s="412">
        <f t="shared" si="14"/>
        <v>0</v>
      </c>
      <c r="V14" s="62">
        <f t="shared" si="15"/>
        <v>0</v>
      </c>
      <c r="W14" s="410" t="e">
        <f t="shared" si="16"/>
        <v>#DIV/0!</v>
      </c>
      <c r="X14" s="64">
        <f t="shared" si="17"/>
        <v>2418</v>
      </c>
      <c r="Y14" s="52">
        <f t="shared" si="18"/>
        <v>0</v>
      </c>
      <c r="Z14" s="64">
        <f t="shared" si="17"/>
        <v>135964.1</v>
      </c>
      <c r="AA14" s="65">
        <f t="shared" si="6"/>
        <v>0</v>
      </c>
      <c r="AB14" s="292">
        <f t="shared" si="29"/>
        <v>0</v>
      </c>
      <c r="AC14" s="64">
        <f t="shared" ref="AC14:AE14" si="46">AC13</f>
        <v>1869</v>
      </c>
      <c r="AD14" s="45">
        <f t="shared" si="7"/>
        <v>0</v>
      </c>
      <c r="AE14" s="64">
        <f t="shared" si="46"/>
        <v>361552</v>
      </c>
      <c r="AF14" s="314">
        <f>AE14-AE13</f>
        <v>0</v>
      </c>
      <c r="AG14" s="212">
        <f t="shared" si="31"/>
        <v>0</v>
      </c>
      <c r="AH14" s="62">
        <f>AF14+AA14</f>
        <v>0</v>
      </c>
      <c r="AI14" s="326">
        <f>SUM(AH14+V14)</f>
        <v>0</v>
      </c>
      <c r="AJ14" s="326">
        <f>-tanks!AW15</f>
        <v>0</v>
      </c>
      <c r="AK14" s="326">
        <f t="shared" si="21"/>
        <v>0</v>
      </c>
      <c r="AL14" s="326">
        <f t="shared" si="8"/>
        <v>0</v>
      </c>
      <c r="AM14" s="326">
        <f t="shared" si="22"/>
        <v>0</v>
      </c>
      <c r="AN14" s="64">
        <f t="shared" si="43"/>
        <v>70</v>
      </c>
      <c r="AO14" s="328">
        <f t="shared" si="23"/>
        <v>2100</v>
      </c>
      <c r="AP14" s="64">
        <f t="shared" si="43"/>
        <v>73</v>
      </c>
      <c r="AQ14" s="328">
        <f t="shared" si="24"/>
        <v>2190</v>
      </c>
      <c r="AR14" s="64">
        <f t="shared" si="43"/>
        <v>70</v>
      </c>
      <c r="AS14" s="328">
        <f t="shared" si="33"/>
        <v>2100</v>
      </c>
      <c r="AT14" s="328">
        <f t="shared" si="34"/>
        <v>6390</v>
      </c>
      <c r="AU14" s="328">
        <f t="shared" si="35"/>
        <v>0</v>
      </c>
      <c r="AV14" s="275"/>
      <c r="AW14" s="275"/>
      <c r="AX14" s="321">
        <f t="shared" si="25"/>
        <v>0.7</v>
      </c>
    </row>
    <row r="15" spans="1:52" ht="15" customHeight="1">
      <c r="A15" s="63">
        <f>ELEC!C13</f>
        <v>44023</v>
      </c>
      <c r="B15" s="64">
        <f t="shared" si="38"/>
        <v>138.19999999999999</v>
      </c>
      <c r="C15" s="64">
        <f t="shared" si="39"/>
        <v>145.30000000000001</v>
      </c>
      <c r="D15" s="45">
        <f t="shared" si="26"/>
        <v>0</v>
      </c>
      <c r="E15" s="45">
        <f t="shared" si="9"/>
        <v>0</v>
      </c>
      <c r="F15" s="64">
        <f t="shared" si="10"/>
        <v>1615</v>
      </c>
      <c r="G15" s="52">
        <f t="shared" si="0"/>
        <v>0</v>
      </c>
      <c r="H15" s="64">
        <f t="shared" si="10"/>
        <v>355291</v>
      </c>
      <c r="I15" s="406">
        <f t="shared" si="1"/>
        <v>0</v>
      </c>
      <c r="J15" s="66">
        <f t="shared" si="11"/>
        <v>0</v>
      </c>
      <c r="K15" s="64">
        <f t="shared" si="12"/>
        <v>2075</v>
      </c>
      <c r="L15" s="52">
        <f t="shared" si="2"/>
        <v>0</v>
      </c>
      <c r="M15" s="64">
        <f t="shared" ref="M15" si="47">M14</f>
        <v>152253</v>
      </c>
      <c r="N15" s="406">
        <f t="shared" si="3"/>
        <v>0</v>
      </c>
      <c r="O15" s="64">
        <f t="shared" si="12"/>
        <v>211.87499999999994</v>
      </c>
      <c r="P15" s="64">
        <f t="shared" si="12"/>
        <v>1829</v>
      </c>
      <c r="Q15" s="64">
        <f t="shared" ref="Q15" si="48">Q14</f>
        <v>155136</v>
      </c>
      <c r="R15" s="405">
        <f t="shared" si="37"/>
        <v>0</v>
      </c>
      <c r="S15" s="52">
        <f t="shared" si="5"/>
        <v>0</v>
      </c>
      <c r="T15" s="67">
        <f t="shared" si="28"/>
        <v>0</v>
      </c>
      <c r="U15" s="412">
        <f t="shared" si="14"/>
        <v>0</v>
      </c>
      <c r="V15" s="62">
        <f t="shared" si="15"/>
        <v>0</v>
      </c>
      <c r="W15" s="410" t="e">
        <f t="shared" si="16"/>
        <v>#DIV/0!</v>
      </c>
      <c r="X15" s="64">
        <f t="shared" si="17"/>
        <v>2418</v>
      </c>
      <c r="Y15" s="52">
        <f t="shared" si="18"/>
        <v>0</v>
      </c>
      <c r="Z15" s="64">
        <f t="shared" si="17"/>
        <v>135964.1</v>
      </c>
      <c r="AA15" s="65">
        <f t="shared" si="6"/>
        <v>0</v>
      </c>
      <c r="AB15" s="292">
        <f t="shared" si="29"/>
        <v>0</v>
      </c>
      <c r="AC15" s="64">
        <f t="shared" ref="AC15:AE15" si="49">AC14</f>
        <v>1869</v>
      </c>
      <c r="AD15" s="45">
        <f t="shared" si="7"/>
        <v>0</v>
      </c>
      <c r="AE15" s="64">
        <f t="shared" si="49"/>
        <v>361552</v>
      </c>
      <c r="AF15" s="314">
        <f t="shared" si="19"/>
        <v>0</v>
      </c>
      <c r="AG15" s="212">
        <f t="shared" si="31"/>
        <v>0</v>
      </c>
      <c r="AH15" s="62">
        <f t="shared" si="32"/>
        <v>0</v>
      </c>
      <c r="AI15" s="326">
        <f t="shared" si="20"/>
        <v>0</v>
      </c>
      <c r="AJ15" s="326">
        <f>-tanks!AW16</f>
        <v>0</v>
      </c>
      <c r="AK15" s="326">
        <f t="shared" si="21"/>
        <v>0</v>
      </c>
      <c r="AL15" s="326">
        <f t="shared" si="8"/>
        <v>0</v>
      </c>
      <c r="AM15" s="326">
        <f t="shared" si="22"/>
        <v>0</v>
      </c>
      <c r="AN15" s="64">
        <f t="shared" si="43"/>
        <v>70</v>
      </c>
      <c r="AO15" s="328">
        <f t="shared" si="23"/>
        <v>2100</v>
      </c>
      <c r="AP15" s="64">
        <f t="shared" si="43"/>
        <v>73</v>
      </c>
      <c r="AQ15" s="328">
        <f t="shared" si="24"/>
        <v>2190</v>
      </c>
      <c r="AR15" s="64">
        <f t="shared" si="43"/>
        <v>70</v>
      </c>
      <c r="AS15" s="328">
        <f t="shared" si="33"/>
        <v>2100</v>
      </c>
      <c r="AT15" s="328">
        <f t="shared" si="34"/>
        <v>6390</v>
      </c>
      <c r="AU15" s="328">
        <f t="shared" si="35"/>
        <v>0</v>
      </c>
      <c r="AV15" s="275"/>
      <c r="AW15" s="275"/>
      <c r="AX15" s="321">
        <f t="shared" si="25"/>
        <v>0.7</v>
      </c>
    </row>
    <row r="16" spans="1:52">
      <c r="A16" s="63">
        <f>ELEC!C14</f>
        <v>44024</v>
      </c>
      <c r="B16" s="64">
        <f t="shared" si="38"/>
        <v>138.19999999999999</v>
      </c>
      <c r="C16" s="64">
        <f t="shared" si="39"/>
        <v>145.30000000000001</v>
      </c>
      <c r="D16" s="45">
        <f t="shared" si="26"/>
        <v>0</v>
      </c>
      <c r="E16" s="45">
        <f t="shared" si="9"/>
        <v>0</v>
      </c>
      <c r="F16" s="64">
        <f t="shared" si="10"/>
        <v>1615</v>
      </c>
      <c r="G16" s="52">
        <f t="shared" si="0"/>
        <v>0</v>
      </c>
      <c r="H16" s="64">
        <f t="shared" si="10"/>
        <v>355291</v>
      </c>
      <c r="I16" s="406">
        <f t="shared" si="1"/>
        <v>0</v>
      </c>
      <c r="J16" s="66">
        <f t="shared" si="11"/>
        <v>0</v>
      </c>
      <c r="K16" s="64">
        <f t="shared" si="12"/>
        <v>2075</v>
      </c>
      <c r="L16" s="52">
        <f t="shared" si="2"/>
        <v>0</v>
      </c>
      <c r="M16" s="64">
        <f t="shared" ref="M16" si="50">M15</f>
        <v>152253</v>
      </c>
      <c r="N16" s="406">
        <f t="shared" si="3"/>
        <v>0</v>
      </c>
      <c r="O16" s="64">
        <f t="shared" si="12"/>
        <v>211.87499999999994</v>
      </c>
      <c r="P16" s="64">
        <f t="shared" si="12"/>
        <v>1829</v>
      </c>
      <c r="Q16" s="64">
        <f t="shared" ref="Q16" si="51">Q15</f>
        <v>155136</v>
      </c>
      <c r="R16" s="405">
        <f t="shared" si="37"/>
        <v>0</v>
      </c>
      <c r="S16" s="52">
        <f t="shared" si="5"/>
        <v>0</v>
      </c>
      <c r="T16" s="67">
        <f t="shared" si="28"/>
        <v>0</v>
      </c>
      <c r="U16" s="412">
        <f t="shared" si="14"/>
        <v>0</v>
      </c>
      <c r="V16" s="62">
        <f t="shared" si="15"/>
        <v>0</v>
      </c>
      <c r="W16" s="410" t="e">
        <f t="shared" si="16"/>
        <v>#DIV/0!</v>
      </c>
      <c r="X16" s="64">
        <f t="shared" si="17"/>
        <v>2418</v>
      </c>
      <c r="Y16" s="52">
        <f t="shared" si="18"/>
        <v>0</v>
      </c>
      <c r="Z16" s="64">
        <f t="shared" si="17"/>
        <v>135964.1</v>
      </c>
      <c r="AA16" s="65">
        <f t="shared" si="6"/>
        <v>0</v>
      </c>
      <c r="AB16" s="292">
        <f t="shared" si="29"/>
        <v>0</v>
      </c>
      <c r="AC16" s="64">
        <f t="shared" ref="AC16:AE16" si="52">AC15</f>
        <v>1869</v>
      </c>
      <c r="AD16" s="45">
        <f t="shared" si="7"/>
        <v>0</v>
      </c>
      <c r="AE16" s="64">
        <f t="shared" si="52"/>
        <v>361552</v>
      </c>
      <c r="AF16" s="314">
        <f t="shared" si="19"/>
        <v>0</v>
      </c>
      <c r="AG16" s="212">
        <f t="shared" si="31"/>
        <v>0</v>
      </c>
      <c r="AH16" s="62">
        <f t="shared" si="32"/>
        <v>0</v>
      </c>
      <c r="AI16" s="326">
        <f t="shared" si="20"/>
        <v>0</v>
      </c>
      <c r="AJ16" s="326">
        <f>-tanks!AW17</f>
        <v>0</v>
      </c>
      <c r="AK16" s="326">
        <f t="shared" si="21"/>
        <v>0</v>
      </c>
      <c r="AL16" s="326">
        <f t="shared" si="8"/>
        <v>0</v>
      </c>
      <c r="AM16" s="326">
        <f t="shared" si="22"/>
        <v>0</v>
      </c>
      <c r="AN16" s="64">
        <f t="shared" si="43"/>
        <v>70</v>
      </c>
      <c r="AO16" s="328">
        <f t="shared" si="23"/>
        <v>2100</v>
      </c>
      <c r="AP16" s="64">
        <f t="shared" si="43"/>
        <v>73</v>
      </c>
      <c r="AQ16" s="328">
        <f t="shared" si="24"/>
        <v>2190</v>
      </c>
      <c r="AR16" s="64">
        <f t="shared" si="43"/>
        <v>70</v>
      </c>
      <c r="AS16" s="328">
        <f t="shared" si="33"/>
        <v>2100</v>
      </c>
      <c r="AT16" s="328">
        <f t="shared" si="34"/>
        <v>6390</v>
      </c>
      <c r="AU16" s="328">
        <f t="shared" si="35"/>
        <v>0</v>
      </c>
      <c r="AV16" s="275"/>
      <c r="AW16" s="275"/>
      <c r="AX16" s="321">
        <f t="shared" si="25"/>
        <v>0.7</v>
      </c>
    </row>
    <row r="17" spans="1:50">
      <c r="A17" s="63">
        <f>ELEC!C15</f>
        <v>44025</v>
      </c>
      <c r="B17" s="64">
        <f t="shared" si="38"/>
        <v>138.19999999999999</v>
      </c>
      <c r="C17" s="64">
        <f t="shared" si="39"/>
        <v>145.30000000000001</v>
      </c>
      <c r="D17" s="45">
        <f t="shared" si="26"/>
        <v>0</v>
      </c>
      <c r="E17" s="45">
        <f t="shared" si="9"/>
        <v>0</v>
      </c>
      <c r="F17" s="64">
        <f t="shared" si="10"/>
        <v>1615</v>
      </c>
      <c r="G17" s="52">
        <f t="shared" si="0"/>
        <v>0</v>
      </c>
      <c r="H17" s="64">
        <f t="shared" si="10"/>
        <v>355291</v>
      </c>
      <c r="I17" s="406">
        <f t="shared" si="1"/>
        <v>0</v>
      </c>
      <c r="J17" s="66">
        <f t="shared" si="11"/>
        <v>0</v>
      </c>
      <c r="K17" s="64">
        <f t="shared" si="12"/>
        <v>2075</v>
      </c>
      <c r="L17" s="52">
        <f t="shared" si="2"/>
        <v>0</v>
      </c>
      <c r="M17" s="64">
        <f t="shared" ref="M17" si="53">M16</f>
        <v>152253</v>
      </c>
      <c r="N17" s="406">
        <f t="shared" si="3"/>
        <v>0</v>
      </c>
      <c r="O17" s="64">
        <f t="shared" si="12"/>
        <v>211.87499999999994</v>
      </c>
      <c r="P17" s="64">
        <f t="shared" si="12"/>
        <v>1829</v>
      </c>
      <c r="Q17" s="64">
        <f t="shared" ref="Q17" si="54">Q16</f>
        <v>155136</v>
      </c>
      <c r="R17" s="405">
        <f t="shared" si="37"/>
        <v>0</v>
      </c>
      <c r="S17" s="52">
        <f t="shared" si="5"/>
        <v>0</v>
      </c>
      <c r="T17" s="67">
        <f t="shared" si="28"/>
        <v>0</v>
      </c>
      <c r="U17" s="412">
        <f t="shared" si="14"/>
        <v>0</v>
      </c>
      <c r="V17" s="62">
        <f t="shared" si="15"/>
        <v>0</v>
      </c>
      <c r="W17" s="410"/>
      <c r="X17" s="64">
        <f t="shared" si="17"/>
        <v>2418</v>
      </c>
      <c r="Y17" s="52">
        <f t="shared" si="18"/>
        <v>0</v>
      </c>
      <c r="Z17" s="64">
        <f t="shared" si="17"/>
        <v>135964.1</v>
      </c>
      <c r="AA17" s="65">
        <f t="shared" si="6"/>
        <v>0</v>
      </c>
      <c r="AB17" s="292">
        <f t="shared" si="29"/>
        <v>0</v>
      </c>
      <c r="AC17" s="64">
        <f t="shared" ref="AC17:AE17" si="55">AC16</f>
        <v>1869</v>
      </c>
      <c r="AD17" s="45">
        <f t="shared" si="7"/>
        <v>0</v>
      </c>
      <c r="AE17" s="64">
        <f t="shared" si="55"/>
        <v>361552</v>
      </c>
      <c r="AF17" s="314">
        <f t="shared" si="19"/>
        <v>0</v>
      </c>
      <c r="AG17" s="212">
        <f t="shared" si="31"/>
        <v>0</v>
      </c>
      <c r="AH17" s="62">
        <f t="shared" si="32"/>
        <v>0</v>
      </c>
      <c r="AI17" s="326">
        <f t="shared" si="20"/>
        <v>0</v>
      </c>
      <c r="AJ17" s="326">
        <f>-tanks!AW18</f>
        <v>0</v>
      </c>
      <c r="AK17" s="326">
        <f t="shared" si="21"/>
        <v>0</v>
      </c>
      <c r="AL17" s="326">
        <f t="shared" si="8"/>
        <v>0</v>
      </c>
      <c r="AM17" s="326">
        <f t="shared" si="22"/>
        <v>0</v>
      </c>
      <c r="AN17" s="64">
        <f t="shared" si="43"/>
        <v>70</v>
      </c>
      <c r="AO17" s="328">
        <f t="shared" si="23"/>
        <v>2100</v>
      </c>
      <c r="AP17" s="64">
        <f t="shared" si="43"/>
        <v>73</v>
      </c>
      <c r="AQ17" s="328">
        <f t="shared" si="24"/>
        <v>2190</v>
      </c>
      <c r="AR17" s="64">
        <f t="shared" si="43"/>
        <v>70</v>
      </c>
      <c r="AS17" s="328">
        <f t="shared" si="33"/>
        <v>2100</v>
      </c>
      <c r="AT17" s="328">
        <f t="shared" si="34"/>
        <v>6390</v>
      </c>
      <c r="AU17" s="328">
        <f t="shared" si="35"/>
        <v>0</v>
      </c>
      <c r="AV17" s="275"/>
      <c r="AW17" s="275"/>
      <c r="AX17" s="321">
        <f t="shared" si="25"/>
        <v>0.7</v>
      </c>
    </row>
    <row r="18" spans="1:50">
      <c r="A18" s="63">
        <f>ELEC!C16</f>
        <v>44026</v>
      </c>
      <c r="B18" s="64">
        <f t="shared" si="38"/>
        <v>138.19999999999999</v>
      </c>
      <c r="C18" s="64">
        <f t="shared" si="39"/>
        <v>145.30000000000001</v>
      </c>
      <c r="D18" s="45">
        <f t="shared" si="26"/>
        <v>0</v>
      </c>
      <c r="E18" s="45">
        <f t="shared" si="9"/>
        <v>0</v>
      </c>
      <c r="F18" s="64">
        <f t="shared" si="10"/>
        <v>1615</v>
      </c>
      <c r="G18" s="52">
        <f t="shared" si="0"/>
        <v>0</v>
      </c>
      <c r="H18" s="64">
        <f t="shared" si="10"/>
        <v>355291</v>
      </c>
      <c r="I18" s="406">
        <f t="shared" si="1"/>
        <v>0</v>
      </c>
      <c r="J18" s="66">
        <f t="shared" si="11"/>
        <v>0</v>
      </c>
      <c r="K18" s="64">
        <f t="shared" si="12"/>
        <v>2075</v>
      </c>
      <c r="L18" s="52">
        <f t="shared" si="2"/>
        <v>0</v>
      </c>
      <c r="M18" s="64">
        <f t="shared" ref="M18" si="56">M17</f>
        <v>152253</v>
      </c>
      <c r="N18" s="406">
        <f t="shared" si="3"/>
        <v>0</v>
      </c>
      <c r="O18" s="64">
        <f t="shared" si="12"/>
        <v>211.87499999999994</v>
      </c>
      <c r="P18" s="64">
        <f t="shared" si="12"/>
        <v>1829</v>
      </c>
      <c r="Q18" s="64">
        <f t="shared" ref="Q18" si="57">Q17</f>
        <v>155136</v>
      </c>
      <c r="R18" s="405">
        <f t="shared" si="37"/>
        <v>0</v>
      </c>
      <c r="S18" s="52">
        <f t="shared" si="5"/>
        <v>0</v>
      </c>
      <c r="T18" s="67">
        <f t="shared" si="28"/>
        <v>0</v>
      </c>
      <c r="U18" s="412">
        <f t="shared" si="14"/>
        <v>0</v>
      </c>
      <c r="V18" s="62">
        <f t="shared" si="15"/>
        <v>0</v>
      </c>
      <c r="W18" s="410"/>
      <c r="X18" s="64">
        <f t="shared" si="17"/>
        <v>2418</v>
      </c>
      <c r="Y18" s="52">
        <f t="shared" si="18"/>
        <v>0</v>
      </c>
      <c r="Z18" s="64">
        <f t="shared" si="17"/>
        <v>135964.1</v>
      </c>
      <c r="AA18" s="65">
        <f t="shared" si="6"/>
        <v>0</v>
      </c>
      <c r="AB18" s="292">
        <f t="shared" ref="AB18:AB23" si="58">SUM(Y18*$AB$2)</f>
        <v>0</v>
      </c>
      <c r="AC18" s="64">
        <f t="shared" ref="AC18:AE18" si="59">AC17</f>
        <v>1869</v>
      </c>
      <c r="AD18" s="45">
        <f t="shared" si="7"/>
        <v>0</v>
      </c>
      <c r="AE18" s="64">
        <f t="shared" si="59"/>
        <v>361552</v>
      </c>
      <c r="AF18" s="314">
        <f t="shared" si="19"/>
        <v>0</v>
      </c>
      <c r="AG18" s="212">
        <f t="shared" si="31"/>
        <v>0</v>
      </c>
      <c r="AH18" s="62">
        <f t="shared" si="32"/>
        <v>0</v>
      </c>
      <c r="AI18" s="326">
        <f t="shared" si="20"/>
        <v>0</v>
      </c>
      <c r="AJ18" s="326">
        <f>-tanks!AW19</f>
        <v>0</v>
      </c>
      <c r="AK18" s="326">
        <f t="shared" si="21"/>
        <v>0</v>
      </c>
      <c r="AL18" s="326">
        <f t="shared" si="8"/>
        <v>0</v>
      </c>
      <c r="AM18" s="326">
        <f t="shared" si="22"/>
        <v>0</v>
      </c>
      <c r="AN18" s="64">
        <f t="shared" si="43"/>
        <v>70</v>
      </c>
      <c r="AO18" s="328">
        <f t="shared" si="23"/>
        <v>2100</v>
      </c>
      <c r="AP18" s="64">
        <f t="shared" si="43"/>
        <v>73</v>
      </c>
      <c r="AQ18" s="328">
        <f t="shared" si="24"/>
        <v>2190</v>
      </c>
      <c r="AR18" s="64">
        <f t="shared" si="43"/>
        <v>70</v>
      </c>
      <c r="AS18" s="328">
        <f t="shared" si="33"/>
        <v>2100</v>
      </c>
      <c r="AT18" s="328">
        <f t="shared" si="34"/>
        <v>6390</v>
      </c>
      <c r="AU18" s="328">
        <f t="shared" si="35"/>
        <v>0</v>
      </c>
      <c r="AV18" s="275"/>
      <c r="AW18" s="275"/>
      <c r="AX18" s="321">
        <f t="shared" si="25"/>
        <v>0.7</v>
      </c>
    </row>
    <row r="19" spans="1:50">
      <c r="A19" s="63">
        <f>ELEC!C17</f>
        <v>44027</v>
      </c>
      <c r="B19" s="64">
        <f t="shared" si="38"/>
        <v>138.19999999999999</v>
      </c>
      <c r="C19" s="64">
        <f t="shared" si="39"/>
        <v>145.30000000000001</v>
      </c>
      <c r="D19" s="45">
        <f t="shared" si="26"/>
        <v>0</v>
      </c>
      <c r="E19" s="45">
        <f t="shared" si="9"/>
        <v>0</v>
      </c>
      <c r="F19" s="64">
        <f t="shared" si="10"/>
        <v>1615</v>
      </c>
      <c r="G19" s="52">
        <f t="shared" si="0"/>
        <v>0</v>
      </c>
      <c r="H19" s="64">
        <f t="shared" si="10"/>
        <v>355291</v>
      </c>
      <c r="I19" s="406">
        <f t="shared" si="1"/>
        <v>0</v>
      </c>
      <c r="J19" s="66">
        <f t="shared" si="11"/>
        <v>0</v>
      </c>
      <c r="K19" s="64">
        <f t="shared" si="12"/>
        <v>2075</v>
      </c>
      <c r="L19" s="52">
        <f t="shared" si="2"/>
        <v>0</v>
      </c>
      <c r="M19" s="64">
        <f t="shared" ref="M19" si="60">M18</f>
        <v>152253</v>
      </c>
      <c r="N19" s="406">
        <f t="shared" si="3"/>
        <v>0</v>
      </c>
      <c r="O19" s="64">
        <f t="shared" si="12"/>
        <v>211.87499999999994</v>
      </c>
      <c r="P19" s="64">
        <f t="shared" si="12"/>
        <v>1829</v>
      </c>
      <c r="Q19" s="64">
        <f t="shared" ref="Q19" si="61">Q18</f>
        <v>155136</v>
      </c>
      <c r="R19" s="405">
        <f t="shared" si="37"/>
        <v>0</v>
      </c>
      <c r="S19" s="52">
        <f t="shared" si="5"/>
        <v>0</v>
      </c>
      <c r="T19" s="67">
        <f t="shared" si="28"/>
        <v>0</v>
      </c>
      <c r="U19" s="412">
        <f t="shared" si="14"/>
        <v>0</v>
      </c>
      <c r="V19" s="62">
        <f t="shared" si="15"/>
        <v>0</v>
      </c>
      <c r="W19" s="410"/>
      <c r="X19" s="64">
        <f t="shared" si="17"/>
        <v>2418</v>
      </c>
      <c r="Y19" s="52">
        <f t="shared" si="18"/>
        <v>0</v>
      </c>
      <c r="Z19" s="64">
        <f t="shared" si="17"/>
        <v>135964.1</v>
      </c>
      <c r="AA19" s="65">
        <f t="shared" si="6"/>
        <v>0</v>
      </c>
      <c r="AB19" s="292">
        <f t="shared" si="58"/>
        <v>0</v>
      </c>
      <c r="AC19" s="64">
        <f t="shared" ref="AC19:AE19" si="62">AC18</f>
        <v>1869</v>
      </c>
      <c r="AD19" s="45">
        <f t="shared" si="7"/>
        <v>0</v>
      </c>
      <c r="AE19" s="64">
        <f t="shared" si="62"/>
        <v>361552</v>
      </c>
      <c r="AF19" s="314">
        <f t="shared" si="19"/>
        <v>0</v>
      </c>
      <c r="AG19" s="212">
        <f t="shared" si="31"/>
        <v>0</v>
      </c>
      <c r="AH19" s="62">
        <f t="shared" si="32"/>
        <v>0</v>
      </c>
      <c r="AI19" s="326">
        <f t="shared" si="20"/>
        <v>0</v>
      </c>
      <c r="AJ19" s="326">
        <f>-tanks!AW20</f>
        <v>0</v>
      </c>
      <c r="AK19" s="326">
        <f t="shared" si="21"/>
        <v>0</v>
      </c>
      <c r="AL19" s="326">
        <f>S19+L20+G19</f>
        <v>0</v>
      </c>
      <c r="AM19" s="326">
        <f t="shared" si="22"/>
        <v>0</v>
      </c>
      <c r="AN19" s="64">
        <f t="shared" si="43"/>
        <v>70</v>
      </c>
      <c r="AO19" s="328">
        <f t="shared" si="23"/>
        <v>2100</v>
      </c>
      <c r="AP19" s="64">
        <f t="shared" si="43"/>
        <v>73</v>
      </c>
      <c r="AQ19" s="328">
        <f t="shared" si="24"/>
        <v>2190</v>
      </c>
      <c r="AR19" s="64">
        <f t="shared" si="43"/>
        <v>70</v>
      </c>
      <c r="AS19" s="328">
        <f t="shared" si="33"/>
        <v>2100</v>
      </c>
      <c r="AT19" s="328">
        <f t="shared" si="34"/>
        <v>6390</v>
      </c>
      <c r="AU19" s="328">
        <f t="shared" si="35"/>
        <v>0</v>
      </c>
      <c r="AV19" s="275"/>
      <c r="AW19" s="275"/>
      <c r="AX19" s="321">
        <f t="shared" si="25"/>
        <v>0.7</v>
      </c>
    </row>
    <row r="20" spans="1:50">
      <c r="A20" s="63">
        <f>ELEC!C18</f>
        <v>44028</v>
      </c>
      <c r="B20" s="64">
        <f t="shared" si="38"/>
        <v>138.19999999999999</v>
      </c>
      <c r="C20" s="64">
        <f t="shared" si="39"/>
        <v>145.30000000000001</v>
      </c>
      <c r="D20" s="45">
        <f>C19-C20</f>
        <v>0</v>
      </c>
      <c r="E20" s="45">
        <f t="shared" si="9"/>
        <v>0</v>
      </c>
      <c r="F20" s="64">
        <f t="shared" si="10"/>
        <v>1615</v>
      </c>
      <c r="G20" s="52">
        <f t="shared" si="0"/>
        <v>0</v>
      </c>
      <c r="H20" s="64">
        <f t="shared" si="10"/>
        <v>355291</v>
      </c>
      <c r="I20" s="406">
        <f t="shared" si="1"/>
        <v>0</v>
      </c>
      <c r="J20" s="66">
        <f t="shared" si="11"/>
        <v>0</v>
      </c>
      <c r="K20" s="64">
        <f t="shared" si="12"/>
        <v>2075</v>
      </c>
      <c r="L20" s="52">
        <f t="shared" si="2"/>
        <v>0</v>
      </c>
      <c r="M20" s="64">
        <f t="shared" ref="M20" si="63">M19</f>
        <v>152253</v>
      </c>
      <c r="N20" s="406">
        <f t="shared" si="3"/>
        <v>0</v>
      </c>
      <c r="O20" s="64">
        <f t="shared" si="12"/>
        <v>211.87499999999994</v>
      </c>
      <c r="P20" s="64">
        <f t="shared" si="12"/>
        <v>1829</v>
      </c>
      <c r="Q20" s="64">
        <f t="shared" ref="Q20" si="64">Q19</f>
        <v>155136</v>
      </c>
      <c r="R20" s="405">
        <f t="shared" si="37"/>
        <v>0</v>
      </c>
      <c r="S20" s="52">
        <f t="shared" si="5"/>
        <v>0</v>
      </c>
      <c r="T20" s="67">
        <f t="shared" si="28"/>
        <v>0</v>
      </c>
      <c r="U20" s="412">
        <f t="shared" si="14"/>
        <v>0</v>
      </c>
      <c r="V20" s="62">
        <f t="shared" si="15"/>
        <v>0</v>
      </c>
      <c r="W20" s="410"/>
      <c r="X20" s="64">
        <f t="shared" si="17"/>
        <v>2418</v>
      </c>
      <c r="Y20" s="52">
        <f t="shared" si="18"/>
        <v>0</v>
      </c>
      <c r="Z20" s="64">
        <f t="shared" si="17"/>
        <v>135964.1</v>
      </c>
      <c r="AA20" s="65">
        <f t="shared" si="6"/>
        <v>0</v>
      </c>
      <c r="AB20" s="292">
        <f t="shared" si="58"/>
        <v>0</v>
      </c>
      <c r="AC20" s="64">
        <f t="shared" ref="AC20:AE20" si="65">AC19</f>
        <v>1869</v>
      </c>
      <c r="AD20" s="45">
        <f t="shared" si="7"/>
        <v>0</v>
      </c>
      <c r="AE20" s="64">
        <f t="shared" si="65"/>
        <v>361552</v>
      </c>
      <c r="AF20" s="314">
        <f t="shared" si="19"/>
        <v>0</v>
      </c>
      <c r="AG20" s="212">
        <f t="shared" si="31"/>
        <v>0</v>
      </c>
      <c r="AH20" s="62">
        <f t="shared" si="32"/>
        <v>0</v>
      </c>
      <c r="AI20" s="326">
        <f t="shared" si="20"/>
        <v>0</v>
      </c>
      <c r="AJ20" s="326">
        <f>-tanks!AW21</f>
        <v>0</v>
      </c>
      <c r="AK20" s="326">
        <f t="shared" si="21"/>
        <v>0</v>
      </c>
      <c r="AL20" s="326">
        <f>S20+L21+G20</f>
        <v>0</v>
      </c>
      <c r="AM20" s="326">
        <f t="shared" si="22"/>
        <v>0</v>
      </c>
      <c r="AN20" s="64">
        <f t="shared" si="43"/>
        <v>70</v>
      </c>
      <c r="AO20" s="328">
        <f t="shared" si="23"/>
        <v>2100</v>
      </c>
      <c r="AP20" s="64">
        <f t="shared" si="43"/>
        <v>73</v>
      </c>
      <c r="AQ20" s="328">
        <f t="shared" si="24"/>
        <v>2190</v>
      </c>
      <c r="AR20" s="64">
        <f t="shared" si="43"/>
        <v>70</v>
      </c>
      <c r="AS20" s="328">
        <f t="shared" si="33"/>
        <v>2100</v>
      </c>
      <c r="AT20" s="328">
        <f t="shared" si="34"/>
        <v>6390</v>
      </c>
      <c r="AU20" s="328">
        <f t="shared" si="35"/>
        <v>0</v>
      </c>
      <c r="AV20" s="275"/>
      <c r="AW20" s="275"/>
      <c r="AX20" s="321">
        <f t="shared" si="25"/>
        <v>0.7</v>
      </c>
    </row>
    <row r="21" spans="1:50">
      <c r="A21" s="63">
        <f>ELEC!C19</f>
        <v>44029</v>
      </c>
      <c r="B21" s="64">
        <f t="shared" si="38"/>
        <v>138.19999999999999</v>
      </c>
      <c r="C21" s="64">
        <f t="shared" si="39"/>
        <v>145.30000000000001</v>
      </c>
      <c r="D21" s="45">
        <f t="shared" ref="D21:D31" si="66">C20-C21</f>
        <v>0</v>
      </c>
      <c r="E21" s="45">
        <f t="shared" si="9"/>
        <v>0</v>
      </c>
      <c r="F21" s="64">
        <f t="shared" si="10"/>
        <v>1615</v>
      </c>
      <c r="G21" s="52">
        <f t="shared" si="0"/>
        <v>0</v>
      </c>
      <c r="H21" s="64">
        <f t="shared" si="10"/>
        <v>355291</v>
      </c>
      <c r="I21" s="406">
        <f t="shared" si="1"/>
        <v>0</v>
      </c>
      <c r="J21" s="66">
        <f t="shared" si="11"/>
        <v>0</v>
      </c>
      <c r="K21" s="64">
        <f t="shared" si="12"/>
        <v>2075</v>
      </c>
      <c r="L21" s="52">
        <f t="shared" si="2"/>
        <v>0</v>
      </c>
      <c r="M21" s="64">
        <f t="shared" ref="M21" si="67">M20</f>
        <v>152253</v>
      </c>
      <c r="N21" s="406">
        <f t="shared" si="3"/>
        <v>0</v>
      </c>
      <c r="O21" s="64">
        <f t="shared" si="12"/>
        <v>211.87499999999994</v>
      </c>
      <c r="P21" s="64">
        <f t="shared" si="12"/>
        <v>1829</v>
      </c>
      <c r="Q21" s="64">
        <f t="shared" ref="Q21" si="68">Q20</f>
        <v>155136</v>
      </c>
      <c r="R21" s="405">
        <f t="shared" si="37"/>
        <v>0</v>
      </c>
      <c r="S21" s="52">
        <f t="shared" si="5"/>
        <v>0</v>
      </c>
      <c r="T21" s="67">
        <f t="shared" si="28"/>
        <v>0</v>
      </c>
      <c r="U21" s="412">
        <f t="shared" si="14"/>
        <v>0</v>
      </c>
      <c r="V21" s="62">
        <f t="shared" si="15"/>
        <v>0</v>
      </c>
      <c r="W21" s="410"/>
      <c r="X21" s="64">
        <f t="shared" si="17"/>
        <v>2418</v>
      </c>
      <c r="Y21" s="52">
        <f t="shared" si="18"/>
        <v>0</v>
      </c>
      <c r="Z21" s="64">
        <f t="shared" si="17"/>
        <v>135964.1</v>
      </c>
      <c r="AA21" s="65">
        <f t="shared" si="6"/>
        <v>0</v>
      </c>
      <c r="AB21" s="292">
        <f t="shared" si="58"/>
        <v>0</v>
      </c>
      <c r="AC21" s="64">
        <f t="shared" ref="AC21:AE21" si="69">AC20</f>
        <v>1869</v>
      </c>
      <c r="AD21" s="45">
        <f t="shared" si="7"/>
        <v>0</v>
      </c>
      <c r="AE21" s="64">
        <f t="shared" si="69"/>
        <v>361552</v>
      </c>
      <c r="AF21" s="314">
        <f t="shared" si="19"/>
        <v>0</v>
      </c>
      <c r="AG21" s="212">
        <f t="shared" si="31"/>
        <v>0</v>
      </c>
      <c r="AH21" s="62">
        <f t="shared" si="32"/>
        <v>0</v>
      </c>
      <c r="AI21" s="326">
        <f t="shared" si="20"/>
        <v>0</v>
      </c>
      <c r="AJ21" s="326">
        <f>-tanks!AW22</f>
        <v>0</v>
      </c>
      <c r="AK21" s="326">
        <f t="shared" si="21"/>
        <v>0</v>
      </c>
      <c r="AL21" s="326">
        <f t="shared" ref="AL21:AL34" si="70">S21+L21+G21</f>
        <v>0</v>
      </c>
      <c r="AM21" s="326">
        <f t="shared" si="22"/>
        <v>0</v>
      </c>
      <c r="AN21" s="64">
        <f t="shared" si="43"/>
        <v>70</v>
      </c>
      <c r="AO21" s="328">
        <f t="shared" si="23"/>
        <v>2100</v>
      </c>
      <c r="AP21" s="64">
        <f t="shared" si="43"/>
        <v>73</v>
      </c>
      <c r="AQ21" s="328">
        <f t="shared" si="24"/>
        <v>2190</v>
      </c>
      <c r="AR21" s="64">
        <f t="shared" si="43"/>
        <v>70</v>
      </c>
      <c r="AS21" s="328">
        <f t="shared" si="33"/>
        <v>2100</v>
      </c>
      <c r="AT21" s="328">
        <f t="shared" si="34"/>
        <v>6390</v>
      </c>
      <c r="AU21" s="328">
        <f t="shared" si="35"/>
        <v>0</v>
      </c>
      <c r="AV21" s="275"/>
      <c r="AW21" s="275"/>
      <c r="AX21" s="321">
        <f t="shared" si="25"/>
        <v>0.7</v>
      </c>
    </row>
    <row r="22" spans="1:50" ht="16.5" customHeight="1">
      <c r="A22" s="63">
        <f>ELEC!C20</f>
        <v>44030</v>
      </c>
      <c r="B22" s="64">
        <f t="shared" si="38"/>
        <v>138.19999999999999</v>
      </c>
      <c r="C22" s="64">
        <f t="shared" si="39"/>
        <v>145.30000000000001</v>
      </c>
      <c r="D22" s="45">
        <f t="shared" si="66"/>
        <v>0</v>
      </c>
      <c r="E22" s="45">
        <f t="shared" si="9"/>
        <v>0</v>
      </c>
      <c r="F22" s="64">
        <f t="shared" si="10"/>
        <v>1615</v>
      </c>
      <c r="G22" s="52">
        <f t="shared" si="0"/>
        <v>0</v>
      </c>
      <c r="H22" s="64">
        <f t="shared" si="10"/>
        <v>355291</v>
      </c>
      <c r="I22" s="406">
        <f t="shared" si="1"/>
        <v>0</v>
      </c>
      <c r="J22" s="66">
        <f t="shared" si="11"/>
        <v>0</v>
      </c>
      <c r="K22" s="64">
        <f t="shared" si="12"/>
        <v>2075</v>
      </c>
      <c r="L22" s="52">
        <f t="shared" si="2"/>
        <v>0</v>
      </c>
      <c r="M22" s="64">
        <f t="shared" ref="M22" si="71">M21</f>
        <v>152253</v>
      </c>
      <c r="N22" s="406">
        <f t="shared" si="3"/>
        <v>0</v>
      </c>
      <c r="O22" s="64">
        <f t="shared" si="12"/>
        <v>211.87499999999994</v>
      </c>
      <c r="P22" s="64">
        <f t="shared" si="12"/>
        <v>1829</v>
      </c>
      <c r="Q22" s="64">
        <f t="shared" ref="Q22" si="72">Q21</f>
        <v>155136</v>
      </c>
      <c r="R22" s="405">
        <f t="shared" si="37"/>
        <v>0</v>
      </c>
      <c r="S22" s="52">
        <f t="shared" si="5"/>
        <v>0</v>
      </c>
      <c r="T22" s="67">
        <f t="shared" si="28"/>
        <v>0</v>
      </c>
      <c r="U22" s="412">
        <f t="shared" si="14"/>
        <v>0</v>
      </c>
      <c r="V22" s="62">
        <f t="shared" si="15"/>
        <v>0</v>
      </c>
      <c r="W22" s="410"/>
      <c r="X22" s="64">
        <f t="shared" si="17"/>
        <v>2418</v>
      </c>
      <c r="Y22" s="52">
        <f t="shared" si="18"/>
        <v>0</v>
      </c>
      <c r="Z22" s="64">
        <f t="shared" si="17"/>
        <v>135964.1</v>
      </c>
      <c r="AA22" s="65">
        <f t="shared" si="6"/>
        <v>0</v>
      </c>
      <c r="AB22" s="292">
        <f t="shared" si="58"/>
        <v>0</v>
      </c>
      <c r="AC22" s="64">
        <f t="shared" ref="AC22:AE22" si="73">AC21</f>
        <v>1869</v>
      </c>
      <c r="AD22" s="45">
        <f t="shared" si="7"/>
        <v>0</v>
      </c>
      <c r="AE22" s="64">
        <f t="shared" si="73"/>
        <v>361552</v>
      </c>
      <c r="AF22" s="314">
        <f t="shared" si="19"/>
        <v>0</v>
      </c>
      <c r="AG22" s="212">
        <f t="shared" si="31"/>
        <v>0</v>
      </c>
      <c r="AH22" s="62">
        <f t="shared" si="32"/>
        <v>0</v>
      </c>
      <c r="AI22" s="326">
        <f t="shared" si="20"/>
        <v>0</v>
      </c>
      <c r="AJ22" s="326">
        <f>-tanks!AW23</f>
        <v>0</v>
      </c>
      <c r="AK22" s="326">
        <f t="shared" si="21"/>
        <v>0</v>
      </c>
      <c r="AL22" s="326">
        <f t="shared" si="70"/>
        <v>0</v>
      </c>
      <c r="AM22" s="326">
        <f t="shared" si="22"/>
        <v>0</v>
      </c>
      <c r="AN22" s="64">
        <f t="shared" si="43"/>
        <v>70</v>
      </c>
      <c r="AO22" s="328">
        <f t="shared" si="23"/>
        <v>2100</v>
      </c>
      <c r="AP22" s="64">
        <f t="shared" si="43"/>
        <v>73</v>
      </c>
      <c r="AQ22" s="328">
        <f t="shared" si="24"/>
        <v>2190</v>
      </c>
      <c r="AR22" s="64">
        <f t="shared" si="43"/>
        <v>70</v>
      </c>
      <c r="AS22" s="328">
        <f t="shared" si="33"/>
        <v>2100</v>
      </c>
      <c r="AT22" s="328">
        <f t="shared" si="34"/>
        <v>6390</v>
      </c>
      <c r="AU22" s="328">
        <f t="shared" si="35"/>
        <v>0</v>
      </c>
      <c r="AV22" s="275"/>
      <c r="AW22" s="275"/>
      <c r="AX22" s="321">
        <f t="shared" si="25"/>
        <v>0.7</v>
      </c>
    </row>
    <row r="23" spans="1:50">
      <c r="A23" s="63">
        <f>ELEC!C21</f>
        <v>44031</v>
      </c>
      <c r="B23" s="64">
        <f t="shared" si="38"/>
        <v>138.19999999999999</v>
      </c>
      <c r="C23" s="64">
        <f t="shared" si="39"/>
        <v>145.30000000000001</v>
      </c>
      <c r="D23" s="45">
        <f t="shared" si="66"/>
        <v>0</v>
      </c>
      <c r="E23" s="45">
        <f t="shared" si="9"/>
        <v>0</v>
      </c>
      <c r="F23" s="64">
        <f t="shared" si="10"/>
        <v>1615</v>
      </c>
      <c r="G23" s="52">
        <f t="shared" si="0"/>
        <v>0</v>
      </c>
      <c r="H23" s="64">
        <f t="shared" si="10"/>
        <v>355291</v>
      </c>
      <c r="I23" s="406">
        <f t="shared" si="1"/>
        <v>0</v>
      </c>
      <c r="J23" s="66">
        <f t="shared" si="11"/>
        <v>0</v>
      </c>
      <c r="K23" s="64">
        <f t="shared" si="12"/>
        <v>2075</v>
      </c>
      <c r="L23" s="52">
        <f t="shared" si="2"/>
        <v>0</v>
      </c>
      <c r="M23" s="64">
        <f t="shared" ref="M23" si="74">M22</f>
        <v>152253</v>
      </c>
      <c r="N23" s="406">
        <f t="shared" si="3"/>
        <v>0</v>
      </c>
      <c r="O23" s="64">
        <f t="shared" si="12"/>
        <v>211.87499999999994</v>
      </c>
      <c r="P23" s="64">
        <f t="shared" si="12"/>
        <v>1829</v>
      </c>
      <c r="Q23" s="64">
        <f t="shared" ref="Q23" si="75">Q22</f>
        <v>155136</v>
      </c>
      <c r="R23" s="405">
        <f t="shared" si="37"/>
        <v>0</v>
      </c>
      <c r="S23" s="52">
        <f t="shared" si="5"/>
        <v>0</v>
      </c>
      <c r="T23" s="67">
        <f t="shared" si="28"/>
        <v>0</v>
      </c>
      <c r="U23" s="412">
        <f t="shared" si="14"/>
        <v>0</v>
      </c>
      <c r="V23" s="62">
        <f t="shared" si="15"/>
        <v>0</v>
      </c>
      <c r="W23" s="410"/>
      <c r="X23" s="64">
        <f t="shared" si="17"/>
        <v>2418</v>
      </c>
      <c r="Y23" s="52">
        <f t="shared" si="18"/>
        <v>0</v>
      </c>
      <c r="Z23" s="64">
        <f t="shared" si="17"/>
        <v>135964.1</v>
      </c>
      <c r="AA23" s="65">
        <f t="shared" si="6"/>
        <v>0</v>
      </c>
      <c r="AB23" s="292">
        <f t="shared" si="58"/>
        <v>0</v>
      </c>
      <c r="AC23" s="64">
        <f t="shared" ref="AC23:AE23" si="76">AC22</f>
        <v>1869</v>
      </c>
      <c r="AD23" s="45">
        <f t="shared" si="7"/>
        <v>0</v>
      </c>
      <c r="AE23" s="64">
        <f t="shared" si="76"/>
        <v>361552</v>
      </c>
      <c r="AF23" s="314">
        <f t="shared" si="19"/>
        <v>0</v>
      </c>
      <c r="AG23" s="212">
        <f t="shared" si="31"/>
        <v>0</v>
      </c>
      <c r="AH23" s="62">
        <f t="shared" si="32"/>
        <v>0</v>
      </c>
      <c r="AI23" s="326">
        <f t="shared" si="20"/>
        <v>0</v>
      </c>
      <c r="AJ23" s="326">
        <f>-tanks!AW24</f>
        <v>0</v>
      </c>
      <c r="AK23" s="326">
        <f t="shared" si="21"/>
        <v>0</v>
      </c>
      <c r="AL23" s="326">
        <f t="shared" si="70"/>
        <v>0</v>
      </c>
      <c r="AM23" s="326">
        <f t="shared" si="22"/>
        <v>0</v>
      </c>
      <c r="AN23" s="64">
        <f t="shared" si="43"/>
        <v>70</v>
      </c>
      <c r="AO23" s="328">
        <f t="shared" si="23"/>
        <v>2100</v>
      </c>
      <c r="AP23" s="64">
        <f t="shared" si="43"/>
        <v>73</v>
      </c>
      <c r="AQ23" s="328">
        <f t="shared" si="24"/>
        <v>2190</v>
      </c>
      <c r="AR23" s="64">
        <f t="shared" si="43"/>
        <v>70</v>
      </c>
      <c r="AS23" s="328">
        <f t="shared" si="33"/>
        <v>2100</v>
      </c>
      <c r="AT23" s="328">
        <f t="shared" si="34"/>
        <v>6390</v>
      </c>
      <c r="AU23" s="328">
        <f t="shared" si="35"/>
        <v>0</v>
      </c>
      <c r="AV23" s="275"/>
      <c r="AW23" s="275"/>
      <c r="AX23" s="321">
        <f t="shared" si="25"/>
        <v>0.7</v>
      </c>
    </row>
    <row r="24" spans="1:50">
      <c r="A24" s="63">
        <f>ELEC!C22</f>
        <v>44032</v>
      </c>
      <c r="B24" s="64">
        <f t="shared" si="38"/>
        <v>138.19999999999999</v>
      </c>
      <c r="C24" s="64">
        <f t="shared" si="39"/>
        <v>145.30000000000001</v>
      </c>
      <c r="D24" s="45">
        <f t="shared" si="66"/>
        <v>0</v>
      </c>
      <c r="E24" s="45">
        <f t="shared" si="9"/>
        <v>0</v>
      </c>
      <c r="F24" s="64">
        <f t="shared" si="10"/>
        <v>1615</v>
      </c>
      <c r="G24" s="52">
        <f t="shared" si="0"/>
        <v>0</v>
      </c>
      <c r="H24" s="64">
        <f t="shared" si="10"/>
        <v>355291</v>
      </c>
      <c r="I24" s="406">
        <f t="shared" si="1"/>
        <v>0</v>
      </c>
      <c r="J24" s="66">
        <f t="shared" si="11"/>
        <v>0</v>
      </c>
      <c r="K24" s="64">
        <f t="shared" si="12"/>
        <v>2075</v>
      </c>
      <c r="L24" s="52">
        <f t="shared" si="2"/>
        <v>0</v>
      </c>
      <c r="M24" s="64">
        <f t="shared" ref="M24" si="77">M23</f>
        <v>152253</v>
      </c>
      <c r="N24" s="406">
        <f t="shared" si="3"/>
        <v>0</v>
      </c>
      <c r="O24" s="64">
        <f t="shared" si="12"/>
        <v>211.87499999999994</v>
      </c>
      <c r="P24" s="64">
        <f t="shared" si="12"/>
        <v>1829</v>
      </c>
      <c r="Q24" s="64">
        <f t="shared" ref="Q24" si="78">Q23</f>
        <v>155136</v>
      </c>
      <c r="R24" s="405">
        <f t="shared" si="37"/>
        <v>0</v>
      </c>
      <c r="S24" s="52">
        <f t="shared" si="5"/>
        <v>0</v>
      </c>
      <c r="T24" s="67">
        <f t="shared" si="28"/>
        <v>0</v>
      </c>
      <c r="U24" s="412">
        <f t="shared" si="14"/>
        <v>0</v>
      </c>
      <c r="V24" s="62">
        <f t="shared" si="15"/>
        <v>0</v>
      </c>
      <c r="W24" s="410"/>
      <c r="X24" s="64">
        <f t="shared" si="17"/>
        <v>2418</v>
      </c>
      <c r="Y24" s="52">
        <f t="shared" si="18"/>
        <v>0</v>
      </c>
      <c r="Z24" s="64">
        <f t="shared" si="17"/>
        <v>135964.1</v>
      </c>
      <c r="AA24" s="65">
        <f t="shared" si="6"/>
        <v>0</v>
      </c>
      <c r="AB24" s="292">
        <f t="shared" ref="AB24:AB34" si="79">SUM(Y24*$AB$2)</f>
        <v>0</v>
      </c>
      <c r="AC24" s="64">
        <f t="shared" ref="AC24:AE24" si="80">AC23</f>
        <v>1869</v>
      </c>
      <c r="AD24" s="45">
        <f t="shared" si="7"/>
        <v>0</v>
      </c>
      <c r="AE24" s="64">
        <f t="shared" si="80"/>
        <v>361552</v>
      </c>
      <c r="AF24" s="314">
        <f t="shared" si="19"/>
        <v>0</v>
      </c>
      <c r="AG24" s="212">
        <f t="shared" si="31"/>
        <v>0</v>
      </c>
      <c r="AH24" s="62">
        <f t="shared" si="32"/>
        <v>0</v>
      </c>
      <c r="AI24" s="326">
        <f t="shared" si="20"/>
        <v>0</v>
      </c>
      <c r="AJ24" s="326">
        <f>-tanks!AW25</f>
        <v>0</v>
      </c>
      <c r="AK24" s="326">
        <f t="shared" si="21"/>
        <v>0</v>
      </c>
      <c r="AL24" s="326">
        <f t="shared" si="70"/>
        <v>0</v>
      </c>
      <c r="AM24" s="326">
        <f t="shared" si="22"/>
        <v>0</v>
      </c>
      <c r="AN24" s="64">
        <f t="shared" si="43"/>
        <v>70</v>
      </c>
      <c r="AO24" s="328">
        <f t="shared" si="23"/>
        <v>2100</v>
      </c>
      <c r="AP24" s="64">
        <f t="shared" si="43"/>
        <v>73</v>
      </c>
      <c r="AQ24" s="328">
        <f t="shared" si="24"/>
        <v>2190</v>
      </c>
      <c r="AR24" s="64">
        <f t="shared" si="43"/>
        <v>70</v>
      </c>
      <c r="AS24" s="328">
        <f t="shared" si="33"/>
        <v>2100</v>
      </c>
      <c r="AT24" s="328">
        <f t="shared" ref="AT24:AT34" si="81">SUM(AO24+AQ24+AS24)</f>
        <v>6390</v>
      </c>
      <c r="AU24" s="328">
        <f t="shared" si="35"/>
        <v>0</v>
      </c>
      <c r="AV24" s="275"/>
      <c r="AW24" s="275"/>
      <c r="AX24" s="321">
        <f t="shared" si="25"/>
        <v>0.7</v>
      </c>
    </row>
    <row r="25" spans="1:50" ht="13.5" customHeight="1">
      <c r="A25" s="63">
        <f>ELEC!C23</f>
        <v>44033</v>
      </c>
      <c r="B25" s="64">
        <f t="shared" si="38"/>
        <v>138.19999999999999</v>
      </c>
      <c r="C25" s="64">
        <f t="shared" si="39"/>
        <v>145.30000000000001</v>
      </c>
      <c r="D25" s="45">
        <f t="shared" si="66"/>
        <v>0</v>
      </c>
      <c r="E25" s="45">
        <f t="shared" si="9"/>
        <v>0</v>
      </c>
      <c r="F25" s="64">
        <f t="shared" si="10"/>
        <v>1615</v>
      </c>
      <c r="G25" s="52">
        <f t="shared" si="0"/>
        <v>0</v>
      </c>
      <c r="H25" s="64">
        <f t="shared" si="10"/>
        <v>355291</v>
      </c>
      <c r="I25" s="406">
        <f t="shared" si="1"/>
        <v>0</v>
      </c>
      <c r="J25" s="66">
        <f t="shared" si="11"/>
        <v>0</v>
      </c>
      <c r="K25" s="64">
        <f t="shared" si="12"/>
        <v>2075</v>
      </c>
      <c r="L25" s="52">
        <f t="shared" si="2"/>
        <v>0</v>
      </c>
      <c r="M25" s="64">
        <f t="shared" ref="M25" si="82">M24</f>
        <v>152253</v>
      </c>
      <c r="N25" s="406">
        <f t="shared" si="3"/>
        <v>0</v>
      </c>
      <c r="O25" s="64">
        <f t="shared" si="12"/>
        <v>211.87499999999994</v>
      </c>
      <c r="P25" s="64">
        <f t="shared" si="12"/>
        <v>1829</v>
      </c>
      <c r="Q25" s="64">
        <f t="shared" ref="Q25" si="83">Q24</f>
        <v>155136</v>
      </c>
      <c r="R25" s="405">
        <f t="shared" si="37"/>
        <v>0</v>
      </c>
      <c r="S25" s="52">
        <f t="shared" si="5"/>
        <v>0</v>
      </c>
      <c r="T25" s="67">
        <f t="shared" si="28"/>
        <v>0</v>
      </c>
      <c r="U25" s="412">
        <f t="shared" si="14"/>
        <v>0</v>
      </c>
      <c r="V25" s="62">
        <f t="shared" si="15"/>
        <v>0</v>
      </c>
      <c r="W25" s="410"/>
      <c r="X25" s="64">
        <f t="shared" si="17"/>
        <v>2418</v>
      </c>
      <c r="Y25" s="52">
        <f t="shared" si="18"/>
        <v>0</v>
      </c>
      <c r="Z25" s="64">
        <f t="shared" si="17"/>
        <v>135964.1</v>
      </c>
      <c r="AA25" s="65">
        <f t="shared" si="6"/>
        <v>0</v>
      </c>
      <c r="AB25" s="292">
        <f t="shared" si="79"/>
        <v>0</v>
      </c>
      <c r="AC25" s="64">
        <f t="shared" ref="AC25:AE25" si="84">AC24</f>
        <v>1869</v>
      </c>
      <c r="AD25" s="45">
        <f t="shared" si="7"/>
        <v>0</v>
      </c>
      <c r="AE25" s="64">
        <f t="shared" si="84"/>
        <v>361552</v>
      </c>
      <c r="AF25" s="314">
        <f t="shared" si="19"/>
        <v>0</v>
      </c>
      <c r="AG25" s="212">
        <f t="shared" si="31"/>
        <v>0</v>
      </c>
      <c r="AH25" s="62">
        <f t="shared" si="32"/>
        <v>0</v>
      </c>
      <c r="AI25" s="326">
        <f t="shared" si="20"/>
        <v>0</v>
      </c>
      <c r="AJ25" s="326">
        <f>-tanks!AW26</f>
        <v>0</v>
      </c>
      <c r="AK25" s="326">
        <f t="shared" si="21"/>
        <v>0</v>
      </c>
      <c r="AL25" s="326">
        <f t="shared" si="70"/>
        <v>0</v>
      </c>
      <c r="AM25" s="326">
        <f t="shared" si="22"/>
        <v>0</v>
      </c>
      <c r="AN25" s="64">
        <f t="shared" si="43"/>
        <v>70</v>
      </c>
      <c r="AO25" s="328">
        <f t="shared" si="23"/>
        <v>2100</v>
      </c>
      <c r="AP25" s="64">
        <f t="shared" si="43"/>
        <v>73</v>
      </c>
      <c r="AQ25" s="328">
        <f t="shared" ref="AQ25:AQ34" si="85">(AP25/100)*3000</f>
        <v>2190</v>
      </c>
      <c r="AR25" s="64">
        <f t="shared" si="43"/>
        <v>70</v>
      </c>
      <c r="AS25" s="328">
        <f t="shared" si="33"/>
        <v>2100</v>
      </c>
      <c r="AT25" s="328">
        <f t="shared" si="81"/>
        <v>6390</v>
      </c>
      <c r="AU25" s="328">
        <f t="shared" si="35"/>
        <v>0</v>
      </c>
      <c r="AV25" s="275"/>
      <c r="AW25" s="275"/>
      <c r="AX25" s="321">
        <f t="shared" si="25"/>
        <v>0.7</v>
      </c>
    </row>
    <row r="26" spans="1:50" ht="14.25" customHeight="1">
      <c r="A26" s="63">
        <f>ELEC!C24</f>
        <v>44034</v>
      </c>
      <c r="B26" s="64">
        <f t="shared" si="38"/>
        <v>138.19999999999999</v>
      </c>
      <c r="C26" s="64">
        <f t="shared" si="39"/>
        <v>145.30000000000001</v>
      </c>
      <c r="D26" s="45">
        <f t="shared" si="66"/>
        <v>0</v>
      </c>
      <c r="E26" s="45">
        <f t="shared" si="9"/>
        <v>0</v>
      </c>
      <c r="F26" s="64">
        <f t="shared" si="10"/>
        <v>1615</v>
      </c>
      <c r="G26" s="52">
        <f t="shared" si="0"/>
        <v>0</v>
      </c>
      <c r="H26" s="64">
        <f t="shared" si="10"/>
        <v>355291</v>
      </c>
      <c r="I26" s="406">
        <f t="shared" si="1"/>
        <v>0</v>
      </c>
      <c r="J26" s="66">
        <f t="shared" si="11"/>
        <v>0</v>
      </c>
      <c r="K26" s="64">
        <f t="shared" si="12"/>
        <v>2075</v>
      </c>
      <c r="L26" s="52">
        <f t="shared" si="2"/>
        <v>0</v>
      </c>
      <c r="M26" s="64">
        <f t="shared" ref="M26" si="86">M25</f>
        <v>152253</v>
      </c>
      <c r="N26" s="406">
        <f t="shared" si="3"/>
        <v>0</v>
      </c>
      <c r="O26" s="64">
        <f t="shared" si="12"/>
        <v>211.87499999999994</v>
      </c>
      <c r="P26" s="64">
        <f t="shared" si="12"/>
        <v>1829</v>
      </c>
      <c r="Q26" s="64">
        <f t="shared" ref="Q26" si="87">Q25</f>
        <v>155136</v>
      </c>
      <c r="R26" s="405">
        <f t="shared" si="37"/>
        <v>0</v>
      </c>
      <c r="S26" s="52">
        <f t="shared" si="5"/>
        <v>0</v>
      </c>
      <c r="T26" s="67">
        <f t="shared" si="28"/>
        <v>0</v>
      </c>
      <c r="U26" s="412">
        <f t="shared" si="14"/>
        <v>0</v>
      </c>
      <c r="V26" s="62">
        <f t="shared" si="15"/>
        <v>0</v>
      </c>
      <c r="W26" s="410"/>
      <c r="X26" s="64">
        <f t="shared" si="17"/>
        <v>2418</v>
      </c>
      <c r="Y26" s="52">
        <f t="shared" si="18"/>
        <v>0</v>
      </c>
      <c r="Z26" s="64">
        <f t="shared" si="17"/>
        <v>135964.1</v>
      </c>
      <c r="AA26" s="65">
        <f t="shared" si="6"/>
        <v>0</v>
      </c>
      <c r="AB26" s="292">
        <f t="shared" si="79"/>
        <v>0</v>
      </c>
      <c r="AC26" s="64">
        <f t="shared" ref="AC26:AE26" si="88">AC25</f>
        <v>1869</v>
      </c>
      <c r="AD26" s="45">
        <f t="shared" si="7"/>
        <v>0</v>
      </c>
      <c r="AE26" s="64">
        <f t="shared" si="88"/>
        <v>361552</v>
      </c>
      <c r="AF26" s="314">
        <f t="shared" si="19"/>
        <v>0</v>
      </c>
      <c r="AG26" s="212">
        <f t="shared" si="31"/>
        <v>0</v>
      </c>
      <c r="AH26" s="62">
        <f t="shared" si="32"/>
        <v>0</v>
      </c>
      <c r="AI26" s="326">
        <f t="shared" si="20"/>
        <v>0</v>
      </c>
      <c r="AJ26" s="326">
        <f>-tanks!AW27</f>
        <v>0</v>
      </c>
      <c r="AK26" s="326">
        <f t="shared" si="21"/>
        <v>0</v>
      </c>
      <c r="AL26" s="326">
        <f t="shared" si="70"/>
        <v>0</v>
      </c>
      <c r="AM26" s="326">
        <f t="shared" si="22"/>
        <v>0</v>
      </c>
      <c r="AN26" s="64">
        <f t="shared" si="43"/>
        <v>70</v>
      </c>
      <c r="AO26" s="328">
        <f t="shared" si="23"/>
        <v>2100</v>
      </c>
      <c r="AP26" s="64">
        <f t="shared" si="43"/>
        <v>73</v>
      </c>
      <c r="AQ26" s="328">
        <f t="shared" si="85"/>
        <v>2190</v>
      </c>
      <c r="AR26" s="64">
        <f t="shared" si="43"/>
        <v>70</v>
      </c>
      <c r="AS26" s="328">
        <f t="shared" si="33"/>
        <v>2100</v>
      </c>
      <c r="AT26" s="328">
        <f t="shared" si="81"/>
        <v>6390</v>
      </c>
      <c r="AU26" s="328">
        <f t="shared" si="35"/>
        <v>0</v>
      </c>
      <c r="AV26" s="275"/>
      <c r="AW26" s="275"/>
      <c r="AX26" s="321">
        <f t="shared" si="25"/>
        <v>0.7</v>
      </c>
    </row>
    <row r="27" spans="1:50">
      <c r="A27" s="63">
        <f>ELEC!C25</f>
        <v>44035</v>
      </c>
      <c r="B27" s="64">
        <f t="shared" si="38"/>
        <v>138.19999999999999</v>
      </c>
      <c r="C27" s="64">
        <f t="shared" si="39"/>
        <v>145.30000000000001</v>
      </c>
      <c r="D27" s="45">
        <f t="shared" si="66"/>
        <v>0</v>
      </c>
      <c r="E27" s="45">
        <f t="shared" si="9"/>
        <v>0</v>
      </c>
      <c r="F27" s="64">
        <f t="shared" si="10"/>
        <v>1615</v>
      </c>
      <c r="G27" s="52">
        <f t="shared" si="0"/>
        <v>0</v>
      </c>
      <c r="H27" s="64">
        <f t="shared" si="10"/>
        <v>355291</v>
      </c>
      <c r="I27" s="406">
        <f t="shared" si="1"/>
        <v>0</v>
      </c>
      <c r="J27" s="66">
        <f t="shared" si="11"/>
        <v>0</v>
      </c>
      <c r="K27" s="64">
        <f t="shared" si="12"/>
        <v>2075</v>
      </c>
      <c r="L27" s="52">
        <f t="shared" si="2"/>
        <v>0</v>
      </c>
      <c r="M27" s="64">
        <f t="shared" ref="M27" si="89">M26</f>
        <v>152253</v>
      </c>
      <c r="N27" s="406">
        <f t="shared" si="3"/>
        <v>0</v>
      </c>
      <c r="O27" s="64">
        <f t="shared" si="12"/>
        <v>211.87499999999994</v>
      </c>
      <c r="P27" s="64">
        <f t="shared" si="12"/>
        <v>1829</v>
      </c>
      <c r="Q27" s="64">
        <f t="shared" ref="Q27" si="90">Q26</f>
        <v>155136</v>
      </c>
      <c r="R27" s="405">
        <f t="shared" si="37"/>
        <v>0</v>
      </c>
      <c r="S27" s="52">
        <f t="shared" si="5"/>
        <v>0</v>
      </c>
      <c r="T27" s="67">
        <f t="shared" si="28"/>
        <v>0</v>
      </c>
      <c r="U27" s="412">
        <f t="shared" si="14"/>
        <v>0</v>
      </c>
      <c r="V27" s="62">
        <f t="shared" si="15"/>
        <v>0</v>
      </c>
      <c r="W27" s="410"/>
      <c r="X27" s="64">
        <f t="shared" si="17"/>
        <v>2418</v>
      </c>
      <c r="Y27" s="52">
        <f t="shared" si="18"/>
        <v>0</v>
      </c>
      <c r="Z27" s="64">
        <f t="shared" si="17"/>
        <v>135964.1</v>
      </c>
      <c r="AA27" s="65">
        <f t="shared" si="6"/>
        <v>0</v>
      </c>
      <c r="AB27" s="292">
        <f t="shared" si="79"/>
        <v>0</v>
      </c>
      <c r="AC27" s="64">
        <f t="shared" ref="AC27:AE27" si="91">AC26</f>
        <v>1869</v>
      </c>
      <c r="AD27" s="45">
        <f t="shared" si="7"/>
        <v>0</v>
      </c>
      <c r="AE27" s="64">
        <f t="shared" si="91"/>
        <v>361552</v>
      </c>
      <c r="AF27" s="314">
        <f t="shared" si="19"/>
        <v>0</v>
      </c>
      <c r="AG27" s="212">
        <f t="shared" si="31"/>
        <v>0</v>
      </c>
      <c r="AH27" s="62">
        <f t="shared" si="32"/>
        <v>0</v>
      </c>
      <c r="AI27" s="326">
        <f t="shared" si="20"/>
        <v>0</v>
      </c>
      <c r="AJ27" s="326">
        <f>-tanks!AW28</f>
        <v>0</v>
      </c>
      <c r="AK27" s="326">
        <f t="shared" si="21"/>
        <v>0</v>
      </c>
      <c r="AL27" s="326">
        <f t="shared" si="70"/>
        <v>0</v>
      </c>
      <c r="AM27" s="326">
        <f t="shared" si="22"/>
        <v>0</v>
      </c>
      <c r="AN27" s="64">
        <f t="shared" si="43"/>
        <v>70</v>
      </c>
      <c r="AO27" s="328">
        <f>(AN27/100)*3000</f>
        <v>2100</v>
      </c>
      <c r="AP27" s="64">
        <f t="shared" si="43"/>
        <v>73</v>
      </c>
      <c r="AQ27" s="328">
        <f t="shared" si="85"/>
        <v>2190</v>
      </c>
      <c r="AR27" s="64">
        <f t="shared" si="43"/>
        <v>70</v>
      </c>
      <c r="AS27" s="328">
        <f t="shared" si="33"/>
        <v>2100</v>
      </c>
      <c r="AT27" s="328">
        <f t="shared" si="81"/>
        <v>6390</v>
      </c>
      <c r="AU27" s="328">
        <f t="shared" si="35"/>
        <v>0</v>
      </c>
      <c r="AV27" s="275"/>
      <c r="AW27" s="517"/>
      <c r="AX27" s="321">
        <f t="shared" si="25"/>
        <v>0.7</v>
      </c>
    </row>
    <row r="28" spans="1:50">
      <c r="A28" s="63">
        <f>ELEC!C26</f>
        <v>44036</v>
      </c>
      <c r="B28" s="64">
        <f t="shared" si="38"/>
        <v>138.19999999999999</v>
      </c>
      <c r="C28" s="64">
        <f t="shared" si="39"/>
        <v>145.30000000000001</v>
      </c>
      <c r="D28" s="45">
        <f t="shared" si="66"/>
        <v>0</v>
      </c>
      <c r="E28" s="45">
        <f t="shared" si="9"/>
        <v>0</v>
      </c>
      <c r="F28" s="64">
        <f t="shared" si="10"/>
        <v>1615</v>
      </c>
      <c r="G28" s="52">
        <f t="shared" si="0"/>
        <v>0</v>
      </c>
      <c r="H28" s="64">
        <f t="shared" si="10"/>
        <v>355291</v>
      </c>
      <c r="I28" s="406">
        <f t="shared" si="1"/>
        <v>0</v>
      </c>
      <c r="J28" s="66">
        <f t="shared" si="11"/>
        <v>0</v>
      </c>
      <c r="K28" s="64">
        <f t="shared" si="12"/>
        <v>2075</v>
      </c>
      <c r="L28" s="52">
        <f t="shared" si="2"/>
        <v>0</v>
      </c>
      <c r="M28" s="64">
        <f t="shared" ref="M28" si="92">M27</f>
        <v>152253</v>
      </c>
      <c r="N28" s="406">
        <f t="shared" si="3"/>
        <v>0</v>
      </c>
      <c r="O28" s="64">
        <f t="shared" si="12"/>
        <v>211.87499999999994</v>
      </c>
      <c r="P28" s="64">
        <f t="shared" si="12"/>
        <v>1829</v>
      </c>
      <c r="Q28" s="64">
        <f t="shared" ref="Q28" si="93">Q27</f>
        <v>155136</v>
      </c>
      <c r="R28" s="405">
        <f t="shared" si="37"/>
        <v>0</v>
      </c>
      <c r="S28" s="52">
        <f t="shared" si="5"/>
        <v>0</v>
      </c>
      <c r="T28" s="67">
        <f t="shared" si="28"/>
        <v>0</v>
      </c>
      <c r="U28" s="412">
        <f t="shared" si="14"/>
        <v>0</v>
      </c>
      <c r="V28" s="62">
        <f t="shared" si="15"/>
        <v>0</v>
      </c>
      <c r="W28" s="410"/>
      <c r="X28" s="64">
        <f t="shared" si="17"/>
        <v>2418</v>
      </c>
      <c r="Y28" s="52">
        <f t="shared" si="18"/>
        <v>0</v>
      </c>
      <c r="Z28" s="64">
        <f t="shared" si="17"/>
        <v>135964.1</v>
      </c>
      <c r="AA28" s="65">
        <f t="shared" si="6"/>
        <v>0</v>
      </c>
      <c r="AB28" s="292">
        <f t="shared" si="79"/>
        <v>0</v>
      </c>
      <c r="AC28" s="64">
        <f t="shared" ref="AC28:AE28" si="94">AC27</f>
        <v>1869</v>
      </c>
      <c r="AD28" s="45">
        <f t="shared" si="7"/>
        <v>0</v>
      </c>
      <c r="AE28" s="64">
        <f t="shared" si="94"/>
        <v>361552</v>
      </c>
      <c r="AF28" s="314">
        <f t="shared" si="19"/>
        <v>0</v>
      </c>
      <c r="AG28" s="212">
        <f t="shared" si="31"/>
        <v>0</v>
      </c>
      <c r="AH28" s="62">
        <f t="shared" si="32"/>
        <v>0</v>
      </c>
      <c r="AI28" s="326">
        <f t="shared" si="20"/>
        <v>0</v>
      </c>
      <c r="AJ28" s="326">
        <f>-tanks!AW29</f>
        <v>0</v>
      </c>
      <c r="AK28" s="326">
        <f t="shared" si="21"/>
        <v>0</v>
      </c>
      <c r="AL28" s="326">
        <f t="shared" si="70"/>
        <v>0</v>
      </c>
      <c r="AM28" s="326">
        <f t="shared" si="22"/>
        <v>0</v>
      </c>
      <c r="AN28" s="64">
        <f t="shared" si="43"/>
        <v>70</v>
      </c>
      <c r="AO28" s="328">
        <f t="shared" ref="AO28:AO34" si="95">(AN28/100)*3000</f>
        <v>2100</v>
      </c>
      <c r="AP28" s="64">
        <f t="shared" si="43"/>
        <v>73</v>
      </c>
      <c r="AQ28" s="328">
        <f t="shared" si="85"/>
        <v>2190</v>
      </c>
      <c r="AR28" s="64">
        <f t="shared" si="43"/>
        <v>70</v>
      </c>
      <c r="AS28" s="328">
        <f t="shared" si="33"/>
        <v>2100</v>
      </c>
      <c r="AT28" s="328">
        <f t="shared" si="81"/>
        <v>6390</v>
      </c>
      <c r="AU28" s="328">
        <f t="shared" si="35"/>
        <v>0</v>
      </c>
      <c r="AV28" s="275"/>
      <c r="AW28" s="275"/>
      <c r="AX28" s="321">
        <f t="shared" si="25"/>
        <v>0.7</v>
      </c>
    </row>
    <row r="29" spans="1:50">
      <c r="A29" s="63">
        <f>ELEC!C27</f>
        <v>44037</v>
      </c>
      <c r="B29" s="64">
        <f t="shared" si="38"/>
        <v>138.19999999999999</v>
      </c>
      <c r="C29" s="64">
        <f t="shared" si="39"/>
        <v>145.30000000000001</v>
      </c>
      <c r="D29" s="45">
        <f t="shared" si="66"/>
        <v>0</v>
      </c>
      <c r="E29" s="45">
        <f t="shared" si="9"/>
        <v>0</v>
      </c>
      <c r="F29" s="64">
        <f t="shared" si="10"/>
        <v>1615</v>
      </c>
      <c r="G29" s="52">
        <f t="shared" si="0"/>
        <v>0</v>
      </c>
      <c r="H29" s="64">
        <f t="shared" si="10"/>
        <v>355291</v>
      </c>
      <c r="I29" s="406">
        <f t="shared" si="1"/>
        <v>0</v>
      </c>
      <c r="J29" s="66">
        <f t="shared" si="11"/>
        <v>0</v>
      </c>
      <c r="K29" s="64">
        <f t="shared" si="12"/>
        <v>2075</v>
      </c>
      <c r="L29" s="52">
        <f t="shared" si="2"/>
        <v>0</v>
      </c>
      <c r="M29" s="64">
        <f t="shared" ref="M29" si="96">M28</f>
        <v>152253</v>
      </c>
      <c r="N29" s="406">
        <f t="shared" si="3"/>
        <v>0</v>
      </c>
      <c r="O29" s="64">
        <f t="shared" si="12"/>
        <v>211.87499999999994</v>
      </c>
      <c r="P29" s="64">
        <f t="shared" si="12"/>
        <v>1829</v>
      </c>
      <c r="Q29" s="64">
        <f t="shared" ref="Q29" si="97">Q28</f>
        <v>155136</v>
      </c>
      <c r="R29" s="405">
        <f t="shared" si="37"/>
        <v>0</v>
      </c>
      <c r="S29" s="52">
        <f t="shared" si="5"/>
        <v>0</v>
      </c>
      <c r="T29" s="67">
        <f t="shared" si="28"/>
        <v>0</v>
      </c>
      <c r="U29" s="412">
        <f t="shared" si="14"/>
        <v>0</v>
      </c>
      <c r="V29" s="62">
        <f t="shared" si="15"/>
        <v>0</v>
      </c>
      <c r="W29" s="410"/>
      <c r="X29" s="64">
        <f t="shared" si="17"/>
        <v>2418</v>
      </c>
      <c r="Y29" s="52">
        <f t="shared" si="18"/>
        <v>0</v>
      </c>
      <c r="Z29" s="64">
        <f t="shared" si="17"/>
        <v>135964.1</v>
      </c>
      <c r="AA29" s="65">
        <f t="shared" si="6"/>
        <v>0</v>
      </c>
      <c r="AB29" s="292">
        <f t="shared" si="79"/>
        <v>0</v>
      </c>
      <c r="AC29" s="64">
        <f t="shared" ref="AC29:AE29" si="98">AC28</f>
        <v>1869</v>
      </c>
      <c r="AD29" s="45">
        <f t="shared" si="7"/>
        <v>0</v>
      </c>
      <c r="AE29" s="64">
        <f t="shared" si="98"/>
        <v>361552</v>
      </c>
      <c r="AF29" s="314">
        <f t="shared" si="19"/>
        <v>0</v>
      </c>
      <c r="AG29" s="212">
        <f t="shared" si="31"/>
        <v>0</v>
      </c>
      <c r="AH29" s="62">
        <f t="shared" si="32"/>
        <v>0</v>
      </c>
      <c r="AI29" s="326">
        <f t="shared" si="20"/>
        <v>0</v>
      </c>
      <c r="AJ29" s="326">
        <f>-tanks!AW30</f>
        <v>0</v>
      </c>
      <c r="AK29" s="326">
        <f t="shared" si="21"/>
        <v>0</v>
      </c>
      <c r="AL29" s="326">
        <f t="shared" si="70"/>
        <v>0</v>
      </c>
      <c r="AM29" s="326">
        <f t="shared" si="22"/>
        <v>0</v>
      </c>
      <c r="AN29" s="64">
        <f t="shared" si="43"/>
        <v>70</v>
      </c>
      <c r="AO29" s="328">
        <f t="shared" si="95"/>
        <v>2100</v>
      </c>
      <c r="AP29" s="64">
        <f t="shared" si="43"/>
        <v>73</v>
      </c>
      <c r="AQ29" s="328">
        <f t="shared" si="85"/>
        <v>2190</v>
      </c>
      <c r="AR29" s="64">
        <f t="shared" si="43"/>
        <v>70</v>
      </c>
      <c r="AS29" s="328">
        <f t="shared" si="33"/>
        <v>2100</v>
      </c>
      <c r="AT29" s="328">
        <f>SUM(AO29+AQ29+AS29)</f>
        <v>6390</v>
      </c>
      <c r="AU29" s="328">
        <f>AT28-AT29+AV29</f>
        <v>0</v>
      </c>
      <c r="AV29" s="275"/>
      <c r="AW29" s="275"/>
      <c r="AX29" s="321">
        <f t="shared" si="25"/>
        <v>0.7</v>
      </c>
    </row>
    <row r="30" spans="1:50">
      <c r="A30" s="63">
        <f>ELEC!C28</f>
        <v>44038</v>
      </c>
      <c r="B30" s="64">
        <f t="shared" si="38"/>
        <v>138.19999999999999</v>
      </c>
      <c r="C30" s="64">
        <f t="shared" si="39"/>
        <v>145.30000000000001</v>
      </c>
      <c r="D30" s="45">
        <f t="shared" si="66"/>
        <v>0</v>
      </c>
      <c r="E30" s="45">
        <f t="shared" si="9"/>
        <v>0</v>
      </c>
      <c r="F30" s="64">
        <f t="shared" si="10"/>
        <v>1615</v>
      </c>
      <c r="G30" s="52">
        <f t="shared" si="0"/>
        <v>0</v>
      </c>
      <c r="H30" s="64">
        <f t="shared" si="10"/>
        <v>355291</v>
      </c>
      <c r="I30" s="406">
        <f t="shared" si="1"/>
        <v>0</v>
      </c>
      <c r="J30" s="66">
        <f t="shared" si="11"/>
        <v>0</v>
      </c>
      <c r="K30" s="64">
        <f t="shared" si="12"/>
        <v>2075</v>
      </c>
      <c r="L30" s="52">
        <f t="shared" si="2"/>
        <v>0</v>
      </c>
      <c r="M30" s="64">
        <f t="shared" ref="M30" si="99">M29</f>
        <v>152253</v>
      </c>
      <c r="N30" s="406">
        <f t="shared" si="3"/>
        <v>0</v>
      </c>
      <c r="O30" s="64">
        <f t="shared" si="12"/>
        <v>211.87499999999994</v>
      </c>
      <c r="P30" s="64">
        <f t="shared" si="12"/>
        <v>1829</v>
      </c>
      <c r="Q30" s="64">
        <f t="shared" ref="Q30" si="100">Q29</f>
        <v>155136</v>
      </c>
      <c r="R30" s="405">
        <f t="shared" si="37"/>
        <v>0</v>
      </c>
      <c r="S30" s="52">
        <f t="shared" si="5"/>
        <v>0</v>
      </c>
      <c r="T30" s="67">
        <f t="shared" si="28"/>
        <v>0</v>
      </c>
      <c r="U30" s="412">
        <f t="shared" si="14"/>
        <v>0</v>
      </c>
      <c r="V30" s="62">
        <f t="shared" si="15"/>
        <v>0</v>
      </c>
      <c r="W30" s="410"/>
      <c r="X30" s="64">
        <f t="shared" si="17"/>
        <v>2418</v>
      </c>
      <c r="Y30" s="52">
        <f t="shared" si="18"/>
        <v>0</v>
      </c>
      <c r="Z30" s="64">
        <f t="shared" si="17"/>
        <v>135964.1</v>
      </c>
      <c r="AA30" s="65">
        <f t="shared" si="6"/>
        <v>0</v>
      </c>
      <c r="AB30" s="292">
        <f t="shared" si="79"/>
        <v>0</v>
      </c>
      <c r="AC30" s="64">
        <f t="shared" ref="AC30:AE30" si="101">AC29</f>
        <v>1869</v>
      </c>
      <c r="AD30" s="45">
        <f t="shared" si="7"/>
        <v>0</v>
      </c>
      <c r="AE30" s="64">
        <f t="shared" si="101"/>
        <v>361552</v>
      </c>
      <c r="AF30" s="314">
        <f t="shared" si="19"/>
        <v>0</v>
      </c>
      <c r="AG30" s="212">
        <f t="shared" si="31"/>
        <v>0</v>
      </c>
      <c r="AH30" s="62">
        <f t="shared" si="32"/>
        <v>0</v>
      </c>
      <c r="AI30" s="326">
        <f t="shared" si="20"/>
        <v>0</v>
      </c>
      <c r="AJ30" s="326">
        <f>-tanks!AW31</f>
        <v>0</v>
      </c>
      <c r="AK30" s="326">
        <f t="shared" si="21"/>
        <v>0</v>
      </c>
      <c r="AL30" s="326">
        <f t="shared" si="70"/>
        <v>0</v>
      </c>
      <c r="AM30" s="326">
        <f t="shared" si="22"/>
        <v>0</v>
      </c>
      <c r="AN30" s="64">
        <f t="shared" si="43"/>
        <v>70</v>
      </c>
      <c r="AO30" s="328">
        <f t="shared" si="95"/>
        <v>2100</v>
      </c>
      <c r="AP30" s="64">
        <f t="shared" si="43"/>
        <v>73</v>
      </c>
      <c r="AQ30" s="328">
        <f t="shared" si="85"/>
        <v>2190</v>
      </c>
      <c r="AR30" s="64">
        <f t="shared" si="43"/>
        <v>70</v>
      </c>
      <c r="AS30" s="328">
        <f t="shared" si="33"/>
        <v>2100</v>
      </c>
      <c r="AT30" s="328">
        <f t="shared" si="81"/>
        <v>6390</v>
      </c>
      <c r="AU30" s="328">
        <f t="shared" si="35"/>
        <v>0</v>
      </c>
      <c r="AV30" s="275"/>
      <c r="AW30" s="275"/>
      <c r="AX30" s="321">
        <f t="shared" si="25"/>
        <v>0.7</v>
      </c>
    </row>
    <row r="31" spans="1:50">
      <c r="A31" s="63">
        <f>ELEC!C29</f>
        <v>44039</v>
      </c>
      <c r="B31" s="64">
        <f t="shared" si="38"/>
        <v>138.19999999999999</v>
      </c>
      <c r="C31" s="64">
        <f t="shared" si="39"/>
        <v>145.30000000000001</v>
      </c>
      <c r="D31" s="45">
        <f t="shared" si="66"/>
        <v>0</v>
      </c>
      <c r="E31" s="45">
        <f t="shared" si="9"/>
        <v>0</v>
      </c>
      <c r="F31" s="64">
        <f t="shared" si="10"/>
        <v>1615</v>
      </c>
      <c r="G31" s="52">
        <f t="shared" si="0"/>
        <v>0</v>
      </c>
      <c r="H31" s="64">
        <f t="shared" si="10"/>
        <v>355291</v>
      </c>
      <c r="I31" s="406">
        <f t="shared" si="1"/>
        <v>0</v>
      </c>
      <c r="J31" s="66">
        <f t="shared" si="11"/>
        <v>0</v>
      </c>
      <c r="K31" s="64">
        <f t="shared" si="12"/>
        <v>2075</v>
      </c>
      <c r="L31" s="52">
        <f t="shared" si="2"/>
        <v>0</v>
      </c>
      <c r="M31" s="64">
        <f t="shared" ref="M31" si="102">M30</f>
        <v>152253</v>
      </c>
      <c r="N31" s="406">
        <f t="shared" si="3"/>
        <v>0</v>
      </c>
      <c r="O31" s="64">
        <f t="shared" si="12"/>
        <v>211.87499999999994</v>
      </c>
      <c r="P31" s="64">
        <f t="shared" si="12"/>
        <v>1829</v>
      </c>
      <c r="Q31" s="64">
        <f t="shared" ref="Q31" si="103">Q30</f>
        <v>155136</v>
      </c>
      <c r="R31" s="405">
        <f t="shared" si="37"/>
        <v>0</v>
      </c>
      <c r="S31" s="52">
        <f t="shared" si="5"/>
        <v>0</v>
      </c>
      <c r="T31" s="67">
        <f t="shared" si="28"/>
        <v>0</v>
      </c>
      <c r="U31" s="412">
        <f t="shared" si="14"/>
        <v>0</v>
      </c>
      <c r="V31" s="62">
        <f t="shared" si="15"/>
        <v>0</v>
      </c>
      <c r="W31" s="410"/>
      <c r="X31" s="64">
        <f t="shared" si="17"/>
        <v>2418</v>
      </c>
      <c r="Y31" s="52">
        <f t="shared" si="18"/>
        <v>0</v>
      </c>
      <c r="Z31" s="64">
        <f t="shared" si="17"/>
        <v>135964.1</v>
      </c>
      <c r="AA31" s="65">
        <f t="shared" si="6"/>
        <v>0</v>
      </c>
      <c r="AB31" s="292">
        <f t="shared" si="79"/>
        <v>0</v>
      </c>
      <c r="AC31" s="64">
        <f t="shared" ref="AC31:AE31" si="104">AC30</f>
        <v>1869</v>
      </c>
      <c r="AD31" s="275">
        <f t="shared" si="7"/>
        <v>0</v>
      </c>
      <c r="AE31" s="64">
        <f t="shared" si="104"/>
        <v>361552</v>
      </c>
      <c r="AF31" s="314">
        <f t="shared" si="19"/>
        <v>0</v>
      </c>
      <c r="AG31" s="212">
        <f t="shared" si="31"/>
        <v>0</v>
      </c>
      <c r="AH31" s="62">
        <f t="shared" si="32"/>
        <v>0</v>
      </c>
      <c r="AI31" s="326">
        <f t="shared" si="20"/>
        <v>0</v>
      </c>
      <c r="AJ31" s="326">
        <f>-tanks!AW32</f>
        <v>0</v>
      </c>
      <c r="AK31" s="326">
        <f t="shared" si="21"/>
        <v>0</v>
      </c>
      <c r="AL31" s="326">
        <f t="shared" si="70"/>
        <v>0</v>
      </c>
      <c r="AM31" s="326">
        <f t="shared" si="22"/>
        <v>0</v>
      </c>
      <c r="AN31" s="64">
        <f t="shared" si="43"/>
        <v>70</v>
      </c>
      <c r="AO31" s="328">
        <f t="shared" si="95"/>
        <v>2100</v>
      </c>
      <c r="AP31" s="64">
        <f t="shared" si="43"/>
        <v>73</v>
      </c>
      <c r="AQ31" s="328">
        <f t="shared" si="85"/>
        <v>2190</v>
      </c>
      <c r="AR31" s="64">
        <f t="shared" si="43"/>
        <v>70</v>
      </c>
      <c r="AS31" s="328">
        <f t="shared" si="33"/>
        <v>2100</v>
      </c>
      <c r="AT31" s="328">
        <f t="shared" si="81"/>
        <v>6390</v>
      </c>
      <c r="AU31" s="328">
        <f t="shared" si="35"/>
        <v>0</v>
      </c>
      <c r="AV31" s="275"/>
      <c r="AW31" s="275"/>
      <c r="AX31" s="321">
        <f t="shared" si="25"/>
        <v>0.7</v>
      </c>
    </row>
    <row r="32" spans="1:50">
      <c r="A32" s="63">
        <f>ELEC!C30</f>
        <v>44040</v>
      </c>
      <c r="B32" s="64">
        <f t="shared" si="38"/>
        <v>138.19999999999999</v>
      </c>
      <c r="C32" s="64">
        <f t="shared" si="39"/>
        <v>145.30000000000001</v>
      </c>
      <c r="D32" s="45">
        <f t="shared" si="26"/>
        <v>0</v>
      </c>
      <c r="E32" s="45">
        <f t="shared" ref="E32:E34" si="105">D32*8.38</f>
        <v>0</v>
      </c>
      <c r="F32" s="64">
        <f t="shared" si="10"/>
        <v>1615</v>
      </c>
      <c r="G32" s="52">
        <f t="shared" si="0"/>
        <v>0</v>
      </c>
      <c r="H32" s="64">
        <f t="shared" si="10"/>
        <v>355291</v>
      </c>
      <c r="I32" s="406">
        <f t="shared" si="1"/>
        <v>0</v>
      </c>
      <c r="J32" s="66">
        <f t="shared" si="11"/>
        <v>0</v>
      </c>
      <c r="K32" s="64">
        <f t="shared" si="12"/>
        <v>2075</v>
      </c>
      <c r="L32" s="52">
        <f t="shared" si="2"/>
        <v>0</v>
      </c>
      <c r="M32" s="64">
        <f t="shared" ref="M32" si="106">M31</f>
        <v>152253</v>
      </c>
      <c r="N32" s="406">
        <f t="shared" si="3"/>
        <v>0</v>
      </c>
      <c r="O32" s="64">
        <f t="shared" si="12"/>
        <v>211.87499999999994</v>
      </c>
      <c r="P32" s="64">
        <f t="shared" si="12"/>
        <v>1829</v>
      </c>
      <c r="Q32" s="64">
        <f t="shared" ref="Q32" si="107">Q31</f>
        <v>155136</v>
      </c>
      <c r="R32" s="405">
        <f t="shared" si="37"/>
        <v>0</v>
      </c>
      <c r="S32" s="52">
        <f t="shared" si="5"/>
        <v>0</v>
      </c>
      <c r="T32" s="67">
        <f t="shared" si="28"/>
        <v>0</v>
      </c>
      <c r="U32" s="412">
        <f t="shared" si="14"/>
        <v>0</v>
      </c>
      <c r="V32" s="62">
        <f t="shared" si="15"/>
        <v>0</v>
      </c>
      <c r="W32" s="410"/>
      <c r="X32" s="64">
        <f t="shared" si="17"/>
        <v>2418</v>
      </c>
      <c r="Y32" s="52">
        <f t="shared" si="18"/>
        <v>0</v>
      </c>
      <c r="Z32" s="64">
        <f t="shared" si="17"/>
        <v>135964.1</v>
      </c>
      <c r="AA32" s="65">
        <f t="shared" si="6"/>
        <v>0</v>
      </c>
      <c r="AB32" s="292">
        <f t="shared" si="79"/>
        <v>0</v>
      </c>
      <c r="AC32" s="64">
        <f t="shared" ref="AC32:AE32" si="108">AC31</f>
        <v>1869</v>
      </c>
      <c r="AD32" s="275">
        <f t="shared" si="7"/>
        <v>0</v>
      </c>
      <c r="AE32" s="64">
        <f t="shared" si="108"/>
        <v>361552</v>
      </c>
      <c r="AF32" s="314">
        <f t="shared" si="19"/>
        <v>0</v>
      </c>
      <c r="AG32" s="212">
        <f t="shared" si="31"/>
        <v>0</v>
      </c>
      <c r="AH32" s="62">
        <f t="shared" si="32"/>
        <v>0</v>
      </c>
      <c r="AI32" s="326">
        <f t="shared" si="20"/>
        <v>0</v>
      </c>
      <c r="AJ32" s="326">
        <f>-tanks!AW33</f>
        <v>0</v>
      </c>
      <c r="AK32" s="326">
        <f t="shared" si="21"/>
        <v>0</v>
      </c>
      <c r="AL32" s="326">
        <f t="shared" si="70"/>
        <v>0</v>
      </c>
      <c r="AM32" s="326">
        <f t="shared" si="22"/>
        <v>0</v>
      </c>
      <c r="AN32" s="64">
        <f t="shared" si="43"/>
        <v>70</v>
      </c>
      <c r="AO32" s="328">
        <f t="shared" si="95"/>
        <v>2100</v>
      </c>
      <c r="AP32" s="64">
        <f t="shared" si="43"/>
        <v>73</v>
      </c>
      <c r="AQ32" s="328">
        <f t="shared" si="85"/>
        <v>2190</v>
      </c>
      <c r="AR32" s="64">
        <f t="shared" si="43"/>
        <v>70</v>
      </c>
      <c r="AS32" s="328">
        <f t="shared" si="33"/>
        <v>2100</v>
      </c>
      <c r="AT32" s="328">
        <f t="shared" si="81"/>
        <v>6390</v>
      </c>
      <c r="AU32" s="328">
        <f t="shared" si="35"/>
        <v>0</v>
      </c>
      <c r="AV32" s="275"/>
      <c r="AW32" s="275"/>
      <c r="AX32" s="321">
        <f t="shared" si="25"/>
        <v>0.7</v>
      </c>
    </row>
    <row r="33" spans="1:50">
      <c r="A33" s="63">
        <f>ELEC!C31</f>
        <v>44041</v>
      </c>
      <c r="B33" s="64">
        <f t="shared" si="38"/>
        <v>138.19999999999999</v>
      </c>
      <c r="C33" s="64">
        <f t="shared" si="39"/>
        <v>145.30000000000001</v>
      </c>
      <c r="D33" s="45">
        <f t="shared" si="26"/>
        <v>0</v>
      </c>
      <c r="E33" s="45">
        <f t="shared" si="105"/>
        <v>0</v>
      </c>
      <c r="F33" s="64">
        <f t="shared" si="10"/>
        <v>1615</v>
      </c>
      <c r="G33" s="52">
        <f t="shared" si="0"/>
        <v>0</v>
      </c>
      <c r="H33" s="64">
        <f t="shared" si="10"/>
        <v>355291</v>
      </c>
      <c r="I33" s="406">
        <f t="shared" si="1"/>
        <v>0</v>
      </c>
      <c r="J33" s="66">
        <f t="shared" si="11"/>
        <v>0</v>
      </c>
      <c r="K33" s="64">
        <f t="shared" si="12"/>
        <v>2075</v>
      </c>
      <c r="L33" s="52">
        <f t="shared" si="2"/>
        <v>0</v>
      </c>
      <c r="M33" s="64">
        <f t="shared" ref="M33" si="109">M32</f>
        <v>152253</v>
      </c>
      <c r="N33" s="406">
        <f t="shared" si="3"/>
        <v>0</v>
      </c>
      <c r="O33" s="64">
        <f t="shared" si="12"/>
        <v>211.87499999999994</v>
      </c>
      <c r="P33" s="64">
        <f t="shared" si="12"/>
        <v>1829</v>
      </c>
      <c r="Q33" s="64">
        <f t="shared" ref="Q33" si="110">Q32</f>
        <v>155136</v>
      </c>
      <c r="R33" s="405">
        <f t="shared" si="37"/>
        <v>0</v>
      </c>
      <c r="S33" s="52">
        <f t="shared" si="5"/>
        <v>0</v>
      </c>
      <c r="T33" s="67">
        <f t="shared" si="28"/>
        <v>0</v>
      </c>
      <c r="U33" s="412">
        <f t="shared" si="14"/>
        <v>0</v>
      </c>
      <c r="V33" s="62">
        <f t="shared" si="15"/>
        <v>0</v>
      </c>
      <c r="W33" s="410"/>
      <c r="X33" s="64">
        <f t="shared" si="17"/>
        <v>2418</v>
      </c>
      <c r="Y33" s="52">
        <f t="shared" si="18"/>
        <v>0</v>
      </c>
      <c r="Z33" s="64">
        <f t="shared" si="17"/>
        <v>135964.1</v>
      </c>
      <c r="AA33" s="65">
        <f t="shared" si="6"/>
        <v>0</v>
      </c>
      <c r="AB33" s="292">
        <f t="shared" si="79"/>
        <v>0</v>
      </c>
      <c r="AC33" s="64">
        <f t="shared" ref="AC33:AE33" si="111">AC32</f>
        <v>1869</v>
      </c>
      <c r="AD33" s="45">
        <f t="shared" si="7"/>
        <v>0</v>
      </c>
      <c r="AE33" s="64">
        <f t="shared" si="111"/>
        <v>361552</v>
      </c>
      <c r="AF33" s="314">
        <f t="shared" si="19"/>
        <v>0</v>
      </c>
      <c r="AG33" s="212">
        <f t="shared" si="31"/>
        <v>0</v>
      </c>
      <c r="AH33" s="62">
        <f t="shared" si="32"/>
        <v>0</v>
      </c>
      <c r="AI33" s="326">
        <f t="shared" si="20"/>
        <v>0</v>
      </c>
      <c r="AJ33" s="326">
        <f>-tanks!AW34</f>
        <v>0</v>
      </c>
      <c r="AK33" s="326">
        <f t="shared" si="21"/>
        <v>0</v>
      </c>
      <c r="AL33" s="326">
        <f t="shared" si="70"/>
        <v>0</v>
      </c>
      <c r="AM33" s="326">
        <f t="shared" si="22"/>
        <v>0</v>
      </c>
      <c r="AN33" s="64">
        <f t="shared" si="43"/>
        <v>70</v>
      </c>
      <c r="AO33" s="328">
        <f t="shared" si="95"/>
        <v>2100</v>
      </c>
      <c r="AP33" s="64">
        <f t="shared" si="43"/>
        <v>73</v>
      </c>
      <c r="AQ33" s="328">
        <f t="shared" si="85"/>
        <v>2190</v>
      </c>
      <c r="AR33" s="64">
        <f t="shared" si="43"/>
        <v>70</v>
      </c>
      <c r="AS33" s="328">
        <f t="shared" si="33"/>
        <v>2100</v>
      </c>
      <c r="AT33" s="328">
        <f t="shared" si="81"/>
        <v>6390</v>
      </c>
      <c r="AU33" s="328">
        <f t="shared" si="35"/>
        <v>0</v>
      </c>
      <c r="AV33" s="275"/>
      <c r="AW33" s="275"/>
      <c r="AX33" s="321">
        <f t="shared" si="25"/>
        <v>0.7</v>
      </c>
    </row>
    <row r="34" spans="1:50">
      <c r="A34" s="63">
        <f>ELEC!C32</f>
        <v>44042</v>
      </c>
      <c r="B34" s="64">
        <f t="shared" si="38"/>
        <v>138.19999999999999</v>
      </c>
      <c r="C34" s="64">
        <f t="shared" si="39"/>
        <v>145.30000000000001</v>
      </c>
      <c r="D34" s="45">
        <f t="shared" si="26"/>
        <v>0</v>
      </c>
      <c r="E34" s="45">
        <f t="shared" si="105"/>
        <v>0</v>
      </c>
      <c r="F34" s="64">
        <f t="shared" si="10"/>
        <v>1615</v>
      </c>
      <c r="G34" s="52">
        <f t="shared" si="0"/>
        <v>0</v>
      </c>
      <c r="H34" s="64">
        <f t="shared" si="10"/>
        <v>355291</v>
      </c>
      <c r="I34" s="406">
        <f t="shared" si="1"/>
        <v>0</v>
      </c>
      <c r="J34" s="66">
        <f t="shared" si="11"/>
        <v>0</v>
      </c>
      <c r="K34" s="64">
        <f t="shared" si="12"/>
        <v>2075</v>
      </c>
      <c r="L34" s="52">
        <f t="shared" si="2"/>
        <v>0</v>
      </c>
      <c r="M34" s="64">
        <f t="shared" ref="M34" si="112">M33</f>
        <v>152253</v>
      </c>
      <c r="N34" s="406">
        <f t="shared" si="3"/>
        <v>0</v>
      </c>
      <c r="O34" s="64">
        <f t="shared" si="12"/>
        <v>211.87499999999994</v>
      </c>
      <c r="P34" s="64">
        <f t="shared" si="12"/>
        <v>1829</v>
      </c>
      <c r="Q34" s="64">
        <f t="shared" ref="Q34" si="113">Q33</f>
        <v>155136</v>
      </c>
      <c r="R34" s="405">
        <f t="shared" si="37"/>
        <v>0</v>
      </c>
      <c r="S34" s="52">
        <f t="shared" si="5"/>
        <v>0</v>
      </c>
      <c r="T34" s="67">
        <f t="shared" si="28"/>
        <v>0</v>
      </c>
      <c r="U34" s="412">
        <f t="shared" si="14"/>
        <v>0</v>
      </c>
      <c r="V34" s="62">
        <f t="shared" si="15"/>
        <v>0</v>
      </c>
      <c r="W34" s="410"/>
      <c r="X34" s="64">
        <f t="shared" si="17"/>
        <v>2418</v>
      </c>
      <c r="Y34" s="52">
        <f t="shared" si="18"/>
        <v>0</v>
      </c>
      <c r="Z34" s="64">
        <f t="shared" si="17"/>
        <v>135964.1</v>
      </c>
      <c r="AA34" s="65">
        <f t="shared" si="6"/>
        <v>0</v>
      </c>
      <c r="AB34" s="292">
        <f t="shared" si="79"/>
        <v>0</v>
      </c>
      <c r="AC34" s="64">
        <f t="shared" ref="AC34:AE34" si="114">AC33</f>
        <v>1869</v>
      </c>
      <c r="AD34" s="45">
        <f t="shared" si="7"/>
        <v>0</v>
      </c>
      <c r="AE34" s="64">
        <f t="shared" si="114"/>
        <v>361552</v>
      </c>
      <c r="AF34" s="314">
        <f t="shared" si="19"/>
        <v>0</v>
      </c>
      <c r="AG34" s="212">
        <f t="shared" si="31"/>
        <v>0</v>
      </c>
      <c r="AH34" s="62">
        <f t="shared" si="32"/>
        <v>0</v>
      </c>
      <c r="AI34" s="326">
        <f t="shared" si="20"/>
        <v>0</v>
      </c>
      <c r="AJ34" s="326">
        <f>-tanks!AW35</f>
        <v>0</v>
      </c>
      <c r="AK34" s="326">
        <f t="shared" si="21"/>
        <v>0</v>
      </c>
      <c r="AL34" s="326">
        <f t="shared" si="70"/>
        <v>0</v>
      </c>
      <c r="AM34" s="326">
        <f>Y34+AD34</f>
        <v>0</v>
      </c>
      <c r="AN34" s="64">
        <f t="shared" si="43"/>
        <v>70</v>
      </c>
      <c r="AO34" s="328">
        <f t="shared" si="95"/>
        <v>2100</v>
      </c>
      <c r="AP34" s="64">
        <f t="shared" si="43"/>
        <v>73</v>
      </c>
      <c r="AQ34" s="328">
        <f t="shared" si="85"/>
        <v>2190</v>
      </c>
      <c r="AR34" s="64">
        <f t="shared" si="43"/>
        <v>70</v>
      </c>
      <c r="AS34" s="328">
        <f t="shared" si="33"/>
        <v>2100</v>
      </c>
      <c r="AT34" s="328">
        <f t="shared" si="81"/>
        <v>6390</v>
      </c>
      <c r="AU34" s="328">
        <f t="shared" si="35"/>
        <v>0</v>
      </c>
      <c r="AV34" s="275"/>
      <c r="AW34" s="275"/>
      <c r="AX34" s="321">
        <f t="shared" si="25"/>
        <v>0.7</v>
      </c>
    </row>
    <row r="35" spans="1:50">
      <c r="A35" s="63">
        <f>ELEC!C33</f>
        <v>44043</v>
      </c>
      <c r="B35" s="64">
        <f t="shared" si="38"/>
        <v>138.19999999999999</v>
      </c>
      <c r="C35" s="64">
        <f t="shared" si="39"/>
        <v>145.30000000000001</v>
      </c>
      <c r="D35" s="45">
        <f t="shared" ref="D35" si="115">C34-C35</f>
        <v>0</v>
      </c>
      <c r="E35" s="45">
        <f t="shared" ref="E35" si="116">D35*8.38</f>
        <v>0</v>
      </c>
      <c r="F35" s="64">
        <f t="shared" si="10"/>
        <v>1615</v>
      </c>
      <c r="G35" s="52">
        <f t="shared" ref="G35" si="117">F35-F34</f>
        <v>0</v>
      </c>
      <c r="H35" s="64">
        <f t="shared" si="10"/>
        <v>355291</v>
      </c>
      <c r="I35" s="406">
        <f t="shared" ref="I35" si="118">SUM(H35-H34)</f>
        <v>0</v>
      </c>
      <c r="J35" s="66">
        <f t="shared" ref="J35" si="119">IF(G35&gt;0,I35/G35,0)</f>
        <v>0</v>
      </c>
      <c r="K35" s="64">
        <f t="shared" si="12"/>
        <v>2075</v>
      </c>
      <c r="L35" s="52">
        <f t="shared" ref="L35" si="120">K35-K34</f>
        <v>0</v>
      </c>
      <c r="M35" s="64">
        <f t="shared" ref="M35" si="121">M34</f>
        <v>152253</v>
      </c>
      <c r="N35" s="406">
        <f t="shared" ref="N35" si="122">M35-M34</f>
        <v>0</v>
      </c>
      <c r="O35" s="64">
        <f t="shared" si="12"/>
        <v>211.87499999999994</v>
      </c>
      <c r="P35" s="64">
        <f t="shared" si="12"/>
        <v>1829</v>
      </c>
      <c r="Q35" s="64">
        <f t="shared" ref="Q35" si="123">Q34</f>
        <v>155136</v>
      </c>
      <c r="R35" s="405">
        <f t="shared" ref="R35" si="124">Q35-Q34</f>
        <v>0</v>
      </c>
      <c r="S35" s="52">
        <f t="shared" ref="S35" si="125">SUM(P35-P34)</f>
        <v>0</v>
      </c>
      <c r="T35" s="67">
        <f t="shared" ref="T35" si="126">SUM(S35*$T$2)</f>
        <v>0</v>
      </c>
      <c r="U35" s="412">
        <f t="shared" ref="U35" si="127">SUM(G35+L35+S35)</f>
        <v>0</v>
      </c>
      <c r="V35" s="62">
        <f t="shared" ref="V35" si="128">R35+N35+I35:I35</f>
        <v>0</v>
      </c>
      <c r="W35" s="410"/>
      <c r="X35" s="64">
        <f t="shared" si="17"/>
        <v>2418</v>
      </c>
      <c r="Y35" s="52">
        <f t="shared" ref="Y35" si="129">X35-X34</f>
        <v>0</v>
      </c>
      <c r="Z35" s="64">
        <f t="shared" si="17"/>
        <v>135964.1</v>
      </c>
      <c r="AA35" s="65">
        <f t="shared" ref="AA35" si="130">Z35-Z34</f>
        <v>0</v>
      </c>
      <c r="AB35" s="292">
        <f t="shared" ref="AB35" si="131">SUM(Y35*$AB$2)</f>
        <v>0</v>
      </c>
      <c r="AC35" s="64">
        <f t="shared" ref="AC35:AE35" si="132">AC34</f>
        <v>1869</v>
      </c>
      <c r="AD35" s="45">
        <f t="shared" ref="AD35" si="133">AC35-AC34</f>
        <v>0</v>
      </c>
      <c r="AE35" s="64">
        <f t="shared" si="132"/>
        <v>361552</v>
      </c>
      <c r="AF35" s="314">
        <f t="shared" ref="AF35" si="134">AE35-AE34</f>
        <v>0</v>
      </c>
      <c r="AG35" s="212">
        <f t="shared" ref="AG35" si="135">IF(AD35&gt;0,AF35/AD35,0)</f>
        <v>0</v>
      </c>
      <c r="AH35" s="62">
        <f t="shared" ref="AH35" si="136">AF35+AA35</f>
        <v>0</v>
      </c>
      <c r="AI35" s="326">
        <f t="shared" ref="AI35" si="137">SUM(AH35+V35)</f>
        <v>0</v>
      </c>
      <c r="AJ35" s="326">
        <f>-tanks!AW37</f>
        <v>0</v>
      </c>
      <c r="AK35" s="326">
        <f t="shared" ref="AK35" si="138">SUM(AJ35-AI35)</f>
        <v>0</v>
      </c>
      <c r="AL35" s="326">
        <f t="shared" ref="AL35" si="139">S35+L35+G35</f>
        <v>0</v>
      </c>
      <c r="AM35" s="326">
        <f>Y35+AD35</f>
        <v>0</v>
      </c>
      <c r="AN35" s="64">
        <f t="shared" si="43"/>
        <v>70</v>
      </c>
      <c r="AO35" s="328">
        <f t="shared" ref="AO35" si="140">(AN35/100)*3000</f>
        <v>2100</v>
      </c>
      <c r="AP35" s="64">
        <f t="shared" si="43"/>
        <v>73</v>
      </c>
      <c r="AQ35" s="328">
        <f t="shared" ref="AQ35" si="141">(AP35/100)*3000</f>
        <v>2190</v>
      </c>
      <c r="AR35" s="64">
        <f t="shared" si="43"/>
        <v>70</v>
      </c>
      <c r="AS35" s="328">
        <f t="shared" ref="AS35" si="142">(AR35/100)*3000</f>
        <v>2100</v>
      </c>
      <c r="AT35" s="328">
        <f t="shared" ref="AT35" si="143">SUM(AO35+AQ35+AS35)</f>
        <v>6390</v>
      </c>
      <c r="AU35" s="328">
        <f t="shared" ref="AU35" si="144">AT34-AT35+AV35</f>
        <v>0</v>
      </c>
      <c r="AV35" s="275"/>
      <c r="AW35" s="275"/>
      <c r="AX35" s="321">
        <f t="shared" ref="AX35" si="145">IF(AV35&gt;0,AW35,AX34)</f>
        <v>0.7</v>
      </c>
    </row>
    <row r="36" spans="1:50">
      <c r="J36" s="291">
        <f>SUM(J5:J34)/(COUNT(J5:J34)-COUNTIF(J5:J34,0))</f>
        <v>58.933333333333337</v>
      </c>
      <c r="V36" s="62">
        <f>SUM(V5:V35)</f>
        <v>3277</v>
      </c>
      <c r="AE36" s="71" t="s">
        <v>386</v>
      </c>
      <c r="AG36" s="354"/>
      <c r="AH36" s="62">
        <f>SUM(AH5:AH35)</f>
        <v>734</v>
      </c>
      <c r="AL36" s="62">
        <f>SUM(AL5:AL35)</f>
        <v>41</v>
      </c>
      <c r="AM36" s="62">
        <f>SUM(AM5:AM35)</f>
        <v>12</v>
      </c>
      <c r="AP36" s="321"/>
      <c r="AQ36" s="321"/>
      <c r="AR36" s="321" t="s">
        <v>225</v>
      </c>
      <c r="AS36" s="321">
        <f>COUNT(AW5:AW34)</f>
        <v>1</v>
      </c>
      <c r="AT36" s="321"/>
      <c r="AU36" s="321">
        <f>SUM(AU5:AU34)</f>
        <v>1330</v>
      </c>
      <c r="AV36" s="71">
        <f>SUM(AV5:AV34)</f>
        <v>1000</v>
      </c>
      <c r="AW36" s="321">
        <f>SUM(AW5:AW34)/AS36</f>
        <v>0.7</v>
      </c>
    </row>
    <row r="37" spans="1:50">
      <c r="AH37" s="62">
        <f>AF37+AA37</f>
        <v>0</v>
      </c>
      <c r="AI37" s="329">
        <f>SUM(AI5:AI34)</f>
        <v>4011</v>
      </c>
      <c r="AP37" s="321"/>
      <c r="AQ37" s="321"/>
      <c r="AR37" s="321"/>
      <c r="AS37" s="321"/>
      <c r="AT37" s="321"/>
      <c r="AU37" s="321"/>
      <c r="AV37" s="321"/>
      <c r="AW37" s="321"/>
    </row>
    <row r="38" spans="1:50">
      <c r="AH38" s="62">
        <f>AF38+AA38</f>
        <v>0</v>
      </c>
      <c r="AP38" s="321"/>
      <c r="AQ38" s="321"/>
      <c r="AR38" s="321"/>
      <c r="AS38" s="321"/>
      <c r="AT38" s="321"/>
      <c r="AU38" s="321">
        <f>AU36*0.51</f>
        <v>678.30000000000007</v>
      </c>
      <c r="AV38" s="321">
        <f>AV36/0.51</f>
        <v>1960.7843137254902</v>
      </c>
      <c r="AW38" s="321">
        <f>SUM(AW5:AW34)/AS36</f>
        <v>0.7</v>
      </c>
    </row>
    <row r="39" spans="1:50">
      <c r="AP39" s="321"/>
      <c r="AQ39" s="321"/>
      <c r="AR39" s="321"/>
      <c r="AS39" s="321"/>
      <c r="AT39" s="321"/>
      <c r="AU39" s="321"/>
      <c r="AV39" s="321">
        <f>AV36*0.51</f>
        <v>510</v>
      </c>
      <c r="AW39" s="321"/>
    </row>
    <row r="40" spans="1:50">
      <c r="AP40" s="321"/>
      <c r="AQ40" s="321"/>
      <c r="AR40" s="321"/>
      <c r="AS40" s="321"/>
      <c r="AT40" s="321"/>
      <c r="AU40" s="321"/>
      <c r="AV40" s="321"/>
      <c r="AW40" s="321"/>
    </row>
    <row r="41" spans="1:50">
      <c r="P41" s="69"/>
      <c r="Q41" s="69"/>
      <c r="R41" s="69"/>
      <c r="AP41" s="321"/>
      <c r="AQ41" s="321"/>
      <c r="AR41" s="321"/>
      <c r="AS41" s="321"/>
      <c r="AT41" s="321"/>
      <c r="AU41" s="321"/>
      <c r="AV41" s="321"/>
      <c r="AW41" s="321"/>
    </row>
    <row r="43" spans="1:50">
      <c r="AG43" s="367" t="s">
        <v>378</v>
      </c>
    </row>
  </sheetData>
  <mergeCells count="6">
    <mergeCell ref="Q2:R2"/>
    <mergeCell ref="P1:T1"/>
    <mergeCell ref="X1:AB1"/>
    <mergeCell ref="AC1:AF1"/>
    <mergeCell ref="F1:I1"/>
    <mergeCell ref="K1:O1"/>
  </mergeCells>
  <conditionalFormatting sqref="AV5:AW35">
    <cfRule type="cellIs" dxfId="6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M75"/>
  <sheetViews>
    <sheetView topLeftCell="AH1" zoomScaleNormal="100" workbookViewId="0">
      <pane ySplit="3" topLeftCell="A4" activePane="bottomLeft" state="frozen"/>
      <selection pane="bottomLeft" activeCell="AY12" sqref="AY12"/>
    </sheetView>
  </sheetViews>
  <sheetFormatPr defaultRowHeight="15"/>
  <cols>
    <col min="1" max="1" width="10.7109375" bestFit="1" customWidth="1"/>
    <col min="2" max="2" width="9.7109375" style="1" customWidth="1"/>
    <col min="3" max="3" width="11" style="1" customWidth="1"/>
    <col min="4" max="4" width="18" style="1" customWidth="1"/>
    <col min="5" max="6" width="12.28515625" style="340" customWidth="1"/>
    <col min="7" max="7" width="10.140625" style="1" customWidth="1"/>
    <col min="8" max="8" width="10.7109375" style="1" bestFit="1" customWidth="1"/>
    <col min="9" max="9" width="9.140625" style="1" customWidth="1"/>
    <col min="10" max="10" width="14.42578125" style="340" customWidth="1"/>
    <col min="11" max="11" width="13.5703125" style="1" customWidth="1"/>
    <col min="12" max="12" width="13.28515625" style="1" customWidth="1"/>
    <col min="13" max="13" width="10.7109375" style="507" customWidth="1"/>
    <col min="14" max="14" width="10.7109375" style="509" customWidth="1"/>
    <col min="15" max="15" width="11.140625" style="507" customWidth="1"/>
    <col min="16" max="16" width="11.140625" style="509" customWidth="1"/>
    <col min="17" max="17" width="17.28515625" style="507" customWidth="1"/>
    <col min="18" max="18" width="10.85546875" style="507" customWidth="1"/>
    <col min="19" max="19" width="10.7109375" style="507" customWidth="1"/>
    <col min="20" max="20" width="13.28515625" style="416" customWidth="1"/>
    <col min="21" max="21" width="8.7109375" style="420" customWidth="1"/>
    <col min="22" max="22" width="13.28515625" style="330" customWidth="1"/>
    <col min="23" max="23" width="9.7109375" style="330" bestFit="1" customWidth="1"/>
    <col min="24" max="27" width="9.7109375" style="330" customWidth="1"/>
    <col min="28" max="28" width="14.42578125" style="330" customWidth="1"/>
    <col min="29" max="32" width="9.7109375" style="330" customWidth="1"/>
    <col min="33" max="33" width="11.28515625" style="330" customWidth="1"/>
    <col min="34" max="36" width="9.7109375" style="330" customWidth="1"/>
    <col min="37" max="37" width="7.42578125" style="330" customWidth="1"/>
    <col min="38" max="39" width="8.7109375" style="330" customWidth="1"/>
    <col min="40" max="40" width="6.7109375" style="1" customWidth="1"/>
    <col min="41" max="41" width="7.42578125" customWidth="1"/>
    <col min="42" max="42" width="11.5703125" bestFit="1" customWidth="1"/>
    <col min="43" max="43" width="8.7109375" bestFit="1" customWidth="1"/>
    <col min="44" max="44" width="11.7109375" bestFit="1" customWidth="1"/>
    <col min="45" max="46" width="10.28515625" bestFit="1" customWidth="1"/>
    <col min="47" max="47" width="11" customWidth="1"/>
    <col min="48" max="48" width="9.140625" bestFit="1" customWidth="1"/>
    <col min="49" max="49" width="7.85546875" bestFit="1" customWidth="1"/>
    <col min="50" max="50" width="9.140625" bestFit="1" customWidth="1"/>
    <col min="51" max="51" width="11" bestFit="1" customWidth="1"/>
    <col min="52" max="52" width="9.7109375" bestFit="1" customWidth="1"/>
    <col min="53" max="53" width="11.28515625" bestFit="1" customWidth="1"/>
    <col min="54" max="54" width="12.42578125" customWidth="1"/>
    <col min="55" max="55" width="12.5703125" bestFit="1" customWidth="1"/>
    <col min="56" max="56" width="14.140625" bestFit="1" customWidth="1"/>
    <col min="57" max="57" width="12.42578125" bestFit="1" customWidth="1"/>
    <col min="58" max="58" width="12.85546875" bestFit="1" customWidth="1"/>
    <col min="59" max="59" width="9.28515625" bestFit="1" customWidth="1"/>
  </cols>
  <sheetData>
    <row r="1" spans="1:65" s="369" customFormat="1" ht="15.75" thickBot="1">
      <c r="B1" s="370"/>
      <c r="C1" s="370"/>
      <c r="D1" s="427">
        <f>SUM(G21:G35)</f>
        <v>9040125</v>
      </c>
      <c r="E1" s="371"/>
      <c r="F1" s="371"/>
      <c r="G1" s="370"/>
      <c r="H1" s="370"/>
      <c r="I1" s="370"/>
      <c r="J1" s="371"/>
      <c r="K1" s="370"/>
      <c r="L1" s="370"/>
      <c r="M1" s="370"/>
      <c r="N1" s="370"/>
      <c r="O1" s="370"/>
      <c r="P1" s="370"/>
      <c r="Q1" s="370"/>
      <c r="R1" s="370"/>
      <c r="S1" s="370"/>
      <c r="T1" s="370"/>
      <c r="U1" s="370"/>
      <c r="V1" s="372"/>
      <c r="W1" s="372"/>
      <c r="X1" s="372"/>
      <c r="Y1" s="372"/>
      <c r="Z1" s="372"/>
      <c r="AA1" s="372"/>
      <c r="AB1" s="372"/>
      <c r="AC1" s="372"/>
      <c r="AD1" s="372"/>
      <c r="AE1" s="372"/>
      <c r="AF1" s="372"/>
      <c r="AG1" s="372"/>
      <c r="AH1" s="372"/>
      <c r="AI1" s="372"/>
      <c r="AJ1" s="372"/>
      <c r="AK1" s="372"/>
      <c r="AL1" s="372"/>
      <c r="AM1" s="372"/>
      <c r="AN1" s="370"/>
      <c r="AR1" s="373" t="s">
        <v>92</v>
      </c>
      <c r="AS1" s="374"/>
      <c r="AT1" s="374" t="s">
        <v>60</v>
      </c>
      <c r="AU1" s="374"/>
      <c r="AV1" s="375" t="s">
        <v>61</v>
      </c>
    </row>
    <row r="2" spans="1:65" s="369" customFormat="1" ht="15.75" customHeight="1" thickBot="1">
      <c r="B2" s="370"/>
      <c r="C2" s="370"/>
      <c r="D2" s="370"/>
      <c r="E2" s="371"/>
      <c r="F2" s="371"/>
      <c r="G2" s="370"/>
      <c r="H2" s="370"/>
      <c r="I2" s="370"/>
      <c r="J2" s="371"/>
      <c r="K2" s="370"/>
      <c r="L2" s="370"/>
      <c r="M2" s="370"/>
      <c r="N2" s="370"/>
      <c r="O2" s="370"/>
      <c r="P2" s="370"/>
      <c r="Q2" s="370"/>
      <c r="R2" s="370"/>
      <c r="S2" s="370"/>
      <c r="T2" s="370"/>
      <c r="U2" s="370"/>
      <c r="V2" s="372"/>
      <c r="W2" s="372"/>
      <c r="X2" s="372"/>
      <c r="Y2" s="372"/>
      <c r="Z2" s="372"/>
      <c r="AA2" s="372"/>
      <c r="AB2" s="372"/>
      <c r="AC2" s="372"/>
      <c r="AD2" s="372"/>
      <c r="AE2" s="372"/>
      <c r="AF2" s="372"/>
      <c r="AG2" s="372"/>
      <c r="AH2" s="372"/>
      <c r="AI2" s="372"/>
      <c r="AJ2" s="372"/>
      <c r="AK2" s="372"/>
      <c r="AL2" s="372"/>
      <c r="AM2" s="372"/>
      <c r="AN2" s="370"/>
      <c r="AR2" s="629" t="s">
        <v>95</v>
      </c>
      <c r="AS2" s="630"/>
      <c r="AT2" s="630"/>
      <c r="AU2" s="630"/>
      <c r="AV2" s="631"/>
      <c r="AW2" s="629" t="s">
        <v>96</v>
      </c>
      <c r="AX2" s="630"/>
      <c r="AY2" s="631"/>
      <c r="AZ2" s="629" t="s">
        <v>98</v>
      </c>
      <c r="BA2" s="630"/>
      <c r="BB2" s="631"/>
      <c r="BC2" s="376"/>
      <c r="BE2" s="377"/>
    </row>
    <row r="3" spans="1:65" s="369" customFormat="1" ht="48" customHeight="1" thickBot="1">
      <c r="A3" s="378" t="s">
        <v>51</v>
      </c>
      <c r="B3" s="379" t="s">
        <v>52</v>
      </c>
      <c r="C3" s="379" t="s">
        <v>53</v>
      </c>
      <c r="D3" s="379" t="s">
        <v>54</v>
      </c>
      <c r="E3" s="380"/>
      <c r="F3" s="381" t="s">
        <v>80</v>
      </c>
      <c r="G3" s="379" t="s">
        <v>55</v>
      </c>
      <c r="H3" s="379" t="s">
        <v>56</v>
      </c>
      <c r="I3" s="379" t="s">
        <v>100</v>
      </c>
      <c r="J3" s="380"/>
      <c r="K3" s="379" t="s">
        <v>395</v>
      </c>
      <c r="L3" s="382" t="s">
        <v>330</v>
      </c>
      <c r="M3" s="528" t="s">
        <v>402</v>
      </c>
      <c r="N3" s="529"/>
      <c r="O3" s="530" t="s">
        <v>403</v>
      </c>
      <c r="P3" s="530"/>
      <c r="Q3" s="530" t="s">
        <v>399</v>
      </c>
      <c r="R3" s="530" t="s">
        <v>401</v>
      </c>
      <c r="S3" s="530" t="s">
        <v>400</v>
      </c>
      <c r="T3" s="379" t="s">
        <v>383</v>
      </c>
      <c r="U3" s="379" t="s">
        <v>385</v>
      </c>
      <c r="V3" s="383" t="s">
        <v>334</v>
      </c>
      <c r="W3" s="384" t="s">
        <v>335</v>
      </c>
      <c r="X3" s="383" t="s">
        <v>338</v>
      </c>
      <c r="Y3" s="384" t="s">
        <v>339</v>
      </c>
      <c r="Z3" s="385" t="s">
        <v>340</v>
      </c>
      <c r="AA3" s="386" t="s">
        <v>398</v>
      </c>
      <c r="AB3" s="454" t="s">
        <v>397</v>
      </c>
      <c r="AC3" s="452" t="s">
        <v>396</v>
      </c>
      <c r="AD3" s="452"/>
      <c r="AE3" s="387" t="s">
        <v>407</v>
      </c>
      <c r="AF3" s="387" t="s">
        <v>408</v>
      </c>
      <c r="AG3" s="387" t="s">
        <v>409</v>
      </c>
      <c r="AH3" s="387" t="s">
        <v>410</v>
      </c>
      <c r="AI3" s="386" t="s">
        <v>411</v>
      </c>
      <c r="AJ3" s="386" t="s">
        <v>341</v>
      </c>
      <c r="AK3" s="387" t="s">
        <v>343</v>
      </c>
      <c r="AL3" s="387" t="s">
        <v>342</v>
      </c>
      <c r="AM3" s="388" t="s">
        <v>125</v>
      </c>
      <c r="AN3" s="626" t="s">
        <v>126</v>
      </c>
      <c r="AO3" s="627"/>
      <c r="AP3" s="628"/>
      <c r="AR3" s="389" t="s">
        <v>51</v>
      </c>
      <c r="AS3" s="390"/>
      <c r="AT3" s="389" t="s">
        <v>94</v>
      </c>
      <c r="AU3" s="390"/>
      <c r="AV3" s="391" t="s">
        <v>57</v>
      </c>
      <c r="AW3" s="392"/>
      <c r="AX3" s="390" t="s">
        <v>59</v>
      </c>
      <c r="AY3" s="393" t="s">
        <v>93</v>
      </c>
      <c r="AZ3" s="391" t="s">
        <v>57</v>
      </c>
      <c r="BA3" s="394" t="s">
        <v>59</v>
      </c>
      <c r="BB3" s="395" t="s">
        <v>57</v>
      </c>
      <c r="BC3" s="395" t="s">
        <v>58</v>
      </c>
      <c r="BD3" s="396" t="s">
        <v>59</v>
      </c>
      <c r="BE3" s="397" t="s">
        <v>99</v>
      </c>
      <c r="BF3" s="396" t="s">
        <v>97</v>
      </c>
      <c r="BG3" s="398"/>
      <c r="BI3" s="399"/>
      <c r="BJ3" s="399"/>
      <c r="BK3" s="399"/>
      <c r="BL3" s="399"/>
      <c r="BM3" s="399"/>
    </row>
    <row r="4" spans="1:65" ht="16.5" thickBot="1">
      <c r="A4" s="87"/>
      <c r="B4" s="5"/>
      <c r="C4" s="5"/>
      <c r="D4" s="272"/>
      <c r="E4" s="341">
        <v>1.66</v>
      </c>
      <c r="F4" s="341"/>
      <c r="G4" s="5"/>
      <c r="H4" s="5"/>
      <c r="I4" s="5"/>
      <c r="J4" s="342"/>
      <c r="K4" s="5"/>
      <c r="L4" s="83"/>
      <c r="M4" s="531"/>
      <c r="N4" s="531"/>
      <c r="O4" s="531"/>
      <c r="P4" s="531"/>
      <c r="Q4" s="531"/>
      <c r="R4" s="531"/>
      <c r="S4" s="531"/>
      <c r="T4" s="83"/>
      <c r="U4" s="83"/>
      <c r="V4" s="331"/>
      <c r="W4" s="332"/>
      <c r="X4" s="331"/>
      <c r="Y4" s="332"/>
      <c r="Z4" s="333"/>
      <c r="AA4" s="453"/>
      <c r="AB4" s="455"/>
      <c r="AC4" s="453"/>
      <c r="AD4" s="453"/>
      <c r="AE4" s="453"/>
      <c r="AF4" s="453"/>
      <c r="AG4" s="453"/>
      <c r="AH4" s="453"/>
      <c r="AI4" s="453"/>
      <c r="AJ4" s="334"/>
      <c r="AK4" s="335"/>
      <c r="AL4" s="335"/>
      <c r="AM4" s="336"/>
      <c r="AN4" s="88" t="s">
        <v>129</v>
      </c>
      <c r="AO4" s="88" t="s">
        <v>130</v>
      </c>
      <c r="AP4" s="88" t="s">
        <v>157</v>
      </c>
      <c r="AR4" s="234"/>
      <c r="AS4" s="235"/>
      <c r="AT4" s="234">
        <v>180</v>
      </c>
      <c r="AU4" s="235"/>
      <c r="AV4" s="236">
        <v>220</v>
      </c>
      <c r="AW4" s="237"/>
      <c r="AX4" s="235">
        <v>580</v>
      </c>
      <c r="AY4" s="89">
        <f>SUM(AT4)</f>
        <v>180</v>
      </c>
      <c r="AZ4" s="90">
        <f>SUM(AV4)</f>
        <v>220</v>
      </c>
      <c r="BA4" s="91">
        <f>SUM(AX4)</f>
        <v>580</v>
      </c>
      <c r="BB4" s="92"/>
      <c r="BC4" s="93"/>
      <c r="BD4" s="94"/>
      <c r="BE4" s="23"/>
      <c r="BG4" s="96"/>
      <c r="BI4" s="17"/>
      <c r="BJ4" s="17"/>
      <c r="BK4" s="17"/>
      <c r="BL4" s="17"/>
      <c r="BM4" s="17"/>
    </row>
    <row r="5" spans="1:65">
      <c r="A5" s="6">
        <f>[1]WATER!$A$35</f>
        <v>44012</v>
      </c>
      <c r="B5" s="421">
        <f>[1]WATER!B35</f>
        <v>108535</v>
      </c>
      <c r="C5" s="421">
        <f>[1]WATER!C35</f>
        <v>0</v>
      </c>
      <c r="D5" s="421">
        <f>[1]WATER!D35</f>
        <v>0</v>
      </c>
      <c r="E5" s="421">
        <f>[1]WATER!E35</f>
        <v>250</v>
      </c>
      <c r="F5" s="421">
        <f>[1]WATER!F35</f>
        <v>0</v>
      </c>
      <c r="G5" s="421">
        <f>[1]WATER!G35</f>
        <v>601246</v>
      </c>
      <c r="H5" s="421">
        <f>[1]WATER!H35</f>
        <v>413</v>
      </c>
      <c r="I5" s="421">
        <f>[1]WATER!I35</f>
        <v>413</v>
      </c>
      <c r="J5" s="421">
        <f>[1]WATER!J35</f>
        <v>0.60532687651331718</v>
      </c>
      <c r="K5" s="421">
        <f>[1]WATER!K35</f>
        <v>6366</v>
      </c>
      <c r="L5" s="421">
        <f>[1]WATER!L35</f>
        <v>10</v>
      </c>
      <c r="M5" s="421">
        <f>[1]WATER!M35</f>
        <v>457.44</v>
      </c>
      <c r="N5" s="421">
        <f>[1]WATER!N35</f>
        <v>0</v>
      </c>
      <c r="O5" s="421">
        <f>[1]WATER!O35</f>
        <v>529.52</v>
      </c>
      <c r="P5" s="421">
        <f>[1]WATER!P35</f>
        <v>0</v>
      </c>
      <c r="Q5" s="421">
        <f>[1]WATER!Q35</f>
        <v>0</v>
      </c>
      <c r="R5" s="421">
        <f>[1]WATER!R35</f>
        <v>0</v>
      </c>
      <c r="S5" s="421">
        <f>[1]WATER!S35</f>
        <v>0</v>
      </c>
      <c r="T5" s="421">
        <f>[1]WATER!T35</f>
        <v>4899</v>
      </c>
      <c r="U5" s="421">
        <f>[1]WATER!U35</f>
        <v>2</v>
      </c>
      <c r="V5" s="421">
        <f>[1]WATER!V35</f>
        <v>410</v>
      </c>
      <c r="W5" s="421">
        <f>[1]WATER!W35</f>
        <v>0</v>
      </c>
      <c r="X5" s="421">
        <f>[1]WATER!X35</f>
        <v>144569</v>
      </c>
      <c r="Y5" s="421">
        <f>[1]WATER!Y35</f>
        <v>108</v>
      </c>
      <c r="Z5" s="421">
        <f>[1]WATER!Z35</f>
        <v>95357</v>
      </c>
      <c r="AA5" s="421">
        <f>[1]WATER!AA35</f>
        <v>36</v>
      </c>
      <c r="AB5" s="421">
        <f>[1]WATER!AB35</f>
        <v>259</v>
      </c>
      <c r="AC5" s="421">
        <f>[1]WATER!AC35</f>
        <v>670</v>
      </c>
      <c r="AD5" s="421">
        <f>[1]WATER!AD35</f>
        <v>0</v>
      </c>
      <c r="AE5" s="421">
        <f>[1]WATER!AE35</f>
        <v>162.18</v>
      </c>
      <c r="AF5" s="421">
        <f>[1]WATER!AF35</f>
        <v>0</v>
      </c>
      <c r="AG5" s="421">
        <f>[1]WATER!AG35</f>
        <v>1697.9</v>
      </c>
      <c r="AH5" s="421">
        <f>[1]WATER!AH35</f>
        <v>0</v>
      </c>
      <c r="AI5" s="421">
        <f>[1]WATER!AI35</f>
        <v>0</v>
      </c>
      <c r="AJ5" s="421">
        <f>[1]WATER!AJ35</f>
        <v>36</v>
      </c>
      <c r="AK5" s="421">
        <f>[1]WATER!AK35</f>
        <v>98</v>
      </c>
      <c r="AL5" s="421">
        <f>[1]WATER!AL35</f>
        <v>36</v>
      </c>
      <c r="AM5" s="421">
        <f>[1]WATER!AM35</f>
        <v>26</v>
      </c>
      <c r="AN5" s="421">
        <f>[1]WATER!AN35</f>
        <v>0</v>
      </c>
      <c r="AO5" s="421">
        <f>[1]WATER!AO35</f>
        <v>0</v>
      </c>
      <c r="AP5" s="421">
        <f>[1]WATER!AP35</f>
        <v>203</v>
      </c>
      <c r="AQ5" s="421">
        <f>[1]WATER!AQ35</f>
        <v>0</v>
      </c>
      <c r="AR5" s="421">
        <f>[1]WATER!AR35</f>
        <v>44012</v>
      </c>
      <c r="AS5" s="421">
        <f>[1]WATER!AS35</f>
        <v>0.9</v>
      </c>
      <c r="AT5" s="421">
        <f>[1]WATER!AT35</f>
        <v>150</v>
      </c>
      <c r="AU5" s="421">
        <f>[1]WATER!AU35</f>
        <v>1.1000000000000001</v>
      </c>
      <c r="AV5" s="421">
        <f>[1]WATER!AV35</f>
        <v>100</v>
      </c>
      <c r="AW5" s="421">
        <f>[1]WATER!AW35</f>
        <v>2.9</v>
      </c>
      <c r="AX5" s="421">
        <f>[1]WATER!AX35</f>
        <v>103</v>
      </c>
      <c r="AY5" s="421">
        <f>[1]WATER!AY35</f>
        <v>135</v>
      </c>
      <c r="AZ5" s="421">
        <f>[1]WATER!AZ35</f>
        <v>110.00000000000001</v>
      </c>
      <c r="BA5" s="421">
        <f>[1]WATER!BA35</f>
        <v>298.7</v>
      </c>
      <c r="BB5" s="421">
        <f>[1]WATER!BB35</f>
        <v>72</v>
      </c>
      <c r="BC5" s="421">
        <f>[1]WATER!BC35</f>
        <v>15.400000000000006</v>
      </c>
      <c r="BD5" s="421">
        <f>[1]WATER!BD35</f>
        <v>92.799999999999983</v>
      </c>
      <c r="BE5" s="421">
        <f>[1]WATER!BE35</f>
        <v>180.2</v>
      </c>
      <c r="BF5" s="421">
        <f>[1]WATER!BF35</f>
        <v>232.8</v>
      </c>
      <c r="BG5" s="421">
        <f>[1]WATER!BG35</f>
        <v>180.2</v>
      </c>
    </row>
    <row r="6" spans="1:65" ht="15.75" thickBot="1">
      <c r="A6" s="6">
        <f>ELEC!C3</f>
        <v>44013</v>
      </c>
      <c r="B6" s="5">
        <v>108535</v>
      </c>
      <c r="C6" s="5">
        <f>B6-B5</f>
        <v>0</v>
      </c>
      <c r="D6" s="430">
        <f>C6/27</f>
        <v>0</v>
      </c>
      <c r="E6" s="341">
        <f>SUM((C6*$E$4)+(7500/'EDl log'!$A$39))</f>
        <v>241.93548387096774</v>
      </c>
      <c r="F6" s="429"/>
      <c r="G6" s="5">
        <v>601246</v>
      </c>
      <c r="H6" s="5">
        <f>G6-G5</f>
        <v>0</v>
      </c>
      <c r="I6" s="5">
        <f t="shared" ref="I6:I35" si="0">C6+H6</f>
        <v>0</v>
      </c>
      <c r="J6" s="342">
        <f t="shared" ref="J6:J35" si="1">IF(I6&gt;0,E6/I6,0)</f>
        <v>0</v>
      </c>
      <c r="K6" s="5">
        <f>'Swimming Pool quality check '!H6</f>
        <v>6366</v>
      </c>
      <c r="L6" s="83">
        <v>0</v>
      </c>
      <c r="M6" s="421">
        <f>M5</f>
        <v>457.44</v>
      </c>
      <c r="N6" s="531">
        <f t="shared" ref="N6:N13" si="2">SUM(M6-M5)</f>
        <v>0</v>
      </c>
      <c r="O6" s="421">
        <f>O5</f>
        <v>529.52</v>
      </c>
      <c r="P6" s="531">
        <f t="shared" ref="P6:P13" si="3">SUM(O6-O5)</f>
        <v>0</v>
      </c>
      <c r="Q6" s="532">
        <f>P6+N6</f>
        <v>0</v>
      </c>
      <c r="R6" s="531"/>
      <c r="S6" s="531"/>
      <c r="T6" s="5">
        <v>4902</v>
      </c>
      <c r="U6" s="5">
        <f t="shared" ref="U6:U35" si="4">SUM(T6-T5)</f>
        <v>3</v>
      </c>
      <c r="V6" s="5">
        <v>410</v>
      </c>
      <c r="W6" s="332">
        <f>+V6-V5</f>
        <v>0</v>
      </c>
      <c r="X6" s="5">
        <v>144684</v>
      </c>
      <c r="Y6" s="332">
        <f>SUM(X6-X5)</f>
        <v>115</v>
      </c>
      <c r="Z6" s="5">
        <v>95367</v>
      </c>
      <c r="AA6" s="83">
        <f>Z6-Z5</f>
        <v>10</v>
      </c>
      <c r="AB6" s="5">
        <f>AB5</f>
        <v>259</v>
      </c>
      <c r="AC6" s="5">
        <f>AC5</f>
        <v>670</v>
      </c>
      <c r="AD6" s="83">
        <v>0</v>
      </c>
      <c r="AE6" s="5">
        <f>AE5</f>
        <v>162.18</v>
      </c>
      <c r="AF6" s="83">
        <f>AE6-AE5</f>
        <v>0</v>
      </c>
      <c r="AG6" s="5">
        <f>AG5</f>
        <v>1697.9</v>
      </c>
      <c r="AH6" s="83">
        <f>AG6-AG5</f>
        <v>0</v>
      </c>
      <c r="AI6" s="83">
        <f>AF6+AH6</f>
        <v>0</v>
      </c>
      <c r="AJ6" s="334">
        <f>+Z6-Z5</f>
        <v>10</v>
      </c>
      <c r="AK6" s="335">
        <f t="shared" ref="AK6:AK38" si="5">SUM(Y6-L6)</f>
        <v>115</v>
      </c>
      <c r="AL6" s="335">
        <f>SUM(AJ6-W6)</f>
        <v>10</v>
      </c>
      <c r="AM6" s="335">
        <f>'General information '!D6</f>
        <v>26</v>
      </c>
      <c r="AN6" s="84">
        <f>'General information '!H6</f>
        <v>0</v>
      </c>
      <c r="AO6" s="84"/>
      <c r="AP6" s="84">
        <f>'General information '!J6</f>
        <v>196</v>
      </c>
      <c r="AQ6" s="81"/>
      <c r="AR6" s="283">
        <f>A6</f>
        <v>44013</v>
      </c>
      <c r="AS6" s="435">
        <f t="shared" ref="AS6:AT21" si="6">AS5</f>
        <v>0.9</v>
      </c>
      <c r="AT6" s="204">
        <v>50</v>
      </c>
      <c r="AU6" s="436">
        <f>AU5</f>
        <v>1.1000000000000001</v>
      </c>
      <c r="AV6" s="204">
        <v>95</v>
      </c>
      <c r="AW6" s="5">
        <v>2.9</v>
      </c>
      <c r="AX6" s="204">
        <v>110</v>
      </c>
      <c r="AY6" s="439">
        <f t="shared" ref="AY6:AY35" si="7">AS6*AT6</f>
        <v>45</v>
      </c>
      <c r="AZ6" s="439">
        <f>AU6*AV6</f>
        <v>104.50000000000001</v>
      </c>
      <c r="BA6" s="439">
        <f>AW6*AX6</f>
        <v>319</v>
      </c>
      <c r="BB6" s="21">
        <f>AY6-AY5</f>
        <v>-90</v>
      </c>
      <c r="BC6" s="21">
        <f>AZ6-AZ5</f>
        <v>-5.5</v>
      </c>
      <c r="BD6" s="21">
        <f>BA6-BA5</f>
        <v>20.300000000000011</v>
      </c>
      <c r="BE6" s="24">
        <f>SUM(BB6:BD6)</f>
        <v>-75.199999999999989</v>
      </c>
      <c r="BF6" s="96">
        <f t="shared" ref="BF6:BF35" si="8">SUM(I6-BE6)</f>
        <v>75.199999999999989</v>
      </c>
      <c r="BG6" s="82">
        <f t="shared" ref="BG6:BG35" si="9">SUM(I6-BF6)</f>
        <v>-75.199999999999989</v>
      </c>
      <c r="BI6" s="17"/>
      <c r="BJ6" s="17"/>
      <c r="BK6" s="17"/>
      <c r="BL6" s="17"/>
      <c r="BM6" s="17"/>
    </row>
    <row r="7" spans="1:65" ht="15.75" thickBot="1">
      <c r="A7" s="6">
        <f>ELEC!C4</f>
        <v>44014</v>
      </c>
      <c r="B7" s="5">
        <f t="shared" ref="B7:B36" si="10">B6</f>
        <v>108535</v>
      </c>
      <c r="C7" s="5">
        <f t="shared" ref="C7:C35" si="11">B7-B6</f>
        <v>0</v>
      </c>
      <c r="D7" s="430">
        <f t="shared" ref="D7:D35" si="12">C7/27</f>
        <v>0</v>
      </c>
      <c r="E7" s="341">
        <f>SUM((C7*$E$4)+(7500/'EDl log'!$A$39))</f>
        <v>241.93548387096774</v>
      </c>
      <c r="F7" s="429"/>
      <c r="G7" s="5">
        <v>601639</v>
      </c>
      <c r="H7" s="5">
        <f t="shared" ref="H7:H35" si="13">G7-G6</f>
        <v>393</v>
      </c>
      <c r="I7" s="5">
        <f t="shared" si="0"/>
        <v>393</v>
      </c>
      <c r="J7" s="342">
        <f t="shared" si="1"/>
        <v>0.61561191824673722</v>
      </c>
      <c r="K7" s="5">
        <f>'Swimming Pool quality check '!H7</f>
        <v>6366</v>
      </c>
      <c r="L7" s="83">
        <f>K7-K6</f>
        <v>0</v>
      </c>
      <c r="M7" s="421">
        <f t="shared" ref="M7:M36" si="14">M6</f>
        <v>457.44</v>
      </c>
      <c r="N7" s="531">
        <f t="shared" si="2"/>
        <v>0</v>
      </c>
      <c r="O7" s="421">
        <f t="shared" ref="O7:O36" si="15">O6</f>
        <v>529.52</v>
      </c>
      <c r="P7" s="531">
        <f t="shared" si="3"/>
        <v>0</v>
      </c>
      <c r="Q7" s="532">
        <f>P7+N7</f>
        <v>0</v>
      </c>
      <c r="R7" s="531"/>
      <c r="S7" s="531"/>
      <c r="T7" s="5">
        <v>4906</v>
      </c>
      <c r="U7" s="5">
        <f t="shared" si="4"/>
        <v>4</v>
      </c>
      <c r="V7" s="5">
        <f t="shared" ref="T7:AG36" si="16">V6</f>
        <v>410</v>
      </c>
      <c r="W7" s="332">
        <f t="shared" ref="W7:W35" si="17">+V7-V6</f>
        <v>0</v>
      </c>
      <c r="X7" s="5">
        <v>144753</v>
      </c>
      <c r="Y7" s="332">
        <f t="shared" ref="Y7:Y35" si="18">SUM(X7-X6)</f>
        <v>69</v>
      </c>
      <c r="Z7" s="5">
        <v>95415</v>
      </c>
      <c r="AA7" s="83">
        <f t="shared" ref="AA7:AA35" si="19">Z7-Z6</f>
        <v>48</v>
      </c>
      <c r="AB7" s="5">
        <f t="shared" si="16"/>
        <v>259</v>
      </c>
      <c r="AC7" s="5">
        <f t="shared" si="16"/>
        <v>670</v>
      </c>
      <c r="AD7" s="83">
        <f>AC7-AC6</f>
        <v>0</v>
      </c>
      <c r="AE7" s="5">
        <v>163.58000000000001</v>
      </c>
      <c r="AF7" s="83">
        <f t="shared" ref="AF7:AF35" si="20">AE7-AE6</f>
        <v>1.4000000000000057</v>
      </c>
      <c r="AG7" s="5">
        <v>1716.5</v>
      </c>
      <c r="AH7" s="83">
        <f t="shared" ref="AH7:AH35" si="21">AG7-AG6</f>
        <v>18.599999999999909</v>
      </c>
      <c r="AI7" s="83">
        <f t="shared" ref="AI7:AI35" si="22">AF7+AH7</f>
        <v>19.999999999999915</v>
      </c>
      <c r="AJ7" s="334">
        <f t="shared" ref="AJ7:AJ35" si="23">+Z7-Z6</f>
        <v>48</v>
      </c>
      <c r="AK7" s="335">
        <f t="shared" si="5"/>
        <v>69</v>
      </c>
      <c r="AL7" s="335">
        <f t="shared" ref="AL7:AL35" si="24">SUM(AJ7-W7)</f>
        <v>48</v>
      </c>
      <c r="AM7" s="335">
        <f>'General information '!D7</f>
        <v>26</v>
      </c>
      <c r="AN7" s="84">
        <f>'General information '!H7</f>
        <v>0</v>
      </c>
      <c r="AO7" s="84"/>
      <c r="AP7" s="84">
        <f>'General information '!J7</f>
        <v>262</v>
      </c>
      <c r="AQ7" s="81"/>
      <c r="AR7" s="283">
        <f t="shared" ref="AR7:AR35" si="25">A7</f>
        <v>44014</v>
      </c>
      <c r="AS7" s="435">
        <f t="shared" si="6"/>
        <v>0.9</v>
      </c>
      <c r="AT7" s="204">
        <v>170</v>
      </c>
      <c r="AU7" s="436">
        <f>AU6</f>
        <v>1.1000000000000001</v>
      </c>
      <c r="AV7" s="204">
        <v>100</v>
      </c>
      <c r="AW7" s="5">
        <v>2.9</v>
      </c>
      <c r="AX7" s="204">
        <v>113</v>
      </c>
      <c r="AY7" s="439">
        <f t="shared" si="7"/>
        <v>153</v>
      </c>
      <c r="AZ7" s="439">
        <f t="shared" ref="AZ7:AZ35" si="26">AU7*AV7</f>
        <v>110.00000000000001</v>
      </c>
      <c r="BA7" s="439">
        <f t="shared" ref="BA7:BA35" si="27">AW7*AX7</f>
        <v>327.7</v>
      </c>
      <c r="BB7" s="21">
        <f t="shared" ref="BB7:BD35" si="28">AY7-AY6</f>
        <v>108</v>
      </c>
      <c r="BC7" s="21">
        <f t="shared" ref="BC7:BD21" si="29">AZ7-AZ6</f>
        <v>5.5</v>
      </c>
      <c r="BD7" s="21">
        <f t="shared" si="29"/>
        <v>8.6999999999999886</v>
      </c>
      <c r="BE7" s="24">
        <f t="shared" ref="BE7:BE35" si="30">SUM(BB7:BD7)</f>
        <v>122.19999999999999</v>
      </c>
      <c r="BF7" s="96">
        <f t="shared" si="8"/>
        <v>270.8</v>
      </c>
      <c r="BG7" s="82">
        <f t="shared" si="9"/>
        <v>122.19999999999999</v>
      </c>
      <c r="BI7" s="86"/>
      <c r="BJ7" s="17"/>
      <c r="BK7" s="17"/>
      <c r="BL7" s="17"/>
      <c r="BM7" s="17"/>
    </row>
    <row r="8" spans="1:65" ht="15.75" thickBot="1">
      <c r="A8" s="6">
        <f>ELEC!C5</f>
        <v>44015</v>
      </c>
      <c r="B8" s="5">
        <f t="shared" si="10"/>
        <v>108535</v>
      </c>
      <c r="C8" s="5">
        <f>B8-B7</f>
        <v>0</v>
      </c>
      <c r="D8" s="430">
        <f t="shared" si="12"/>
        <v>0</v>
      </c>
      <c r="E8" s="341">
        <f>SUM((C8*$E$4)+(7500/'EDl log'!$A$39))</f>
        <v>241.93548387096774</v>
      </c>
      <c r="F8" s="429"/>
      <c r="G8" s="5">
        <f t="shared" ref="G8:G36" si="31">G7</f>
        <v>601639</v>
      </c>
      <c r="H8" s="5">
        <f t="shared" si="13"/>
        <v>0</v>
      </c>
      <c r="I8" s="5">
        <f t="shared" si="0"/>
        <v>0</v>
      </c>
      <c r="J8" s="342">
        <f t="shared" si="1"/>
        <v>0</v>
      </c>
      <c r="K8" s="5">
        <f>'Swimming Pool quality check '!H8</f>
        <v>6368</v>
      </c>
      <c r="L8" s="83">
        <f>K8-K7</f>
        <v>2</v>
      </c>
      <c r="M8" s="421">
        <f t="shared" si="14"/>
        <v>457.44</v>
      </c>
      <c r="N8" s="531">
        <f t="shared" si="2"/>
        <v>0</v>
      </c>
      <c r="O8" s="421">
        <f t="shared" si="15"/>
        <v>529.52</v>
      </c>
      <c r="P8" s="531">
        <f t="shared" si="3"/>
        <v>0</v>
      </c>
      <c r="Q8" s="532">
        <f>P8+N8</f>
        <v>0</v>
      </c>
      <c r="R8" s="531"/>
      <c r="S8" s="531"/>
      <c r="T8" s="5">
        <v>4908</v>
      </c>
      <c r="U8" s="5">
        <f t="shared" si="4"/>
        <v>2</v>
      </c>
      <c r="V8" s="5">
        <v>411</v>
      </c>
      <c r="W8" s="332">
        <f t="shared" si="17"/>
        <v>1</v>
      </c>
      <c r="X8" s="5">
        <v>144801</v>
      </c>
      <c r="Y8" s="332">
        <f t="shared" si="18"/>
        <v>48</v>
      </c>
      <c r="Z8" s="5">
        <v>95467</v>
      </c>
      <c r="AA8" s="83">
        <f t="shared" si="19"/>
        <v>52</v>
      </c>
      <c r="AB8" s="5">
        <f t="shared" si="16"/>
        <v>259</v>
      </c>
      <c r="AC8" s="5">
        <f t="shared" si="16"/>
        <v>670</v>
      </c>
      <c r="AD8" s="83">
        <f t="shared" ref="AD8:AD35" si="32">AC8-AC7</f>
        <v>0</v>
      </c>
      <c r="AE8" s="5">
        <f t="shared" si="16"/>
        <v>163.58000000000001</v>
      </c>
      <c r="AF8" s="83">
        <f t="shared" si="20"/>
        <v>0</v>
      </c>
      <c r="AG8" s="5">
        <v>1718</v>
      </c>
      <c r="AH8" s="83">
        <f t="shared" si="21"/>
        <v>1.5</v>
      </c>
      <c r="AI8" s="83">
        <f t="shared" si="22"/>
        <v>1.5</v>
      </c>
      <c r="AJ8" s="334">
        <f t="shared" si="23"/>
        <v>52</v>
      </c>
      <c r="AK8" s="335">
        <f t="shared" si="5"/>
        <v>46</v>
      </c>
      <c r="AL8" s="335">
        <f t="shared" si="24"/>
        <v>51</v>
      </c>
      <c r="AM8" s="335">
        <f>'General information '!D8</f>
        <v>26.5</v>
      </c>
      <c r="AN8" s="84">
        <f>'General information '!H8</f>
        <v>0</v>
      </c>
      <c r="AO8" s="84"/>
      <c r="AP8" s="84">
        <f>'General information '!J8</f>
        <v>263</v>
      </c>
      <c r="AQ8" s="81"/>
      <c r="AR8" s="283">
        <f t="shared" si="25"/>
        <v>44015</v>
      </c>
      <c r="AS8" s="435">
        <f t="shared" si="6"/>
        <v>0.9</v>
      </c>
      <c r="AT8" s="204">
        <v>59</v>
      </c>
      <c r="AU8" s="436">
        <v>1.1000000000000001</v>
      </c>
      <c r="AV8" s="204">
        <v>121</v>
      </c>
      <c r="AW8" s="5">
        <v>2.9</v>
      </c>
      <c r="AX8" s="204">
        <v>117</v>
      </c>
      <c r="AY8" s="439">
        <f t="shared" si="7"/>
        <v>53.1</v>
      </c>
      <c r="AZ8" s="439">
        <f t="shared" si="26"/>
        <v>133.10000000000002</v>
      </c>
      <c r="BA8" s="439">
        <f t="shared" si="27"/>
        <v>339.3</v>
      </c>
      <c r="BB8" s="21">
        <f t="shared" si="28"/>
        <v>-99.9</v>
      </c>
      <c r="BC8" s="21">
        <f t="shared" si="29"/>
        <v>23.100000000000009</v>
      </c>
      <c r="BD8" s="21">
        <f t="shared" si="29"/>
        <v>11.600000000000023</v>
      </c>
      <c r="BE8" s="24">
        <f t="shared" si="30"/>
        <v>-65.199999999999974</v>
      </c>
      <c r="BF8" s="96">
        <f t="shared" si="8"/>
        <v>65.199999999999974</v>
      </c>
      <c r="BG8" s="82">
        <f t="shared" si="9"/>
        <v>-65.199999999999974</v>
      </c>
      <c r="BI8" s="86"/>
      <c r="BJ8" s="17"/>
      <c r="BK8" s="17"/>
    </row>
    <row r="9" spans="1:65" ht="15.75" thickBot="1">
      <c r="A9" s="6">
        <f>ELEC!C6</f>
        <v>44016</v>
      </c>
      <c r="B9" s="5">
        <v>108535</v>
      </c>
      <c r="C9" s="5">
        <f t="shared" si="11"/>
        <v>0</v>
      </c>
      <c r="D9" s="430">
        <f t="shared" si="12"/>
        <v>0</v>
      </c>
      <c r="E9" s="341">
        <f>SUM((C9*$E$4)+(7500/'EDl log'!$A$39))</f>
        <v>241.93548387096774</v>
      </c>
      <c r="F9" s="429"/>
      <c r="G9" s="5">
        <v>602202</v>
      </c>
      <c r="H9" s="5">
        <f t="shared" si="13"/>
        <v>563</v>
      </c>
      <c r="I9" s="5">
        <f t="shared" si="0"/>
        <v>563</v>
      </c>
      <c r="J9" s="342">
        <f t="shared" si="1"/>
        <v>0.42972554861628376</v>
      </c>
      <c r="K9" s="5">
        <f>'Swimming Pool quality check '!H9</f>
        <v>6378</v>
      </c>
      <c r="L9" s="83">
        <f t="shared" ref="L9:L35" si="33">K9-K8</f>
        <v>10</v>
      </c>
      <c r="M9" s="421">
        <f t="shared" si="14"/>
        <v>457.44</v>
      </c>
      <c r="N9" s="531">
        <f t="shared" si="2"/>
        <v>0</v>
      </c>
      <c r="O9" s="421">
        <f t="shared" si="15"/>
        <v>529.52</v>
      </c>
      <c r="P9" s="531">
        <f t="shared" si="3"/>
        <v>0</v>
      </c>
      <c r="Q9" s="532">
        <f>P9+N9</f>
        <v>0</v>
      </c>
      <c r="R9" s="531"/>
      <c r="S9" s="531"/>
      <c r="T9" s="5">
        <v>4911</v>
      </c>
      <c r="U9" s="5">
        <f t="shared" si="4"/>
        <v>3</v>
      </c>
      <c r="V9" s="5">
        <f t="shared" si="16"/>
        <v>411</v>
      </c>
      <c r="W9" s="332">
        <f t="shared" si="17"/>
        <v>0</v>
      </c>
      <c r="X9" s="5">
        <v>144981</v>
      </c>
      <c r="Y9" s="332">
        <f t="shared" si="18"/>
        <v>180</v>
      </c>
      <c r="Z9" s="5">
        <v>95540</v>
      </c>
      <c r="AA9" s="83">
        <f t="shared" si="19"/>
        <v>73</v>
      </c>
      <c r="AB9" s="5">
        <f t="shared" si="16"/>
        <v>259</v>
      </c>
      <c r="AC9" s="5">
        <f t="shared" si="16"/>
        <v>670</v>
      </c>
      <c r="AD9" s="83">
        <f t="shared" si="32"/>
        <v>0</v>
      </c>
      <c r="AE9" s="5">
        <v>163.63999999999999</v>
      </c>
      <c r="AF9" s="83">
        <f t="shared" si="20"/>
        <v>5.9999999999973852E-2</v>
      </c>
      <c r="AG9" s="5">
        <v>1721.76</v>
      </c>
      <c r="AH9" s="83">
        <f t="shared" si="21"/>
        <v>3.7599999999999909</v>
      </c>
      <c r="AI9" s="83">
        <f t="shared" si="22"/>
        <v>3.8199999999999648</v>
      </c>
      <c r="AJ9" s="334">
        <f t="shared" si="23"/>
        <v>73</v>
      </c>
      <c r="AK9" s="335">
        <f t="shared" si="5"/>
        <v>170</v>
      </c>
      <c r="AL9" s="335">
        <f t="shared" si="24"/>
        <v>73</v>
      </c>
      <c r="AM9" s="335">
        <f>'General information '!D9</f>
        <v>26</v>
      </c>
      <c r="AN9" s="84">
        <f>'General information '!H9</f>
        <v>0</v>
      </c>
      <c r="AO9" s="84"/>
      <c r="AP9" s="84">
        <f>'General information '!J9</f>
        <v>258</v>
      </c>
      <c r="AQ9" s="81"/>
      <c r="AR9" s="283">
        <f t="shared" si="25"/>
        <v>44016</v>
      </c>
      <c r="AS9" s="435">
        <f t="shared" si="6"/>
        <v>0.9</v>
      </c>
      <c r="AT9" s="204">
        <v>152</v>
      </c>
      <c r="AU9" s="436">
        <f t="shared" ref="AU9:AV36" si="34">AU8</f>
        <v>1.1000000000000001</v>
      </c>
      <c r="AV9" s="204">
        <v>170</v>
      </c>
      <c r="AW9" s="5">
        <v>2.9</v>
      </c>
      <c r="AX9" s="204">
        <v>140</v>
      </c>
      <c r="AY9" s="439">
        <f t="shared" si="7"/>
        <v>136.80000000000001</v>
      </c>
      <c r="AZ9" s="439">
        <f t="shared" si="26"/>
        <v>187.00000000000003</v>
      </c>
      <c r="BA9" s="439">
        <f t="shared" si="27"/>
        <v>406</v>
      </c>
      <c r="BB9" s="21">
        <f t="shared" si="28"/>
        <v>83.700000000000017</v>
      </c>
      <c r="BC9" s="21">
        <f t="shared" si="29"/>
        <v>53.900000000000006</v>
      </c>
      <c r="BD9" s="21">
        <f t="shared" si="29"/>
        <v>66.699999999999989</v>
      </c>
      <c r="BE9" s="24">
        <f t="shared" si="30"/>
        <v>204.3</v>
      </c>
      <c r="BF9" s="355">
        <f t="shared" si="8"/>
        <v>358.7</v>
      </c>
      <c r="BG9" s="82">
        <f t="shared" si="9"/>
        <v>204.3</v>
      </c>
    </row>
    <row r="10" spans="1:65" ht="15.75" thickBot="1">
      <c r="A10" s="6">
        <f>ELEC!C7</f>
        <v>44017</v>
      </c>
      <c r="B10" s="5">
        <v>108535</v>
      </c>
      <c r="C10" s="5">
        <f t="shared" si="11"/>
        <v>0</v>
      </c>
      <c r="D10" s="430">
        <f t="shared" si="12"/>
        <v>0</v>
      </c>
      <c r="E10" s="341">
        <f>SUM((C10*$E$4)+(7500/'EDl log'!$A$39))</f>
        <v>241.93548387096774</v>
      </c>
      <c r="F10" s="429"/>
      <c r="G10" s="5">
        <v>602247</v>
      </c>
      <c r="H10" s="5">
        <f t="shared" si="13"/>
        <v>45</v>
      </c>
      <c r="I10" s="5">
        <f t="shared" si="0"/>
        <v>45</v>
      </c>
      <c r="J10" s="342">
        <f t="shared" si="1"/>
        <v>5.376344086021505</v>
      </c>
      <c r="K10" s="5">
        <f>'Swimming Pool quality check '!H10</f>
        <v>6386</v>
      </c>
      <c r="L10" s="83">
        <f>K10-K9</f>
        <v>8</v>
      </c>
      <c r="M10" s="421">
        <f t="shared" si="14"/>
        <v>457.44</v>
      </c>
      <c r="N10" s="531">
        <f t="shared" si="2"/>
        <v>0</v>
      </c>
      <c r="O10" s="421">
        <f t="shared" si="15"/>
        <v>529.52</v>
      </c>
      <c r="P10" s="531">
        <f t="shared" si="3"/>
        <v>0</v>
      </c>
      <c r="Q10" s="532">
        <f>P10+N10</f>
        <v>0</v>
      </c>
      <c r="R10" s="531"/>
      <c r="S10" s="531"/>
      <c r="T10" s="5">
        <v>4915</v>
      </c>
      <c r="U10" s="5">
        <f t="shared" si="4"/>
        <v>4</v>
      </c>
      <c r="V10" s="5">
        <v>411</v>
      </c>
      <c r="W10" s="332">
        <f t="shared" si="17"/>
        <v>0</v>
      </c>
      <c r="X10" s="5">
        <v>144983</v>
      </c>
      <c r="Y10" s="332">
        <f t="shared" si="18"/>
        <v>2</v>
      </c>
      <c r="Z10" s="5">
        <v>95541</v>
      </c>
      <c r="AA10" s="83">
        <f t="shared" si="19"/>
        <v>1</v>
      </c>
      <c r="AB10" s="5">
        <f t="shared" si="16"/>
        <v>259</v>
      </c>
      <c r="AC10" s="5">
        <f t="shared" si="16"/>
        <v>670</v>
      </c>
      <c r="AD10" s="83">
        <f t="shared" si="32"/>
        <v>0</v>
      </c>
      <c r="AE10" s="5">
        <v>163.77000000000001</v>
      </c>
      <c r="AF10" s="83">
        <f t="shared" si="20"/>
        <v>0.13000000000002387</v>
      </c>
      <c r="AG10" s="5">
        <v>1724.45</v>
      </c>
      <c r="AH10" s="83">
        <f t="shared" si="21"/>
        <v>2.6900000000000546</v>
      </c>
      <c r="AI10" s="83">
        <f t="shared" si="22"/>
        <v>2.8200000000000784</v>
      </c>
      <c r="AJ10" s="334">
        <f t="shared" si="23"/>
        <v>1</v>
      </c>
      <c r="AK10" s="335">
        <f t="shared" si="5"/>
        <v>-6</v>
      </c>
      <c r="AL10" s="335">
        <f t="shared" si="24"/>
        <v>1</v>
      </c>
      <c r="AM10" s="335">
        <f>'General information '!D10</f>
        <v>28</v>
      </c>
      <c r="AN10" s="84">
        <f>'General information '!H10</f>
        <v>0</v>
      </c>
      <c r="AO10" s="84"/>
      <c r="AP10" s="84">
        <f>'General information '!J10</f>
        <v>801</v>
      </c>
      <c r="AQ10" s="81"/>
      <c r="AR10" s="283">
        <f t="shared" si="25"/>
        <v>44017</v>
      </c>
      <c r="AS10" s="435">
        <f t="shared" si="6"/>
        <v>0.9</v>
      </c>
      <c r="AT10" s="204">
        <v>185</v>
      </c>
      <c r="AU10" s="436">
        <f t="shared" si="34"/>
        <v>1.1000000000000001</v>
      </c>
      <c r="AV10" s="204">
        <v>143</v>
      </c>
      <c r="AW10" s="5">
        <v>2.9</v>
      </c>
      <c r="AX10" s="204">
        <v>134</v>
      </c>
      <c r="AY10" s="439">
        <f t="shared" si="7"/>
        <v>166.5</v>
      </c>
      <c r="AZ10" s="439">
        <f t="shared" si="26"/>
        <v>157.30000000000001</v>
      </c>
      <c r="BA10" s="439">
        <f t="shared" si="27"/>
        <v>388.59999999999997</v>
      </c>
      <c r="BB10" s="21">
        <f t="shared" si="28"/>
        <v>29.699999999999989</v>
      </c>
      <c r="BC10" s="21">
        <f t="shared" si="29"/>
        <v>-29.700000000000017</v>
      </c>
      <c r="BD10" s="21">
        <f t="shared" si="29"/>
        <v>-17.400000000000034</v>
      </c>
      <c r="BE10" s="24">
        <f t="shared" si="30"/>
        <v>-17.400000000000063</v>
      </c>
      <c r="BF10" s="96">
        <f t="shared" si="8"/>
        <v>62.400000000000063</v>
      </c>
      <c r="BG10" s="82">
        <f t="shared" si="9"/>
        <v>-17.400000000000063</v>
      </c>
    </row>
    <row r="11" spans="1:65" ht="15.75" thickBot="1">
      <c r="A11" s="6">
        <f>ELEC!C8</f>
        <v>44018</v>
      </c>
      <c r="B11" s="5">
        <v>108535</v>
      </c>
      <c r="C11" s="5">
        <f t="shared" si="11"/>
        <v>0</v>
      </c>
      <c r="D11" s="430">
        <f t="shared" si="12"/>
        <v>0</v>
      </c>
      <c r="E11" s="341">
        <f>SUM((C11*$E$4)+(7500/'EDl log'!$A$39))</f>
        <v>241.93548387096774</v>
      </c>
      <c r="F11" s="429"/>
      <c r="G11" s="5">
        <v>602474</v>
      </c>
      <c r="H11" s="5">
        <f t="shared" si="13"/>
        <v>227</v>
      </c>
      <c r="I11" s="5">
        <f t="shared" si="0"/>
        <v>227</v>
      </c>
      <c r="J11" s="342">
        <f t="shared" si="1"/>
        <v>1.0657950831320164</v>
      </c>
      <c r="K11" s="5">
        <f>'Swimming Pool quality check '!H11</f>
        <v>6392</v>
      </c>
      <c r="L11" s="83">
        <f t="shared" si="33"/>
        <v>6</v>
      </c>
      <c r="M11" s="421">
        <f t="shared" si="14"/>
        <v>457.44</v>
      </c>
      <c r="N11" s="531">
        <f t="shared" si="2"/>
        <v>0</v>
      </c>
      <c r="O11" s="421">
        <f t="shared" si="15"/>
        <v>529.52</v>
      </c>
      <c r="P11" s="531">
        <f t="shared" si="3"/>
        <v>0</v>
      </c>
      <c r="Q11" s="531">
        <f>SUM(P11+N11)</f>
        <v>0</v>
      </c>
      <c r="R11" s="531"/>
      <c r="S11" s="531"/>
      <c r="T11" s="5">
        <v>4918</v>
      </c>
      <c r="U11" s="5">
        <f t="shared" si="4"/>
        <v>3</v>
      </c>
      <c r="V11" s="5">
        <v>412</v>
      </c>
      <c r="W11" s="332">
        <f t="shared" si="17"/>
        <v>1</v>
      </c>
      <c r="X11" s="5">
        <v>145093</v>
      </c>
      <c r="Y11" s="332">
        <f t="shared" si="18"/>
        <v>110</v>
      </c>
      <c r="Z11" s="5">
        <v>95584</v>
      </c>
      <c r="AA11" s="83">
        <f t="shared" si="19"/>
        <v>43</v>
      </c>
      <c r="AB11" s="5">
        <v>259</v>
      </c>
      <c r="AC11" s="5">
        <v>670</v>
      </c>
      <c r="AD11" s="83">
        <f t="shared" si="32"/>
        <v>0</v>
      </c>
      <c r="AE11" s="5">
        <v>164.76</v>
      </c>
      <c r="AF11" s="83">
        <f t="shared" si="20"/>
        <v>0.98999999999998067</v>
      </c>
      <c r="AG11" s="5">
        <v>1736.06</v>
      </c>
      <c r="AH11" s="83">
        <f t="shared" si="21"/>
        <v>11.6099999999999</v>
      </c>
      <c r="AI11" s="83">
        <f t="shared" si="22"/>
        <v>12.599999999999881</v>
      </c>
      <c r="AJ11" s="334">
        <f t="shared" si="23"/>
        <v>43</v>
      </c>
      <c r="AK11" s="335">
        <f t="shared" si="5"/>
        <v>104</v>
      </c>
      <c r="AL11" s="335">
        <f t="shared" si="24"/>
        <v>42</v>
      </c>
      <c r="AM11" s="335">
        <f>'General information '!D11</f>
        <v>27</v>
      </c>
      <c r="AN11" s="84">
        <f>'General information '!H11</f>
        <v>0</v>
      </c>
      <c r="AO11" s="84"/>
      <c r="AP11" s="84">
        <f>'General information '!J11</f>
        <v>230</v>
      </c>
      <c r="AQ11" s="81"/>
      <c r="AR11" s="283">
        <f t="shared" si="25"/>
        <v>44018</v>
      </c>
      <c r="AS11" s="435">
        <f t="shared" si="6"/>
        <v>0.9</v>
      </c>
      <c r="AT11" s="204">
        <v>181</v>
      </c>
      <c r="AU11" s="436">
        <f t="shared" si="34"/>
        <v>1.1000000000000001</v>
      </c>
      <c r="AV11" s="204">
        <v>152</v>
      </c>
      <c r="AW11" s="5">
        <v>2.9</v>
      </c>
      <c r="AX11" s="204">
        <v>148</v>
      </c>
      <c r="AY11" s="439">
        <f t="shared" si="7"/>
        <v>162.9</v>
      </c>
      <c r="AZ11" s="439">
        <f t="shared" si="26"/>
        <v>167.20000000000002</v>
      </c>
      <c r="BA11" s="439">
        <f t="shared" si="27"/>
        <v>429.2</v>
      </c>
      <c r="BB11" s="21">
        <f t="shared" si="28"/>
        <v>-3.5999999999999943</v>
      </c>
      <c r="BC11" s="21">
        <f t="shared" si="29"/>
        <v>9.9000000000000057</v>
      </c>
      <c r="BD11" s="21">
        <f t="shared" si="29"/>
        <v>40.600000000000023</v>
      </c>
      <c r="BE11" s="24">
        <f t="shared" si="30"/>
        <v>46.900000000000034</v>
      </c>
      <c r="BF11" s="96">
        <f t="shared" si="8"/>
        <v>180.09999999999997</v>
      </c>
      <c r="BG11" s="82">
        <f t="shared" si="9"/>
        <v>46.900000000000034</v>
      </c>
    </row>
    <row r="12" spans="1:65" ht="15.75" thickBot="1">
      <c r="A12" s="6">
        <f>ELEC!C9</f>
        <v>44019</v>
      </c>
      <c r="B12" s="5">
        <v>108535</v>
      </c>
      <c r="C12" s="5">
        <f>B12-B11</f>
        <v>0</v>
      </c>
      <c r="D12" s="430">
        <f t="shared" si="12"/>
        <v>0</v>
      </c>
      <c r="E12" s="341">
        <f>SUM((C12*$E$4)+(7500/'EDl log'!$A$39))</f>
        <v>241.93548387096774</v>
      </c>
      <c r="F12" s="429"/>
      <c r="G12" s="5">
        <v>602675</v>
      </c>
      <c r="H12" s="5">
        <f t="shared" si="13"/>
        <v>201</v>
      </c>
      <c r="I12" s="5">
        <f t="shared" si="0"/>
        <v>201</v>
      </c>
      <c r="J12" s="342">
        <f t="shared" si="1"/>
        <v>1.203659123736158</v>
      </c>
      <c r="K12" s="5">
        <f>'Swimming Pool quality check '!H12</f>
        <v>6400</v>
      </c>
      <c r="L12" s="83">
        <f t="shared" si="33"/>
        <v>8</v>
      </c>
      <c r="M12" s="421">
        <f t="shared" si="14"/>
        <v>457.44</v>
      </c>
      <c r="N12" s="531">
        <f t="shared" si="2"/>
        <v>0</v>
      </c>
      <c r="O12" s="421">
        <f t="shared" si="15"/>
        <v>529.52</v>
      </c>
      <c r="P12" s="531">
        <f t="shared" si="3"/>
        <v>0</v>
      </c>
      <c r="Q12" s="531">
        <f>SUM(P12+N12)</f>
        <v>0</v>
      </c>
      <c r="R12" s="531"/>
      <c r="S12" s="531"/>
      <c r="T12" s="5">
        <v>4925</v>
      </c>
      <c r="U12" s="5">
        <f t="shared" si="4"/>
        <v>7</v>
      </c>
      <c r="V12" s="5">
        <v>413</v>
      </c>
      <c r="W12" s="332">
        <f t="shared" si="17"/>
        <v>1</v>
      </c>
      <c r="X12" s="5">
        <v>145204</v>
      </c>
      <c r="Y12" s="332">
        <f t="shared" si="18"/>
        <v>111</v>
      </c>
      <c r="Z12" s="5">
        <v>95637</v>
      </c>
      <c r="AA12" s="83">
        <f t="shared" si="19"/>
        <v>53</v>
      </c>
      <c r="AB12" s="5">
        <f t="shared" si="16"/>
        <v>259</v>
      </c>
      <c r="AC12" s="5">
        <f t="shared" si="16"/>
        <v>670</v>
      </c>
      <c r="AD12" s="83">
        <f t="shared" si="32"/>
        <v>0</v>
      </c>
      <c r="AE12" s="5">
        <v>166.34</v>
      </c>
      <c r="AF12" s="83">
        <f t="shared" si="20"/>
        <v>1.5800000000000125</v>
      </c>
      <c r="AG12" s="5">
        <v>1753.68</v>
      </c>
      <c r="AH12" s="83">
        <f t="shared" si="21"/>
        <v>17.620000000000118</v>
      </c>
      <c r="AI12" s="83">
        <f t="shared" si="22"/>
        <v>19.200000000000131</v>
      </c>
      <c r="AJ12" s="334">
        <f t="shared" si="23"/>
        <v>53</v>
      </c>
      <c r="AK12" s="335">
        <f t="shared" si="5"/>
        <v>103</v>
      </c>
      <c r="AL12" s="335">
        <f t="shared" si="24"/>
        <v>52</v>
      </c>
      <c r="AM12" s="335">
        <f>'General information '!D12</f>
        <v>26</v>
      </c>
      <c r="AN12" s="84">
        <f>'General information '!H12</f>
        <v>0</v>
      </c>
      <c r="AO12" s="84"/>
      <c r="AP12" s="84">
        <f>'General information '!J12</f>
        <v>268</v>
      </c>
      <c r="AQ12" s="81"/>
      <c r="AR12" s="283">
        <f t="shared" si="25"/>
        <v>44019</v>
      </c>
      <c r="AS12" s="435">
        <f t="shared" si="6"/>
        <v>0.9</v>
      </c>
      <c r="AT12" s="204">
        <v>127</v>
      </c>
      <c r="AU12" s="436">
        <f t="shared" si="34"/>
        <v>1.1000000000000001</v>
      </c>
      <c r="AV12" s="204">
        <v>149</v>
      </c>
      <c r="AW12" s="5">
        <v>2.9</v>
      </c>
      <c r="AX12" s="204">
        <v>145</v>
      </c>
      <c r="AY12" s="439">
        <f t="shared" si="7"/>
        <v>114.3</v>
      </c>
      <c r="AZ12" s="439">
        <f t="shared" si="26"/>
        <v>163.9</v>
      </c>
      <c r="BA12" s="439">
        <f t="shared" si="27"/>
        <v>420.5</v>
      </c>
      <c r="BB12" s="21">
        <f t="shared" si="28"/>
        <v>-48.600000000000009</v>
      </c>
      <c r="BC12" s="21">
        <f t="shared" si="29"/>
        <v>-3.3000000000000114</v>
      </c>
      <c r="BD12" s="21">
        <f t="shared" si="29"/>
        <v>-8.6999999999999886</v>
      </c>
      <c r="BE12" s="24">
        <f t="shared" si="30"/>
        <v>-60.600000000000009</v>
      </c>
      <c r="BF12" s="96">
        <f t="shared" si="8"/>
        <v>261.60000000000002</v>
      </c>
      <c r="BG12" s="82">
        <f t="shared" si="9"/>
        <v>-60.600000000000023</v>
      </c>
    </row>
    <row r="13" spans="1:65" ht="15.75" thickBot="1">
      <c r="A13" s="6">
        <f>ELEC!C10</f>
        <v>44020</v>
      </c>
      <c r="B13" s="5">
        <f t="shared" si="10"/>
        <v>108535</v>
      </c>
      <c r="C13" s="5">
        <f t="shared" si="11"/>
        <v>0</v>
      </c>
      <c r="D13" s="430">
        <f t="shared" si="12"/>
        <v>0</v>
      </c>
      <c r="E13" s="341">
        <f>SUM((C13*$E$4)+(7500/'EDl log'!$A$39))</f>
        <v>241.93548387096774</v>
      </c>
      <c r="F13" s="429"/>
      <c r="G13" s="5">
        <f t="shared" si="31"/>
        <v>602675</v>
      </c>
      <c r="H13" s="5">
        <f t="shared" si="13"/>
        <v>0</v>
      </c>
      <c r="I13" s="5">
        <f t="shared" si="0"/>
        <v>0</v>
      </c>
      <c r="J13" s="342">
        <f t="shared" si="1"/>
        <v>0</v>
      </c>
      <c r="K13" s="5">
        <f>'Swimming Pool quality check '!H13</f>
        <v>6405</v>
      </c>
      <c r="L13" s="83">
        <f t="shared" si="33"/>
        <v>5</v>
      </c>
      <c r="M13" s="421">
        <f t="shared" si="14"/>
        <v>457.44</v>
      </c>
      <c r="N13" s="531">
        <f t="shared" si="2"/>
        <v>0</v>
      </c>
      <c r="O13" s="421">
        <f t="shared" si="15"/>
        <v>529.52</v>
      </c>
      <c r="P13" s="531">
        <f t="shared" si="3"/>
        <v>0</v>
      </c>
      <c r="Q13" s="531">
        <f>SUM(P13+N13)</f>
        <v>0</v>
      </c>
      <c r="R13" s="531"/>
      <c r="S13" s="531"/>
      <c r="T13" s="5">
        <f t="shared" si="16"/>
        <v>4925</v>
      </c>
      <c r="U13" s="5">
        <f t="shared" si="4"/>
        <v>0</v>
      </c>
      <c r="V13" s="5">
        <f t="shared" si="16"/>
        <v>413</v>
      </c>
      <c r="W13" s="332">
        <f t="shared" si="17"/>
        <v>0</v>
      </c>
      <c r="X13" s="5">
        <f t="shared" si="16"/>
        <v>145204</v>
      </c>
      <c r="Y13" s="332">
        <f t="shared" si="18"/>
        <v>0</v>
      </c>
      <c r="Z13" s="5">
        <f t="shared" si="16"/>
        <v>95637</v>
      </c>
      <c r="AA13" s="83">
        <f t="shared" si="19"/>
        <v>0</v>
      </c>
      <c r="AB13" s="5">
        <f t="shared" si="16"/>
        <v>259</v>
      </c>
      <c r="AC13" s="5">
        <f t="shared" si="16"/>
        <v>670</v>
      </c>
      <c r="AD13" s="83">
        <f t="shared" si="32"/>
        <v>0</v>
      </c>
      <c r="AE13" s="5">
        <f t="shared" si="16"/>
        <v>166.34</v>
      </c>
      <c r="AF13" s="83">
        <f t="shared" si="20"/>
        <v>0</v>
      </c>
      <c r="AG13" s="5">
        <f t="shared" si="16"/>
        <v>1753.68</v>
      </c>
      <c r="AH13" s="83">
        <f t="shared" si="21"/>
        <v>0</v>
      </c>
      <c r="AI13" s="83">
        <f t="shared" si="22"/>
        <v>0</v>
      </c>
      <c r="AJ13" s="334">
        <f t="shared" si="23"/>
        <v>0</v>
      </c>
      <c r="AK13" s="335">
        <f t="shared" si="5"/>
        <v>-5</v>
      </c>
      <c r="AL13" s="335">
        <f t="shared" si="24"/>
        <v>0</v>
      </c>
      <c r="AM13" s="335">
        <f>'General information '!D13</f>
        <v>26</v>
      </c>
      <c r="AN13" s="84">
        <f>'General information '!J13</f>
        <v>336</v>
      </c>
      <c r="AO13" s="84"/>
      <c r="AP13" s="84">
        <f>'General information '!J13</f>
        <v>336</v>
      </c>
      <c r="AQ13" s="95"/>
      <c r="AR13" s="283">
        <f t="shared" si="25"/>
        <v>44020</v>
      </c>
      <c r="AS13" s="435">
        <f t="shared" si="6"/>
        <v>0.9</v>
      </c>
      <c r="AT13" s="204">
        <f t="shared" si="6"/>
        <v>127</v>
      </c>
      <c r="AU13" s="436">
        <f t="shared" si="34"/>
        <v>1.1000000000000001</v>
      </c>
      <c r="AV13" s="204">
        <f t="shared" si="34"/>
        <v>149</v>
      </c>
      <c r="AW13" s="5">
        <v>2.9</v>
      </c>
      <c r="AX13" s="204">
        <f t="shared" ref="AX13" si="35">AX12</f>
        <v>145</v>
      </c>
      <c r="AY13" s="439">
        <f t="shared" si="7"/>
        <v>114.3</v>
      </c>
      <c r="AZ13" s="439">
        <f t="shared" si="26"/>
        <v>163.9</v>
      </c>
      <c r="BA13" s="439">
        <f t="shared" si="27"/>
        <v>420.5</v>
      </c>
      <c r="BB13" s="21">
        <f t="shared" si="28"/>
        <v>0</v>
      </c>
      <c r="BC13" s="21">
        <f t="shared" si="29"/>
        <v>0</v>
      </c>
      <c r="BD13" s="21">
        <f t="shared" si="29"/>
        <v>0</v>
      </c>
      <c r="BE13" s="24">
        <f t="shared" si="30"/>
        <v>0</v>
      </c>
      <c r="BF13" s="96">
        <f t="shared" si="8"/>
        <v>0</v>
      </c>
      <c r="BG13" s="82">
        <f t="shared" si="9"/>
        <v>0</v>
      </c>
    </row>
    <row r="14" spans="1:65" ht="15.75" thickBot="1">
      <c r="A14" s="6">
        <f>ELEC!C11</f>
        <v>44021</v>
      </c>
      <c r="B14" s="5">
        <f t="shared" si="10"/>
        <v>108535</v>
      </c>
      <c r="C14" s="5">
        <f t="shared" si="11"/>
        <v>0</v>
      </c>
      <c r="D14" s="430">
        <f t="shared" si="12"/>
        <v>0</v>
      </c>
      <c r="E14" s="341">
        <f>SUM((C14*$E$4)+(7500/'EDl log'!$A$39))</f>
        <v>241.93548387096774</v>
      </c>
      <c r="F14" s="429"/>
      <c r="G14" s="5">
        <f t="shared" si="31"/>
        <v>602675</v>
      </c>
      <c r="H14" s="5">
        <f t="shared" si="13"/>
        <v>0</v>
      </c>
      <c r="I14" s="5">
        <f t="shared" si="0"/>
        <v>0</v>
      </c>
      <c r="J14" s="342">
        <f t="shared" si="1"/>
        <v>0</v>
      </c>
      <c r="K14" s="5">
        <f>'Swimming Pool quality check '!H14</f>
        <v>6405</v>
      </c>
      <c r="L14" s="83">
        <f t="shared" si="33"/>
        <v>0</v>
      </c>
      <c r="M14" s="421">
        <f t="shared" si="14"/>
        <v>457.44</v>
      </c>
      <c r="N14" s="531">
        <f t="shared" ref="N14:N35" si="36">SUM(M14-M13)</f>
        <v>0</v>
      </c>
      <c r="O14" s="421">
        <f t="shared" si="15"/>
        <v>529.52</v>
      </c>
      <c r="P14" s="531">
        <f t="shared" ref="P14:P35" si="37">SUM(O14-O13)</f>
        <v>0</v>
      </c>
      <c r="Q14" s="531">
        <f t="shared" ref="Q14:Q35" si="38">SUM(P14+N14)</f>
        <v>0</v>
      </c>
      <c r="R14" s="531"/>
      <c r="S14" s="531"/>
      <c r="T14" s="5">
        <f t="shared" si="16"/>
        <v>4925</v>
      </c>
      <c r="U14" s="5">
        <f t="shared" si="4"/>
        <v>0</v>
      </c>
      <c r="V14" s="5">
        <f t="shared" si="16"/>
        <v>413</v>
      </c>
      <c r="W14" s="332">
        <f t="shared" si="17"/>
        <v>0</v>
      </c>
      <c r="X14" s="5">
        <f t="shared" si="16"/>
        <v>145204</v>
      </c>
      <c r="Y14" s="332">
        <f t="shared" si="18"/>
        <v>0</v>
      </c>
      <c r="Z14" s="5">
        <f t="shared" si="16"/>
        <v>95637</v>
      </c>
      <c r="AA14" s="83">
        <f t="shared" si="19"/>
        <v>0</v>
      </c>
      <c r="AB14" s="5">
        <f t="shared" si="16"/>
        <v>259</v>
      </c>
      <c r="AC14" s="5">
        <f t="shared" si="16"/>
        <v>670</v>
      </c>
      <c r="AD14" s="83">
        <f t="shared" si="32"/>
        <v>0</v>
      </c>
      <c r="AE14" s="5">
        <f t="shared" si="16"/>
        <v>166.34</v>
      </c>
      <c r="AF14" s="83">
        <f t="shared" si="20"/>
        <v>0</v>
      </c>
      <c r="AG14" s="5">
        <f t="shared" si="16"/>
        <v>1753.68</v>
      </c>
      <c r="AH14" s="83">
        <f t="shared" si="21"/>
        <v>0</v>
      </c>
      <c r="AI14" s="83">
        <f t="shared" si="22"/>
        <v>0</v>
      </c>
      <c r="AJ14" s="334">
        <f t="shared" si="23"/>
        <v>0</v>
      </c>
      <c r="AK14" s="335">
        <f t="shared" si="5"/>
        <v>0</v>
      </c>
      <c r="AL14" s="335">
        <f t="shared" si="24"/>
        <v>0</v>
      </c>
      <c r="AM14" s="335">
        <f>'General information '!D14</f>
        <v>0</v>
      </c>
      <c r="AN14" s="84">
        <f>'General information '!H14</f>
        <v>0</v>
      </c>
      <c r="AO14" s="84"/>
      <c r="AP14" s="84">
        <f>'General information '!J14</f>
        <v>0</v>
      </c>
      <c r="AQ14" s="81"/>
      <c r="AR14" s="283">
        <f t="shared" si="25"/>
        <v>44021</v>
      </c>
      <c r="AS14" s="435">
        <f t="shared" si="6"/>
        <v>0.9</v>
      </c>
      <c r="AT14" s="204">
        <f t="shared" si="6"/>
        <v>127</v>
      </c>
      <c r="AU14" s="436">
        <f t="shared" si="34"/>
        <v>1.1000000000000001</v>
      </c>
      <c r="AV14" s="204">
        <f t="shared" si="34"/>
        <v>149</v>
      </c>
      <c r="AW14" s="5">
        <v>2.9</v>
      </c>
      <c r="AX14" s="204">
        <f t="shared" ref="AX14" si="39">AX13</f>
        <v>145</v>
      </c>
      <c r="AY14" s="439">
        <f t="shared" si="7"/>
        <v>114.3</v>
      </c>
      <c r="AZ14" s="439">
        <f t="shared" si="26"/>
        <v>163.9</v>
      </c>
      <c r="BA14" s="439">
        <f t="shared" si="27"/>
        <v>420.5</v>
      </c>
      <c r="BB14" s="21">
        <f t="shared" si="28"/>
        <v>0</v>
      </c>
      <c r="BC14" s="21">
        <f t="shared" si="29"/>
        <v>0</v>
      </c>
      <c r="BD14" s="21">
        <f t="shared" si="29"/>
        <v>0</v>
      </c>
      <c r="BE14" s="24">
        <f t="shared" si="30"/>
        <v>0</v>
      </c>
      <c r="BF14" s="96">
        <f t="shared" si="8"/>
        <v>0</v>
      </c>
      <c r="BG14" s="82">
        <f t="shared" si="9"/>
        <v>0</v>
      </c>
    </row>
    <row r="15" spans="1:65" ht="16.5" customHeight="1" thickBot="1">
      <c r="A15" s="6">
        <f>ELEC!C12</f>
        <v>44022</v>
      </c>
      <c r="B15" s="5">
        <f t="shared" si="10"/>
        <v>108535</v>
      </c>
      <c r="C15" s="5">
        <f t="shared" si="11"/>
        <v>0</v>
      </c>
      <c r="D15" s="430">
        <f t="shared" si="12"/>
        <v>0</v>
      </c>
      <c r="E15" s="341">
        <f>SUM((C15*$E$4)+(7500/'EDl log'!$A$39))</f>
        <v>241.93548387096774</v>
      </c>
      <c r="F15" s="429"/>
      <c r="G15" s="5">
        <f t="shared" si="31"/>
        <v>602675</v>
      </c>
      <c r="H15" s="5">
        <f t="shared" si="13"/>
        <v>0</v>
      </c>
      <c r="I15" s="5">
        <f t="shared" si="0"/>
        <v>0</v>
      </c>
      <c r="J15" s="342">
        <f t="shared" si="1"/>
        <v>0</v>
      </c>
      <c r="K15" s="5">
        <f>'Swimming Pool quality check '!H15</f>
        <v>6405</v>
      </c>
      <c r="L15" s="83">
        <f t="shared" si="33"/>
        <v>0</v>
      </c>
      <c r="M15" s="421">
        <f t="shared" si="14"/>
        <v>457.44</v>
      </c>
      <c r="N15" s="531">
        <f t="shared" si="36"/>
        <v>0</v>
      </c>
      <c r="O15" s="421">
        <f t="shared" si="15"/>
        <v>529.52</v>
      </c>
      <c r="P15" s="531">
        <f t="shared" si="37"/>
        <v>0</v>
      </c>
      <c r="Q15" s="531">
        <f t="shared" si="38"/>
        <v>0</v>
      </c>
      <c r="R15" s="531"/>
      <c r="S15" s="531"/>
      <c r="T15" s="5">
        <f t="shared" si="16"/>
        <v>4925</v>
      </c>
      <c r="U15" s="5">
        <f t="shared" si="4"/>
        <v>0</v>
      </c>
      <c r="V15" s="5">
        <f t="shared" si="16"/>
        <v>413</v>
      </c>
      <c r="W15" s="332">
        <f t="shared" si="17"/>
        <v>0</v>
      </c>
      <c r="X15" s="5">
        <f t="shared" si="16"/>
        <v>145204</v>
      </c>
      <c r="Y15" s="332">
        <f t="shared" si="18"/>
        <v>0</v>
      </c>
      <c r="Z15" s="5">
        <f t="shared" si="16"/>
        <v>95637</v>
      </c>
      <c r="AA15" s="83">
        <f t="shared" si="19"/>
        <v>0</v>
      </c>
      <c r="AB15" s="5">
        <f t="shared" si="16"/>
        <v>259</v>
      </c>
      <c r="AC15" s="5">
        <f t="shared" si="16"/>
        <v>670</v>
      </c>
      <c r="AD15" s="83">
        <f t="shared" si="32"/>
        <v>0</v>
      </c>
      <c r="AE15" s="5">
        <f t="shared" si="16"/>
        <v>166.34</v>
      </c>
      <c r="AF15" s="83">
        <f t="shared" si="20"/>
        <v>0</v>
      </c>
      <c r="AG15" s="5">
        <f t="shared" si="16"/>
        <v>1753.68</v>
      </c>
      <c r="AH15" s="83">
        <f t="shared" si="21"/>
        <v>0</v>
      </c>
      <c r="AI15" s="83">
        <f t="shared" si="22"/>
        <v>0</v>
      </c>
      <c r="AJ15" s="334">
        <f t="shared" si="23"/>
        <v>0</v>
      </c>
      <c r="AK15" s="335">
        <f t="shared" si="5"/>
        <v>0</v>
      </c>
      <c r="AL15" s="335">
        <f t="shared" si="24"/>
        <v>0</v>
      </c>
      <c r="AM15" s="335">
        <f>'General information '!D15</f>
        <v>0</v>
      </c>
      <c r="AN15" s="84">
        <f>'General information '!H15</f>
        <v>0</v>
      </c>
      <c r="AO15" s="84"/>
      <c r="AP15" s="84">
        <f>'General information '!J15</f>
        <v>0</v>
      </c>
      <c r="AQ15" s="81"/>
      <c r="AR15" s="283">
        <f t="shared" si="25"/>
        <v>44022</v>
      </c>
      <c r="AS15" s="435">
        <f t="shared" si="6"/>
        <v>0.9</v>
      </c>
      <c r="AT15" s="204">
        <f t="shared" si="6"/>
        <v>127</v>
      </c>
      <c r="AU15" s="436">
        <f t="shared" si="34"/>
        <v>1.1000000000000001</v>
      </c>
      <c r="AV15" s="204">
        <f t="shared" si="34"/>
        <v>149</v>
      </c>
      <c r="AW15" s="5">
        <v>2.9</v>
      </c>
      <c r="AX15" s="204">
        <f t="shared" ref="AX15" si="40">AX14</f>
        <v>145</v>
      </c>
      <c r="AY15" s="439">
        <f t="shared" si="7"/>
        <v>114.3</v>
      </c>
      <c r="AZ15" s="439">
        <f t="shared" si="26"/>
        <v>163.9</v>
      </c>
      <c r="BA15" s="439">
        <f t="shared" si="27"/>
        <v>420.5</v>
      </c>
      <c r="BB15" s="21">
        <f t="shared" si="28"/>
        <v>0</v>
      </c>
      <c r="BC15" s="21">
        <f t="shared" si="29"/>
        <v>0</v>
      </c>
      <c r="BD15" s="21">
        <f t="shared" si="29"/>
        <v>0</v>
      </c>
      <c r="BE15" s="24">
        <f t="shared" si="30"/>
        <v>0</v>
      </c>
      <c r="BF15" s="96">
        <f t="shared" si="8"/>
        <v>0</v>
      </c>
      <c r="BG15" s="82">
        <f t="shared" si="9"/>
        <v>0</v>
      </c>
    </row>
    <row r="16" spans="1:65" ht="15.75" thickBot="1">
      <c r="A16" s="6">
        <f>ELEC!C13</f>
        <v>44023</v>
      </c>
      <c r="B16" s="5">
        <f t="shared" si="10"/>
        <v>108535</v>
      </c>
      <c r="C16" s="5">
        <f t="shared" si="11"/>
        <v>0</v>
      </c>
      <c r="D16" s="430">
        <f t="shared" si="12"/>
        <v>0</v>
      </c>
      <c r="E16" s="341">
        <f>SUM((C16*$E$4)+(7500/'EDl log'!$A$39))</f>
        <v>241.93548387096774</v>
      </c>
      <c r="F16" s="429"/>
      <c r="G16" s="5">
        <f t="shared" si="31"/>
        <v>602675</v>
      </c>
      <c r="H16" s="5">
        <f t="shared" si="13"/>
        <v>0</v>
      </c>
      <c r="I16" s="5">
        <f t="shared" si="0"/>
        <v>0</v>
      </c>
      <c r="J16" s="342">
        <f t="shared" si="1"/>
        <v>0</v>
      </c>
      <c r="K16" s="5">
        <f>'Swimming Pool quality check '!H16</f>
        <v>6405</v>
      </c>
      <c r="L16" s="280">
        <f t="shared" si="33"/>
        <v>0</v>
      </c>
      <c r="M16" s="421">
        <f t="shared" si="14"/>
        <v>457.44</v>
      </c>
      <c r="N16" s="531">
        <f t="shared" si="36"/>
        <v>0</v>
      </c>
      <c r="O16" s="421">
        <f t="shared" si="15"/>
        <v>529.52</v>
      </c>
      <c r="P16" s="531">
        <f t="shared" si="37"/>
        <v>0</v>
      </c>
      <c r="Q16" s="531">
        <f t="shared" si="38"/>
        <v>0</v>
      </c>
      <c r="R16" s="533"/>
      <c r="S16" s="533"/>
      <c r="T16" s="5">
        <f t="shared" si="16"/>
        <v>4925</v>
      </c>
      <c r="U16" s="5">
        <f t="shared" si="4"/>
        <v>0</v>
      </c>
      <c r="V16" s="5">
        <f t="shared" si="16"/>
        <v>413</v>
      </c>
      <c r="W16" s="332">
        <f t="shared" si="17"/>
        <v>0</v>
      </c>
      <c r="X16" s="5">
        <f t="shared" si="16"/>
        <v>145204</v>
      </c>
      <c r="Y16" s="332">
        <f t="shared" si="18"/>
        <v>0</v>
      </c>
      <c r="Z16" s="5">
        <f t="shared" si="16"/>
        <v>95637</v>
      </c>
      <c r="AA16" s="83">
        <f t="shared" si="19"/>
        <v>0</v>
      </c>
      <c r="AB16" s="5">
        <f t="shared" si="16"/>
        <v>259</v>
      </c>
      <c r="AC16" s="5">
        <f t="shared" si="16"/>
        <v>670</v>
      </c>
      <c r="AD16" s="83">
        <f t="shared" si="32"/>
        <v>0</v>
      </c>
      <c r="AE16" s="5">
        <f t="shared" si="16"/>
        <v>166.34</v>
      </c>
      <c r="AF16" s="83">
        <f t="shared" si="20"/>
        <v>0</v>
      </c>
      <c r="AG16" s="5">
        <f t="shared" si="16"/>
        <v>1753.68</v>
      </c>
      <c r="AH16" s="83">
        <f t="shared" si="21"/>
        <v>0</v>
      </c>
      <c r="AI16" s="83">
        <f t="shared" si="22"/>
        <v>0</v>
      </c>
      <c r="AJ16" s="334">
        <f t="shared" si="23"/>
        <v>0</v>
      </c>
      <c r="AK16" s="335">
        <f t="shared" si="5"/>
        <v>0</v>
      </c>
      <c r="AL16" s="335">
        <f t="shared" si="24"/>
        <v>0</v>
      </c>
      <c r="AM16" s="335">
        <f>'General information '!D16</f>
        <v>0</v>
      </c>
      <c r="AN16" s="84">
        <f>'General information '!H16</f>
        <v>0</v>
      </c>
      <c r="AO16" s="84"/>
      <c r="AP16" s="84">
        <f>'General information '!J16</f>
        <v>0</v>
      </c>
      <c r="AQ16" s="81"/>
      <c r="AR16" s="283">
        <f t="shared" si="25"/>
        <v>44023</v>
      </c>
      <c r="AS16" s="435">
        <f t="shared" si="6"/>
        <v>0.9</v>
      </c>
      <c r="AT16" s="204">
        <f t="shared" si="6"/>
        <v>127</v>
      </c>
      <c r="AU16" s="436">
        <f t="shared" si="34"/>
        <v>1.1000000000000001</v>
      </c>
      <c r="AV16" s="204">
        <f t="shared" si="34"/>
        <v>149</v>
      </c>
      <c r="AW16" s="5">
        <v>2.9</v>
      </c>
      <c r="AX16" s="204">
        <f t="shared" ref="AX16" si="41">AX15</f>
        <v>145</v>
      </c>
      <c r="AY16" s="439">
        <f t="shared" si="7"/>
        <v>114.3</v>
      </c>
      <c r="AZ16" s="439">
        <f t="shared" si="26"/>
        <v>163.9</v>
      </c>
      <c r="BA16" s="439">
        <f t="shared" si="27"/>
        <v>420.5</v>
      </c>
      <c r="BB16" s="21">
        <f t="shared" si="28"/>
        <v>0</v>
      </c>
      <c r="BC16" s="21">
        <f t="shared" si="29"/>
        <v>0</v>
      </c>
      <c r="BD16" s="21">
        <f t="shared" si="29"/>
        <v>0</v>
      </c>
      <c r="BE16" s="24">
        <f t="shared" si="30"/>
        <v>0</v>
      </c>
      <c r="BF16" s="96">
        <f t="shared" si="8"/>
        <v>0</v>
      </c>
      <c r="BG16" s="82">
        <f t="shared" si="9"/>
        <v>0</v>
      </c>
    </row>
    <row r="17" spans="1:61" ht="15.75" thickBot="1">
      <c r="A17" s="6">
        <f>ELEC!C14</f>
        <v>44024</v>
      </c>
      <c r="B17" s="5">
        <f t="shared" si="10"/>
        <v>108535</v>
      </c>
      <c r="C17" s="5">
        <f t="shared" si="11"/>
        <v>0</v>
      </c>
      <c r="D17" s="430">
        <f t="shared" si="12"/>
        <v>0</v>
      </c>
      <c r="E17" s="341">
        <f>SUM((C17*$E$4)+(7500/'EDl log'!$A$39))</f>
        <v>241.93548387096774</v>
      </c>
      <c r="F17" s="429"/>
      <c r="G17" s="5">
        <f t="shared" si="31"/>
        <v>602675</v>
      </c>
      <c r="H17" s="5">
        <f t="shared" si="13"/>
        <v>0</v>
      </c>
      <c r="I17" s="5">
        <f t="shared" si="0"/>
        <v>0</v>
      </c>
      <c r="J17" s="342">
        <f t="shared" si="1"/>
        <v>0</v>
      </c>
      <c r="K17" s="5">
        <f>'Swimming Pool quality check '!H17</f>
        <v>6405</v>
      </c>
      <c r="L17" s="83">
        <f t="shared" si="33"/>
        <v>0</v>
      </c>
      <c r="M17" s="421">
        <f t="shared" si="14"/>
        <v>457.44</v>
      </c>
      <c r="N17" s="531">
        <f t="shared" si="36"/>
        <v>0</v>
      </c>
      <c r="O17" s="421">
        <f t="shared" si="15"/>
        <v>529.52</v>
      </c>
      <c r="P17" s="531">
        <f t="shared" si="37"/>
        <v>0</v>
      </c>
      <c r="Q17" s="531">
        <f t="shared" si="38"/>
        <v>0</v>
      </c>
      <c r="R17" s="531"/>
      <c r="S17" s="531"/>
      <c r="T17" s="5">
        <f t="shared" si="16"/>
        <v>4925</v>
      </c>
      <c r="U17" s="5">
        <f t="shared" si="4"/>
        <v>0</v>
      </c>
      <c r="V17" s="5">
        <f t="shared" si="16"/>
        <v>413</v>
      </c>
      <c r="W17" s="332">
        <f t="shared" si="17"/>
        <v>0</v>
      </c>
      <c r="X17" s="5">
        <f t="shared" si="16"/>
        <v>145204</v>
      </c>
      <c r="Y17" s="332">
        <f t="shared" si="18"/>
        <v>0</v>
      </c>
      <c r="Z17" s="5">
        <f t="shared" si="16"/>
        <v>95637</v>
      </c>
      <c r="AA17" s="83">
        <f t="shared" si="19"/>
        <v>0</v>
      </c>
      <c r="AB17" s="5">
        <f t="shared" si="16"/>
        <v>259</v>
      </c>
      <c r="AC17" s="5">
        <f t="shared" si="16"/>
        <v>670</v>
      </c>
      <c r="AD17" s="83">
        <f t="shared" si="32"/>
        <v>0</v>
      </c>
      <c r="AE17" s="5">
        <f t="shared" si="16"/>
        <v>166.34</v>
      </c>
      <c r="AF17" s="83">
        <f t="shared" si="20"/>
        <v>0</v>
      </c>
      <c r="AG17" s="5">
        <f t="shared" si="16"/>
        <v>1753.68</v>
      </c>
      <c r="AH17" s="83">
        <f t="shared" si="21"/>
        <v>0</v>
      </c>
      <c r="AI17" s="83">
        <f t="shared" si="22"/>
        <v>0</v>
      </c>
      <c r="AJ17" s="334">
        <f t="shared" si="23"/>
        <v>0</v>
      </c>
      <c r="AK17" s="335">
        <f t="shared" si="5"/>
        <v>0</v>
      </c>
      <c r="AL17" s="335">
        <f t="shared" si="24"/>
        <v>0</v>
      </c>
      <c r="AM17" s="335">
        <f>'General information '!D17</f>
        <v>0</v>
      </c>
      <c r="AN17" s="84">
        <f>'General information '!H17</f>
        <v>0</v>
      </c>
      <c r="AO17" s="84"/>
      <c r="AP17" s="84">
        <f>'General information '!J17</f>
        <v>0</v>
      </c>
      <c r="AQ17" s="95"/>
      <c r="AR17" s="283">
        <f t="shared" si="25"/>
        <v>44024</v>
      </c>
      <c r="AS17" s="435">
        <f t="shared" si="6"/>
        <v>0.9</v>
      </c>
      <c r="AT17" s="204">
        <f t="shared" si="6"/>
        <v>127</v>
      </c>
      <c r="AU17" s="436">
        <f t="shared" si="34"/>
        <v>1.1000000000000001</v>
      </c>
      <c r="AV17" s="204">
        <f t="shared" si="34"/>
        <v>149</v>
      </c>
      <c r="AW17" s="5">
        <v>2.9</v>
      </c>
      <c r="AX17" s="204">
        <f t="shared" ref="AX17" si="42">AX16</f>
        <v>145</v>
      </c>
      <c r="AY17" s="439">
        <f t="shared" si="7"/>
        <v>114.3</v>
      </c>
      <c r="AZ17" s="439">
        <f t="shared" si="26"/>
        <v>163.9</v>
      </c>
      <c r="BA17" s="439">
        <f t="shared" si="27"/>
        <v>420.5</v>
      </c>
      <c r="BB17" s="21">
        <f t="shared" si="28"/>
        <v>0</v>
      </c>
      <c r="BC17" s="21">
        <f t="shared" si="29"/>
        <v>0</v>
      </c>
      <c r="BD17" s="21">
        <f t="shared" si="29"/>
        <v>0</v>
      </c>
      <c r="BE17" s="24">
        <f t="shared" si="30"/>
        <v>0</v>
      </c>
      <c r="BF17" s="96">
        <f t="shared" si="8"/>
        <v>0</v>
      </c>
      <c r="BG17" s="82">
        <f t="shared" si="9"/>
        <v>0</v>
      </c>
    </row>
    <row r="18" spans="1:61" ht="15.75" thickBot="1">
      <c r="A18" s="6">
        <f>ELEC!C15</f>
        <v>44025</v>
      </c>
      <c r="B18" s="5">
        <f t="shared" si="10"/>
        <v>108535</v>
      </c>
      <c r="C18" s="5">
        <f t="shared" si="11"/>
        <v>0</v>
      </c>
      <c r="D18" s="430">
        <f t="shared" si="12"/>
        <v>0</v>
      </c>
      <c r="E18" s="341">
        <f>SUM((C18*$E$4)+(7500/'EDl log'!$A$39))</f>
        <v>241.93548387096774</v>
      </c>
      <c r="F18" s="429"/>
      <c r="G18" s="5">
        <f t="shared" si="31"/>
        <v>602675</v>
      </c>
      <c r="H18" s="5">
        <f t="shared" si="13"/>
        <v>0</v>
      </c>
      <c r="I18" s="5">
        <f t="shared" si="0"/>
        <v>0</v>
      </c>
      <c r="J18" s="342">
        <f t="shared" si="1"/>
        <v>0</v>
      </c>
      <c r="K18" s="5">
        <f>'Swimming Pool quality check '!H18</f>
        <v>6405</v>
      </c>
      <c r="L18" s="83">
        <f t="shared" si="33"/>
        <v>0</v>
      </c>
      <c r="M18" s="421">
        <f t="shared" si="14"/>
        <v>457.44</v>
      </c>
      <c r="N18" s="531">
        <f t="shared" si="36"/>
        <v>0</v>
      </c>
      <c r="O18" s="421">
        <f t="shared" si="15"/>
        <v>529.52</v>
      </c>
      <c r="P18" s="531">
        <f t="shared" si="37"/>
        <v>0</v>
      </c>
      <c r="Q18" s="531">
        <f t="shared" si="38"/>
        <v>0</v>
      </c>
      <c r="R18" s="531"/>
      <c r="S18" s="531"/>
      <c r="T18" s="5">
        <f t="shared" si="16"/>
        <v>4925</v>
      </c>
      <c r="U18" s="5">
        <f t="shared" si="4"/>
        <v>0</v>
      </c>
      <c r="V18" s="5">
        <f t="shared" si="16"/>
        <v>413</v>
      </c>
      <c r="W18" s="332">
        <f t="shared" si="17"/>
        <v>0</v>
      </c>
      <c r="X18" s="5">
        <f t="shared" si="16"/>
        <v>145204</v>
      </c>
      <c r="Y18" s="332">
        <f t="shared" si="18"/>
        <v>0</v>
      </c>
      <c r="Z18" s="5">
        <f t="shared" si="16"/>
        <v>95637</v>
      </c>
      <c r="AA18" s="83">
        <f t="shared" si="19"/>
        <v>0</v>
      </c>
      <c r="AB18" s="5">
        <f t="shared" si="16"/>
        <v>259</v>
      </c>
      <c r="AC18" s="5">
        <f t="shared" si="16"/>
        <v>670</v>
      </c>
      <c r="AD18" s="83">
        <f t="shared" si="32"/>
        <v>0</v>
      </c>
      <c r="AE18" s="5">
        <f t="shared" si="16"/>
        <v>166.34</v>
      </c>
      <c r="AF18" s="83">
        <f t="shared" si="20"/>
        <v>0</v>
      </c>
      <c r="AG18" s="5">
        <f t="shared" si="16"/>
        <v>1753.68</v>
      </c>
      <c r="AH18" s="83">
        <f t="shared" si="21"/>
        <v>0</v>
      </c>
      <c r="AI18" s="83">
        <f t="shared" si="22"/>
        <v>0</v>
      </c>
      <c r="AJ18" s="334">
        <f t="shared" si="23"/>
        <v>0</v>
      </c>
      <c r="AK18" s="335">
        <f t="shared" si="5"/>
        <v>0</v>
      </c>
      <c r="AL18" s="335">
        <f t="shared" si="24"/>
        <v>0</v>
      </c>
      <c r="AM18" s="335">
        <f>'General information '!D18</f>
        <v>0</v>
      </c>
      <c r="AN18" s="84">
        <f>'General information '!H18</f>
        <v>0</v>
      </c>
      <c r="AO18" s="84"/>
      <c r="AP18" s="84">
        <f>'General information '!J18</f>
        <v>0</v>
      </c>
      <c r="AQ18" s="95"/>
      <c r="AR18" s="283">
        <f t="shared" si="25"/>
        <v>44025</v>
      </c>
      <c r="AS18" s="435">
        <f t="shared" si="6"/>
        <v>0.9</v>
      </c>
      <c r="AT18" s="204">
        <f t="shared" si="6"/>
        <v>127</v>
      </c>
      <c r="AU18" s="436">
        <f t="shared" si="34"/>
        <v>1.1000000000000001</v>
      </c>
      <c r="AV18" s="204">
        <f t="shared" si="34"/>
        <v>149</v>
      </c>
      <c r="AW18" s="5">
        <v>2.9</v>
      </c>
      <c r="AX18" s="204">
        <f t="shared" ref="AX18" si="43">AX17</f>
        <v>145</v>
      </c>
      <c r="AY18" s="439">
        <f t="shared" si="7"/>
        <v>114.3</v>
      </c>
      <c r="AZ18" s="439">
        <f t="shared" si="26"/>
        <v>163.9</v>
      </c>
      <c r="BA18" s="439">
        <f t="shared" si="27"/>
        <v>420.5</v>
      </c>
      <c r="BB18" s="21">
        <f t="shared" si="28"/>
        <v>0</v>
      </c>
      <c r="BC18" s="21">
        <f t="shared" si="29"/>
        <v>0</v>
      </c>
      <c r="BD18" s="21">
        <f t="shared" si="29"/>
        <v>0</v>
      </c>
      <c r="BE18" s="24">
        <f t="shared" si="30"/>
        <v>0</v>
      </c>
      <c r="BF18" s="96">
        <f t="shared" si="8"/>
        <v>0</v>
      </c>
      <c r="BG18" s="82">
        <f t="shared" si="9"/>
        <v>0</v>
      </c>
    </row>
    <row r="19" spans="1:61" ht="15.75" thickBot="1">
      <c r="A19" s="6">
        <f>ELEC!C16</f>
        <v>44026</v>
      </c>
      <c r="B19" s="5">
        <f t="shared" si="10"/>
        <v>108535</v>
      </c>
      <c r="C19" s="5">
        <f t="shared" si="11"/>
        <v>0</v>
      </c>
      <c r="D19" s="430">
        <f t="shared" si="12"/>
        <v>0</v>
      </c>
      <c r="E19" s="341">
        <f>SUM((C19*$E$4)+(7500/'EDl log'!$A$39))</f>
        <v>241.93548387096774</v>
      </c>
      <c r="F19" s="429"/>
      <c r="G19" s="5">
        <f t="shared" si="31"/>
        <v>602675</v>
      </c>
      <c r="H19" s="5">
        <f t="shared" si="13"/>
        <v>0</v>
      </c>
      <c r="I19" s="5">
        <f t="shared" si="0"/>
        <v>0</v>
      </c>
      <c r="J19" s="342">
        <f t="shared" si="1"/>
        <v>0</v>
      </c>
      <c r="K19" s="5">
        <f>'Swimming Pool quality check '!H19</f>
        <v>6405</v>
      </c>
      <c r="L19" s="83">
        <f t="shared" si="33"/>
        <v>0</v>
      </c>
      <c r="M19" s="421">
        <f t="shared" si="14"/>
        <v>457.44</v>
      </c>
      <c r="N19" s="531">
        <f t="shared" si="36"/>
        <v>0</v>
      </c>
      <c r="O19" s="421">
        <f t="shared" si="15"/>
        <v>529.52</v>
      </c>
      <c r="P19" s="531">
        <f t="shared" si="37"/>
        <v>0</v>
      </c>
      <c r="Q19" s="531">
        <f t="shared" si="38"/>
        <v>0</v>
      </c>
      <c r="R19" s="531"/>
      <c r="S19" s="531"/>
      <c r="T19" s="5">
        <f t="shared" si="16"/>
        <v>4925</v>
      </c>
      <c r="U19" s="5">
        <f t="shared" si="4"/>
        <v>0</v>
      </c>
      <c r="V19" s="5">
        <f t="shared" si="16"/>
        <v>413</v>
      </c>
      <c r="W19" s="332">
        <f t="shared" si="17"/>
        <v>0</v>
      </c>
      <c r="X19" s="5">
        <f t="shared" si="16"/>
        <v>145204</v>
      </c>
      <c r="Y19" s="332">
        <f t="shared" si="18"/>
        <v>0</v>
      </c>
      <c r="Z19" s="5">
        <f t="shared" si="16"/>
        <v>95637</v>
      </c>
      <c r="AA19" s="83">
        <f t="shared" si="19"/>
        <v>0</v>
      </c>
      <c r="AB19" s="5">
        <f t="shared" si="16"/>
        <v>259</v>
      </c>
      <c r="AC19" s="5">
        <f t="shared" si="16"/>
        <v>670</v>
      </c>
      <c r="AD19" s="83">
        <f t="shared" si="32"/>
        <v>0</v>
      </c>
      <c r="AE19" s="5">
        <f t="shared" si="16"/>
        <v>166.34</v>
      </c>
      <c r="AF19" s="83">
        <f t="shared" si="20"/>
        <v>0</v>
      </c>
      <c r="AG19" s="5">
        <f t="shared" si="16"/>
        <v>1753.68</v>
      </c>
      <c r="AH19" s="83">
        <f t="shared" si="21"/>
        <v>0</v>
      </c>
      <c r="AI19" s="83">
        <f t="shared" si="22"/>
        <v>0</v>
      </c>
      <c r="AJ19" s="334">
        <f t="shared" si="23"/>
        <v>0</v>
      </c>
      <c r="AK19" s="335">
        <f t="shared" si="5"/>
        <v>0</v>
      </c>
      <c r="AL19" s="335">
        <f t="shared" si="24"/>
        <v>0</v>
      </c>
      <c r="AM19" s="335">
        <f>'General information '!D19</f>
        <v>0</v>
      </c>
      <c r="AN19" s="84">
        <f>'General information '!H19</f>
        <v>0</v>
      </c>
      <c r="AO19" s="84"/>
      <c r="AP19" s="84">
        <f>'General information '!J19</f>
        <v>0</v>
      </c>
      <c r="AQ19" s="81"/>
      <c r="AR19" s="283">
        <f t="shared" si="25"/>
        <v>44026</v>
      </c>
      <c r="AS19" s="435">
        <f t="shared" si="6"/>
        <v>0.9</v>
      </c>
      <c r="AT19" s="204">
        <f t="shared" si="6"/>
        <v>127</v>
      </c>
      <c r="AU19" s="436">
        <f t="shared" si="34"/>
        <v>1.1000000000000001</v>
      </c>
      <c r="AV19" s="204">
        <f t="shared" si="34"/>
        <v>149</v>
      </c>
      <c r="AW19" s="5">
        <v>2.9</v>
      </c>
      <c r="AX19" s="204">
        <f t="shared" ref="AX19" si="44">AX18</f>
        <v>145</v>
      </c>
      <c r="AY19" s="439">
        <f t="shared" si="7"/>
        <v>114.3</v>
      </c>
      <c r="AZ19" s="439">
        <f t="shared" si="26"/>
        <v>163.9</v>
      </c>
      <c r="BA19" s="439">
        <f t="shared" si="27"/>
        <v>420.5</v>
      </c>
      <c r="BB19" s="21">
        <f t="shared" si="28"/>
        <v>0</v>
      </c>
      <c r="BC19" s="21">
        <f t="shared" si="29"/>
        <v>0</v>
      </c>
      <c r="BD19" s="21">
        <f t="shared" si="29"/>
        <v>0</v>
      </c>
      <c r="BE19" s="24">
        <f t="shared" si="30"/>
        <v>0</v>
      </c>
      <c r="BF19" s="96">
        <f t="shared" si="8"/>
        <v>0</v>
      </c>
      <c r="BG19" s="82">
        <f t="shared" si="9"/>
        <v>0</v>
      </c>
    </row>
    <row r="20" spans="1:61" ht="15.75" thickBot="1">
      <c r="A20" s="6">
        <f>ELEC!C17</f>
        <v>44027</v>
      </c>
      <c r="B20" s="5">
        <f t="shared" si="10"/>
        <v>108535</v>
      </c>
      <c r="C20" s="5">
        <f t="shared" si="11"/>
        <v>0</v>
      </c>
      <c r="D20" s="430">
        <f t="shared" si="12"/>
        <v>0</v>
      </c>
      <c r="E20" s="341">
        <f>SUM((C20*$E$4)+(7500/'EDl log'!$A$39))</f>
        <v>241.93548387096774</v>
      </c>
      <c r="F20" s="429"/>
      <c r="G20" s="5">
        <f t="shared" si="31"/>
        <v>602675</v>
      </c>
      <c r="H20" s="5">
        <f t="shared" si="13"/>
        <v>0</v>
      </c>
      <c r="I20" s="5">
        <f t="shared" si="0"/>
        <v>0</v>
      </c>
      <c r="J20" s="342">
        <f t="shared" si="1"/>
        <v>0</v>
      </c>
      <c r="K20" s="5">
        <f>'Swimming Pool quality check '!H20</f>
        <v>6405</v>
      </c>
      <c r="L20" s="83">
        <f t="shared" si="33"/>
        <v>0</v>
      </c>
      <c r="M20" s="421">
        <f t="shared" si="14"/>
        <v>457.44</v>
      </c>
      <c r="N20" s="531">
        <f t="shared" si="36"/>
        <v>0</v>
      </c>
      <c r="O20" s="421">
        <f t="shared" si="15"/>
        <v>529.52</v>
      </c>
      <c r="P20" s="531">
        <f t="shared" si="37"/>
        <v>0</v>
      </c>
      <c r="Q20" s="531">
        <f t="shared" si="38"/>
        <v>0</v>
      </c>
      <c r="R20" s="531"/>
      <c r="S20" s="531"/>
      <c r="T20" s="5">
        <f t="shared" si="16"/>
        <v>4925</v>
      </c>
      <c r="U20" s="5">
        <f t="shared" si="4"/>
        <v>0</v>
      </c>
      <c r="V20" s="5">
        <f t="shared" si="16"/>
        <v>413</v>
      </c>
      <c r="W20" s="332">
        <f t="shared" si="17"/>
        <v>0</v>
      </c>
      <c r="X20" s="5">
        <f t="shared" si="16"/>
        <v>145204</v>
      </c>
      <c r="Y20" s="332">
        <f t="shared" si="18"/>
        <v>0</v>
      </c>
      <c r="Z20" s="5">
        <f t="shared" si="16"/>
        <v>95637</v>
      </c>
      <c r="AA20" s="83">
        <f t="shared" si="19"/>
        <v>0</v>
      </c>
      <c r="AB20" s="5">
        <f t="shared" si="16"/>
        <v>259</v>
      </c>
      <c r="AC20" s="5">
        <f t="shared" si="16"/>
        <v>670</v>
      </c>
      <c r="AD20" s="83">
        <f t="shared" si="32"/>
        <v>0</v>
      </c>
      <c r="AE20" s="5">
        <f t="shared" si="16"/>
        <v>166.34</v>
      </c>
      <c r="AF20" s="83">
        <f t="shared" si="20"/>
        <v>0</v>
      </c>
      <c r="AG20" s="5">
        <f t="shared" si="16"/>
        <v>1753.68</v>
      </c>
      <c r="AH20" s="83">
        <f t="shared" si="21"/>
        <v>0</v>
      </c>
      <c r="AI20" s="83">
        <f t="shared" si="22"/>
        <v>0</v>
      </c>
      <c r="AJ20" s="334">
        <f t="shared" si="23"/>
        <v>0</v>
      </c>
      <c r="AK20" s="335">
        <f t="shared" si="5"/>
        <v>0</v>
      </c>
      <c r="AL20" s="335">
        <f t="shared" si="24"/>
        <v>0</v>
      </c>
      <c r="AM20" s="335">
        <f>'General information '!D20</f>
        <v>0</v>
      </c>
      <c r="AN20" s="84">
        <f>'General information '!H20</f>
        <v>0</v>
      </c>
      <c r="AO20" s="84"/>
      <c r="AP20" s="84">
        <f>'General information '!J20</f>
        <v>0</v>
      </c>
      <c r="AQ20" s="81"/>
      <c r="AR20" s="283">
        <f t="shared" si="25"/>
        <v>44027</v>
      </c>
      <c r="AS20" s="435">
        <f t="shared" si="6"/>
        <v>0.9</v>
      </c>
      <c r="AT20" s="204">
        <f t="shared" si="6"/>
        <v>127</v>
      </c>
      <c r="AU20" s="436">
        <f t="shared" si="34"/>
        <v>1.1000000000000001</v>
      </c>
      <c r="AV20" s="204">
        <f t="shared" si="34"/>
        <v>149</v>
      </c>
      <c r="AW20" s="5">
        <v>2.9</v>
      </c>
      <c r="AX20" s="204">
        <f t="shared" ref="AX20" si="45">AX19</f>
        <v>145</v>
      </c>
      <c r="AY20" s="439">
        <f t="shared" si="7"/>
        <v>114.3</v>
      </c>
      <c r="AZ20" s="439">
        <f t="shared" si="26"/>
        <v>163.9</v>
      </c>
      <c r="BA20" s="439">
        <f t="shared" si="27"/>
        <v>420.5</v>
      </c>
      <c r="BB20" s="21">
        <f t="shared" si="28"/>
        <v>0</v>
      </c>
      <c r="BC20" s="21">
        <f t="shared" si="29"/>
        <v>0</v>
      </c>
      <c r="BD20" s="21">
        <f t="shared" si="29"/>
        <v>0</v>
      </c>
      <c r="BE20" s="24">
        <f t="shared" si="30"/>
        <v>0</v>
      </c>
      <c r="BF20" s="96">
        <f t="shared" si="8"/>
        <v>0</v>
      </c>
      <c r="BG20" s="82">
        <f t="shared" si="9"/>
        <v>0</v>
      </c>
    </row>
    <row r="21" spans="1:61" ht="15.75" thickBot="1">
      <c r="A21" s="6">
        <f>ELEC!C18</f>
        <v>44028</v>
      </c>
      <c r="B21" s="5">
        <f t="shared" si="10"/>
        <v>108535</v>
      </c>
      <c r="C21" s="5">
        <f t="shared" si="11"/>
        <v>0</v>
      </c>
      <c r="D21" s="430">
        <f t="shared" si="12"/>
        <v>0</v>
      </c>
      <c r="E21" s="341">
        <f>SUM((C21*$E$4)+(7500/'EDl log'!$A$39))</f>
        <v>241.93548387096774</v>
      </c>
      <c r="F21" s="335"/>
      <c r="G21" s="5">
        <f t="shared" si="31"/>
        <v>602675</v>
      </c>
      <c r="H21" s="5">
        <f t="shared" si="13"/>
        <v>0</v>
      </c>
      <c r="I21" s="5">
        <f t="shared" si="0"/>
        <v>0</v>
      </c>
      <c r="J21" s="342">
        <f t="shared" si="1"/>
        <v>0</v>
      </c>
      <c r="K21" s="5">
        <f>'Swimming Pool quality check '!H21</f>
        <v>6405</v>
      </c>
      <c r="L21" s="83">
        <f t="shared" si="33"/>
        <v>0</v>
      </c>
      <c r="M21" s="421">
        <f t="shared" si="14"/>
        <v>457.44</v>
      </c>
      <c r="N21" s="531">
        <f t="shared" si="36"/>
        <v>0</v>
      </c>
      <c r="O21" s="421">
        <f t="shared" si="15"/>
        <v>529.52</v>
      </c>
      <c r="P21" s="531">
        <f t="shared" si="37"/>
        <v>0</v>
      </c>
      <c r="Q21" s="531">
        <f t="shared" si="38"/>
        <v>0</v>
      </c>
      <c r="R21" s="531"/>
      <c r="S21" s="531"/>
      <c r="T21" s="5">
        <f t="shared" si="16"/>
        <v>4925</v>
      </c>
      <c r="U21" s="5">
        <f t="shared" si="4"/>
        <v>0</v>
      </c>
      <c r="V21" s="5">
        <f t="shared" si="16"/>
        <v>413</v>
      </c>
      <c r="W21" s="332">
        <f t="shared" si="17"/>
        <v>0</v>
      </c>
      <c r="X21" s="5">
        <f t="shared" si="16"/>
        <v>145204</v>
      </c>
      <c r="Y21" s="332">
        <f>SUM(X21-X20)</f>
        <v>0</v>
      </c>
      <c r="Z21" s="5">
        <f t="shared" si="16"/>
        <v>95637</v>
      </c>
      <c r="AA21" s="83">
        <f t="shared" si="19"/>
        <v>0</v>
      </c>
      <c r="AB21" s="5">
        <f t="shared" si="16"/>
        <v>259</v>
      </c>
      <c r="AC21" s="5">
        <f t="shared" si="16"/>
        <v>670</v>
      </c>
      <c r="AD21" s="83">
        <f t="shared" si="32"/>
        <v>0</v>
      </c>
      <c r="AE21" s="5">
        <f t="shared" si="16"/>
        <v>166.34</v>
      </c>
      <c r="AF21" s="83">
        <f t="shared" si="20"/>
        <v>0</v>
      </c>
      <c r="AG21" s="5">
        <f t="shared" si="16"/>
        <v>1753.68</v>
      </c>
      <c r="AH21" s="83">
        <f t="shared" si="21"/>
        <v>0</v>
      </c>
      <c r="AI21" s="83">
        <f t="shared" si="22"/>
        <v>0</v>
      </c>
      <c r="AJ21" s="334">
        <f t="shared" si="23"/>
        <v>0</v>
      </c>
      <c r="AK21" s="335">
        <f t="shared" si="5"/>
        <v>0</v>
      </c>
      <c r="AL21" s="335">
        <f t="shared" si="24"/>
        <v>0</v>
      </c>
      <c r="AM21" s="335">
        <f>'General information '!D21</f>
        <v>0</v>
      </c>
      <c r="AN21" s="84">
        <f>'General information '!H21</f>
        <v>0</v>
      </c>
      <c r="AO21" s="84"/>
      <c r="AP21" s="84">
        <f>'General information '!J21</f>
        <v>0</v>
      </c>
      <c r="AQ21" s="81"/>
      <c r="AR21" s="283">
        <f t="shared" si="25"/>
        <v>44028</v>
      </c>
      <c r="AS21" s="435">
        <f t="shared" si="6"/>
        <v>0.9</v>
      </c>
      <c r="AT21" s="204">
        <f t="shared" si="6"/>
        <v>127</v>
      </c>
      <c r="AU21" s="436">
        <f t="shared" si="34"/>
        <v>1.1000000000000001</v>
      </c>
      <c r="AV21" s="204">
        <f t="shared" si="34"/>
        <v>149</v>
      </c>
      <c r="AW21" s="5">
        <v>2.9</v>
      </c>
      <c r="AX21" s="204">
        <f t="shared" ref="AX21" si="46">AX20</f>
        <v>145</v>
      </c>
      <c r="AY21" s="439">
        <f t="shared" si="7"/>
        <v>114.3</v>
      </c>
      <c r="AZ21" s="439">
        <f t="shared" si="26"/>
        <v>163.9</v>
      </c>
      <c r="BA21" s="439">
        <f t="shared" si="27"/>
        <v>420.5</v>
      </c>
      <c r="BB21" s="21">
        <f t="shared" si="28"/>
        <v>0</v>
      </c>
      <c r="BC21" s="21">
        <f t="shared" si="29"/>
        <v>0</v>
      </c>
      <c r="BD21" s="21">
        <f t="shared" si="29"/>
        <v>0</v>
      </c>
      <c r="BE21" s="24">
        <f t="shared" si="30"/>
        <v>0</v>
      </c>
      <c r="BF21" s="96">
        <f t="shared" si="8"/>
        <v>0</v>
      </c>
      <c r="BG21" s="82">
        <f t="shared" si="9"/>
        <v>0</v>
      </c>
    </row>
    <row r="22" spans="1:61" ht="15.75" thickBot="1">
      <c r="A22" s="6">
        <f>ELEC!C19</f>
        <v>44029</v>
      </c>
      <c r="B22" s="5">
        <f t="shared" si="10"/>
        <v>108535</v>
      </c>
      <c r="C22" s="5">
        <f t="shared" si="11"/>
        <v>0</v>
      </c>
      <c r="D22" s="430">
        <f t="shared" si="12"/>
        <v>0</v>
      </c>
      <c r="E22" s="341">
        <f>SUM((C22*$E$4)+(7500/'EDl log'!$A$39))</f>
        <v>241.93548387096774</v>
      </c>
      <c r="F22" s="335"/>
      <c r="G22" s="5">
        <f t="shared" si="31"/>
        <v>602675</v>
      </c>
      <c r="H22" s="5">
        <f t="shared" si="13"/>
        <v>0</v>
      </c>
      <c r="I22" s="5">
        <f t="shared" si="0"/>
        <v>0</v>
      </c>
      <c r="J22" s="342">
        <f t="shared" si="1"/>
        <v>0</v>
      </c>
      <c r="K22" s="5">
        <f>'Swimming Pool quality check '!H22</f>
        <v>6405</v>
      </c>
      <c r="L22" s="83">
        <f t="shared" si="33"/>
        <v>0</v>
      </c>
      <c r="M22" s="421">
        <f t="shared" si="14"/>
        <v>457.44</v>
      </c>
      <c r="N22" s="531">
        <f t="shared" si="36"/>
        <v>0</v>
      </c>
      <c r="O22" s="421">
        <f t="shared" si="15"/>
        <v>529.52</v>
      </c>
      <c r="P22" s="531">
        <f t="shared" si="37"/>
        <v>0</v>
      </c>
      <c r="Q22" s="531">
        <f t="shared" si="38"/>
        <v>0</v>
      </c>
      <c r="R22" s="531"/>
      <c r="S22" s="531"/>
      <c r="T22" s="5">
        <f t="shared" si="16"/>
        <v>4925</v>
      </c>
      <c r="U22" s="5">
        <f t="shared" si="4"/>
        <v>0</v>
      </c>
      <c r="V22" s="5">
        <f t="shared" si="16"/>
        <v>413</v>
      </c>
      <c r="W22" s="332">
        <f t="shared" si="17"/>
        <v>0</v>
      </c>
      <c r="X22" s="5">
        <f t="shared" si="16"/>
        <v>145204</v>
      </c>
      <c r="Y22" s="332">
        <f t="shared" si="18"/>
        <v>0</v>
      </c>
      <c r="Z22" s="5">
        <f t="shared" si="16"/>
        <v>95637</v>
      </c>
      <c r="AA22" s="83">
        <f t="shared" si="19"/>
        <v>0</v>
      </c>
      <c r="AB22" s="5">
        <f t="shared" si="16"/>
        <v>259</v>
      </c>
      <c r="AC22" s="5">
        <f t="shared" si="16"/>
        <v>670</v>
      </c>
      <c r="AD22" s="83">
        <f t="shared" si="32"/>
        <v>0</v>
      </c>
      <c r="AE22" s="5">
        <f t="shared" si="16"/>
        <v>166.34</v>
      </c>
      <c r="AF22" s="83">
        <f t="shared" si="20"/>
        <v>0</v>
      </c>
      <c r="AG22" s="5">
        <f t="shared" si="16"/>
        <v>1753.68</v>
      </c>
      <c r="AH22" s="83">
        <f t="shared" si="21"/>
        <v>0</v>
      </c>
      <c r="AI22" s="83">
        <f t="shared" si="22"/>
        <v>0</v>
      </c>
      <c r="AJ22" s="334">
        <f t="shared" si="23"/>
        <v>0</v>
      </c>
      <c r="AK22" s="335">
        <f t="shared" si="5"/>
        <v>0</v>
      </c>
      <c r="AL22" s="335">
        <f t="shared" si="24"/>
        <v>0</v>
      </c>
      <c r="AM22" s="335">
        <f>'General information '!D22</f>
        <v>0</v>
      </c>
      <c r="AN22" s="84">
        <f>'General information '!H22</f>
        <v>0</v>
      </c>
      <c r="AO22" s="84"/>
      <c r="AP22" s="84">
        <f>'General information '!J22</f>
        <v>0</v>
      </c>
      <c r="AR22" s="283">
        <f t="shared" si="25"/>
        <v>44029</v>
      </c>
      <c r="AS22" s="435">
        <f t="shared" ref="AS22:AT36" si="47">AS21</f>
        <v>0.9</v>
      </c>
      <c r="AT22" s="204">
        <f t="shared" si="47"/>
        <v>127</v>
      </c>
      <c r="AU22" s="436">
        <f t="shared" si="34"/>
        <v>1.1000000000000001</v>
      </c>
      <c r="AV22" s="204">
        <f t="shared" si="34"/>
        <v>149</v>
      </c>
      <c r="AW22" s="5">
        <v>2.9</v>
      </c>
      <c r="AX22" s="204">
        <f t="shared" ref="AX22" si="48">AX21</f>
        <v>145</v>
      </c>
      <c r="AY22" s="439">
        <f t="shared" si="7"/>
        <v>114.3</v>
      </c>
      <c r="AZ22" s="439">
        <f t="shared" si="26"/>
        <v>163.9</v>
      </c>
      <c r="BA22" s="439">
        <f t="shared" si="27"/>
        <v>420.5</v>
      </c>
      <c r="BB22" s="21">
        <f>AY22-AY21</f>
        <v>0</v>
      </c>
      <c r="BC22" s="21">
        <f t="shared" si="28"/>
        <v>0</v>
      </c>
      <c r="BD22" s="21">
        <f t="shared" si="28"/>
        <v>0</v>
      </c>
      <c r="BE22" s="24">
        <f t="shared" si="30"/>
        <v>0</v>
      </c>
      <c r="BF22" s="96">
        <f t="shared" si="8"/>
        <v>0</v>
      </c>
      <c r="BG22" s="82">
        <f t="shared" si="9"/>
        <v>0</v>
      </c>
    </row>
    <row r="23" spans="1:61" ht="15.75" thickBot="1">
      <c r="A23" s="6">
        <f>ELEC!C20</f>
        <v>44030</v>
      </c>
      <c r="B23" s="5">
        <f t="shared" si="10"/>
        <v>108535</v>
      </c>
      <c r="C23" s="5">
        <f t="shared" si="11"/>
        <v>0</v>
      </c>
      <c r="D23" s="430">
        <f t="shared" si="12"/>
        <v>0</v>
      </c>
      <c r="E23" s="341">
        <f>SUM((C23*$E$4)+(7500/'EDl log'!$A$39))</f>
        <v>241.93548387096774</v>
      </c>
      <c r="F23" s="335"/>
      <c r="G23" s="5">
        <f t="shared" si="31"/>
        <v>602675</v>
      </c>
      <c r="H23" s="5">
        <f t="shared" si="13"/>
        <v>0</v>
      </c>
      <c r="I23" s="5">
        <f t="shared" si="0"/>
        <v>0</v>
      </c>
      <c r="J23" s="342">
        <f t="shared" si="1"/>
        <v>0</v>
      </c>
      <c r="K23" s="5">
        <f>'Swimming Pool quality check '!H23</f>
        <v>6405</v>
      </c>
      <c r="L23" s="280">
        <f t="shared" si="33"/>
        <v>0</v>
      </c>
      <c r="M23" s="421">
        <f t="shared" si="14"/>
        <v>457.44</v>
      </c>
      <c r="N23" s="531">
        <f t="shared" si="36"/>
        <v>0</v>
      </c>
      <c r="O23" s="421">
        <f t="shared" si="15"/>
        <v>529.52</v>
      </c>
      <c r="P23" s="531">
        <f t="shared" si="37"/>
        <v>0</v>
      </c>
      <c r="Q23" s="531">
        <f t="shared" si="38"/>
        <v>0</v>
      </c>
      <c r="R23" s="533"/>
      <c r="S23" s="533"/>
      <c r="T23" s="5">
        <f t="shared" si="16"/>
        <v>4925</v>
      </c>
      <c r="U23" s="5">
        <f t="shared" si="4"/>
        <v>0</v>
      </c>
      <c r="V23" s="5">
        <f t="shared" si="16"/>
        <v>413</v>
      </c>
      <c r="W23" s="332">
        <f t="shared" si="17"/>
        <v>0</v>
      </c>
      <c r="X23" s="5">
        <f t="shared" si="16"/>
        <v>145204</v>
      </c>
      <c r="Y23" s="332">
        <f t="shared" si="18"/>
        <v>0</v>
      </c>
      <c r="Z23" s="5">
        <f t="shared" si="16"/>
        <v>95637</v>
      </c>
      <c r="AA23" s="83">
        <f t="shared" si="19"/>
        <v>0</v>
      </c>
      <c r="AB23" s="5">
        <f t="shared" si="16"/>
        <v>259</v>
      </c>
      <c r="AC23" s="5">
        <f t="shared" si="16"/>
        <v>670</v>
      </c>
      <c r="AD23" s="83">
        <f t="shared" si="32"/>
        <v>0</v>
      </c>
      <c r="AE23" s="5">
        <f t="shared" si="16"/>
        <v>166.34</v>
      </c>
      <c r="AF23" s="83">
        <f t="shared" si="20"/>
        <v>0</v>
      </c>
      <c r="AG23" s="5">
        <f t="shared" si="16"/>
        <v>1753.68</v>
      </c>
      <c r="AH23" s="83">
        <f t="shared" si="21"/>
        <v>0</v>
      </c>
      <c r="AI23" s="83">
        <f t="shared" si="22"/>
        <v>0</v>
      </c>
      <c r="AJ23" s="334">
        <f t="shared" si="23"/>
        <v>0</v>
      </c>
      <c r="AK23" s="335">
        <f t="shared" si="5"/>
        <v>0</v>
      </c>
      <c r="AL23" s="335">
        <f t="shared" si="24"/>
        <v>0</v>
      </c>
      <c r="AM23" s="335">
        <f>'General information '!D23</f>
        <v>0</v>
      </c>
      <c r="AN23" s="84">
        <f>'General information '!H23</f>
        <v>0</v>
      </c>
      <c r="AO23" s="84"/>
      <c r="AP23" s="84">
        <f>'General information '!J23</f>
        <v>0</v>
      </c>
      <c r="AR23" s="283">
        <f t="shared" si="25"/>
        <v>44030</v>
      </c>
      <c r="AS23" s="435">
        <f t="shared" si="47"/>
        <v>0.9</v>
      </c>
      <c r="AT23" s="204">
        <f t="shared" si="47"/>
        <v>127</v>
      </c>
      <c r="AU23" s="436">
        <f t="shared" si="34"/>
        <v>1.1000000000000001</v>
      </c>
      <c r="AV23" s="204">
        <f t="shared" si="34"/>
        <v>149</v>
      </c>
      <c r="AW23" s="5">
        <v>2.9</v>
      </c>
      <c r="AX23" s="204">
        <f t="shared" ref="AX23" si="49">AX22</f>
        <v>145</v>
      </c>
      <c r="AY23" s="439">
        <f t="shared" si="7"/>
        <v>114.3</v>
      </c>
      <c r="AZ23" s="439">
        <f t="shared" si="26"/>
        <v>163.9</v>
      </c>
      <c r="BA23" s="439">
        <f t="shared" si="27"/>
        <v>420.5</v>
      </c>
      <c r="BB23" s="21">
        <f t="shared" si="28"/>
        <v>0</v>
      </c>
      <c r="BC23" s="21">
        <f t="shared" si="28"/>
        <v>0</v>
      </c>
      <c r="BD23" s="21">
        <f t="shared" si="28"/>
        <v>0</v>
      </c>
      <c r="BE23" s="24">
        <f t="shared" si="30"/>
        <v>0</v>
      </c>
      <c r="BF23" s="96">
        <f t="shared" si="8"/>
        <v>0</v>
      </c>
      <c r="BG23" s="82">
        <f t="shared" si="9"/>
        <v>0</v>
      </c>
    </row>
    <row r="24" spans="1:61" ht="15.75" thickBot="1">
      <c r="A24" s="6">
        <f>ELEC!C21</f>
        <v>44031</v>
      </c>
      <c r="B24" s="5">
        <f t="shared" si="10"/>
        <v>108535</v>
      </c>
      <c r="C24" s="5">
        <f t="shared" si="11"/>
        <v>0</v>
      </c>
      <c r="D24" s="430">
        <f t="shared" si="12"/>
        <v>0</v>
      </c>
      <c r="E24" s="341">
        <f>SUM((C24*$E$4)+(7500/'EDl log'!$A$39))</f>
        <v>241.93548387096774</v>
      </c>
      <c r="F24" s="335"/>
      <c r="G24" s="5">
        <f t="shared" si="31"/>
        <v>602675</v>
      </c>
      <c r="H24" s="5">
        <f t="shared" si="13"/>
        <v>0</v>
      </c>
      <c r="I24" s="5">
        <f t="shared" si="0"/>
        <v>0</v>
      </c>
      <c r="J24" s="342">
        <f t="shared" si="1"/>
        <v>0</v>
      </c>
      <c r="K24" s="5">
        <f>'Swimming Pool quality check '!H24</f>
        <v>6405</v>
      </c>
      <c r="L24" s="280">
        <f t="shared" si="33"/>
        <v>0</v>
      </c>
      <c r="M24" s="421">
        <f t="shared" si="14"/>
        <v>457.44</v>
      </c>
      <c r="N24" s="531">
        <f t="shared" si="36"/>
        <v>0</v>
      </c>
      <c r="O24" s="421">
        <f t="shared" si="15"/>
        <v>529.52</v>
      </c>
      <c r="P24" s="531">
        <f t="shared" si="37"/>
        <v>0</v>
      </c>
      <c r="Q24" s="531">
        <f t="shared" si="38"/>
        <v>0</v>
      </c>
      <c r="R24" s="533"/>
      <c r="S24" s="533"/>
      <c r="T24" s="5">
        <f t="shared" si="16"/>
        <v>4925</v>
      </c>
      <c r="U24" s="5">
        <f t="shared" si="4"/>
        <v>0</v>
      </c>
      <c r="V24" s="5">
        <f t="shared" si="16"/>
        <v>413</v>
      </c>
      <c r="W24" s="332">
        <f t="shared" si="17"/>
        <v>0</v>
      </c>
      <c r="X24" s="5">
        <f t="shared" si="16"/>
        <v>145204</v>
      </c>
      <c r="Y24" s="332">
        <f t="shared" si="18"/>
        <v>0</v>
      </c>
      <c r="Z24" s="5">
        <f t="shared" si="16"/>
        <v>95637</v>
      </c>
      <c r="AA24" s="83">
        <f t="shared" si="19"/>
        <v>0</v>
      </c>
      <c r="AB24" s="5">
        <f t="shared" si="16"/>
        <v>259</v>
      </c>
      <c r="AC24" s="5">
        <f t="shared" si="16"/>
        <v>670</v>
      </c>
      <c r="AD24" s="83">
        <f t="shared" si="32"/>
        <v>0</v>
      </c>
      <c r="AE24" s="5">
        <f t="shared" si="16"/>
        <v>166.34</v>
      </c>
      <c r="AF24" s="83">
        <f t="shared" si="20"/>
        <v>0</v>
      </c>
      <c r="AG24" s="5">
        <f t="shared" si="16"/>
        <v>1753.68</v>
      </c>
      <c r="AH24" s="83">
        <f t="shared" si="21"/>
        <v>0</v>
      </c>
      <c r="AI24" s="83">
        <f t="shared" si="22"/>
        <v>0</v>
      </c>
      <c r="AJ24" s="334">
        <f t="shared" si="23"/>
        <v>0</v>
      </c>
      <c r="AK24" s="335">
        <f t="shared" si="5"/>
        <v>0</v>
      </c>
      <c r="AL24" s="335">
        <f t="shared" si="24"/>
        <v>0</v>
      </c>
      <c r="AM24" s="335">
        <f>'General information '!D24</f>
        <v>0</v>
      </c>
      <c r="AN24" s="84">
        <f>'General information '!H24</f>
        <v>0</v>
      </c>
      <c r="AO24" s="84"/>
      <c r="AP24" s="84">
        <f>'General information '!J24</f>
        <v>0</v>
      </c>
      <c r="AR24" s="283">
        <f t="shared" si="25"/>
        <v>44031</v>
      </c>
      <c r="AS24" s="435">
        <f t="shared" si="47"/>
        <v>0.9</v>
      </c>
      <c r="AT24" s="204">
        <f t="shared" si="47"/>
        <v>127</v>
      </c>
      <c r="AU24" s="436">
        <f t="shared" si="34"/>
        <v>1.1000000000000001</v>
      </c>
      <c r="AV24" s="204">
        <f t="shared" si="34"/>
        <v>149</v>
      </c>
      <c r="AW24" s="5">
        <v>2.9</v>
      </c>
      <c r="AX24" s="204">
        <f t="shared" ref="AX24" si="50">AX23</f>
        <v>145</v>
      </c>
      <c r="AY24" s="439">
        <f t="shared" si="7"/>
        <v>114.3</v>
      </c>
      <c r="AZ24" s="439">
        <f t="shared" si="26"/>
        <v>163.9</v>
      </c>
      <c r="BA24" s="439">
        <f t="shared" si="27"/>
        <v>420.5</v>
      </c>
      <c r="BB24" s="21">
        <f t="shared" si="28"/>
        <v>0</v>
      </c>
      <c r="BC24" s="21">
        <f t="shared" si="28"/>
        <v>0</v>
      </c>
      <c r="BD24" s="21">
        <f t="shared" si="28"/>
        <v>0</v>
      </c>
      <c r="BE24" s="24">
        <f t="shared" si="30"/>
        <v>0</v>
      </c>
      <c r="BF24" s="96">
        <f t="shared" si="8"/>
        <v>0</v>
      </c>
      <c r="BG24" s="82">
        <f t="shared" si="9"/>
        <v>0</v>
      </c>
      <c r="BI24" s="82"/>
    </row>
    <row r="25" spans="1:61" ht="15.75" thickBot="1">
      <c r="A25" s="6">
        <f>ELEC!C22</f>
        <v>44032</v>
      </c>
      <c r="B25" s="5">
        <f t="shared" si="10"/>
        <v>108535</v>
      </c>
      <c r="C25" s="5">
        <f t="shared" si="11"/>
        <v>0</v>
      </c>
      <c r="D25" s="430">
        <f t="shared" si="12"/>
        <v>0</v>
      </c>
      <c r="E25" s="341">
        <f>SUM((C25*$E$4)+(7500/'EDl log'!$A$39))</f>
        <v>241.93548387096774</v>
      </c>
      <c r="F25" s="335"/>
      <c r="G25" s="5">
        <f t="shared" si="31"/>
        <v>602675</v>
      </c>
      <c r="H25" s="5">
        <f t="shared" si="13"/>
        <v>0</v>
      </c>
      <c r="I25" s="5">
        <f t="shared" si="0"/>
        <v>0</v>
      </c>
      <c r="J25" s="342">
        <f t="shared" si="1"/>
        <v>0</v>
      </c>
      <c r="K25" s="5">
        <f>'Swimming Pool quality check '!H25</f>
        <v>6405</v>
      </c>
      <c r="L25" s="280">
        <f t="shared" si="33"/>
        <v>0</v>
      </c>
      <c r="M25" s="421">
        <f t="shared" si="14"/>
        <v>457.44</v>
      </c>
      <c r="N25" s="531">
        <f t="shared" si="36"/>
        <v>0</v>
      </c>
      <c r="O25" s="421">
        <f t="shared" si="15"/>
        <v>529.52</v>
      </c>
      <c r="P25" s="531">
        <f t="shared" si="37"/>
        <v>0</v>
      </c>
      <c r="Q25" s="531">
        <f t="shared" si="38"/>
        <v>0</v>
      </c>
      <c r="R25" s="533"/>
      <c r="S25" s="533"/>
      <c r="T25" s="5">
        <f t="shared" si="16"/>
        <v>4925</v>
      </c>
      <c r="U25" s="5">
        <f t="shared" si="4"/>
        <v>0</v>
      </c>
      <c r="V25" s="5">
        <f t="shared" si="16"/>
        <v>413</v>
      </c>
      <c r="W25" s="332">
        <f t="shared" si="17"/>
        <v>0</v>
      </c>
      <c r="X25" s="5">
        <f t="shared" si="16"/>
        <v>145204</v>
      </c>
      <c r="Y25" s="332">
        <f t="shared" si="18"/>
        <v>0</v>
      </c>
      <c r="Z25" s="5">
        <f t="shared" si="16"/>
        <v>95637</v>
      </c>
      <c r="AA25" s="83">
        <f t="shared" si="19"/>
        <v>0</v>
      </c>
      <c r="AB25" s="5">
        <f t="shared" si="16"/>
        <v>259</v>
      </c>
      <c r="AC25" s="5">
        <f t="shared" si="16"/>
        <v>670</v>
      </c>
      <c r="AD25" s="83">
        <f t="shared" si="32"/>
        <v>0</v>
      </c>
      <c r="AE25" s="5">
        <f t="shared" si="16"/>
        <v>166.34</v>
      </c>
      <c r="AF25" s="83">
        <f t="shared" si="20"/>
        <v>0</v>
      </c>
      <c r="AG25" s="5">
        <f t="shared" si="16"/>
        <v>1753.68</v>
      </c>
      <c r="AH25" s="83">
        <f t="shared" si="21"/>
        <v>0</v>
      </c>
      <c r="AI25" s="83">
        <f t="shared" si="22"/>
        <v>0</v>
      </c>
      <c r="AJ25" s="334">
        <f t="shared" si="23"/>
        <v>0</v>
      </c>
      <c r="AK25" s="335">
        <f t="shared" si="5"/>
        <v>0</v>
      </c>
      <c r="AL25" s="335">
        <f t="shared" si="24"/>
        <v>0</v>
      </c>
      <c r="AM25" s="335">
        <f>'General information '!D25</f>
        <v>0</v>
      </c>
      <c r="AN25" s="84">
        <f>'General information '!H25</f>
        <v>0</v>
      </c>
      <c r="AO25" s="84"/>
      <c r="AP25" s="84">
        <f>'General information '!J25</f>
        <v>0</v>
      </c>
      <c r="AR25" s="283">
        <f t="shared" si="25"/>
        <v>44032</v>
      </c>
      <c r="AS25" s="435">
        <f t="shared" si="47"/>
        <v>0.9</v>
      </c>
      <c r="AT25" s="204">
        <f t="shared" si="47"/>
        <v>127</v>
      </c>
      <c r="AU25" s="436">
        <f t="shared" si="34"/>
        <v>1.1000000000000001</v>
      </c>
      <c r="AV25" s="204">
        <f t="shared" si="34"/>
        <v>149</v>
      </c>
      <c r="AW25" s="5">
        <v>2.9</v>
      </c>
      <c r="AX25" s="204">
        <f t="shared" ref="AX25" si="51">AX24</f>
        <v>145</v>
      </c>
      <c r="AY25" s="439">
        <f t="shared" si="7"/>
        <v>114.3</v>
      </c>
      <c r="AZ25" s="439">
        <f t="shared" si="26"/>
        <v>163.9</v>
      </c>
      <c r="BA25" s="439">
        <f t="shared" si="27"/>
        <v>420.5</v>
      </c>
      <c r="BB25" s="21">
        <f t="shared" si="28"/>
        <v>0</v>
      </c>
      <c r="BC25" s="21">
        <f t="shared" si="28"/>
        <v>0</v>
      </c>
      <c r="BD25" s="21">
        <f t="shared" si="28"/>
        <v>0</v>
      </c>
      <c r="BE25" s="24">
        <f t="shared" si="30"/>
        <v>0</v>
      </c>
      <c r="BF25" s="96">
        <f t="shared" si="8"/>
        <v>0</v>
      </c>
      <c r="BG25" s="82">
        <f t="shared" si="9"/>
        <v>0</v>
      </c>
    </row>
    <row r="26" spans="1:61" ht="15.75" thickBot="1">
      <c r="A26" s="6">
        <f>ELEC!C23</f>
        <v>44033</v>
      </c>
      <c r="B26" s="5">
        <f t="shared" si="10"/>
        <v>108535</v>
      </c>
      <c r="C26" s="5">
        <f t="shared" si="11"/>
        <v>0</v>
      </c>
      <c r="D26" s="430">
        <f t="shared" si="12"/>
        <v>0</v>
      </c>
      <c r="E26" s="341">
        <f>SUM((C26*$E$4)+(7500/'EDl log'!$A$39))</f>
        <v>241.93548387096774</v>
      </c>
      <c r="F26" s="335"/>
      <c r="G26" s="5">
        <f t="shared" si="31"/>
        <v>602675</v>
      </c>
      <c r="H26" s="5">
        <f>G26-G25</f>
        <v>0</v>
      </c>
      <c r="I26" s="5">
        <f t="shared" si="0"/>
        <v>0</v>
      </c>
      <c r="J26" s="342">
        <f t="shared" si="1"/>
        <v>0</v>
      </c>
      <c r="K26" s="5">
        <f>'Swimming Pool quality check '!H26</f>
        <v>6405</v>
      </c>
      <c r="L26" s="280">
        <f t="shared" si="33"/>
        <v>0</v>
      </c>
      <c r="M26" s="421">
        <f t="shared" si="14"/>
        <v>457.44</v>
      </c>
      <c r="N26" s="531">
        <f t="shared" si="36"/>
        <v>0</v>
      </c>
      <c r="O26" s="421">
        <f t="shared" si="15"/>
        <v>529.52</v>
      </c>
      <c r="P26" s="531">
        <f t="shared" si="37"/>
        <v>0</v>
      </c>
      <c r="Q26" s="531">
        <f t="shared" si="38"/>
        <v>0</v>
      </c>
      <c r="R26" s="533"/>
      <c r="S26" s="533"/>
      <c r="T26" s="5">
        <f t="shared" si="16"/>
        <v>4925</v>
      </c>
      <c r="U26" s="5">
        <f t="shared" si="4"/>
        <v>0</v>
      </c>
      <c r="V26" s="5">
        <f t="shared" si="16"/>
        <v>413</v>
      </c>
      <c r="W26" s="332">
        <f t="shared" si="17"/>
        <v>0</v>
      </c>
      <c r="X26" s="5">
        <f t="shared" si="16"/>
        <v>145204</v>
      </c>
      <c r="Y26" s="332">
        <f t="shared" si="18"/>
        <v>0</v>
      </c>
      <c r="Z26" s="5">
        <f t="shared" si="16"/>
        <v>95637</v>
      </c>
      <c r="AA26" s="83">
        <f t="shared" si="19"/>
        <v>0</v>
      </c>
      <c r="AB26" s="5">
        <f t="shared" si="16"/>
        <v>259</v>
      </c>
      <c r="AC26" s="5">
        <f t="shared" si="16"/>
        <v>670</v>
      </c>
      <c r="AD26" s="83">
        <f t="shared" si="32"/>
        <v>0</v>
      </c>
      <c r="AE26" s="5">
        <f t="shared" si="16"/>
        <v>166.34</v>
      </c>
      <c r="AF26" s="83">
        <f t="shared" si="20"/>
        <v>0</v>
      </c>
      <c r="AG26" s="5">
        <f t="shared" si="16"/>
        <v>1753.68</v>
      </c>
      <c r="AH26" s="83">
        <f t="shared" si="21"/>
        <v>0</v>
      </c>
      <c r="AI26" s="83">
        <f t="shared" si="22"/>
        <v>0</v>
      </c>
      <c r="AJ26" s="334">
        <f t="shared" si="23"/>
        <v>0</v>
      </c>
      <c r="AK26" s="335">
        <f t="shared" si="5"/>
        <v>0</v>
      </c>
      <c r="AL26" s="335">
        <f>SUM(AJ26-W26)</f>
        <v>0</v>
      </c>
      <c r="AM26" s="335">
        <f>'General information '!D26</f>
        <v>0</v>
      </c>
      <c r="AN26" s="84">
        <f>'General information '!H26</f>
        <v>0</v>
      </c>
      <c r="AO26" s="84"/>
      <c r="AP26" s="84">
        <f>'General information '!J26</f>
        <v>0</v>
      </c>
      <c r="AR26" s="283">
        <f t="shared" si="25"/>
        <v>44033</v>
      </c>
      <c r="AS26" s="435">
        <f t="shared" si="47"/>
        <v>0.9</v>
      </c>
      <c r="AT26" s="204">
        <f t="shared" si="47"/>
        <v>127</v>
      </c>
      <c r="AU26" s="436">
        <f t="shared" si="34"/>
        <v>1.1000000000000001</v>
      </c>
      <c r="AV26" s="204">
        <f t="shared" si="34"/>
        <v>149</v>
      </c>
      <c r="AW26" s="5">
        <v>2.9</v>
      </c>
      <c r="AX26" s="204">
        <f t="shared" ref="AX26" si="52">AX25</f>
        <v>145</v>
      </c>
      <c r="AY26" s="439">
        <f t="shared" si="7"/>
        <v>114.3</v>
      </c>
      <c r="AZ26" s="439">
        <f t="shared" si="26"/>
        <v>163.9</v>
      </c>
      <c r="BA26" s="439">
        <f t="shared" si="27"/>
        <v>420.5</v>
      </c>
      <c r="BB26" s="21">
        <f t="shared" si="28"/>
        <v>0</v>
      </c>
      <c r="BC26" s="21">
        <f t="shared" si="28"/>
        <v>0</v>
      </c>
      <c r="BD26" s="21">
        <f t="shared" si="28"/>
        <v>0</v>
      </c>
      <c r="BE26" s="24">
        <f t="shared" si="30"/>
        <v>0</v>
      </c>
      <c r="BF26" s="350">
        <f t="shared" si="8"/>
        <v>0</v>
      </c>
      <c r="BG26" s="82">
        <f t="shared" si="9"/>
        <v>0</v>
      </c>
    </row>
    <row r="27" spans="1:61" ht="15.75" thickBot="1">
      <c r="A27" s="6">
        <f>ELEC!C24</f>
        <v>44034</v>
      </c>
      <c r="B27" s="5">
        <f t="shared" si="10"/>
        <v>108535</v>
      </c>
      <c r="C27" s="5">
        <f t="shared" si="11"/>
        <v>0</v>
      </c>
      <c r="D27" s="430">
        <f t="shared" si="12"/>
        <v>0</v>
      </c>
      <c r="E27" s="341">
        <f>SUM((C27*$E$4)+(7500/'EDl log'!$A$39))</f>
        <v>241.93548387096774</v>
      </c>
      <c r="F27" s="335"/>
      <c r="G27" s="5">
        <f t="shared" si="31"/>
        <v>602675</v>
      </c>
      <c r="H27" s="5">
        <f t="shared" si="13"/>
        <v>0</v>
      </c>
      <c r="I27" s="5">
        <f t="shared" si="0"/>
        <v>0</v>
      </c>
      <c r="J27" s="342">
        <f t="shared" si="1"/>
        <v>0</v>
      </c>
      <c r="K27" s="5">
        <f>'Swimming Pool quality check '!H27</f>
        <v>6405</v>
      </c>
      <c r="L27" s="280">
        <f t="shared" si="33"/>
        <v>0</v>
      </c>
      <c r="M27" s="421">
        <f t="shared" si="14"/>
        <v>457.44</v>
      </c>
      <c r="N27" s="531">
        <f t="shared" si="36"/>
        <v>0</v>
      </c>
      <c r="O27" s="421">
        <f t="shared" si="15"/>
        <v>529.52</v>
      </c>
      <c r="P27" s="531">
        <f t="shared" si="37"/>
        <v>0</v>
      </c>
      <c r="Q27" s="531">
        <f t="shared" si="38"/>
        <v>0</v>
      </c>
      <c r="R27" s="533"/>
      <c r="S27" s="533"/>
      <c r="T27" s="5">
        <f t="shared" si="16"/>
        <v>4925</v>
      </c>
      <c r="U27" s="5">
        <f t="shared" si="4"/>
        <v>0</v>
      </c>
      <c r="V27" s="5">
        <f t="shared" si="16"/>
        <v>413</v>
      </c>
      <c r="W27" s="332">
        <f t="shared" si="17"/>
        <v>0</v>
      </c>
      <c r="X27" s="5">
        <f t="shared" si="16"/>
        <v>145204</v>
      </c>
      <c r="Y27" s="332">
        <f>SUM(X27-X26)</f>
        <v>0</v>
      </c>
      <c r="Z27" s="5">
        <f t="shared" si="16"/>
        <v>95637</v>
      </c>
      <c r="AA27" s="83">
        <f t="shared" si="19"/>
        <v>0</v>
      </c>
      <c r="AB27" s="5">
        <f t="shared" si="16"/>
        <v>259</v>
      </c>
      <c r="AC27" s="5">
        <f t="shared" si="16"/>
        <v>670</v>
      </c>
      <c r="AD27" s="83">
        <f t="shared" si="32"/>
        <v>0</v>
      </c>
      <c r="AE27" s="5">
        <f t="shared" si="16"/>
        <v>166.34</v>
      </c>
      <c r="AF27" s="83">
        <f t="shared" si="20"/>
        <v>0</v>
      </c>
      <c r="AG27" s="5">
        <f t="shared" si="16"/>
        <v>1753.68</v>
      </c>
      <c r="AH27" s="83">
        <f t="shared" si="21"/>
        <v>0</v>
      </c>
      <c r="AI27" s="83">
        <f t="shared" si="22"/>
        <v>0</v>
      </c>
      <c r="AJ27" s="334">
        <f t="shared" si="23"/>
        <v>0</v>
      </c>
      <c r="AK27" s="335">
        <f t="shared" si="5"/>
        <v>0</v>
      </c>
      <c r="AL27" s="335">
        <f t="shared" si="24"/>
        <v>0</v>
      </c>
      <c r="AM27" s="335">
        <f>'General information '!D27</f>
        <v>0</v>
      </c>
      <c r="AN27" s="84">
        <f>'General information '!H27</f>
        <v>0</v>
      </c>
      <c r="AO27" s="84"/>
      <c r="AP27" s="84">
        <f>'General information '!J27</f>
        <v>0</v>
      </c>
      <c r="AR27" s="283">
        <f t="shared" si="25"/>
        <v>44034</v>
      </c>
      <c r="AS27" s="435">
        <f t="shared" si="47"/>
        <v>0.9</v>
      </c>
      <c r="AT27" s="204">
        <f t="shared" si="47"/>
        <v>127</v>
      </c>
      <c r="AU27" s="436">
        <f t="shared" si="34"/>
        <v>1.1000000000000001</v>
      </c>
      <c r="AV27" s="204">
        <f t="shared" si="34"/>
        <v>149</v>
      </c>
      <c r="AW27" s="5">
        <v>2.9</v>
      </c>
      <c r="AX27" s="204">
        <f t="shared" ref="AX27" si="53">AX26</f>
        <v>145</v>
      </c>
      <c r="AY27" s="439">
        <f t="shared" si="7"/>
        <v>114.3</v>
      </c>
      <c r="AZ27" s="439">
        <f t="shared" si="26"/>
        <v>163.9</v>
      </c>
      <c r="BA27" s="439">
        <f t="shared" si="27"/>
        <v>420.5</v>
      </c>
      <c r="BB27" s="21">
        <f t="shared" si="28"/>
        <v>0</v>
      </c>
      <c r="BC27" s="21">
        <f t="shared" si="28"/>
        <v>0</v>
      </c>
      <c r="BD27" s="21">
        <f t="shared" si="28"/>
        <v>0</v>
      </c>
      <c r="BE27" s="24">
        <f t="shared" si="30"/>
        <v>0</v>
      </c>
      <c r="BF27" s="96">
        <f t="shared" si="8"/>
        <v>0</v>
      </c>
      <c r="BG27" s="82">
        <f t="shared" si="9"/>
        <v>0</v>
      </c>
    </row>
    <row r="28" spans="1:61" ht="15.75" thickBot="1">
      <c r="A28" s="6">
        <f>ELEC!C25</f>
        <v>44035</v>
      </c>
      <c r="B28" s="5">
        <f t="shared" si="10"/>
        <v>108535</v>
      </c>
      <c r="C28" s="5">
        <f t="shared" si="11"/>
        <v>0</v>
      </c>
      <c r="D28" s="430">
        <f t="shared" si="12"/>
        <v>0</v>
      </c>
      <c r="E28" s="341">
        <f>SUM((C28*$E$4)+(7500/'EDl log'!$A$39))</f>
        <v>241.93548387096774</v>
      </c>
      <c r="F28" s="335"/>
      <c r="G28" s="5">
        <f t="shared" si="31"/>
        <v>602675</v>
      </c>
      <c r="H28" s="5">
        <f t="shared" si="13"/>
        <v>0</v>
      </c>
      <c r="I28" s="5">
        <f t="shared" si="0"/>
        <v>0</v>
      </c>
      <c r="J28" s="342">
        <f t="shared" si="1"/>
        <v>0</v>
      </c>
      <c r="K28" s="5">
        <f>'Swimming Pool quality check '!H28</f>
        <v>6405</v>
      </c>
      <c r="L28" s="280">
        <f t="shared" si="33"/>
        <v>0</v>
      </c>
      <c r="M28" s="421">
        <f t="shared" si="14"/>
        <v>457.44</v>
      </c>
      <c r="N28" s="531">
        <f t="shared" si="36"/>
        <v>0</v>
      </c>
      <c r="O28" s="421">
        <f t="shared" si="15"/>
        <v>529.52</v>
      </c>
      <c r="P28" s="531">
        <f t="shared" si="37"/>
        <v>0</v>
      </c>
      <c r="Q28" s="531">
        <f t="shared" si="38"/>
        <v>0</v>
      </c>
      <c r="R28" s="533"/>
      <c r="S28" s="533"/>
      <c r="T28" s="5">
        <f t="shared" si="16"/>
        <v>4925</v>
      </c>
      <c r="U28" s="5">
        <f t="shared" si="4"/>
        <v>0</v>
      </c>
      <c r="V28" s="5">
        <f t="shared" si="16"/>
        <v>413</v>
      </c>
      <c r="W28" s="332">
        <f t="shared" si="17"/>
        <v>0</v>
      </c>
      <c r="X28" s="5">
        <f t="shared" si="16"/>
        <v>145204</v>
      </c>
      <c r="Y28" s="332">
        <f t="shared" si="18"/>
        <v>0</v>
      </c>
      <c r="Z28" s="5">
        <f t="shared" si="16"/>
        <v>95637</v>
      </c>
      <c r="AA28" s="83">
        <f t="shared" si="19"/>
        <v>0</v>
      </c>
      <c r="AB28" s="5">
        <f t="shared" si="16"/>
        <v>259</v>
      </c>
      <c r="AC28" s="5">
        <f t="shared" si="16"/>
        <v>670</v>
      </c>
      <c r="AD28" s="83">
        <f t="shared" si="32"/>
        <v>0</v>
      </c>
      <c r="AE28" s="5">
        <f t="shared" si="16"/>
        <v>166.34</v>
      </c>
      <c r="AF28" s="83">
        <f t="shared" si="20"/>
        <v>0</v>
      </c>
      <c r="AG28" s="5">
        <f t="shared" si="16"/>
        <v>1753.68</v>
      </c>
      <c r="AH28" s="83">
        <f t="shared" si="21"/>
        <v>0</v>
      </c>
      <c r="AI28" s="83">
        <f t="shared" si="22"/>
        <v>0</v>
      </c>
      <c r="AJ28" s="334">
        <f t="shared" si="23"/>
        <v>0</v>
      </c>
      <c r="AK28" s="335">
        <f t="shared" si="5"/>
        <v>0</v>
      </c>
      <c r="AL28" s="335">
        <f t="shared" si="24"/>
        <v>0</v>
      </c>
      <c r="AM28" s="335">
        <f>'General information '!D28</f>
        <v>0</v>
      </c>
      <c r="AN28" s="84">
        <f>'General information '!H28</f>
        <v>0</v>
      </c>
      <c r="AO28" s="84"/>
      <c r="AP28" s="84">
        <f>'General information '!J28</f>
        <v>0</v>
      </c>
      <c r="AR28" s="283">
        <f t="shared" si="25"/>
        <v>44035</v>
      </c>
      <c r="AS28" s="435">
        <f t="shared" si="47"/>
        <v>0.9</v>
      </c>
      <c r="AT28" s="204">
        <f t="shared" si="47"/>
        <v>127</v>
      </c>
      <c r="AU28" s="436">
        <f t="shared" si="34"/>
        <v>1.1000000000000001</v>
      </c>
      <c r="AV28" s="204">
        <f t="shared" si="34"/>
        <v>149</v>
      </c>
      <c r="AW28" s="5">
        <v>2.9</v>
      </c>
      <c r="AX28" s="204">
        <f t="shared" ref="AX28" si="54">AX27</f>
        <v>145</v>
      </c>
      <c r="AY28" s="439">
        <f t="shared" si="7"/>
        <v>114.3</v>
      </c>
      <c r="AZ28" s="439">
        <f t="shared" si="26"/>
        <v>163.9</v>
      </c>
      <c r="BA28" s="439">
        <f t="shared" si="27"/>
        <v>420.5</v>
      </c>
      <c r="BB28" s="21">
        <f t="shared" si="28"/>
        <v>0</v>
      </c>
      <c r="BC28" s="21">
        <f t="shared" si="28"/>
        <v>0</v>
      </c>
      <c r="BD28" s="21">
        <f t="shared" si="28"/>
        <v>0</v>
      </c>
      <c r="BE28" s="24">
        <f t="shared" si="30"/>
        <v>0</v>
      </c>
      <c r="BF28" s="96">
        <f t="shared" si="8"/>
        <v>0</v>
      </c>
      <c r="BG28" s="82">
        <f t="shared" si="9"/>
        <v>0</v>
      </c>
    </row>
    <row r="29" spans="1:61" ht="15.75" thickBot="1">
      <c r="A29" s="6">
        <f>ELEC!C26</f>
        <v>44036</v>
      </c>
      <c r="B29" s="5">
        <f t="shared" si="10"/>
        <v>108535</v>
      </c>
      <c r="C29" s="5">
        <f t="shared" si="11"/>
        <v>0</v>
      </c>
      <c r="D29" s="430">
        <f t="shared" si="12"/>
        <v>0</v>
      </c>
      <c r="E29" s="341">
        <f>SUM((C29*$E$4)+(7500/'EDl log'!$A$39))</f>
        <v>241.93548387096774</v>
      </c>
      <c r="F29" s="335"/>
      <c r="G29" s="5">
        <f t="shared" si="31"/>
        <v>602675</v>
      </c>
      <c r="H29" s="5">
        <f t="shared" si="13"/>
        <v>0</v>
      </c>
      <c r="I29" s="5">
        <f t="shared" si="0"/>
        <v>0</v>
      </c>
      <c r="J29" s="342">
        <f t="shared" si="1"/>
        <v>0</v>
      </c>
      <c r="K29" s="5">
        <f>'Swimming Pool quality check '!H29</f>
        <v>6405</v>
      </c>
      <c r="L29" s="280">
        <f t="shared" si="33"/>
        <v>0</v>
      </c>
      <c r="M29" s="421">
        <f t="shared" si="14"/>
        <v>457.44</v>
      </c>
      <c r="N29" s="531">
        <f t="shared" si="36"/>
        <v>0</v>
      </c>
      <c r="O29" s="421">
        <f t="shared" si="15"/>
        <v>529.52</v>
      </c>
      <c r="P29" s="531">
        <f t="shared" si="37"/>
        <v>0</v>
      </c>
      <c r="Q29" s="531">
        <f t="shared" si="38"/>
        <v>0</v>
      </c>
      <c r="R29" s="533"/>
      <c r="S29" s="533"/>
      <c r="T29" s="5">
        <f t="shared" si="16"/>
        <v>4925</v>
      </c>
      <c r="U29" s="5">
        <f t="shared" si="4"/>
        <v>0</v>
      </c>
      <c r="V29" s="5">
        <f t="shared" si="16"/>
        <v>413</v>
      </c>
      <c r="W29" s="332">
        <f t="shared" si="17"/>
        <v>0</v>
      </c>
      <c r="X29" s="5">
        <f t="shared" si="16"/>
        <v>145204</v>
      </c>
      <c r="Y29" s="332">
        <f t="shared" si="18"/>
        <v>0</v>
      </c>
      <c r="Z29" s="5">
        <f t="shared" si="16"/>
        <v>95637</v>
      </c>
      <c r="AA29" s="83">
        <f t="shared" si="19"/>
        <v>0</v>
      </c>
      <c r="AB29" s="5">
        <f t="shared" si="16"/>
        <v>259</v>
      </c>
      <c r="AC29" s="5">
        <f t="shared" si="16"/>
        <v>670</v>
      </c>
      <c r="AD29" s="83">
        <f t="shared" si="32"/>
        <v>0</v>
      </c>
      <c r="AE29" s="5">
        <f t="shared" si="16"/>
        <v>166.34</v>
      </c>
      <c r="AF29" s="83">
        <f t="shared" si="20"/>
        <v>0</v>
      </c>
      <c r="AG29" s="5">
        <f t="shared" si="16"/>
        <v>1753.68</v>
      </c>
      <c r="AH29" s="83">
        <f t="shared" si="21"/>
        <v>0</v>
      </c>
      <c r="AI29" s="83">
        <f t="shared" si="22"/>
        <v>0</v>
      </c>
      <c r="AJ29" s="334">
        <f t="shared" si="23"/>
        <v>0</v>
      </c>
      <c r="AK29" s="335">
        <f t="shared" si="5"/>
        <v>0</v>
      </c>
      <c r="AL29" s="335">
        <f t="shared" si="24"/>
        <v>0</v>
      </c>
      <c r="AM29" s="335">
        <f>'General information '!D29</f>
        <v>0</v>
      </c>
      <c r="AN29" s="84">
        <f>'General information '!H29</f>
        <v>0</v>
      </c>
      <c r="AO29" s="84"/>
      <c r="AP29" s="84">
        <f>'General information '!J29</f>
        <v>0</v>
      </c>
      <c r="AR29" s="283">
        <f t="shared" si="25"/>
        <v>44036</v>
      </c>
      <c r="AS29" s="435">
        <f t="shared" si="47"/>
        <v>0.9</v>
      </c>
      <c r="AT29" s="204">
        <f t="shared" si="47"/>
        <v>127</v>
      </c>
      <c r="AU29" s="436">
        <f t="shared" si="34"/>
        <v>1.1000000000000001</v>
      </c>
      <c r="AV29" s="204">
        <f t="shared" si="34"/>
        <v>149</v>
      </c>
      <c r="AW29" s="5">
        <v>2.9</v>
      </c>
      <c r="AX29" s="204">
        <f t="shared" ref="AX29" si="55">AX28</f>
        <v>145</v>
      </c>
      <c r="AY29" s="439">
        <f t="shared" si="7"/>
        <v>114.3</v>
      </c>
      <c r="AZ29" s="439">
        <f t="shared" si="26"/>
        <v>163.9</v>
      </c>
      <c r="BA29" s="439">
        <f t="shared" si="27"/>
        <v>420.5</v>
      </c>
      <c r="BB29" s="21">
        <f t="shared" si="28"/>
        <v>0</v>
      </c>
      <c r="BC29" s="21">
        <f t="shared" si="28"/>
        <v>0</v>
      </c>
      <c r="BD29" s="21">
        <f t="shared" si="28"/>
        <v>0</v>
      </c>
      <c r="BE29" s="24">
        <f t="shared" si="30"/>
        <v>0</v>
      </c>
      <c r="BF29" s="96">
        <f t="shared" si="8"/>
        <v>0</v>
      </c>
      <c r="BG29" s="82">
        <f t="shared" si="9"/>
        <v>0</v>
      </c>
    </row>
    <row r="30" spans="1:61" ht="15.75" thickBot="1">
      <c r="A30" s="6">
        <f>ELEC!C27</f>
        <v>44037</v>
      </c>
      <c r="B30" s="5">
        <f t="shared" si="10"/>
        <v>108535</v>
      </c>
      <c r="C30" s="5">
        <f t="shared" si="11"/>
        <v>0</v>
      </c>
      <c r="D30" s="430">
        <f t="shared" si="12"/>
        <v>0</v>
      </c>
      <c r="E30" s="341">
        <f>SUM((C30*$E$4)+(7500/'EDl log'!$A$39))</f>
        <v>241.93548387096774</v>
      </c>
      <c r="F30" s="335"/>
      <c r="G30" s="5">
        <f t="shared" si="31"/>
        <v>602675</v>
      </c>
      <c r="H30" s="5">
        <f t="shared" si="13"/>
        <v>0</v>
      </c>
      <c r="I30" s="5">
        <f t="shared" si="0"/>
        <v>0</v>
      </c>
      <c r="J30" s="342">
        <f t="shared" si="1"/>
        <v>0</v>
      </c>
      <c r="K30" s="5">
        <f>'Swimming Pool quality check '!H30</f>
        <v>6405</v>
      </c>
      <c r="L30" s="280">
        <f t="shared" si="33"/>
        <v>0</v>
      </c>
      <c r="M30" s="421">
        <f t="shared" si="14"/>
        <v>457.44</v>
      </c>
      <c r="N30" s="531">
        <f t="shared" si="36"/>
        <v>0</v>
      </c>
      <c r="O30" s="421">
        <f t="shared" si="15"/>
        <v>529.52</v>
      </c>
      <c r="P30" s="531">
        <f t="shared" si="37"/>
        <v>0</v>
      </c>
      <c r="Q30" s="531">
        <f t="shared" si="38"/>
        <v>0</v>
      </c>
      <c r="R30" s="533"/>
      <c r="S30" s="533"/>
      <c r="T30" s="5">
        <f t="shared" si="16"/>
        <v>4925</v>
      </c>
      <c r="U30" s="5">
        <f t="shared" si="4"/>
        <v>0</v>
      </c>
      <c r="V30" s="5">
        <f t="shared" si="16"/>
        <v>413</v>
      </c>
      <c r="W30" s="332">
        <f t="shared" si="17"/>
        <v>0</v>
      </c>
      <c r="X30" s="5">
        <f t="shared" si="16"/>
        <v>145204</v>
      </c>
      <c r="Y30" s="332">
        <f t="shared" si="18"/>
        <v>0</v>
      </c>
      <c r="Z30" s="5">
        <f t="shared" si="16"/>
        <v>95637</v>
      </c>
      <c r="AA30" s="83">
        <f t="shared" si="19"/>
        <v>0</v>
      </c>
      <c r="AB30" s="5">
        <f t="shared" si="16"/>
        <v>259</v>
      </c>
      <c r="AC30" s="5">
        <f t="shared" si="16"/>
        <v>670</v>
      </c>
      <c r="AD30" s="83">
        <f t="shared" si="32"/>
        <v>0</v>
      </c>
      <c r="AE30" s="5">
        <f t="shared" si="16"/>
        <v>166.34</v>
      </c>
      <c r="AF30" s="83">
        <f t="shared" si="20"/>
        <v>0</v>
      </c>
      <c r="AG30" s="5">
        <f t="shared" si="16"/>
        <v>1753.68</v>
      </c>
      <c r="AH30" s="83">
        <f t="shared" si="21"/>
        <v>0</v>
      </c>
      <c r="AI30" s="83">
        <f t="shared" si="22"/>
        <v>0</v>
      </c>
      <c r="AJ30" s="334">
        <f t="shared" si="23"/>
        <v>0</v>
      </c>
      <c r="AK30" s="335">
        <f t="shared" si="5"/>
        <v>0</v>
      </c>
      <c r="AL30" s="335">
        <f t="shared" si="24"/>
        <v>0</v>
      </c>
      <c r="AM30" s="335">
        <f>'General information '!D30</f>
        <v>0</v>
      </c>
      <c r="AN30" s="84">
        <f>'General information '!H30</f>
        <v>0</v>
      </c>
      <c r="AO30" s="84"/>
      <c r="AP30" s="84">
        <f>'General information '!J30</f>
        <v>0</v>
      </c>
      <c r="AR30" s="283">
        <f t="shared" si="25"/>
        <v>44037</v>
      </c>
      <c r="AS30" s="435">
        <f t="shared" si="47"/>
        <v>0.9</v>
      </c>
      <c r="AT30" s="204">
        <f t="shared" si="47"/>
        <v>127</v>
      </c>
      <c r="AU30" s="436">
        <f t="shared" si="34"/>
        <v>1.1000000000000001</v>
      </c>
      <c r="AV30" s="204">
        <f t="shared" si="34"/>
        <v>149</v>
      </c>
      <c r="AW30" s="5">
        <v>2.9</v>
      </c>
      <c r="AX30" s="204">
        <f t="shared" ref="AX30" si="56">AX29</f>
        <v>145</v>
      </c>
      <c r="AY30" s="439">
        <f t="shared" si="7"/>
        <v>114.3</v>
      </c>
      <c r="AZ30" s="439">
        <f t="shared" si="26"/>
        <v>163.9</v>
      </c>
      <c r="BA30" s="439">
        <f t="shared" si="27"/>
        <v>420.5</v>
      </c>
      <c r="BB30" s="21">
        <f t="shared" si="28"/>
        <v>0</v>
      </c>
      <c r="BC30" s="21">
        <f t="shared" si="28"/>
        <v>0</v>
      </c>
      <c r="BD30" s="21">
        <f t="shared" si="28"/>
        <v>0</v>
      </c>
      <c r="BE30" s="24">
        <f t="shared" si="30"/>
        <v>0</v>
      </c>
      <c r="BF30" s="96">
        <f t="shared" si="8"/>
        <v>0</v>
      </c>
      <c r="BG30" s="82">
        <f t="shared" si="9"/>
        <v>0</v>
      </c>
    </row>
    <row r="31" spans="1:61" ht="15.75" thickBot="1">
      <c r="A31" s="6">
        <f>ELEC!C28</f>
        <v>44038</v>
      </c>
      <c r="B31" s="5">
        <f t="shared" si="10"/>
        <v>108535</v>
      </c>
      <c r="C31" s="5">
        <f t="shared" si="11"/>
        <v>0</v>
      </c>
      <c r="D31" s="430">
        <f t="shared" si="12"/>
        <v>0</v>
      </c>
      <c r="E31" s="341">
        <f>SUM((C31*$E$4)+(7500/'EDl log'!$A$39))</f>
        <v>241.93548387096774</v>
      </c>
      <c r="F31" s="335"/>
      <c r="G31" s="5">
        <f t="shared" si="31"/>
        <v>602675</v>
      </c>
      <c r="H31" s="5">
        <f t="shared" si="13"/>
        <v>0</v>
      </c>
      <c r="I31" s="5">
        <f t="shared" si="0"/>
        <v>0</v>
      </c>
      <c r="J31" s="342">
        <f t="shared" si="1"/>
        <v>0</v>
      </c>
      <c r="K31" s="5">
        <f>'Swimming Pool quality check '!H31</f>
        <v>6405</v>
      </c>
      <c r="L31" s="280">
        <f t="shared" si="33"/>
        <v>0</v>
      </c>
      <c r="M31" s="421">
        <f t="shared" si="14"/>
        <v>457.44</v>
      </c>
      <c r="N31" s="531">
        <f t="shared" si="36"/>
        <v>0</v>
      </c>
      <c r="O31" s="421">
        <f t="shared" si="15"/>
        <v>529.52</v>
      </c>
      <c r="P31" s="531">
        <f t="shared" si="37"/>
        <v>0</v>
      </c>
      <c r="Q31" s="531">
        <f t="shared" si="38"/>
        <v>0</v>
      </c>
      <c r="R31" s="533"/>
      <c r="S31" s="533"/>
      <c r="T31" s="5">
        <f t="shared" si="16"/>
        <v>4925</v>
      </c>
      <c r="U31" s="5">
        <f t="shared" si="4"/>
        <v>0</v>
      </c>
      <c r="V31" s="5">
        <f t="shared" si="16"/>
        <v>413</v>
      </c>
      <c r="W31" s="332">
        <f t="shared" si="17"/>
        <v>0</v>
      </c>
      <c r="X31" s="5">
        <f t="shared" si="16"/>
        <v>145204</v>
      </c>
      <c r="Y31" s="332">
        <f t="shared" si="18"/>
        <v>0</v>
      </c>
      <c r="Z31" s="5">
        <f t="shared" si="16"/>
        <v>95637</v>
      </c>
      <c r="AA31" s="83">
        <f t="shared" si="19"/>
        <v>0</v>
      </c>
      <c r="AB31" s="5">
        <f t="shared" si="16"/>
        <v>259</v>
      </c>
      <c r="AC31" s="5">
        <f t="shared" si="16"/>
        <v>670</v>
      </c>
      <c r="AD31" s="83">
        <f t="shared" si="32"/>
        <v>0</v>
      </c>
      <c r="AE31" s="5">
        <f t="shared" si="16"/>
        <v>166.34</v>
      </c>
      <c r="AF31" s="83">
        <f t="shared" si="20"/>
        <v>0</v>
      </c>
      <c r="AG31" s="5">
        <f t="shared" si="16"/>
        <v>1753.68</v>
      </c>
      <c r="AH31" s="83">
        <f>AG31-AG30</f>
        <v>0</v>
      </c>
      <c r="AI31" s="83">
        <f>AF31+AH31</f>
        <v>0</v>
      </c>
      <c r="AJ31" s="334">
        <f t="shared" si="23"/>
        <v>0</v>
      </c>
      <c r="AK31" s="335">
        <f>SUM(Y31-L31)</f>
        <v>0</v>
      </c>
      <c r="AL31" s="335">
        <f t="shared" si="24"/>
        <v>0</v>
      </c>
      <c r="AM31" s="335">
        <f>'General information '!D31</f>
        <v>0</v>
      </c>
      <c r="AN31" s="84">
        <f>'General information '!H31</f>
        <v>0</v>
      </c>
      <c r="AO31" s="84"/>
      <c r="AP31" s="84">
        <f>'General information '!J31</f>
        <v>0</v>
      </c>
      <c r="AR31" s="283">
        <f t="shared" si="25"/>
        <v>44038</v>
      </c>
      <c r="AS31" s="435">
        <f t="shared" si="47"/>
        <v>0.9</v>
      </c>
      <c r="AT31" s="204">
        <f t="shared" si="47"/>
        <v>127</v>
      </c>
      <c r="AU31" s="436">
        <f t="shared" si="34"/>
        <v>1.1000000000000001</v>
      </c>
      <c r="AV31" s="204">
        <f t="shared" si="34"/>
        <v>149</v>
      </c>
      <c r="AW31" s="5">
        <v>2.9</v>
      </c>
      <c r="AX31" s="204">
        <f t="shared" ref="AX31" si="57">AX30</f>
        <v>145</v>
      </c>
      <c r="AY31" s="439">
        <f t="shared" si="7"/>
        <v>114.3</v>
      </c>
      <c r="AZ31" s="439">
        <f t="shared" si="26"/>
        <v>163.9</v>
      </c>
      <c r="BA31" s="439">
        <f t="shared" si="27"/>
        <v>420.5</v>
      </c>
      <c r="BB31" s="21">
        <f t="shared" si="28"/>
        <v>0</v>
      </c>
      <c r="BC31" s="21">
        <f t="shared" si="28"/>
        <v>0</v>
      </c>
      <c r="BD31" s="21">
        <f t="shared" si="28"/>
        <v>0</v>
      </c>
      <c r="BE31" s="24">
        <f t="shared" si="30"/>
        <v>0</v>
      </c>
      <c r="BF31" s="96">
        <f t="shared" si="8"/>
        <v>0</v>
      </c>
      <c r="BG31" s="82">
        <f t="shared" si="9"/>
        <v>0</v>
      </c>
    </row>
    <row r="32" spans="1:61" ht="15.75" thickBot="1">
      <c r="A32" s="6">
        <f>ELEC!C29</f>
        <v>44039</v>
      </c>
      <c r="B32" s="5">
        <f t="shared" si="10"/>
        <v>108535</v>
      </c>
      <c r="C32" s="5">
        <f t="shared" si="11"/>
        <v>0</v>
      </c>
      <c r="D32" s="430">
        <f t="shared" si="12"/>
        <v>0</v>
      </c>
      <c r="E32" s="341">
        <f>SUM((C32*$E$4)+(7500/'EDl log'!$A$39))</f>
        <v>241.93548387096774</v>
      </c>
      <c r="F32" s="335"/>
      <c r="G32" s="5">
        <f t="shared" si="31"/>
        <v>602675</v>
      </c>
      <c r="H32" s="5">
        <f t="shared" si="13"/>
        <v>0</v>
      </c>
      <c r="I32" s="5">
        <f t="shared" si="0"/>
        <v>0</v>
      </c>
      <c r="J32" s="342">
        <f t="shared" si="1"/>
        <v>0</v>
      </c>
      <c r="K32" s="5">
        <f>'Swimming Pool quality check '!H32</f>
        <v>6405</v>
      </c>
      <c r="L32" s="280">
        <f t="shared" si="33"/>
        <v>0</v>
      </c>
      <c r="M32" s="421">
        <f t="shared" si="14"/>
        <v>457.44</v>
      </c>
      <c r="N32" s="531">
        <f t="shared" si="36"/>
        <v>0</v>
      </c>
      <c r="O32" s="421">
        <f t="shared" si="15"/>
        <v>529.52</v>
      </c>
      <c r="P32" s="531">
        <f t="shared" si="37"/>
        <v>0</v>
      </c>
      <c r="Q32" s="531">
        <f t="shared" si="38"/>
        <v>0</v>
      </c>
      <c r="R32" s="533"/>
      <c r="S32" s="533"/>
      <c r="T32" s="5">
        <f t="shared" si="16"/>
        <v>4925</v>
      </c>
      <c r="U32" s="5">
        <f t="shared" si="4"/>
        <v>0</v>
      </c>
      <c r="V32" s="5">
        <f t="shared" si="16"/>
        <v>413</v>
      </c>
      <c r="W32" s="332">
        <f t="shared" si="17"/>
        <v>0</v>
      </c>
      <c r="X32" s="5">
        <f t="shared" si="16"/>
        <v>145204</v>
      </c>
      <c r="Y32" s="332">
        <f t="shared" si="18"/>
        <v>0</v>
      </c>
      <c r="Z32" s="5">
        <f t="shared" si="16"/>
        <v>95637</v>
      </c>
      <c r="AA32" s="83">
        <f t="shared" si="19"/>
        <v>0</v>
      </c>
      <c r="AB32" s="5">
        <f t="shared" si="16"/>
        <v>259</v>
      </c>
      <c r="AC32" s="5">
        <f t="shared" si="16"/>
        <v>670</v>
      </c>
      <c r="AD32" s="83">
        <f t="shared" si="32"/>
        <v>0</v>
      </c>
      <c r="AE32" s="5">
        <f t="shared" si="16"/>
        <v>166.34</v>
      </c>
      <c r="AF32" s="83">
        <f t="shared" si="20"/>
        <v>0</v>
      </c>
      <c r="AG32" s="5">
        <f t="shared" si="16"/>
        <v>1753.68</v>
      </c>
      <c r="AH32" s="83">
        <f t="shared" si="21"/>
        <v>0</v>
      </c>
      <c r="AI32" s="83">
        <f t="shared" si="22"/>
        <v>0</v>
      </c>
      <c r="AJ32" s="334">
        <f t="shared" si="23"/>
        <v>0</v>
      </c>
      <c r="AK32" s="335">
        <v>0</v>
      </c>
      <c r="AL32" s="335">
        <f t="shared" si="24"/>
        <v>0</v>
      </c>
      <c r="AM32" s="335">
        <f>'General information '!D32</f>
        <v>0</v>
      </c>
      <c r="AN32" s="84">
        <f>'General information '!H32</f>
        <v>0</v>
      </c>
      <c r="AO32" s="84"/>
      <c r="AP32" s="84">
        <f>'General information '!J32</f>
        <v>0</v>
      </c>
      <c r="AR32" s="283">
        <f t="shared" si="25"/>
        <v>44039</v>
      </c>
      <c r="AS32" s="435">
        <f t="shared" si="47"/>
        <v>0.9</v>
      </c>
      <c r="AT32" s="204">
        <f t="shared" si="47"/>
        <v>127</v>
      </c>
      <c r="AU32" s="436">
        <f t="shared" si="34"/>
        <v>1.1000000000000001</v>
      </c>
      <c r="AV32" s="204">
        <f t="shared" si="34"/>
        <v>149</v>
      </c>
      <c r="AW32" s="5">
        <v>2.9</v>
      </c>
      <c r="AX32" s="204">
        <f t="shared" ref="AX32" si="58">AX31</f>
        <v>145</v>
      </c>
      <c r="AY32" s="439">
        <f t="shared" si="7"/>
        <v>114.3</v>
      </c>
      <c r="AZ32" s="439">
        <f t="shared" si="26"/>
        <v>163.9</v>
      </c>
      <c r="BA32" s="439">
        <f t="shared" si="27"/>
        <v>420.5</v>
      </c>
      <c r="BB32" s="21">
        <f t="shared" si="28"/>
        <v>0</v>
      </c>
      <c r="BC32" s="21">
        <f t="shared" si="28"/>
        <v>0</v>
      </c>
      <c r="BD32" s="21">
        <f t="shared" si="28"/>
        <v>0</v>
      </c>
      <c r="BE32" s="24">
        <f t="shared" si="30"/>
        <v>0</v>
      </c>
      <c r="BF32" s="96">
        <f t="shared" si="8"/>
        <v>0</v>
      </c>
      <c r="BG32" s="82">
        <f t="shared" si="9"/>
        <v>0</v>
      </c>
    </row>
    <row r="33" spans="1:59" ht="15.75" thickBot="1">
      <c r="A33" s="6">
        <f>ELEC!C30</f>
        <v>44040</v>
      </c>
      <c r="B33" s="5">
        <f t="shared" si="10"/>
        <v>108535</v>
      </c>
      <c r="C33" s="5">
        <f t="shared" si="11"/>
        <v>0</v>
      </c>
      <c r="D33" s="430">
        <f t="shared" si="12"/>
        <v>0</v>
      </c>
      <c r="E33" s="341">
        <f>SUM((C33*$E$4)+(7500/'EDl log'!$A$39))</f>
        <v>241.93548387096774</v>
      </c>
      <c r="F33" s="335"/>
      <c r="G33" s="5">
        <f t="shared" si="31"/>
        <v>602675</v>
      </c>
      <c r="H33" s="5">
        <f t="shared" si="13"/>
        <v>0</v>
      </c>
      <c r="I33" s="5">
        <f t="shared" si="0"/>
        <v>0</v>
      </c>
      <c r="J33" s="342">
        <f t="shared" si="1"/>
        <v>0</v>
      </c>
      <c r="K33" s="5">
        <f>'Swimming Pool quality check '!H33</f>
        <v>6405</v>
      </c>
      <c r="L33" s="280">
        <f t="shared" si="33"/>
        <v>0</v>
      </c>
      <c r="M33" s="421">
        <f t="shared" si="14"/>
        <v>457.44</v>
      </c>
      <c r="N33" s="531">
        <f t="shared" si="36"/>
        <v>0</v>
      </c>
      <c r="O33" s="421">
        <f t="shared" si="15"/>
        <v>529.52</v>
      </c>
      <c r="P33" s="531">
        <f t="shared" si="37"/>
        <v>0</v>
      </c>
      <c r="Q33" s="531">
        <f t="shared" si="38"/>
        <v>0</v>
      </c>
      <c r="R33" s="533"/>
      <c r="S33" s="533"/>
      <c r="T33" s="5">
        <f t="shared" si="16"/>
        <v>4925</v>
      </c>
      <c r="U33" s="5">
        <f t="shared" si="4"/>
        <v>0</v>
      </c>
      <c r="V33" s="5">
        <f t="shared" si="16"/>
        <v>413</v>
      </c>
      <c r="W33" s="332">
        <f t="shared" si="17"/>
        <v>0</v>
      </c>
      <c r="X33" s="5">
        <f t="shared" si="16"/>
        <v>145204</v>
      </c>
      <c r="Y33" s="332">
        <f t="shared" si="18"/>
        <v>0</v>
      </c>
      <c r="Z33" s="5">
        <f t="shared" si="16"/>
        <v>95637</v>
      </c>
      <c r="AA33" s="83">
        <f t="shared" si="19"/>
        <v>0</v>
      </c>
      <c r="AB33" s="5">
        <f t="shared" si="16"/>
        <v>259</v>
      </c>
      <c r="AC33" s="5">
        <f t="shared" si="16"/>
        <v>670</v>
      </c>
      <c r="AD33" s="83">
        <f t="shared" si="32"/>
        <v>0</v>
      </c>
      <c r="AE33" s="5">
        <f t="shared" si="16"/>
        <v>166.34</v>
      </c>
      <c r="AF33" s="83">
        <f>AE33-AE32</f>
        <v>0</v>
      </c>
      <c r="AG33" s="5">
        <f t="shared" si="16"/>
        <v>1753.68</v>
      </c>
      <c r="AH33" s="83">
        <f t="shared" si="21"/>
        <v>0</v>
      </c>
      <c r="AI33" s="83">
        <f t="shared" si="22"/>
        <v>0</v>
      </c>
      <c r="AJ33" s="334">
        <f t="shared" si="23"/>
        <v>0</v>
      </c>
      <c r="AK33" s="335">
        <f>SUM(Y33-L33)</f>
        <v>0</v>
      </c>
      <c r="AL33" s="335">
        <f t="shared" si="24"/>
        <v>0</v>
      </c>
      <c r="AM33" s="335">
        <f>'General information '!D33</f>
        <v>0</v>
      </c>
      <c r="AN33" s="84">
        <f>'General information '!H33</f>
        <v>0</v>
      </c>
      <c r="AO33" s="84"/>
      <c r="AP33" s="84">
        <f>'General information '!J33</f>
        <v>0</v>
      </c>
      <c r="AR33" s="283">
        <f t="shared" si="25"/>
        <v>44040</v>
      </c>
      <c r="AS33" s="435">
        <f t="shared" si="47"/>
        <v>0.9</v>
      </c>
      <c r="AT33" s="204">
        <f t="shared" si="47"/>
        <v>127</v>
      </c>
      <c r="AU33" s="436">
        <f t="shared" si="34"/>
        <v>1.1000000000000001</v>
      </c>
      <c r="AV33" s="204">
        <f t="shared" si="34"/>
        <v>149</v>
      </c>
      <c r="AW33" s="5">
        <v>2.9</v>
      </c>
      <c r="AX33" s="204">
        <f t="shared" ref="AX33" si="59">AX32</f>
        <v>145</v>
      </c>
      <c r="AY33" s="439">
        <f t="shared" si="7"/>
        <v>114.3</v>
      </c>
      <c r="AZ33" s="439">
        <f t="shared" si="26"/>
        <v>163.9</v>
      </c>
      <c r="BA33" s="439">
        <f t="shared" si="27"/>
        <v>420.5</v>
      </c>
      <c r="BB33" s="21">
        <f t="shared" si="28"/>
        <v>0</v>
      </c>
      <c r="BC33" s="21">
        <f t="shared" si="28"/>
        <v>0</v>
      </c>
      <c r="BD33" s="21">
        <f t="shared" si="28"/>
        <v>0</v>
      </c>
      <c r="BE33" s="24">
        <f t="shared" si="30"/>
        <v>0</v>
      </c>
      <c r="BF33" s="96">
        <f t="shared" si="8"/>
        <v>0</v>
      </c>
      <c r="BG33" s="82">
        <f t="shared" si="9"/>
        <v>0</v>
      </c>
    </row>
    <row r="34" spans="1:59" ht="15.75" thickBot="1">
      <c r="A34" s="6">
        <f>ELEC!C31</f>
        <v>44041</v>
      </c>
      <c r="B34" s="5">
        <f t="shared" si="10"/>
        <v>108535</v>
      </c>
      <c r="C34" s="5">
        <f t="shared" si="11"/>
        <v>0</v>
      </c>
      <c r="D34" s="430">
        <f t="shared" si="12"/>
        <v>0</v>
      </c>
      <c r="E34" s="341">
        <f>SUM((C34*$E$4)+(7500/'EDl log'!$A$39))</f>
        <v>241.93548387096774</v>
      </c>
      <c r="F34" s="335"/>
      <c r="G34" s="5">
        <f t="shared" si="31"/>
        <v>602675</v>
      </c>
      <c r="H34" s="5">
        <f t="shared" si="13"/>
        <v>0</v>
      </c>
      <c r="I34" s="5">
        <f t="shared" si="0"/>
        <v>0</v>
      </c>
      <c r="J34" s="342">
        <f t="shared" si="1"/>
        <v>0</v>
      </c>
      <c r="K34" s="5">
        <f>'Swimming Pool quality check '!H34</f>
        <v>6405</v>
      </c>
      <c r="L34" s="280">
        <f t="shared" si="33"/>
        <v>0</v>
      </c>
      <c r="M34" s="421">
        <f t="shared" si="14"/>
        <v>457.44</v>
      </c>
      <c r="N34" s="531">
        <f t="shared" si="36"/>
        <v>0</v>
      </c>
      <c r="O34" s="421">
        <f t="shared" si="15"/>
        <v>529.52</v>
      </c>
      <c r="P34" s="531">
        <f t="shared" si="37"/>
        <v>0</v>
      </c>
      <c r="Q34" s="531">
        <f t="shared" si="38"/>
        <v>0</v>
      </c>
      <c r="R34" s="533"/>
      <c r="S34" s="533"/>
      <c r="T34" s="5">
        <f t="shared" si="16"/>
        <v>4925</v>
      </c>
      <c r="U34" s="5">
        <f t="shared" si="4"/>
        <v>0</v>
      </c>
      <c r="V34" s="5">
        <f t="shared" si="16"/>
        <v>413</v>
      </c>
      <c r="W34" s="332">
        <f t="shared" si="17"/>
        <v>0</v>
      </c>
      <c r="X34" s="5">
        <f t="shared" si="16"/>
        <v>145204</v>
      </c>
      <c r="Y34" s="332">
        <f t="shared" si="18"/>
        <v>0</v>
      </c>
      <c r="Z34" s="5">
        <f t="shared" si="16"/>
        <v>95637</v>
      </c>
      <c r="AA34" s="83">
        <f t="shared" si="19"/>
        <v>0</v>
      </c>
      <c r="AB34" s="5">
        <f t="shared" si="16"/>
        <v>259</v>
      </c>
      <c r="AC34" s="5">
        <f t="shared" si="16"/>
        <v>670</v>
      </c>
      <c r="AD34" s="83">
        <f t="shared" si="32"/>
        <v>0</v>
      </c>
      <c r="AE34" s="5">
        <f t="shared" si="16"/>
        <v>166.34</v>
      </c>
      <c r="AF34" s="83">
        <f t="shared" si="20"/>
        <v>0</v>
      </c>
      <c r="AG34" s="5">
        <f t="shared" si="16"/>
        <v>1753.68</v>
      </c>
      <c r="AH34" s="83">
        <f t="shared" si="21"/>
        <v>0</v>
      </c>
      <c r="AI34" s="83">
        <f t="shared" si="22"/>
        <v>0</v>
      </c>
      <c r="AJ34" s="334">
        <f t="shared" si="23"/>
        <v>0</v>
      </c>
      <c r="AK34" s="335">
        <f t="shared" si="5"/>
        <v>0</v>
      </c>
      <c r="AL34" s="335">
        <f t="shared" si="24"/>
        <v>0</v>
      </c>
      <c r="AM34" s="335">
        <f>'General information '!D34</f>
        <v>0</v>
      </c>
      <c r="AN34" s="84">
        <f>'General information '!H34</f>
        <v>0</v>
      </c>
      <c r="AO34" s="84"/>
      <c r="AP34" s="84">
        <f>'General information '!J34</f>
        <v>0</v>
      </c>
      <c r="AR34" s="283">
        <f t="shared" si="25"/>
        <v>44041</v>
      </c>
      <c r="AS34" s="435">
        <f t="shared" si="47"/>
        <v>0.9</v>
      </c>
      <c r="AT34" s="204">
        <f t="shared" si="47"/>
        <v>127</v>
      </c>
      <c r="AU34" s="437">
        <f t="shared" si="34"/>
        <v>1.1000000000000001</v>
      </c>
      <c r="AV34" s="204">
        <f t="shared" si="34"/>
        <v>149</v>
      </c>
      <c r="AW34" s="5">
        <v>2.9</v>
      </c>
      <c r="AX34" s="204">
        <f t="shared" ref="AX34" si="60">AX33</f>
        <v>145</v>
      </c>
      <c r="AY34" s="439">
        <f t="shared" si="7"/>
        <v>114.3</v>
      </c>
      <c r="AZ34" s="439">
        <f t="shared" si="26"/>
        <v>163.9</v>
      </c>
      <c r="BA34" s="439">
        <f t="shared" si="27"/>
        <v>420.5</v>
      </c>
      <c r="BB34" s="21">
        <f t="shared" si="28"/>
        <v>0</v>
      </c>
      <c r="BC34" s="21">
        <f t="shared" si="28"/>
        <v>0</v>
      </c>
      <c r="BD34" s="21">
        <f t="shared" si="28"/>
        <v>0</v>
      </c>
      <c r="BE34" s="24">
        <f t="shared" si="30"/>
        <v>0</v>
      </c>
      <c r="BF34" s="96">
        <f t="shared" si="8"/>
        <v>0</v>
      </c>
      <c r="BG34" s="82">
        <f t="shared" si="9"/>
        <v>0</v>
      </c>
    </row>
    <row r="35" spans="1:59" ht="15.75" thickBot="1">
      <c r="A35" s="6">
        <f>ELEC!C32</f>
        <v>44042</v>
      </c>
      <c r="B35" s="5">
        <f t="shared" si="10"/>
        <v>108535</v>
      </c>
      <c r="C35" s="5">
        <f t="shared" si="11"/>
        <v>0</v>
      </c>
      <c r="D35" s="430">
        <f t="shared" si="12"/>
        <v>0</v>
      </c>
      <c r="E35" s="341">
        <f>SUM((C35*$E$4)+(7500/'EDl log'!$A$39))</f>
        <v>241.93548387096774</v>
      </c>
      <c r="F35" s="335"/>
      <c r="G35" s="5">
        <f t="shared" si="31"/>
        <v>602675</v>
      </c>
      <c r="H35" s="5">
        <f t="shared" si="13"/>
        <v>0</v>
      </c>
      <c r="I35" s="5">
        <f t="shared" si="0"/>
        <v>0</v>
      </c>
      <c r="J35" s="342">
        <f t="shared" si="1"/>
        <v>0</v>
      </c>
      <c r="K35" s="5">
        <f>'Swimming Pool quality check '!H35</f>
        <v>6405</v>
      </c>
      <c r="L35" s="83">
        <f t="shared" si="33"/>
        <v>0</v>
      </c>
      <c r="M35" s="421">
        <f t="shared" si="14"/>
        <v>457.44</v>
      </c>
      <c r="N35" s="531">
        <f t="shared" si="36"/>
        <v>0</v>
      </c>
      <c r="O35" s="421">
        <f t="shared" si="15"/>
        <v>529.52</v>
      </c>
      <c r="P35" s="531">
        <f t="shared" si="37"/>
        <v>0</v>
      </c>
      <c r="Q35" s="531">
        <f t="shared" si="38"/>
        <v>0</v>
      </c>
      <c r="R35" s="531"/>
      <c r="S35" s="531"/>
      <c r="T35" s="5">
        <f t="shared" si="16"/>
        <v>4925</v>
      </c>
      <c r="U35" s="5">
        <f t="shared" si="4"/>
        <v>0</v>
      </c>
      <c r="V35" s="5">
        <f t="shared" si="16"/>
        <v>413</v>
      </c>
      <c r="W35" s="332">
        <f t="shared" si="17"/>
        <v>0</v>
      </c>
      <c r="X35" s="5">
        <f t="shared" si="16"/>
        <v>145204</v>
      </c>
      <c r="Y35" s="332">
        <f t="shared" si="18"/>
        <v>0</v>
      </c>
      <c r="Z35" s="5">
        <f t="shared" si="16"/>
        <v>95637</v>
      </c>
      <c r="AA35" s="83">
        <f t="shared" si="19"/>
        <v>0</v>
      </c>
      <c r="AB35" s="5">
        <f t="shared" si="16"/>
        <v>259</v>
      </c>
      <c r="AC35" s="5">
        <f t="shared" si="16"/>
        <v>670</v>
      </c>
      <c r="AD35" s="83">
        <f t="shared" si="32"/>
        <v>0</v>
      </c>
      <c r="AE35" s="5">
        <f t="shared" si="16"/>
        <v>166.34</v>
      </c>
      <c r="AF35" s="83">
        <f t="shared" si="20"/>
        <v>0</v>
      </c>
      <c r="AG35" s="5">
        <f t="shared" si="16"/>
        <v>1753.68</v>
      </c>
      <c r="AH35" s="83">
        <f t="shared" si="21"/>
        <v>0</v>
      </c>
      <c r="AI35" s="83">
        <f t="shared" si="22"/>
        <v>0</v>
      </c>
      <c r="AJ35" s="334">
        <f t="shared" si="23"/>
        <v>0</v>
      </c>
      <c r="AK35" s="335">
        <f t="shared" si="5"/>
        <v>0</v>
      </c>
      <c r="AL35" s="335">
        <f t="shared" si="24"/>
        <v>0</v>
      </c>
      <c r="AM35" s="335">
        <f>'General information '!D35</f>
        <v>0</v>
      </c>
      <c r="AN35" s="84">
        <f>'General information '!H35</f>
        <v>0</v>
      </c>
      <c r="AO35" s="84"/>
      <c r="AP35" s="84">
        <f>'General information '!J35</f>
        <v>0</v>
      </c>
      <c r="AR35" s="283">
        <f t="shared" si="25"/>
        <v>44042</v>
      </c>
      <c r="AS35" s="435">
        <f t="shared" si="47"/>
        <v>0.9</v>
      </c>
      <c r="AT35" s="204">
        <f t="shared" si="47"/>
        <v>127</v>
      </c>
      <c r="AU35" s="438">
        <f t="shared" si="34"/>
        <v>1.1000000000000001</v>
      </c>
      <c r="AV35" s="204">
        <f t="shared" si="34"/>
        <v>149</v>
      </c>
      <c r="AW35" s="5">
        <v>2.9</v>
      </c>
      <c r="AX35" s="204">
        <f t="shared" ref="AX35" si="61">AX34</f>
        <v>145</v>
      </c>
      <c r="AY35" s="439">
        <f t="shared" si="7"/>
        <v>114.3</v>
      </c>
      <c r="AZ35" s="439">
        <f t="shared" si="26"/>
        <v>163.9</v>
      </c>
      <c r="BA35" s="439">
        <f t="shared" si="27"/>
        <v>420.5</v>
      </c>
      <c r="BB35" s="21">
        <f t="shared" si="28"/>
        <v>0</v>
      </c>
      <c r="BC35" s="230">
        <f t="shared" si="28"/>
        <v>0</v>
      </c>
      <c r="BD35" s="230">
        <f t="shared" si="28"/>
        <v>0</v>
      </c>
      <c r="BE35" s="24">
        <f t="shared" si="30"/>
        <v>0</v>
      </c>
      <c r="BF35" s="96">
        <f t="shared" si="8"/>
        <v>0</v>
      </c>
      <c r="BG35" s="82">
        <f t="shared" si="9"/>
        <v>0</v>
      </c>
    </row>
    <row r="36" spans="1:59" ht="15.75" thickBot="1">
      <c r="A36" s="6">
        <f>ELEC!C33</f>
        <v>44043</v>
      </c>
      <c r="B36" s="5">
        <f t="shared" si="10"/>
        <v>108535</v>
      </c>
      <c r="C36" s="5">
        <f t="shared" ref="C36" si="62">B36-B35</f>
        <v>0</v>
      </c>
      <c r="D36" s="430">
        <f t="shared" ref="D36" si="63">C36/27</f>
        <v>0</v>
      </c>
      <c r="E36" s="341">
        <f>SUM((C36*$E$4)+(7500/'EDl log'!$A$39))</f>
        <v>241.93548387096774</v>
      </c>
      <c r="F36" s="335"/>
      <c r="G36" s="5">
        <f t="shared" si="31"/>
        <v>602675</v>
      </c>
      <c r="H36" s="5">
        <f t="shared" ref="H36" si="64">G36-G35</f>
        <v>0</v>
      </c>
      <c r="I36" s="5">
        <f t="shared" ref="I36" si="65">C36+H36</f>
        <v>0</v>
      </c>
      <c r="J36" s="342">
        <f t="shared" ref="J36" si="66">IF(I36&gt;0,E36/I36,0)</f>
        <v>0</v>
      </c>
      <c r="K36" s="5">
        <f>'Swimming Pool quality check '!H37</f>
        <v>0</v>
      </c>
      <c r="L36" s="83">
        <f t="shared" ref="L36" si="67">K36-K35</f>
        <v>-6405</v>
      </c>
      <c r="M36" s="421">
        <f t="shared" si="14"/>
        <v>457.44</v>
      </c>
      <c r="N36" s="531">
        <f t="shared" ref="N36" si="68">SUM(M36-M35)</f>
        <v>0</v>
      </c>
      <c r="O36" s="421">
        <f t="shared" si="15"/>
        <v>529.52</v>
      </c>
      <c r="P36" s="531">
        <f t="shared" ref="P36" si="69">SUM(O36-O35)</f>
        <v>0</v>
      </c>
      <c r="Q36" s="531">
        <f t="shared" ref="Q36" si="70">SUM(P36+N36)</f>
        <v>0</v>
      </c>
      <c r="R36" s="531"/>
      <c r="S36" s="531"/>
      <c r="T36" s="5">
        <f t="shared" si="16"/>
        <v>4925</v>
      </c>
      <c r="U36" s="5">
        <f t="shared" ref="U36" si="71">SUM(T36-T35)</f>
        <v>0</v>
      </c>
      <c r="V36" s="5">
        <f t="shared" si="16"/>
        <v>413</v>
      </c>
      <c r="W36" s="332">
        <f t="shared" ref="W36" si="72">+V36-V35</f>
        <v>0</v>
      </c>
      <c r="X36" s="5">
        <f t="shared" si="16"/>
        <v>145204</v>
      </c>
      <c r="Y36" s="332">
        <f t="shared" ref="Y36" si="73">SUM(X36-X35)</f>
        <v>0</v>
      </c>
      <c r="Z36" s="5">
        <f t="shared" si="16"/>
        <v>95637</v>
      </c>
      <c r="AA36" s="83">
        <f t="shared" ref="AA36" si="74">Z36-Z35</f>
        <v>0</v>
      </c>
      <c r="AB36" s="5">
        <f t="shared" si="16"/>
        <v>259</v>
      </c>
      <c r="AC36" s="5">
        <f t="shared" si="16"/>
        <v>670</v>
      </c>
      <c r="AD36" s="83">
        <f t="shared" ref="AD36" si="75">AC36-AC35</f>
        <v>0</v>
      </c>
      <c r="AE36" s="5">
        <f t="shared" si="16"/>
        <v>166.34</v>
      </c>
      <c r="AF36" s="83">
        <f t="shared" ref="AF36" si="76">AE36-AE35</f>
        <v>0</v>
      </c>
      <c r="AG36" s="5">
        <f t="shared" si="16"/>
        <v>1753.68</v>
      </c>
      <c r="AH36" s="83">
        <f t="shared" ref="AH36" si="77">AG36-AG35</f>
        <v>0</v>
      </c>
      <c r="AI36" s="83">
        <f t="shared" ref="AI36" si="78">AF36+AH36</f>
        <v>0</v>
      </c>
      <c r="AJ36" s="334">
        <f t="shared" ref="AJ36" si="79">+Z36-Z35</f>
        <v>0</v>
      </c>
      <c r="AK36" s="335">
        <f t="shared" ref="AK36" si="80">SUM(Y36-L36)</f>
        <v>6405</v>
      </c>
      <c r="AL36" s="335">
        <f t="shared" ref="AL36" si="81">SUM(AJ36-W36)</f>
        <v>0</v>
      </c>
      <c r="AM36" s="335">
        <f>'General information '!D37</f>
        <v>0</v>
      </c>
      <c r="AN36" s="84">
        <f>'General information '!H37</f>
        <v>0</v>
      </c>
      <c r="AO36" s="84"/>
      <c r="AP36" s="84">
        <f>'General information '!J37</f>
        <v>0</v>
      </c>
      <c r="AR36" s="283">
        <f t="shared" ref="AR36" si="82">A36</f>
        <v>44043</v>
      </c>
      <c r="AS36" s="435">
        <f t="shared" si="47"/>
        <v>0.9</v>
      </c>
      <c r="AT36" s="204">
        <f t="shared" si="47"/>
        <v>127</v>
      </c>
      <c r="AU36" s="438">
        <f t="shared" si="34"/>
        <v>1.1000000000000001</v>
      </c>
      <c r="AV36" s="204">
        <f t="shared" si="34"/>
        <v>149</v>
      </c>
      <c r="AW36" s="5">
        <v>2.9</v>
      </c>
      <c r="AX36" s="204">
        <f t="shared" ref="AX36" si="83">AX35</f>
        <v>145</v>
      </c>
      <c r="AY36" s="439">
        <f t="shared" ref="AY36" si="84">AS36*AT36</f>
        <v>114.3</v>
      </c>
      <c r="AZ36" s="439">
        <f t="shared" ref="AZ36" si="85">AU36*AV36</f>
        <v>163.9</v>
      </c>
      <c r="BA36" s="439">
        <f t="shared" ref="BA36" si="86">AW36*AX36</f>
        <v>420.5</v>
      </c>
      <c r="BB36" s="21">
        <f t="shared" ref="BB36" si="87">AY36-AY35</f>
        <v>0</v>
      </c>
      <c r="BC36" s="230">
        <f t="shared" ref="BC36" si="88">AZ36-AZ35</f>
        <v>0</v>
      </c>
      <c r="BD36" s="230">
        <f t="shared" ref="BD36" si="89">BA36-BA35</f>
        <v>0</v>
      </c>
      <c r="BE36" s="24">
        <f t="shared" ref="BE36" si="90">SUM(BB36:BD36)</f>
        <v>0</v>
      </c>
      <c r="BF36" s="96">
        <f t="shared" ref="BF36" si="91">SUM(I36-BE36)</f>
        <v>0</v>
      </c>
      <c r="BG36" s="82">
        <f t="shared" ref="BG36" si="92">SUM(I36-BF36)</f>
        <v>0</v>
      </c>
    </row>
    <row r="37" spans="1:59">
      <c r="C37" s="423">
        <f>SUM(C6:C35)</f>
        <v>0</v>
      </c>
      <c r="D37" s="330">
        <f>SUM(D6:D35)</f>
        <v>0</v>
      </c>
      <c r="F37" s="425">
        <f>SUM(F6:F35)</f>
        <v>0</v>
      </c>
      <c r="H37" s="423">
        <f>SUM(H6:H35)</f>
        <v>1429</v>
      </c>
      <c r="I37" s="423">
        <f>SUM(I6:I35)</f>
        <v>1429</v>
      </c>
      <c r="L37" s="274">
        <f>SUM(L7:L35)</f>
        <v>39</v>
      </c>
      <c r="Q37" s="510">
        <f>SUM(Q5:Q35)</f>
        <v>0</v>
      </c>
      <c r="U37" s="420">
        <f>SUM(U6:U35)</f>
        <v>26</v>
      </c>
      <c r="X37" s="331"/>
      <c r="Y37" s="330" t="e">
        <f>SUM(Y35,Y33,Y31,Y29,Y27,Y25,Y23,Y21,Y19,Y17,Y15,Y13,Y11,Y9,Y7+#REF!)</f>
        <v>#REF!</v>
      </c>
      <c r="AJ37" s="330">
        <f>SUM(AJ6:AJ35)</f>
        <v>280</v>
      </c>
      <c r="AK37" s="335" t="e">
        <f t="shared" si="5"/>
        <v>#REF!</v>
      </c>
      <c r="AL37" s="330">
        <f>SUM(AL6:AL35)</f>
        <v>277</v>
      </c>
      <c r="AP37" s="17"/>
      <c r="AQ37" s="17"/>
      <c r="AR37" s="17"/>
      <c r="AS37" s="229"/>
      <c r="AT37" s="5"/>
      <c r="AU37" s="229"/>
      <c r="AV37" s="17"/>
      <c r="AW37" s="231"/>
      <c r="AX37" s="231"/>
      <c r="AY37" s="231"/>
      <c r="AZ37" s="17"/>
      <c r="BA37" s="17"/>
      <c r="BB37" s="17"/>
      <c r="BC37" s="17"/>
      <c r="BD37" s="17"/>
    </row>
    <row r="38" spans="1:59">
      <c r="C38" s="1">
        <f>+C37*1.66</f>
        <v>0</v>
      </c>
      <c r="E38" s="340">
        <f>SUM(E6:E35)</f>
        <v>7258.0645161290331</v>
      </c>
      <c r="F38" s="428">
        <f>SUM(F6:F35)</f>
        <v>0</v>
      </c>
      <c r="H38" s="157">
        <v>7500</v>
      </c>
      <c r="I38" s="424">
        <f>SUM('General information '!G37/WATER!I37)</f>
        <v>9.5878936319104269E-2</v>
      </c>
      <c r="L38" s="157"/>
      <c r="O38" s="507">
        <f>SUM(Q37+I37)</f>
        <v>1429</v>
      </c>
      <c r="Z38" s="330" t="e">
        <f>SUM(Y37:AJ37)</f>
        <v>#REF!</v>
      </c>
      <c r="AK38" s="335">
        <f t="shared" si="5"/>
        <v>0</v>
      </c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7"/>
      <c r="BB38" s="17"/>
      <c r="BC38" s="17"/>
      <c r="BD38" s="17"/>
    </row>
    <row r="39" spans="1:59">
      <c r="B39" s="271">
        <f>9*27</f>
        <v>243</v>
      </c>
      <c r="D39" s="425">
        <f>SUM(D21:D35)</f>
        <v>0</v>
      </c>
      <c r="F39" s="426">
        <f>SUM(F6:F35)</f>
        <v>0</v>
      </c>
      <c r="G39" s="1">
        <f>SUM(I37)</f>
        <v>1429</v>
      </c>
      <c r="H39" s="1">
        <f>SUM(H38+C38)</f>
        <v>7500</v>
      </c>
      <c r="K39" s="1">
        <f>SUM(H39/G39)</f>
        <v>5.2484254723582922</v>
      </c>
      <c r="AJ39" s="330">
        <f>SUM(C38-AK38)</f>
        <v>0</v>
      </c>
      <c r="AM39" s="356" t="e">
        <f>SUM(AJ39/AO38)</f>
        <v>#DIV/0!</v>
      </c>
    </row>
    <row r="41" spans="1:59">
      <c r="AP41" s="17"/>
      <c r="AQ41" s="17"/>
      <c r="AR41" s="17"/>
      <c r="AS41" s="17"/>
      <c r="AT41" s="17"/>
      <c r="AU41" s="17"/>
    </row>
    <row r="42" spans="1:59">
      <c r="AP42" s="17"/>
      <c r="AQ42" s="17"/>
      <c r="AR42" s="17"/>
      <c r="AS42" s="17"/>
      <c r="AT42" s="17"/>
      <c r="AU42" s="17"/>
    </row>
    <row r="43" spans="1:59" ht="15.75">
      <c r="AP43" s="17"/>
      <c r="AQ43" s="17"/>
      <c r="AR43" s="18"/>
      <c r="AS43" s="18"/>
      <c r="AT43" s="17"/>
      <c r="AU43" s="17"/>
    </row>
    <row r="44" spans="1:59">
      <c r="AP44" s="17"/>
      <c r="AQ44" s="17"/>
      <c r="AR44" s="19"/>
      <c r="AS44" s="19"/>
      <c r="AT44" s="17"/>
      <c r="AU44" s="17"/>
    </row>
    <row r="45" spans="1:59">
      <c r="AP45" s="17"/>
      <c r="AQ45" s="17"/>
      <c r="AR45" s="19"/>
      <c r="AS45" s="19"/>
      <c r="AT45" s="17"/>
      <c r="AU45" s="17"/>
    </row>
    <row r="46" spans="1:59">
      <c r="AP46" s="17"/>
      <c r="AQ46" s="17"/>
      <c r="AR46" s="19"/>
      <c r="AS46" s="19"/>
      <c r="AT46" s="17"/>
      <c r="AU46" s="17"/>
    </row>
    <row r="47" spans="1:59">
      <c r="AP47" s="17"/>
      <c r="AQ47" s="17"/>
      <c r="AR47" s="19"/>
      <c r="AS47" s="19"/>
      <c r="AT47" s="17"/>
      <c r="AU47" s="17"/>
    </row>
    <row r="48" spans="1:59">
      <c r="AP48" s="17"/>
      <c r="AQ48" s="17"/>
      <c r="AR48" s="19"/>
      <c r="AS48" s="19"/>
      <c r="AT48" s="17"/>
      <c r="AU48" s="17"/>
    </row>
    <row r="49" spans="42:47">
      <c r="AP49" s="17"/>
      <c r="AQ49" s="17"/>
      <c r="AR49" s="19"/>
      <c r="AS49" s="19"/>
      <c r="AT49" s="17"/>
      <c r="AU49" s="17"/>
    </row>
    <row r="50" spans="42:47">
      <c r="AP50" s="17"/>
      <c r="AQ50" s="17"/>
      <c r="AR50" s="19"/>
      <c r="AS50" s="19"/>
      <c r="AT50" s="17"/>
      <c r="AU50" s="17"/>
    </row>
    <row r="51" spans="42:47">
      <c r="AP51" s="17"/>
      <c r="AQ51" s="17"/>
      <c r="AR51" s="19"/>
      <c r="AS51" s="19"/>
      <c r="AT51" s="17"/>
      <c r="AU51" s="17"/>
    </row>
    <row r="52" spans="42:47">
      <c r="AP52" s="17"/>
      <c r="AQ52" s="17"/>
      <c r="AR52" s="19"/>
      <c r="AS52" s="19"/>
      <c r="AT52" s="17"/>
      <c r="AU52" s="17"/>
    </row>
    <row r="53" spans="42:47">
      <c r="AP53" s="17"/>
      <c r="AQ53" s="17"/>
      <c r="AR53" s="19"/>
      <c r="AS53" s="19"/>
      <c r="AT53" s="17"/>
      <c r="AU53" s="17"/>
    </row>
    <row r="54" spans="42:47">
      <c r="AP54" s="17"/>
      <c r="AQ54" s="17"/>
      <c r="AR54" s="19"/>
      <c r="AS54" s="19"/>
      <c r="AT54" s="17"/>
      <c r="AU54" s="17"/>
    </row>
    <row r="55" spans="42:47">
      <c r="AP55" s="17"/>
      <c r="AQ55" s="17"/>
      <c r="AR55" s="19"/>
      <c r="AS55" s="19"/>
      <c r="AT55" s="17"/>
      <c r="AU55" s="17"/>
    </row>
    <row r="56" spans="42:47">
      <c r="AP56" s="17"/>
      <c r="AQ56" s="17"/>
      <c r="AR56" s="19"/>
      <c r="AS56" s="19"/>
      <c r="AT56" s="17"/>
      <c r="AU56" s="17"/>
    </row>
    <row r="57" spans="42:47">
      <c r="AP57" s="17"/>
      <c r="AQ57" s="17"/>
      <c r="AR57" s="19"/>
      <c r="AS57" s="19"/>
      <c r="AT57" s="17"/>
      <c r="AU57" s="17"/>
    </row>
    <row r="58" spans="42:47">
      <c r="AP58" s="17"/>
      <c r="AQ58" s="17"/>
      <c r="AR58" s="19"/>
      <c r="AS58" s="19"/>
      <c r="AT58" s="17"/>
      <c r="AU58" s="17"/>
    </row>
    <row r="59" spans="42:47">
      <c r="AP59" s="17"/>
      <c r="AQ59" s="17"/>
      <c r="AR59" s="19"/>
      <c r="AS59" s="19"/>
      <c r="AT59" s="17"/>
      <c r="AU59" s="17"/>
    </row>
    <row r="60" spans="42:47">
      <c r="AP60" s="17"/>
      <c r="AQ60" s="17"/>
      <c r="AR60" s="19"/>
      <c r="AS60" s="19"/>
      <c r="AT60" s="17"/>
      <c r="AU60" s="17"/>
    </row>
    <row r="61" spans="42:47">
      <c r="AP61" s="17"/>
      <c r="AQ61" s="17"/>
      <c r="AR61" s="19"/>
      <c r="AS61" s="19"/>
      <c r="AT61" s="17"/>
      <c r="AU61" s="17"/>
    </row>
    <row r="62" spans="42:47">
      <c r="AP62" s="17"/>
      <c r="AQ62" s="17"/>
      <c r="AR62" s="19"/>
      <c r="AS62" s="19"/>
      <c r="AT62" s="17"/>
      <c r="AU62" s="17"/>
    </row>
    <row r="63" spans="42:47">
      <c r="AP63" s="17"/>
      <c r="AQ63" s="17"/>
      <c r="AR63" s="19"/>
      <c r="AS63" s="19"/>
      <c r="AT63" s="17"/>
      <c r="AU63" s="17"/>
    </row>
    <row r="64" spans="42:47">
      <c r="AP64" s="17"/>
      <c r="AQ64" s="17"/>
      <c r="AR64" s="19"/>
      <c r="AS64" s="19"/>
      <c r="AT64" s="17"/>
      <c r="AU64" s="17"/>
    </row>
    <row r="65" spans="42:47">
      <c r="AP65" s="17"/>
      <c r="AQ65" s="17"/>
      <c r="AR65" s="19"/>
      <c r="AS65" s="19"/>
      <c r="AT65" s="17"/>
      <c r="AU65" s="17"/>
    </row>
    <row r="66" spans="42:47">
      <c r="AP66" s="17"/>
      <c r="AQ66" s="17"/>
      <c r="AR66" s="19"/>
      <c r="AS66" s="19"/>
      <c r="AT66" s="17"/>
      <c r="AU66" s="17"/>
    </row>
    <row r="67" spans="42:47">
      <c r="AP67" s="17"/>
      <c r="AQ67" s="17"/>
      <c r="AR67" s="19"/>
      <c r="AS67" s="19"/>
      <c r="AT67" s="17"/>
      <c r="AU67" s="17"/>
    </row>
    <row r="68" spans="42:47">
      <c r="AP68" s="17"/>
      <c r="AQ68" s="17"/>
      <c r="AR68" s="19"/>
      <c r="AS68" s="19"/>
      <c r="AT68" s="17"/>
      <c r="AU68" s="17"/>
    </row>
    <row r="69" spans="42:47">
      <c r="AP69" s="17"/>
      <c r="AQ69" s="17"/>
      <c r="AR69" s="19"/>
      <c r="AS69" s="19"/>
      <c r="AT69" s="17"/>
      <c r="AU69" s="17"/>
    </row>
    <row r="70" spans="42:47">
      <c r="AP70" s="17"/>
      <c r="AQ70" s="17"/>
      <c r="AR70" s="19"/>
      <c r="AS70" s="19"/>
      <c r="AT70" s="17"/>
      <c r="AU70" s="17"/>
    </row>
    <row r="71" spans="42:47">
      <c r="AP71" s="17"/>
      <c r="AQ71" s="17"/>
      <c r="AR71" s="19"/>
      <c r="AS71" s="19"/>
      <c r="AT71" s="17"/>
      <c r="AU71" s="17"/>
    </row>
    <row r="72" spans="42:47">
      <c r="AP72" s="17"/>
      <c r="AQ72" s="17"/>
      <c r="AR72" s="19"/>
      <c r="AS72" s="19"/>
      <c r="AT72" s="17"/>
      <c r="AU72" s="17"/>
    </row>
    <row r="73" spans="42:47">
      <c r="AP73" s="17"/>
      <c r="AQ73" s="17"/>
      <c r="AR73" s="19"/>
      <c r="AS73" s="19"/>
      <c r="AT73" s="17"/>
      <c r="AU73" s="17"/>
    </row>
    <row r="74" spans="42:47">
      <c r="AP74" s="17"/>
      <c r="AQ74" s="17"/>
      <c r="AR74" s="19"/>
      <c r="AS74" s="19"/>
      <c r="AT74" s="17"/>
      <c r="AU74" s="17"/>
    </row>
    <row r="75" spans="42:47">
      <c r="AP75" s="17"/>
      <c r="AQ75" s="17"/>
      <c r="AR75" s="17"/>
      <c r="AS75" s="17"/>
      <c r="AT75" s="17"/>
      <c r="AU75" s="17"/>
    </row>
  </sheetData>
  <mergeCells count="4">
    <mergeCell ref="AN3:AP3"/>
    <mergeCell ref="AR2:AV2"/>
    <mergeCell ref="AW2:AY2"/>
    <mergeCell ref="AZ2:BB2"/>
  </mergeCells>
  <pageMargins left="0.7" right="0.7" top="0.75" bottom="0.75" header="0.3" footer="0.3"/>
  <pageSetup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topLeftCell="A28" zoomScale="70" zoomScaleNormal="70" workbookViewId="0">
      <selection activeCell="J49" sqref="J49"/>
    </sheetView>
  </sheetViews>
  <sheetFormatPr defaultRowHeight="15"/>
  <sheetData/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O41"/>
  <sheetViews>
    <sheetView zoomScaleNormal="100" workbookViewId="0">
      <pane ySplit="4" topLeftCell="A8" activePane="bottomLeft" state="frozen"/>
      <selection pane="bottomLeft" activeCell="J22" sqref="J22"/>
    </sheetView>
  </sheetViews>
  <sheetFormatPr defaultRowHeight="15"/>
  <cols>
    <col min="1" max="1" width="11.85546875" style="498" customWidth="1"/>
    <col min="2" max="3" width="7.85546875" bestFit="1" customWidth="1"/>
    <col min="4" max="4" width="10.28515625" bestFit="1" customWidth="1"/>
    <col min="5" max="5" width="13.7109375" bestFit="1" customWidth="1"/>
    <col min="6" max="6" width="11.140625" bestFit="1" customWidth="1"/>
    <col min="7" max="7" width="15.42578125" customWidth="1"/>
    <col min="8" max="8" width="7.42578125" bestFit="1" customWidth="1"/>
    <col min="9" max="9" width="11.42578125" bestFit="1" customWidth="1"/>
    <col min="10" max="10" width="10.7109375" bestFit="1" customWidth="1"/>
    <col min="11" max="11" width="11.5703125" bestFit="1" customWidth="1"/>
    <col min="12" max="12" width="14.42578125" bestFit="1" customWidth="1"/>
    <col min="13" max="13" width="9" bestFit="1" customWidth="1"/>
    <col min="14" max="14" width="13.5703125" bestFit="1" customWidth="1"/>
    <col min="15" max="15" width="19" bestFit="1" customWidth="1"/>
  </cols>
  <sheetData>
    <row r="1" spans="1:15" ht="15" customHeight="1">
      <c r="A1" s="632" t="s">
        <v>193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633"/>
      <c r="O1" s="634"/>
    </row>
    <row r="2" spans="1:15" ht="15.75" customHeight="1" thickBot="1">
      <c r="A2" s="635"/>
      <c r="B2" s="636"/>
      <c r="C2" s="636"/>
      <c r="D2" s="636"/>
      <c r="E2" s="636"/>
      <c r="F2" s="636"/>
      <c r="G2" s="636"/>
      <c r="H2" s="636"/>
      <c r="I2" s="636"/>
      <c r="J2" s="636"/>
      <c r="K2" s="636"/>
      <c r="L2" s="636"/>
      <c r="M2" s="636"/>
      <c r="N2" s="636"/>
      <c r="O2" s="637"/>
    </row>
    <row r="3" spans="1:15" ht="9" customHeight="1" thickBot="1">
      <c r="A3" s="495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</row>
    <row r="4" spans="1:15" ht="16.5" thickTop="1" thickBot="1">
      <c r="A4" s="496"/>
      <c r="B4" s="149" t="s">
        <v>390</v>
      </c>
      <c r="C4" s="150" t="s">
        <v>158</v>
      </c>
      <c r="D4" s="147" t="s">
        <v>160</v>
      </c>
      <c r="E4" s="151" t="s">
        <v>159</v>
      </c>
      <c r="F4" s="518" t="s">
        <v>184</v>
      </c>
      <c r="G4" s="148" t="s">
        <v>185</v>
      </c>
      <c r="H4" s="152" t="s">
        <v>186</v>
      </c>
      <c r="I4" s="149" t="s">
        <v>187</v>
      </c>
      <c r="J4" s="150" t="s">
        <v>188</v>
      </c>
      <c r="K4" s="148" t="s">
        <v>189</v>
      </c>
      <c r="L4" s="152" t="s">
        <v>190</v>
      </c>
      <c r="M4" s="150" t="s">
        <v>191</v>
      </c>
      <c r="N4" s="154" t="s">
        <v>192</v>
      </c>
      <c r="O4" s="156" t="s">
        <v>194</v>
      </c>
    </row>
    <row r="5" spans="1:15" ht="15.75" thickTop="1">
      <c r="A5" s="497">
        <f>ELEC!C2</f>
        <v>44012</v>
      </c>
      <c r="B5" s="366">
        <f>'[1]General information '!B35</f>
        <v>30</v>
      </c>
      <c r="C5" s="366">
        <f>'[1]General information '!C35</f>
        <v>22</v>
      </c>
      <c r="D5" s="366">
        <f>'[1]General information '!D35</f>
        <v>26</v>
      </c>
      <c r="E5" s="366">
        <f>'[1]General information '!E35</f>
        <v>0.75</v>
      </c>
      <c r="F5" s="366">
        <f>'[1]General information '!F35</f>
        <v>4.7800000000000002E-2</v>
      </c>
      <c r="G5" s="366">
        <f>'[1]General information '!G35</f>
        <v>10.994</v>
      </c>
      <c r="H5" s="366">
        <f>'[1]General information '!H35</f>
        <v>0</v>
      </c>
      <c r="I5" s="366">
        <f>'[1]General information '!I35</f>
        <v>0</v>
      </c>
      <c r="J5" s="366">
        <f>'[1]General information '!J35</f>
        <v>203</v>
      </c>
      <c r="K5" s="366">
        <f>'[1]General information '!K35</f>
        <v>203</v>
      </c>
      <c r="L5" s="366">
        <f>'[1]General information '!L35</f>
        <v>0</v>
      </c>
      <c r="M5" s="366">
        <f>'[1]General information '!M35</f>
        <v>0</v>
      </c>
      <c r="N5" s="366">
        <f>'[1]General information '!N35</f>
        <v>0</v>
      </c>
      <c r="O5" s="366">
        <f>'[1]General information '!O35</f>
        <v>0</v>
      </c>
    </row>
    <row r="6" spans="1:15">
      <c r="A6" s="497">
        <f>ELEC!C3</f>
        <v>44013</v>
      </c>
      <c r="B6" s="37">
        <v>28</v>
      </c>
      <c r="C6" s="37">
        <v>24</v>
      </c>
      <c r="D6" s="26">
        <f t="shared" ref="D6:D12" si="0">(C6+B6)/2</f>
        <v>26</v>
      </c>
      <c r="E6" s="348">
        <v>0.7</v>
      </c>
      <c r="F6" s="353">
        <v>5.6500000000000002E-2</v>
      </c>
      <c r="G6" s="245">
        <f t="shared" ref="G6:G12" si="1">F6*230</f>
        <v>12.995000000000001</v>
      </c>
      <c r="H6" s="3"/>
      <c r="I6" s="3"/>
      <c r="J6" s="37">
        <v>196</v>
      </c>
      <c r="K6" s="269">
        <f t="shared" ref="K6:K26" si="2">+J6+H6</f>
        <v>196</v>
      </c>
      <c r="L6" s="3"/>
      <c r="M6" s="3"/>
      <c r="N6" s="155"/>
      <c r="O6" s="3"/>
    </row>
    <row r="7" spans="1:15">
      <c r="A7" s="497">
        <f>ELEC!C4</f>
        <v>44014</v>
      </c>
      <c r="B7" s="37">
        <v>29</v>
      </c>
      <c r="C7" s="37">
        <v>23</v>
      </c>
      <c r="D7" s="26">
        <f t="shared" si="0"/>
        <v>26</v>
      </c>
      <c r="E7" s="348">
        <v>0.62</v>
      </c>
      <c r="F7" s="353">
        <v>3.9E-2</v>
      </c>
      <c r="G7" s="245">
        <f t="shared" si="1"/>
        <v>8.9700000000000006</v>
      </c>
      <c r="H7" s="3"/>
      <c r="I7" s="3"/>
      <c r="J7" s="37">
        <v>262</v>
      </c>
      <c r="K7" s="269">
        <f t="shared" si="2"/>
        <v>262</v>
      </c>
      <c r="L7" s="3"/>
      <c r="M7" s="3"/>
      <c r="N7" s="155"/>
      <c r="O7" s="3"/>
    </row>
    <row r="8" spans="1:15">
      <c r="A8" s="497">
        <f>ELEC!C5</f>
        <v>44015</v>
      </c>
      <c r="B8" s="37">
        <v>29</v>
      </c>
      <c r="C8" s="37">
        <v>24</v>
      </c>
      <c r="D8" s="26">
        <f t="shared" si="0"/>
        <v>26.5</v>
      </c>
      <c r="E8" s="348">
        <v>0.65</v>
      </c>
      <c r="F8" s="348">
        <v>8.6999999999999994E-2</v>
      </c>
      <c r="G8" s="245">
        <f t="shared" si="1"/>
        <v>20.009999999999998</v>
      </c>
      <c r="H8" s="3"/>
      <c r="I8" s="3"/>
      <c r="J8" s="37">
        <v>263</v>
      </c>
      <c r="K8" s="269">
        <f t="shared" si="2"/>
        <v>263</v>
      </c>
      <c r="L8" s="3"/>
      <c r="M8" s="170"/>
      <c r="N8" s="155"/>
      <c r="O8" s="3"/>
    </row>
    <row r="9" spans="1:15">
      <c r="A9" s="497">
        <f>ELEC!C6</f>
        <v>44016</v>
      </c>
      <c r="B9" s="37">
        <v>28</v>
      </c>
      <c r="C9" s="37">
        <v>24</v>
      </c>
      <c r="D9" s="26">
        <f>(C9+B9)/2</f>
        <v>26</v>
      </c>
      <c r="E9" s="404">
        <v>0.66</v>
      </c>
      <c r="F9" s="404">
        <v>8.6999999999999994E-2</v>
      </c>
      <c r="G9" s="245">
        <f>F9*230</f>
        <v>20.009999999999998</v>
      </c>
      <c r="H9" s="3"/>
      <c r="I9" s="3"/>
      <c r="J9" s="37">
        <v>258</v>
      </c>
      <c r="K9" s="269">
        <f>+J9+H9</f>
        <v>258</v>
      </c>
      <c r="L9" s="3"/>
      <c r="M9" s="3"/>
      <c r="N9" s="155"/>
      <c r="O9" s="3"/>
    </row>
    <row r="10" spans="1:15">
      <c r="A10" s="497">
        <f>ELEC!C7</f>
        <v>44017</v>
      </c>
      <c r="B10" s="37">
        <v>30</v>
      </c>
      <c r="C10" s="37">
        <v>26</v>
      </c>
      <c r="D10" s="26">
        <f t="shared" si="0"/>
        <v>28</v>
      </c>
      <c r="E10" s="364">
        <v>0.7</v>
      </c>
      <c r="F10" s="348">
        <v>7.8299999999999995E-2</v>
      </c>
      <c r="G10" s="245">
        <f t="shared" si="1"/>
        <v>18.009</v>
      </c>
      <c r="H10" s="3"/>
      <c r="I10" s="3"/>
      <c r="J10" s="37">
        <v>801</v>
      </c>
      <c r="K10" s="269">
        <f t="shared" si="2"/>
        <v>801</v>
      </c>
      <c r="L10" s="3"/>
      <c r="M10" s="3"/>
      <c r="N10" s="155"/>
      <c r="O10" s="3"/>
    </row>
    <row r="11" spans="1:15">
      <c r="A11" s="497">
        <f>ELEC!C8</f>
        <v>44018</v>
      </c>
      <c r="B11" s="37">
        <v>29</v>
      </c>
      <c r="C11" s="37">
        <v>25</v>
      </c>
      <c r="D11" s="26">
        <f t="shared" si="0"/>
        <v>27</v>
      </c>
      <c r="E11" s="404">
        <v>0.69</v>
      </c>
      <c r="F11" s="348">
        <v>8.2600000000000007E-2</v>
      </c>
      <c r="G11" s="245">
        <f t="shared" si="1"/>
        <v>18.998000000000001</v>
      </c>
      <c r="H11" s="3"/>
      <c r="I11" s="3"/>
      <c r="J11" s="37">
        <v>230</v>
      </c>
      <c r="K11" s="269">
        <f>+J11+H11</f>
        <v>230</v>
      </c>
      <c r="L11" s="3"/>
      <c r="M11" s="3"/>
      <c r="N11" s="155"/>
      <c r="O11" s="3"/>
    </row>
    <row r="12" spans="1:15">
      <c r="A12" s="497">
        <f>ELEC!C9</f>
        <v>44019</v>
      </c>
      <c r="B12" s="37">
        <v>30</v>
      </c>
      <c r="C12" s="37">
        <v>22</v>
      </c>
      <c r="D12" s="26">
        <f t="shared" si="0"/>
        <v>26</v>
      </c>
      <c r="E12" s="404">
        <v>0.68</v>
      </c>
      <c r="F12" s="404">
        <v>7.8299999999999995E-2</v>
      </c>
      <c r="G12" s="245">
        <f t="shared" si="1"/>
        <v>18.009</v>
      </c>
      <c r="H12" s="3"/>
      <c r="I12" s="3"/>
      <c r="J12" s="37">
        <v>268</v>
      </c>
      <c r="K12" s="269">
        <f t="shared" si="2"/>
        <v>268</v>
      </c>
      <c r="L12" s="3"/>
      <c r="M12" s="3"/>
      <c r="N12" s="155"/>
      <c r="O12" s="3"/>
    </row>
    <row r="13" spans="1:15">
      <c r="A13" s="497">
        <f>ELEC!C10</f>
        <v>44020</v>
      </c>
      <c r="B13" s="37">
        <v>30</v>
      </c>
      <c r="C13" s="37">
        <v>22</v>
      </c>
      <c r="D13" s="26">
        <f>(C13+B13)/2</f>
        <v>26</v>
      </c>
      <c r="E13" s="364">
        <v>0.7</v>
      </c>
      <c r="F13" s="364">
        <v>8.6999999999999994E-2</v>
      </c>
      <c r="G13" s="245">
        <f>F13*230</f>
        <v>20.009999999999998</v>
      </c>
      <c r="H13" s="3"/>
      <c r="I13" s="3"/>
      <c r="J13" s="37">
        <v>336</v>
      </c>
      <c r="K13" s="269">
        <f t="shared" si="2"/>
        <v>336</v>
      </c>
      <c r="L13" s="3"/>
      <c r="M13" s="3"/>
      <c r="N13" s="155"/>
      <c r="O13" s="3"/>
    </row>
    <row r="14" spans="1:15">
      <c r="A14" s="497">
        <f>ELEC!C11</f>
        <v>44021</v>
      </c>
      <c r="B14" s="37"/>
      <c r="C14" s="37"/>
      <c r="D14" s="26">
        <f t="shared" ref="D14:D35" si="3">(C14+B14)/2</f>
        <v>0</v>
      </c>
      <c r="E14" s="348"/>
      <c r="F14" s="348"/>
      <c r="G14" s="245">
        <f t="shared" ref="G14:G35" si="4">F14*230</f>
        <v>0</v>
      </c>
      <c r="H14" s="3"/>
      <c r="I14" s="3"/>
      <c r="J14" s="37"/>
      <c r="K14" s="269">
        <f t="shared" si="2"/>
        <v>0</v>
      </c>
      <c r="L14" s="3"/>
      <c r="M14" s="3"/>
      <c r="N14" s="155"/>
      <c r="O14" s="3"/>
    </row>
    <row r="15" spans="1:15">
      <c r="A15" s="497">
        <f>ELEC!C12</f>
        <v>44022</v>
      </c>
      <c r="B15" s="37"/>
      <c r="C15" s="37"/>
      <c r="D15" s="26">
        <f t="shared" si="3"/>
        <v>0</v>
      </c>
      <c r="E15" s="348"/>
      <c r="F15" s="348"/>
      <c r="G15" s="245">
        <f>F15*230</f>
        <v>0</v>
      </c>
      <c r="H15" s="3"/>
      <c r="I15" s="3"/>
      <c r="J15" s="37"/>
      <c r="K15" s="269">
        <f>+J15+H15</f>
        <v>0</v>
      </c>
      <c r="L15" s="3"/>
      <c r="M15" s="3"/>
      <c r="N15" s="155"/>
      <c r="O15" s="3"/>
    </row>
    <row r="16" spans="1:15">
      <c r="A16" s="497">
        <f>ELEC!C13</f>
        <v>44023</v>
      </c>
      <c r="B16" s="37"/>
      <c r="C16" s="37"/>
      <c r="D16" s="26">
        <f t="shared" si="3"/>
        <v>0</v>
      </c>
      <c r="E16" s="348"/>
      <c r="F16" s="348"/>
      <c r="G16" s="245">
        <f t="shared" si="4"/>
        <v>0</v>
      </c>
      <c r="H16" s="3"/>
      <c r="I16" s="3"/>
      <c r="J16" s="37"/>
      <c r="K16" s="269">
        <f>+J16+H16</f>
        <v>0</v>
      </c>
      <c r="L16" s="3"/>
      <c r="M16" s="3"/>
      <c r="N16" s="155"/>
      <c r="O16" s="3"/>
    </row>
    <row r="17" spans="1:15">
      <c r="A17" s="497">
        <f>ELEC!C14</f>
        <v>44024</v>
      </c>
      <c r="B17" s="37"/>
      <c r="C17" s="37"/>
      <c r="D17" s="26">
        <f t="shared" si="3"/>
        <v>0</v>
      </c>
      <c r="E17" s="348"/>
      <c r="F17" s="348"/>
      <c r="G17" s="245">
        <f t="shared" si="4"/>
        <v>0</v>
      </c>
      <c r="H17" s="3"/>
      <c r="I17" s="3"/>
      <c r="J17" s="37"/>
      <c r="K17" s="269">
        <f t="shared" si="2"/>
        <v>0</v>
      </c>
      <c r="L17" s="3"/>
      <c r="M17" s="3"/>
      <c r="N17" s="155"/>
      <c r="O17" s="3"/>
    </row>
    <row r="18" spans="1:15">
      <c r="A18" s="497">
        <f>ELEC!C15</f>
        <v>44025</v>
      </c>
      <c r="B18" s="37"/>
      <c r="C18" s="37"/>
      <c r="D18" s="26">
        <f t="shared" si="3"/>
        <v>0</v>
      </c>
      <c r="E18" s="440"/>
      <c r="F18" s="348"/>
      <c r="G18" s="245">
        <f t="shared" si="4"/>
        <v>0</v>
      </c>
      <c r="H18" s="3"/>
      <c r="I18" s="3"/>
      <c r="J18" s="37"/>
      <c r="K18" s="269">
        <f t="shared" si="2"/>
        <v>0</v>
      </c>
      <c r="L18" s="3"/>
      <c r="M18" s="3"/>
      <c r="N18" s="155"/>
      <c r="O18" s="3"/>
    </row>
    <row r="19" spans="1:15">
      <c r="A19" s="497">
        <f>ELEC!C16</f>
        <v>44026</v>
      </c>
      <c r="B19" s="37"/>
      <c r="C19" s="37"/>
      <c r="D19" s="26">
        <f t="shared" si="3"/>
        <v>0</v>
      </c>
      <c r="E19" s="348"/>
      <c r="F19" s="348"/>
      <c r="G19" s="245">
        <f t="shared" si="4"/>
        <v>0</v>
      </c>
      <c r="H19" s="3"/>
      <c r="I19" s="3"/>
      <c r="J19" s="37"/>
      <c r="K19" s="269">
        <f t="shared" si="2"/>
        <v>0</v>
      </c>
      <c r="L19" s="3"/>
      <c r="M19" s="3"/>
      <c r="N19" s="155"/>
      <c r="O19" s="3"/>
    </row>
    <row r="20" spans="1:15">
      <c r="A20" s="497">
        <f>ELEC!C17</f>
        <v>44027</v>
      </c>
      <c r="B20" s="37"/>
      <c r="C20" s="37"/>
      <c r="D20" s="26">
        <f t="shared" si="3"/>
        <v>0</v>
      </c>
      <c r="E20" s="348"/>
      <c r="F20" s="348"/>
      <c r="G20" s="245">
        <f t="shared" si="4"/>
        <v>0</v>
      </c>
      <c r="H20" s="3"/>
      <c r="I20" s="3"/>
      <c r="J20" s="37"/>
      <c r="K20" s="269">
        <f t="shared" si="2"/>
        <v>0</v>
      </c>
      <c r="L20" s="3"/>
      <c r="M20" s="3"/>
      <c r="N20" s="155"/>
      <c r="O20" s="3"/>
    </row>
    <row r="21" spans="1:15">
      <c r="A21" s="497">
        <f>ELEC!C18</f>
        <v>44028</v>
      </c>
      <c r="B21" s="37"/>
      <c r="C21" s="37"/>
      <c r="D21" s="26">
        <f>(C21+B21)/2</f>
        <v>0</v>
      </c>
      <c r="E21" s="348"/>
      <c r="F21" s="348"/>
      <c r="G21" s="245">
        <f t="shared" si="4"/>
        <v>0</v>
      </c>
      <c r="H21" s="3"/>
      <c r="I21" s="3"/>
      <c r="J21" s="37"/>
      <c r="K21" s="269">
        <f t="shared" si="2"/>
        <v>0</v>
      </c>
      <c r="L21" s="3"/>
      <c r="M21" s="3"/>
      <c r="N21" s="155"/>
      <c r="O21" s="3"/>
    </row>
    <row r="22" spans="1:15">
      <c r="A22" s="497">
        <f>ELEC!C19</f>
        <v>44029</v>
      </c>
      <c r="B22" s="37"/>
      <c r="C22" s="37"/>
      <c r="D22" s="26">
        <f t="shared" si="3"/>
        <v>0</v>
      </c>
      <c r="E22" s="348"/>
      <c r="F22" s="404"/>
      <c r="G22" s="245">
        <f t="shared" si="4"/>
        <v>0</v>
      </c>
      <c r="H22" s="3"/>
      <c r="I22" s="3"/>
      <c r="J22" s="37"/>
      <c r="K22" s="269">
        <f t="shared" si="2"/>
        <v>0</v>
      </c>
      <c r="L22" s="3"/>
      <c r="M22" s="3"/>
      <c r="N22" s="155"/>
      <c r="O22" s="3"/>
    </row>
    <row r="23" spans="1:15">
      <c r="A23" s="497">
        <f>ELEC!C20</f>
        <v>44030</v>
      </c>
      <c r="B23" s="37"/>
      <c r="C23" s="37"/>
      <c r="D23" s="26">
        <f>(C23+B23)/2</f>
        <v>0</v>
      </c>
      <c r="E23" s="348"/>
      <c r="F23" s="348"/>
      <c r="G23" s="245">
        <f t="shared" si="4"/>
        <v>0</v>
      </c>
      <c r="H23" s="3"/>
      <c r="I23" s="3"/>
      <c r="J23" s="37"/>
      <c r="K23" s="269">
        <f t="shared" si="2"/>
        <v>0</v>
      </c>
      <c r="L23" s="3"/>
      <c r="M23" s="3"/>
      <c r="N23" s="155"/>
      <c r="O23" s="3"/>
    </row>
    <row r="24" spans="1:15">
      <c r="A24" s="497">
        <f>ELEC!C21</f>
        <v>44031</v>
      </c>
      <c r="B24" s="37"/>
      <c r="C24" s="37"/>
      <c r="D24" s="26">
        <f t="shared" si="3"/>
        <v>0</v>
      </c>
      <c r="E24" s="348"/>
      <c r="F24" s="348"/>
      <c r="G24" s="245">
        <f t="shared" si="4"/>
        <v>0</v>
      </c>
      <c r="H24" s="3"/>
      <c r="I24" s="3"/>
      <c r="J24" s="37"/>
      <c r="K24" s="269">
        <f t="shared" si="2"/>
        <v>0</v>
      </c>
      <c r="L24" s="3"/>
      <c r="M24" s="3"/>
      <c r="N24" s="155"/>
      <c r="O24" s="3"/>
    </row>
    <row r="25" spans="1:15">
      <c r="A25" s="497">
        <f>ELEC!C22</f>
        <v>44032</v>
      </c>
      <c r="B25" s="37"/>
      <c r="C25" s="37"/>
      <c r="D25" s="26">
        <f t="shared" si="3"/>
        <v>0</v>
      </c>
      <c r="E25" s="348"/>
      <c r="F25" s="348"/>
      <c r="G25" s="245">
        <f t="shared" si="4"/>
        <v>0</v>
      </c>
      <c r="H25" s="3"/>
      <c r="I25" s="3"/>
      <c r="J25" s="37"/>
      <c r="K25" s="269">
        <f t="shared" si="2"/>
        <v>0</v>
      </c>
      <c r="L25" s="3"/>
      <c r="M25" s="3"/>
      <c r="N25" s="155"/>
      <c r="O25" s="3"/>
    </row>
    <row r="26" spans="1:15">
      <c r="A26" s="497">
        <f>ELEC!C23</f>
        <v>44033</v>
      </c>
      <c r="B26" s="37"/>
      <c r="C26" s="37"/>
      <c r="D26" s="26">
        <f>(C26+B26)/2</f>
        <v>0</v>
      </c>
      <c r="E26" s="348"/>
      <c r="F26" s="348"/>
      <c r="G26" s="245">
        <f t="shared" si="4"/>
        <v>0</v>
      </c>
      <c r="H26" s="3"/>
      <c r="I26" s="3"/>
      <c r="J26" s="37"/>
      <c r="K26" s="269">
        <f t="shared" si="2"/>
        <v>0</v>
      </c>
      <c r="L26" s="3"/>
      <c r="M26" s="3"/>
      <c r="N26" s="155"/>
      <c r="O26" s="3"/>
    </row>
    <row r="27" spans="1:15">
      <c r="A27" s="497">
        <f>ELEC!C24</f>
        <v>44034</v>
      </c>
      <c r="B27" s="37"/>
      <c r="C27" s="37"/>
      <c r="D27" s="26">
        <f t="shared" si="3"/>
        <v>0</v>
      </c>
      <c r="E27" s="348"/>
      <c r="F27" s="348"/>
      <c r="G27" s="245">
        <f t="shared" si="4"/>
        <v>0</v>
      </c>
      <c r="H27" s="3"/>
      <c r="I27" s="3"/>
      <c r="J27" s="37"/>
      <c r="K27" s="269">
        <f>+J27+H27+I27</f>
        <v>0</v>
      </c>
      <c r="L27" s="3"/>
      <c r="M27" s="3"/>
      <c r="N27" s="155"/>
      <c r="O27" s="3"/>
    </row>
    <row r="28" spans="1:15">
      <c r="A28" s="497">
        <f>ELEC!C25</f>
        <v>44035</v>
      </c>
      <c r="B28" s="37"/>
      <c r="C28" s="37"/>
      <c r="D28" s="26">
        <f t="shared" si="3"/>
        <v>0</v>
      </c>
      <c r="E28" s="348"/>
      <c r="F28" s="348"/>
      <c r="G28" s="245">
        <f t="shared" si="4"/>
        <v>0</v>
      </c>
      <c r="H28" s="3"/>
      <c r="I28" s="3"/>
      <c r="J28" s="37"/>
      <c r="K28" s="269">
        <f t="shared" ref="K28:K35" si="5">+J28+H28+I28</f>
        <v>0</v>
      </c>
      <c r="L28" s="3"/>
      <c r="M28" s="3"/>
      <c r="N28" s="155"/>
      <c r="O28" s="3"/>
    </row>
    <row r="29" spans="1:15">
      <c r="A29" s="497">
        <f>ELEC!C26</f>
        <v>44036</v>
      </c>
      <c r="B29" s="37"/>
      <c r="C29" s="37"/>
      <c r="D29" s="26">
        <f t="shared" si="3"/>
        <v>0</v>
      </c>
      <c r="E29" s="348"/>
      <c r="F29" s="348"/>
      <c r="G29" s="245">
        <f t="shared" si="4"/>
        <v>0</v>
      </c>
      <c r="H29" s="3"/>
      <c r="I29" s="3"/>
      <c r="J29" s="37"/>
      <c r="K29" s="269">
        <f t="shared" si="5"/>
        <v>0</v>
      </c>
      <c r="L29" s="3"/>
      <c r="M29" s="3"/>
      <c r="N29" s="155"/>
      <c r="O29" s="3"/>
    </row>
    <row r="30" spans="1:15">
      <c r="A30" s="497">
        <f>ELEC!C27</f>
        <v>44037</v>
      </c>
      <c r="B30" s="37"/>
      <c r="C30" s="37"/>
      <c r="D30" s="26">
        <f t="shared" si="3"/>
        <v>0</v>
      </c>
      <c r="E30" s="348"/>
      <c r="F30" s="404"/>
      <c r="G30" s="245">
        <f t="shared" si="4"/>
        <v>0</v>
      </c>
      <c r="H30" s="3"/>
      <c r="I30" s="3"/>
      <c r="J30" s="37"/>
      <c r="K30" s="269">
        <f t="shared" si="5"/>
        <v>0</v>
      </c>
      <c r="L30" s="3"/>
      <c r="M30" s="3"/>
      <c r="N30" s="155"/>
      <c r="O30" s="3"/>
    </row>
    <row r="31" spans="1:15">
      <c r="A31" s="497">
        <f>ELEC!C28</f>
        <v>44038</v>
      </c>
      <c r="B31" s="37"/>
      <c r="C31" s="37"/>
      <c r="D31" s="3">
        <f t="shared" si="3"/>
        <v>0</v>
      </c>
      <c r="E31" s="349"/>
      <c r="F31" s="288"/>
      <c r="G31" s="245">
        <f t="shared" si="4"/>
        <v>0</v>
      </c>
      <c r="H31" s="3"/>
      <c r="I31" s="3"/>
      <c r="J31" s="37"/>
      <c r="K31" s="269">
        <f t="shared" si="5"/>
        <v>0</v>
      </c>
      <c r="L31" s="3"/>
      <c r="M31" s="3"/>
      <c r="N31" s="155"/>
      <c r="O31" s="3"/>
    </row>
    <row r="32" spans="1:15">
      <c r="A32" s="497">
        <f>ELEC!C29</f>
        <v>44039</v>
      </c>
      <c r="B32" s="37"/>
      <c r="C32" s="37"/>
      <c r="D32" s="287">
        <f>(C32+B32)/2</f>
        <v>0</v>
      </c>
      <c r="E32" s="349"/>
      <c r="F32" s="352"/>
      <c r="G32" s="245">
        <f t="shared" si="4"/>
        <v>0</v>
      </c>
      <c r="H32" s="3"/>
      <c r="I32" s="3"/>
      <c r="J32" s="37"/>
      <c r="K32" s="269">
        <f t="shared" si="5"/>
        <v>0</v>
      </c>
      <c r="L32" s="3"/>
      <c r="M32" s="3"/>
      <c r="N32" s="155"/>
      <c r="O32" s="3"/>
    </row>
    <row r="33" spans="1:15">
      <c r="A33" s="497">
        <f>ELEC!C30</f>
        <v>44040</v>
      </c>
      <c r="B33" s="37"/>
      <c r="C33" s="37"/>
      <c r="D33" s="26">
        <f t="shared" si="3"/>
        <v>0</v>
      </c>
      <c r="E33" s="348"/>
      <c r="F33" s="348"/>
      <c r="G33" s="245">
        <f t="shared" si="4"/>
        <v>0</v>
      </c>
      <c r="H33" s="3"/>
      <c r="I33" s="3"/>
      <c r="J33" s="37"/>
      <c r="K33" s="269">
        <f t="shared" si="5"/>
        <v>0</v>
      </c>
      <c r="L33" s="3"/>
      <c r="M33" s="3"/>
      <c r="N33" s="155"/>
      <c r="O33" s="3"/>
    </row>
    <row r="34" spans="1:15">
      <c r="A34" s="497">
        <f>ELEC!C31</f>
        <v>44041</v>
      </c>
      <c r="B34" s="37"/>
      <c r="C34" s="37"/>
      <c r="D34" s="26">
        <f t="shared" si="3"/>
        <v>0</v>
      </c>
      <c r="E34" s="348"/>
      <c r="F34" s="348"/>
      <c r="G34" s="245">
        <f t="shared" si="4"/>
        <v>0</v>
      </c>
      <c r="H34" s="3"/>
      <c r="I34" s="3"/>
      <c r="J34" s="37"/>
      <c r="K34" s="269">
        <f t="shared" si="5"/>
        <v>0</v>
      </c>
      <c r="L34" s="3"/>
      <c r="M34" s="3"/>
      <c r="N34" s="155"/>
      <c r="O34" s="3"/>
    </row>
    <row r="35" spans="1:15">
      <c r="A35" s="497">
        <f>ELEC!C32</f>
        <v>44042</v>
      </c>
      <c r="B35" s="37"/>
      <c r="C35" s="37"/>
      <c r="D35" s="26">
        <f t="shared" si="3"/>
        <v>0</v>
      </c>
      <c r="E35" s="364"/>
      <c r="F35" s="364"/>
      <c r="G35" s="245">
        <f t="shared" si="4"/>
        <v>0</v>
      </c>
      <c r="H35" s="3"/>
      <c r="I35" s="3"/>
      <c r="J35" s="37"/>
      <c r="K35" s="269">
        <f t="shared" si="5"/>
        <v>0</v>
      </c>
      <c r="L35" s="3"/>
      <c r="M35" s="3"/>
      <c r="N35" s="155"/>
      <c r="O35" s="3"/>
    </row>
    <row r="36" spans="1:15">
      <c r="A36" s="497">
        <f>ELEC!C33</f>
        <v>44043</v>
      </c>
      <c r="B36" s="37"/>
      <c r="C36" s="37"/>
      <c r="D36" s="26">
        <f t="shared" ref="D36" si="6">(C36+B36)/2</f>
        <v>0</v>
      </c>
      <c r="E36" s="404"/>
      <c r="F36" s="404"/>
      <c r="G36" s="245">
        <f t="shared" ref="G36" si="7">F36*230</f>
        <v>0</v>
      </c>
      <c r="H36" s="3"/>
      <c r="I36" s="3"/>
      <c r="J36" s="37"/>
      <c r="K36" s="269">
        <f t="shared" ref="K36" si="8">+J36+H36+I36</f>
        <v>0</v>
      </c>
      <c r="L36" s="3"/>
      <c r="M36" s="3"/>
      <c r="N36" s="155"/>
      <c r="O36" s="3"/>
    </row>
    <row r="37" spans="1:15">
      <c r="D37" s="267"/>
      <c r="F37" s="547">
        <f>AVERAGE(F6:F35)</f>
        <v>7.4462499999999987E-2</v>
      </c>
      <c r="G37" s="206">
        <f>SUM(G6:G35)</f>
        <v>137.011</v>
      </c>
    </row>
    <row r="38" spans="1:15">
      <c r="D38" s="267">
        <f>SUM(D6:D35)/'EDl log'!A37</f>
        <v>35.25</v>
      </c>
      <c r="F38" s="214"/>
    </row>
    <row r="41" spans="1:15">
      <c r="I41" s="422" t="s">
        <v>316</v>
      </c>
    </row>
  </sheetData>
  <mergeCells count="1">
    <mergeCell ref="A1:O2"/>
  </mergeCells>
  <hyperlinks>
    <hyperlink ref="I41" r:id="rId1"/>
  </hyperlinks>
  <pageMargins left="0.7" right="0.7" top="0.75" bottom="0.75" header="0.3" footer="0.3"/>
  <pageSetup paperSize="9" scale="75" fitToHeight="0" orientation="landscape" r:id="rId2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I40"/>
  <sheetViews>
    <sheetView topLeftCell="A9" zoomScale="90" zoomScaleNormal="90" workbookViewId="0">
      <pane xSplit="1" topLeftCell="AP1" activePane="topRight" state="frozen"/>
      <selection pane="topRight" activeCell="AV29" sqref="AV29:AV32"/>
    </sheetView>
  </sheetViews>
  <sheetFormatPr defaultRowHeight="15"/>
  <cols>
    <col min="1" max="1" width="30" bestFit="1" customWidth="1"/>
    <col min="8" max="8" width="7" bestFit="1" customWidth="1"/>
    <col min="9" max="9" width="8.85546875" bestFit="1" customWidth="1"/>
    <col min="10" max="10" width="6.85546875" bestFit="1" customWidth="1"/>
    <col min="11" max="11" width="8.85546875" bestFit="1" customWidth="1"/>
    <col min="12" max="12" width="6.85546875" bestFit="1" customWidth="1"/>
    <col min="13" max="13" width="8.85546875" bestFit="1" customWidth="1"/>
    <col min="14" max="14" width="6.85546875" bestFit="1" customWidth="1"/>
    <col min="15" max="15" width="8.85546875" bestFit="1" customWidth="1"/>
    <col min="16" max="16" width="6.85546875" bestFit="1" customWidth="1"/>
    <col min="17" max="17" width="8.85546875" bestFit="1" customWidth="1"/>
    <col min="18" max="18" width="6.85546875" bestFit="1" customWidth="1"/>
    <col min="19" max="19" width="8.85546875" bestFit="1" customWidth="1"/>
    <col min="20" max="20" width="7.85546875" bestFit="1" customWidth="1"/>
    <col min="21" max="21" width="8.85546875" bestFit="1" customWidth="1"/>
    <col min="22" max="22" width="7.85546875" bestFit="1" customWidth="1"/>
    <col min="23" max="23" width="8.85546875" bestFit="1" customWidth="1"/>
    <col min="24" max="24" width="4.7109375" style="447" bestFit="1" customWidth="1"/>
    <col min="25" max="25" width="10" bestFit="1" customWidth="1"/>
    <col min="26" max="26" width="6.85546875" bestFit="1" customWidth="1"/>
    <col min="27" max="27" width="8.85546875" bestFit="1" customWidth="1"/>
    <col min="28" max="28" width="6.85546875" bestFit="1" customWidth="1"/>
    <col min="29" max="29" width="8.85546875" bestFit="1" customWidth="1"/>
    <col min="30" max="30" width="6.85546875" bestFit="1" customWidth="1"/>
    <col min="31" max="31" width="8.85546875" bestFit="1" customWidth="1"/>
    <col min="32" max="32" width="6.85546875" bestFit="1" customWidth="1"/>
    <col min="33" max="33" width="8.85546875" bestFit="1" customWidth="1"/>
    <col min="34" max="34" width="7" bestFit="1" customWidth="1"/>
    <col min="35" max="35" width="7.140625" bestFit="1" customWidth="1"/>
    <col min="36" max="36" width="7" bestFit="1" customWidth="1"/>
    <col min="37" max="37" width="7.140625" bestFit="1" customWidth="1"/>
    <col min="38" max="38" width="7" bestFit="1" customWidth="1"/>
    <col min="39" max="39" width="8.85546875" customWidth="1"/>
    <col min="40" max="40" width="4.7109375" style="516" bestFit="1" customWidth="1"/>
    <col min="41" max="41" width="8.28515625" customWidth="1"/>
    <col min="42" max="42" width="7" style="22" customWidth="1"/>
    <col min="43" max="43" width="10.7109375" bestFit="1" customWidth="1"/>
    <col min="44" max="44" width="11.5703125" bestFit="1" customWidth="1"/>
    <col min="45" max="45" width="12.42578125" style="165" customWidth="1"/>
    <col min="47" max="47" width="9" bestFit="1" customWidth="1"/>
    <col min="48" max="48" width="9.28515625" style="310" customWidth="1"/>
    <col min="49" max="49" width="14.140625" bestFit="1" customWidth="1"/>
    <col min="50" max="50" width="10.42578125" bestFit="1" customWidth="1"/>
    <col min="51" max="51" width="10.42578125" customWidth="1"/>
    <col min="52" max="52" width="10.5703125" bestFit="1" customWidth="1"/>
    <col min="53" max="53" width="9.85546875" bestFit="1" customWidth="1"/>
    <col min="54" max="54" width="13.28515625" customWidth="1"/>
    <col min="55" max="56" width="9.140625" hidden="1" customWidth="1"/>
    <col min="57" max="57" width="11.42578125" hidden="1" customWidth="1"/>
    <col min="58" max="58" width="8.7109375" hidden="1" customWidth="1"/>
    <col min="59" max="59" width="10.42578125" hidden="1" customWidth="1"/>
    <col min="60" max="60" width="0.28515625" customWidth="1"/>
  </cols>
  <sheetData>
    <row r="1" spans="1:61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227"/>
      <c r="Y1" s="7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515"/>
      <c r="AO1" s="8"/>
      <c r="AP1" s="29"/>
    </row>
    <row r="2" spans="1:61">
      <c r="B2" s="7" t="s">
        <v>60</v>
      </c>
      <c r="C2" s="7"/>
      <c r="D2" s="7" t="s">
        <v>61</v>
      </c>
      <c r="E2" s="7"/>
      <c r="F2" s="7" t="s">
        <v>62</v>
      </c>
      <c r="G2" s="7"/>
      <c r="H2" s="7" t="s">
        <v>63</v>
      </c>
      <c r="I2" s="7"/>
      <c r="J2" s="7" t="s">
        <v>64</v>
      </c>
      <c r="K2" s="7"/>
      <c r="L2" s="7" t="s">
        <v>65</v>
      </c>
      <c r="M2" s="7"/>
      <c r="N2" s="7" t="s">
        <v>66</v>
      </c>
      <c r="O2" s="7"/>
      <c r="P2" s="7" t="s">
        <v>67</v>
      </c>
      <c r="Q2" s="7"/>
      <c r="R2" s="7" t="s">
        <v>68</v>
      </c>
      <c r="T2" s="7" t="s">
        <v>69</v>
      </c>
      <c r="V2" s="7" t="s">
        <v>70</v>
      </c>
      <c r="W2" s="7"/>
      <c r="X2" s="227"/>
      <c r="Y2" s="7"/>
      <c r="Z2" s="8" t="s">
        <v>60</v>
      </c>
      <c r="AA2" s="8"/>
      <c r="AB2" s="8" t="s">
        <v>61</v>
      </c>
      <c r="AC2" s="8"/>
      <c r="AD2" s="8" t="s">
        <v>62</v>
      </c>
      <c r="AE2" s="8"/>
      <c r="AF2" s="8" t="s">
        <v>63</v>
      </c>
      <c r="AG2" s="8"/>
      <c r="AH2" s="8" t="s">
        <v>64</v>
      </c>
      <c r="AI2" s="8"/>
      <c r="AJ2" s="8" t="s">
        <v>65</v>
      </c>
      <c r="AK2" s="8"/>
      <c r="AL2" s="8" t="s">
        <v>66</v>
      </c>
      <c r="AM2" s="8"/>
      <c r="AN2" s="515"/>
      <c r="AO2" s="8"/>
      <c r="AP2" s="30"/>
    </row>
    <row r="3" spans="1:61">
      <c r="B3" s="7">
        <v>6670</v>
      </c>
      <c r="C3" s="7"/>
      <c r="D3" s="7">
        <f>SUM(B3)</f>
        <v>6670</v>
      </c>
      <c r="E3" s="7"/>
      <c r="F3" s="7">
        <f>SUM(D3)</f>
        <v>6670</v>
      </c>
      <c r="G3" s="7"/>
      <c r="H3" s="7">
        <f>SUM(F3)</f>
        <v>6670</v>
      </c>
      <c r="I3" s="7"/>
      <c r="J3" s="7">
        <f>SUM(H3)</f>
        <v>6670</v>
      </c>
      <c r="K3" s="7"/>
      <c r="L3" s="7">
        <f>SUM(J3)</f>
        <v>6670</v>
      </c>
      <c r="M3" s="7"/>
      <c r="N3" s="7">
        <f>SUM(L3)</f>
        <v>6670</v>
      </c>
      <c r="O3" s="7"/>
      <c r="P3" s="7">
        <f>SUM(N3)</f>
        <v>6670</v>
      </c>
      <c r="Q3" s="7"/>
      <c r="R3" s="7">
        <f>SUM(P3)</f>
        <v>6670</v>
      </c>
      <c r="S3" s="7"/>
      <c r="T3" s="7">
        <f>SUM(R3)</f>
        <v>6670</v>
      </c>
      <c r="U3" s="7"/>
      <c r="V3" s="7">
        <f>SUM(T3)</f>
        <v>6670</v>
      </c>
      <c r="W3" s="33">
        <f>SUM(B3:V3)</f>
        <v>73370</v>
      </c>
      <c r="X3" s="34"/>
      <c r="Y3" s="7"/>
      <c r="Z3" s="8">
        <v>2800</v>
      </c>
      <c r="AA3" s="8"/>
      <c r="AB3" s="8">
        <v>2800</v>
      </c>
      <c r="AC3" s="8"/>
      <c r="AD3" s="8">
        <v>2800</v>
      </c>
      <c r="AE3" s="8"/>
      <c r="AF3" s="8">
        <v>2800</v>
      </c>
      <c r="AG3" s="8"/>
      <c r="AH3" s="8">
        <v>2800</v>
      </c>
      <c r="AI3" s="8"/>
      <c r="AJ3" s="8">
        <v>2800</v>
      </c>
      <c r="AK3" s="8"/>
      <c r="AL3" s="8">
        <v>2800</v>
      </c>
      <c r="AM3" s="31">
        <f>SUM(Z3:AL3)</f>
        <v>19600</v>
      </c>
      <c r="AN3" s="32"/>
      <c r="AO3" s="8">
        <f>SUM(AM3+W3)</f>
        <v>92970</v>
      </c>
      <c r="AP3" s="30"/>
      <c r="AQ3" s="28"/>
      <c r="AR3" s="640" t="s">
        <v>108</v>
      </c>
      <c r="AS3" s="640" t="s">
        <v>234</v>
      </c>
      <c r="AT3" s="638" t="s">
        <v>302</v>
      </c>
      <c r="AU3" s="639"/>
      <c r="AV3" s="311"/>
      <c r="AW3" s="3"/>
      <c r="AX3" s="3"/>
      <c r="AY3" s="3"/>
      <c r="AZ3" s="3"/>
      <c r="BA3" s="3"/>
      <c r="BB3" s="3"/>
      <c r="BC3" s="3"/>
      <c r="BD3" s="3"/>
      <c r="BE3" s="13" t="s">
        <v>72</v>
      </c>
      <c r="BF3" s="13" t="s">
        <v>73</v>
      </c>
      <c r="BG3" s="13" t="s">
        <v>74</v>
      </c>
      <c r="BH3" s="12" t="s">
        <v>76</v>
      </c>
    </row>
    <row r="4" spans="1:61">
      <c r="B4" s="7">
        <f>B3/310</f>
        <v>21.516129032258064</v>
      </c>
      <c r="C4" s="7"/>
      <c r="D4" s="7">
        <f>SUM(B4)</f>
        <v>21.516129032258064</v>
      </c>
      <c r="E4" s="7"/>
      <c r="F4" s="7">
        <f>SUM(D4)</f>
        <v>21.516129032258064</v>
      </c>
      <c r="G4" s="7"/>
      <c r="H4" s="7">
        <f>SUM(F4)</f>
        <v>21.516129032258064</v>
      </c>
      <c r="I4" s="7"/>
      <c r="J4" s="7">
        <f>SUM(H4)</f>
        <v>21.516129032258064</v>
      </c>
      <c r="K4" s="7"/>
      <c r="L4" s="7">
        <f>SUM(J4)</f>
        <v>21.516129032258064</v>
      </c>
      <c r="M4" s="7"/>
      <c r="N4" s="7">
        <f>SUM(L4)</f>
        <v>21.516129032258064</v>
      </c>
      <c r="O4" s="7"/>
      <c r="P4" s="7">
        <f>SUM(N4)</f>
        <v>21.516129032258064</v>
      </c>
      <c r="Q4" s="7"/>
      <c r="R4" s="7">
        <f>SUM(P4)</f>
        <v>21.516129032258064</v>
      </c>
      <c r="S4" s="7"/>
      <c r="T4" s="7">
        <f>SUM(R4)</f>
        <v>21.516129032258064</v>
      </c>
      <c r="U4" s="7"/>
      <c r="V4" s="7">
        <f>SUM(T4)</f>
        <v>21.516129032258064</v>
      </c>
      <c r="W4" s="34"/>
      <c r="X4" s="34"/>
      <c r="Y4" s="7"/>
      <c r="Z4" s="8">
        <f>Z3/280</f>
        <v>10</v>
      </c>
      <c r="AA4" s="8">
        <f t="shared" ref="AA4:AL4" si="0">AA3/280</f>
        <v>0</v>
      </c>
      <c r="AB4" s="8">
        <f t="shared" si="0"/>
        <v>10</v>
      </c>
      <c r="AC4" s="8">
        <f t="shared" si="0"/>
        <v>0</v>
      </c>
      <c r="AD4" s="8">
        <f t="shared" si="0"/>
        <v>10</v>
      </c>
      <c r="AE4" s="8">
        <f t="shared" si="0"/>
        <v>0</v>
      </c>
      <c r="AF4" s="8">
        <f t="shared" si="0"/>
        <v>10</v>
      </c>
      <c r="AG4" s="8">
        <f t="shared" si="0"/>
        <v>0</v>
      </c>
      <c r="AH4" s="8">
        <f t="shared" si="0"/>
        <v>10</v>
      </c>
      <c r="AI4" s="8">
        <f t="shared" si="0"/>
        <v>0</v>
      </c>
      <c r="AJ4" s="8">
        <f t="shared" si="0"/>
        <v>10</v>
      </c>
      <c r="AK4" s="8">
        <f t="shared" si="0"/>
        <v>0</v>
      </c>
      <c r="AL4" s="8">
        <f t="shared" si="0"/>
        <v>10</v>
      </c>
      <c r="AM4" s="32"/>
      <c r="AN4" s="32"/>
      <c r="AO4" s="8"/>
      <c r="AP4" s="30"/>
      <c r="AQ4" s="28"/>
      <c r="AR4" s="641"/>
      <c r="AS4" s="641"/>
      <c r="AT4" s="3" t="s">
        <v>71</v>
      </c>
      <c r="AU4" s="3" t="s">
        <v>222</v>
      </c>
      <c r="AV4" s="312"/>
      <c r="AW4" s="3" t="s">
        <v>109</v>
      </c>
      <c r="AX4" s="3" t="s">
        <v>110</v>
      </c>
      <c r="AY4" s="3"/>
      <c r="AZ4" s="97" t="s">
        <v>148</v>
      </c>
      <c r="BA4" s="97" t="s">
        <v>153</v>
      </c>
      <c r="BB4" s="97" t="s">
        <v>154</v>
      </c>
      <c r="BC4" s="3"/>
      <c r="BD4" s="3"/>
      <c r="BE4" s="13"/>
      <c r="BF4" s="13"/>
      <c r="BG4" s="13"/>
      <c r="BH4" s="11"/>
    </row>
    <row r="5" spans="1:61">
      <c r="A5" s="457">
        <f>ELEC!C2</f>
        <v>44012</v>
      </c>
      <c r="B5" s="550">
        <f>[1]tanks!B35</f>
        <v>140</v>
      </c>
      <c r="C5" s="550">
        <f>[1]tanks!C35</f>
        <v>3012.2580645161288</v>
      </c>
      <c r="D5" s="550">
        <f>[1]tanks!D35</f>
        <v>140</v>
      </c>
      <c r="E5" s="550">
        <f>[1]tanks!E35</f>
        <v>3012.2580645161288</v>
      </c>
      <c r="F5" s="550">
        <f>[1]tanks!F35</f>
        <v>140</v>
      </c>
      <c r="G5" s="550">
        <f>[1]tanks!G35</f>
        <v>3012.2580645161288</v>
      </c>
      <c r="H5" s="550">
        <f>[1]tanks!H35</f>
        <v>140</v>
      </c>
      <c r="I5" s="550">
        <f>[1]tanks!I35</f>
        <v>3012.2580645161288</v>
      </c>
      <c r="J5" s="550">
        <f>[1]tanks!J35</f>
        <v>140</v>
      </c>
      <c r="K5" s="550">
        <f>[1]tanks!K35</f>
        <v>3012.2580645161288</v>
      </c>
      <c r="L5" s="550">
        <f>[1]tanks!L35</f>
        <v>140</v>
      </c>
      <c r="M5" s="550">
        <f>[1]tanks!M35</f>
        <v>3012.2580645161288</v>
      </c>
      <c r="N5" s="550">
        <f>[1]tanks!N35</f>
        <v>140</v>
      </c>
      <c r="O5" s="550">
        <f>[1]tanks!O35</f>
        <v>3012.2580645161288</v>
      </c>
      <c r="P5" s="550">
        <f>[1]tanks!P35</f>
        <v>140</v>
      </c>
      <c r="Q5" s="550">
        <f>[1]tanks!Q35</f>
        <v>3012.2580645161288</v>
      </c>
      <c r="R5" s="550">
        <f>[1]tanks!R35</f>
        <v>140</v>
      </c>
      <c r="S5" s="550">
        <f>[1]tanks!S35</f>
        <v>3012.2580645161288</v>
      </c>
      <c r="T5" s="550">
        <f>[1]tanks!T35</f>
        <v>140</v>
      </c>
      <c r="U5" s="550">
        <f>[1]tanks!U35</f>
        <v>3012.2580645161288</v>
      </c>
      <c r="V5" s="550">
        <f>[1]tanks!V35</f>
        <v>140</v>
      </c>
      <c r="W5" s="550">
        <f>[1]tanks!W35</f>
        <v>3012.2580645161288</v>
      </c>
      <c r="X5" s="520">
        <f>[1]tanks!X35</f>
        <v>0.45161290322580644</v>
      </c>
      <c r="Y5" s="550">
        <f>[1]tanks!Y35</f>
        <v>33134.838709677417</v>
      </c>
      <c r="Z5" s="550">
        <f>[1]tanks!Z35</f>
        <v>147</v>
      </c>
      <c r="AA5" s="550">
        <f>[1]tanks!AA35</f>
        <v>1470</v>
      </c>
      <c r="AB5" s="550">
        <f>[1]tanks!AB35</f>
        <v>147</v>
      </c>
      <c r="AC5" s="550">
        <f>[1]tanks!AC35</f>
        <v>1470</v>
      </c>
      <c r="AD5" s="550">
        <f>[1]tanks!AD35</f>
        <v>147</v>
      </c>
      <c r="AE5" s="550">
        <f>[1]tanks!AE35</f>
        <v>1470</v>
      </c>
      <c r="AF5" s="550">
        <f>[1]tanks!AF35</f>
        <v>147</v>
      </c>
      <c r="AG5" s="550">
        <f>[1]tanks!AG35</f>
        <v>1470</v>
      </c>
      <c r="AH5" s="550">
        <f>[1]tanks!AH35</f>
        <v>147</v>
      </c>
      <c r="AI5" s="550">
        <f>[1]tanks!AI35</f>
        <v>1470</v>
      </c>
      <c r="AJ5" s="550">
        <f>[1]tanks!AJ35</f>
        <v>147</v>
      </c>
      <c r="AK5" s="550">
        <f>[1]tanks!AK35</f>
        <v>1470</v>
      </c>
      <c r="AL5" s="550">
        <f>[1]tanks!AL35</f>
        <v>147</v>
      </c>
      <c r="AM5" s="550">
        <f>[1]tanks!AM35</f>
        <v>1470</v>
      </c>
      <c r="AN5" s="520">
        <f>[1]tanks!AN35</f>
        <v>0.52500000000000002</v>
      </c>
      <c r="AO5" s="550">
        <f>[1]tanks!AO35</f>
        <v>10290</v>
      </c>
      <c r="AP5" s="550">
        <f>[1]tanks!AP35</f>
        <v>0</v>
      </c>
      <c r="AQ5" s="520">
        <f>[1]tanks!AQ35</f>
        <v>0.46708442196060468</v>
      </c>
      <c r="AR5" s="550">
        <f>[1]tanks!AR35</f>
        <v>43424.838709677417</v>
      </c>
      <c r="AS5" s="550">
        <f>[1]tanks!AS35</f>
        <v>-3373.4516129032345</v>
      </c>
      <c r="AT5" s="550">
        <f>[1]tanks!AT35</f>
        <v>0</v>
      </c>
      <c r="AU5" s="550">
        <f>[1]tanks!AU35</f>
        <v>0</v>
      </c>
      <c r="AV5" s="550">
        <f>[1]tanks!AV35</f>
        <v>0.4128</v>
      </c>
      <c r="AW5" s="550">
        <f>[1]tanks!AW35</f>
        <v>-360</v>
      </c>
      <c r="AX5" s="550">
        <f>[1]tanks!AX35</f>
        <v>-3013.4516129032345</v>
      </c>
      <c r="AY5" s="550">
        <f>[1]tanks!AY35</f>
        <v>-3373.4516129032345</v>
      </c>
      <c r="AZ5" s="520">
        <f>[1]tanks!AZ35</f>
        <v>4.7800000000000002E-2</v>
      </c>
      <c r="BA5" s="550">
        <f>[1]tanks!BA35</f>
        <v>26</v>
      </c>
      <c r="BB5" s="520">
        <f>[1]tanks!BB35</f>
        <v>0.75</v>
      </c>
      <c r="BC5" s="550">
        <f>[2]tanks!BC36</f>
        <v>0</v>
      </c>
      <c r="BD5" s="550">
        <f>[2]tanks!BD36</f>
        <v>0</v>
      </c>
      <c r="BE5" s="550">
        <f>[2]tanks!BE36</f>
        <v>0</v>
      </c>
      <c r="BF5" s="550">
        <f>[2]tanks!BF36</f>
        <v>0</v>
      </c>
      <c r="BG5" s="550">
        <f>[2]tanks!BG36</f>
        <v>0</v>
      </c>
      <c r="BH5" s="550">
        <f>[2]tanks!BH36</f>
        <v>0</v>
      </c>
      <c r="BI5" s="206"/>
    </row>
    <row r="6" spans="1:61">
      <c r="A6" s="457">
        <f>ELEC!C3</f>
        <v>44013</v>
      </c>
      <c r="B6">
        <f>'B5'!B5</f>
        <v>183</v>
      </c>
      <c r="C6" s="206">
        <f>B6*$B$4</f>
        <v>3937.4516129032259</v>
      </c>
      <c r="D6">
        <f>SUM(B6)</f>
        <v>183</v>
      </c>
      <c r="E6" s="206">
        <f>D6*$B$4</f>
        <v>3937.4516129032259</v>
      </c>
      <c r="F6">
        <f>SUM(D6)</f>
        <v>183</v>
      </c>
      <c r="G6" s="206">
        <f t="shared" ref="G6:G35" si="1">F6*$B$4</f>
        <v>3937.4516129032259</v>
      </c>
      <c r="H6" s="206">
        <f>SUM(F6)</f>
        <v>183</v>
      </c>
      <c r="I6" s="206">
        <f t="shared" ref="I6:I35" si="2">H6*$B$4</f>
        <v>3937.4516129032259</v>
      </c>
      <c r="J6" s="206">
        <f>SUM(H6)</f>
        <v>183</v>
      </c>
      <c r="K6" s="206">
        <f t="shared" ref="K6:K35" si="3">J6*$B$4</f>
        <v>3937.4516129032259</v>
      </c>
      <c r="L6" s="206">
        <f>SUM(J6)</f>
        <v>183</v>
      </c>
      <c r="M6" s="206">
        <f t="shared" ref="M6:M35" si="4">L6*$B$4</f>
        <v>3937.4516129032259</v>
      </c>
      <c r="N6" s="206">
        <f>SUM(L6)</f>
        <v>183</v>
      </c>
      <c r="O6" s="206">
        <f t="shared" ref="O6:O35" si="5">N6*$B$4</f>
        <v>3937.4516129032259</v>
      </c>
      <c r="P6" s="206">
        <f>SUM(N6)</f>
        <v>183</v>
      </c>
      <c r="Q6" s="206">
        <f t="shared" ref="Q6:Q35" si="6">P6*$B$4</f>
        <v>3937.4516129032259</v>
      </c>
      <c r="R6" s="206">
        <f>SUM(P6)</f>
        <v>183</v>
      </c>
      <c r="S6" s="206">
        <f t="shared" ref="S6:S35" si="7">R6*$B$4</f>
        <v>3937.4516129032259</v>
      </c>
      <c r="T6" s="206">
        <f>SUM(R6)</f>
        <v>183</v>
      </c>
      <c r="U6" s="206">
        <f t="shared" ref="U6:U35" si="8">T6*$B$4</f>
        <v>3937.4516129032259</v>
      </c>
      <c r="V6" s="206">
        <f>SUM(T6)</f>
        <v>183</v>
      </c>
      <c r="W6" s="206">
        <f t="shared" ref="W6:W35" si="9">V6*$B$4</f>
        <v>3937.4516129032259</v>
      </c>
      <c r="X6" s="35">
        <f t="shared" ref="X6:X29" si="10">SUM(Y6/73370)</f>
        <v>0.59032258064516141</v>
      </c>
      <c r="Y6" s="36">
        <f>SUM(C6+E6+G6+I6+K6+M6+O6+Q6+S6+U6+W6)</f>
        <v>43311.967741935492</v>
      </c>
      <c r="Z6" s="206">
        <f>'B5'!C5</f>
        <v>190</v>
      </c>
      <c r="AA6" s="206">
        <f>SUM(Z6*$Z$4)</f>
        <v>1900</v>
      </c>
      <c r="AB6" s="206">
        <f>SUM(Z6)</f>
        <v>190</v>
      </c>
      <c r="AC6" s="206">
        <f>SUM(AB6*$Z$4)</f>
        <v>1900</v>
      </c>
      <c r="AD6" s="206">
        <f>SUM(AB6)</f>
        <v>190</v>
      </c>
      <c r="AE6" s="206">
        <f t="shared" ref="AE6:AE35" si="11">SUM(AD6*$Z$4)</f>
        <v>1900</v>
      </c>
      <c r="AF6" s="206">
        <f>SUM(AD6)</f>
        <v>190</v>
      </c>
      <c r="AG6" s="206">
        <f t="shared" ref="AG6:AG35" si="12">SUM(AF6*$Z$4)</f>
        <v>1900</v>
      </c>
      <c r="AH6" s="206">
        <f>SUM(AF6)</f>
        <v>190</v>
      </c>
      <c r="AI6" s="206">
        <f t="shared" ref="AI6:AI35" si="13">SUM(AH6*$Z$4)</f>
        <v>1900</v>
      </c>
      <c r="AJ6" s="206">
        <f>SUM(AH6)</f>
        <v>190</v>
      </c>
      <c r="AK6" s="206">
        <f t="shared" ref="AK6:AK35" si="14">SUM(AJ6*$Z$4)</f>
        <v>1900</v>
      </c>
      <c r="AL6" s="206">
        <f>SUM(AJ6)</f>
        <v>190</v>
      </c>
      <c r="AM6" s="206">
        <f t="shared" ref="AM6:AM35" si="15">SUM(AL6*$Z$4)</f>
        <v>1900</v>
      </c>
      <c r="AN6" s="35">
        <f t="shared" ref="AN6:AN29" si="16">SUM(AO6/19600)</f>
        <v>0.6785714285714286</v>
      </c>
      <c r="AO6" s="36">
        <f t="shared" ref="AO6:AO29" si="17">SUM(AA6+AC6+AE6+AG6+AI6+AK6+AM6)</f>
        <v>13300</v>
      </c>
      <c r="AQ6" s="226">
        <f>SUM(AR6/92970)</f>
        <v>0.60892726408449493</v>
      </c>
      <c r="AR6" s="38">
        <f>SUM(AO6+Y6)</f>
        <v>56611.967741935492</v>
      </c>
      <c r="AS6" s="200">
        <f>SUM(AR6-AR5-AT6)</f>
        <v>-2560.8709677419247</v>
      </c>
      <c r="AT6" s="365">
        <v>15748</v>
      </c>
      <c r="AU6" s="449">
        <v>0.46239999999999998</v>
      </c>
      <c r="AV6" s="535">
        <f>IF(AT6&gt;0,AU6,AV5)</f>
        <v>0.46239999999999998</v>
      </c>
      <c r="AW6" s="298">
        <f>-SUM('B5'!AI5)</f>
        <v>-417</v>
      </c>
      <c r="AX6" s="298">
        <f>-SUM(AW6-AS6)</f>
        <v>-2143.8709677419247</v>
      </c>
      <c r="AY6" s="37">
        <f>SUM(AX6+AW6)</f>
        <v>-2560.8709677419247</v>
      </c>
      <c r="AZ6" s="100">
        <f>ELEC!A3</f>
        <v>5.6500000000000002E-2</v>
      </c>
      <c r="BA6" s="118">
        <f>'General information '!D6</f>
        <v>26</v>
      </c>
      <c r="BB6" s="288">
        <f>SUM('General information '!E6)</f>
        <v>0.7</v>
      </c>
      <c r="BC6" s="3">
        <f>IF(AR3&gt;=AR6,0,1)</f>
        <v>0</v>
      </c>
      <c r="BD6" s="102">
        <v>19222</v>
      </c>
      <c r="BE6" s="14">
        <f>(305/1185)*ELEC!Q4</f>
        <v>3345.9915611814349</v>
      </c>
      <c r="BF6" s="14"/>
      <c r="BG6" s="14" t="e">
        <f>#REF!-BE6</f>
        <v>#REF!</v>
      </c>
      <c r="BH6" s="11">
        <v>21</v>
      </c>
    </row>
    <row r="7" spans="1:61">
      <c r="A7" s="457">
        <f>ELEC!C4</f>
        <v>44014</v>
      </c>
      <c r="B7">
        <f>'B5'!B6</f>
        <v>165</v>
      </c>
      <c r="C7" s="206">
        <f t="shared" ref="C7:E35" si="18">B7*$B$4</f>
        <v>3550.1612903225805</v>
      </c>
      <c r="D7">
        <f t="shared" ref="D7:D29" si="19">SUM(B7)</f>
        <v>165</v>
      </c>
      <c r="E7" s="206">
        <f t="shared" si="18"/>
        <v>3550.1612903225805</v>
      </c>
      <c r="F7">
        <f t="shared" ref="F7:F29" si="20">SUM(D7)</f>
        <v>165</v>
      </c>
      <c r="G7" s="206">
        <f t="shared" si="1"/>
        <v>3550.1612903225805</v>
      </c>
      <c r="H7" s="206">
        <f t="shared" ref="H7:H29" si="21">SUM(F7)</f>
        <v>165</v>
      </c>
      <c r="I7" s="206">
        <f t="shared" si="2"/>
        <v>3550.1612903225805</v>
      </c>
      <c r="J7" s="206">
        <f t="shared" ref="J7:J29" si="22">SUM(H7)</f>
        <v>165</v>
      </c>
      <c r="K7" s="206">
        <f t="shared" si="3"/>
        <v>3550.1612903225805</v>
      </c>
      <c r="L7" s="206">
        <f t="shared" ref="L7:L29" si="23">SUM(J7)</f>
        <v>165</v>
      </c>
      <c r="M7" s="206">
        <f t="shared" si="4"/>
        <v>3550.1612903225805</v>
      </c>
      <c r="N7" s="206">
        <f t="shared" ref="N7:N29" si="24">SUM(L7)</f>
        <v>165</v>
      </c>
      <c r="O7" s="206">
        <f t="shared" si="5"/>
        <v>3550.1612903225805</v>
      </c>
      <c r="P7" s="206">
        <f t="shared" ref="P7:P29" si="25">SUM(N7)</f>
        <v>165</v>
      </c>
      <c r="Q7" s="206">
        <f t="shared" si="6"/>
        <v>3550.1612903225805</v>
      </c>
      <c r="R7" s="206">
        <f t="shared" ref="R7:R29" si="26">SUM(P7)</f>
        <v>165</v>
      </c>
      <c r="S7" s="206">
        <f t="shared" si="7"/>
        <v>3550.1612903225805</v>
      </c>
      <c r="T7" s="206">
        <f t="shared" ref="T7:T29" si="27">SUM(R7)</f>
        <v>165</v>
      </c>
      <c r="U7" s="206">
        <f t="shared" si="8"/>
        <v>3550.1612903225805</v>
      </c>
      <c r="V7" s="206">
        <f t="shared" ref="V7:V29" si="28">SUM(T7)</f>
        <v>165</v>
      </c>
      <c r="W7" s="206">
        <f t="shared" si="9"/>
        <v>3550.1612903225805</v>
      </c>
      <c r="X7" s="35">
        <f t="shared" si="10"/>
        <v>0.532258064516129</v>
      </c>
      <c r="Y7" s="36">
        <f t="shared" ref="Y7:Y29" si="29">SUM(C7+E7+G7+I7+K7+M7+O7+Q7+S7+U7+W7)</f>
        <v>39051.774193548386</v>
      </c>
      <c r="Z7" s="206">
        <f>'B5'!C6</f>
        <v>172</v>
      </c>
      <c r="AA7" s="206">
        <f t="shared" ref="AA7:AC35" si="30">SUM(Z7*$Z$4)</f>
        <v>1720</v>
      </c>
      <c r="AB7" s="206">
        <f t="shared" ref="AB7:AB29" si="31">SUM(Z7)</f>
        <v>172</v>
      </c>
      <c r="AC7" s="206">
        <f t="shared" si="30"/>
        <v>1720</v>
      </c>
      <c r="AD7" s="206">
        <f t="shared" ref="AD7:AD29" si="32">SUM(AB7)</f>
        <v>172</v>
      </c>
      <c r="AE7" s="206">
        <f t="shared" si="11"/>
        <v>1720</v>
      </c>
      <c r="AF7" s="206">
        <f t="shared" ref="AF7:AF29" si="33">SUM(AD7)</f>
        <v>172</v>
      </c>
      <c r="AG7" s="206">
        <f t="shared" si="12"/>
        <v>1720</v>
      </c>
      <c r="AH7" s="206">
        <f t="shared" ref="AH7:AH29" si="34">SUM(AF7)</f>
        <v>172</v>
      </c>
      <c r="AI7" s="206">
        <f t="shared" si="13"/>
        <v>1720</v>
      </c>
      <c r="AJ7" s="206">
        <f t="shared" ref="AJ7:AJ29" si="35">SUM(AH7)</f>
        <v>172</v>
      </c>
      <c r="AK7" s="206">
        <f t="shared" si="14"/>
        <v>1720</v>
      </c>
      <c r="AL7" s="206">
        <f t="shared" ref="AL7:AL29" si="36">SUM(AJ7)</f>
        <v>172</v>
      </c>
      <c r="AM7" s="206">
        <f t="shared" si="15"/>
        <v>1720</v>
      </c>
      <c r="AN7" s="35">
        <f t="shared" si="16"/>
        <v>0.61428571428571432</v>
      </c>
      <c r="AO7" s="36">
        <f t="shared" si="17"/>
        <v>12040</v>
      </c>
      <c r="AQ7" s="226">
        <f t="shared" ref="AQ7:AQ33" si="37">SUM(AR7/92970)</f>
        <v>0.54955119063728497</v>
      </c>
      <c r="AR7" s="38">
        <f>SUM(AO7+Y7)</f>
        <v>51091.774193548386</v>
      </c>
      <c r="AS7" s="200">
        <f t="shared" ref="AS7:AS35" si="38">SUM(AR7-AR6-AT7)</f>
        <v>-5520.1935483871057</v>
      </c>
      <c r="AT7" s="277"/>
      <c r="AU7" s="506"/>
      <c r="AV7" s="535">
        <f>IF(AT7&gt;0,AU7,AV6)</f>
        <v>0.46239999999999998</v>
      </c>
      <c r="AW7" s="298">
        <f>-SUM('B5'!AI6)</f>
        <v>-735</v>
      </c>
      <c r="AX7" s="298">
        <f t="shared" ref="AX7:AX35" si="39">-SUM(AW7-AS7)</f>
        <v>-4785.1935483871057</v>
      </c>
      <c r="AY7" s="37">
        <f t="shared" ref="AY7:AY35" si="40">SUM(AX7+AW7)</f>
        <v>-5520.1935483871057</v>
      </c>
      <c r="AZ7" s="100">
        <f>ELEC!A4</f>
        <v>3.9E-2</v>
      </c>
      <c r="BA7" s="118">
        <f>'General information '!D7</f>
        <v>26</v>
      </c>
      <c r="BB7" s="404">
        <f>SUM('General information '!E7)</f>
        <v>0.62</v>
      </c>
      <c r="BC7" s="3">
        <v>0</v>
      </c>
      <c r="BD7" s="102">
        <v>19222</v>
      </c>
      <c r="BE7" s="14">
        <f>(305/1185)*ELEC!Q5</f>
        <v>3603.3755274261607</v>
      </c>
      <c r="BF7" s="14"/>
      <c r="BG7" s="14" t="e">
        <f>#REF!-BE7</f>
        <v>#REF!</v>
      </c>
      <c r="BH7" s="11">
        <v>19</v>
      </c>
    </row>
    <row r="8" spans="1:61">
      <c r="A8" s="457">
        <f>ELEC!C5</f>
        <v>44015</v>
      </c>
      <c r="B8">
        <f>'B5'!B7</f>
        <v>149</v>
      </c>
      <c r="C8" s="206">
        <f t="shared" si="18"/>
        <v>3205.9032258064517</v>
      </c>
      <c r="D8">
        <f t="shared" si="19"/>
        <v>149</v>
      </c>
      <c r="E8" s="206">
        <f t="shared" si="18"/>
        <v>3205.9032258064517</v>
      </c>
      <c r="F8">
        <f t="shared" si="20"/>
        <v>149</v>
      </c>
      <c r="G8" s="206">
        <f t="shared" si="1"/>
        <v>3205.9032258064517</v>
      </c>
      <c r="H8" s="206">
        <f t="shared" si="21"/>
        <v>149</v>
      </c>
      <c r="I8" s="206">
        <f t="shared" si="2"/>
        <v>3205.9032258064517</v>
      </c>
      <c r="J8" s="206">
        <f t="shared" si="22"/>
        <v>149</v>
      </c>
      <c r="K8" s="206">
        <f t="shared" si="3"/>
        <v>3205.9032258064517</v>
      </c>
      <c r="L8" s="206">
        <f t="shared" si="23"/>
        <v>149</v>
      </c>
      <c r="M8" s="206">
        <f t="shared" si="4"/>
        <v>3205.9032258064517</v>
      </c>
      <c r="N8" s="206">
        <f t="shared" si="24"/>
        <v>149</v>
      </c>
      <c r="O8" s="206">
        <f t="shared" si="5"/>
        <v>3205.9032258064517</v>
      </c>
      <c r="P8" s="206">
        <f t="shared" si="25"/>
        <v>149</v>
      </c>
      <c r="Q8" s="206">
        <f t="shared" si="6"/>
        <v>3205.9032258064517</v>
      </c>
      <c r="R8" s="206">
        <f t="shared" si="26"/>
        <v>149</v>
      </c>
      <c r="S8" s="206">
        <f t="shared" si="7"/>
        <v>3205.9032258064517</v>
      </c>
      <c r="T8" s="206">
        <f t="shared" si="27"/>
        <v>149</v>
      </c>
      <c r="U8" s="206">
        <f t="shared" si="8"/>
        <v>3205.9032258064517</v>
      </c>
      <c r="V8" s="206">
        <f t="shared" si="28"/>
        <v>149</v>
      </c>
      <c r="W8" s="206">
        <f t="shared" si="9"/>
        <v>3205.9032258064517</v>
      </c>
      <c r="X8" s="35">
        <f t="shared" si="10"/>
        <v>0.48064516129032253</v>
      </c>
      <c r="Y8" s="36">
        <f t="shared" si="29"/>
        <v>35264.935483870962</v>
      </c>
      <c r="Z8" s="206">
        <f>'B5'!C7</f>
        <v>158</v>
      </c>
      <c r="AA8" s="206">
        <f t="shared" si="30"/>
        <v>1580</v>
      </c>
      <c r="AB8" s="206">
        <f t="shared" si="31"/>
        <v>158</v>
      </c>
      <c r="AC8" s="206">
        <f t="shared" si="30"/>
        <v>1580</v>
      </c>
      <c r="AD8" s="206">
        <f t="shared" si="32"/>
        <v>158</v>
      </c>
      <c r="AE8" s="206">
        <f t="shared" si="11"/>
        <v>1580</v>
      </c>
      <c r="AF8" s="206">
        <f t="shared" si="33"/>
        <v>158</v>
      </c>
      <c r="AG8" s="206">
        <f t="shared" si="12"/>
        <v>1580</v>
      </c>
      <c r="AH8" s="206">
        <f t="shared" si="34"/>
        <v>158</v>
      </c>
      <c r="AI8" s="206">
        <f t="shared" si="13"/>
        <v>1580</v>
      </c>
      <c r="AJ8" s="206">
        <f t="shared" si="35"/>
        <v>158</v>
      </c>
      <c r="AK8" s="206">
        <f t="shared" si="14"/>
        <v>1580</v>
      </c>
      <c r="AL8" s="206">
        <f t="shared" si="36"/>
        <v>158</v>
      </c>
      <c r="AM8" s="206">
        <f t="shared" si="15"/>
        <v>1580</v>
      </c>
      <c r="AN8" s="35">
        <f t="shared" si="16"/>
        <v>0.56428571428571428</v>
      </c>
      <c r="AO8" s="36">
        <f t="shared" si="17"/>
        <v>11060</v>
      </c>
      <c r="AQ8" s="226">
        <f t="shared" si="37"/>
        <v>0.49827832079026529</v>
      </c>
      <c r="AR8" s="38">
        <f t="shared" ref="AR8:AR35" si="41">SUM(AO8+Y8)</f>
        <v>46324.935483870962</v>
      </c>
      <c r="AS8" s="200">
        <f t="shared" si="38"/>
        <v>-4766.838709677424</v>
      </c>
      <c r="AT8" s="365"/>
      <c r="AU8" s="449"/>
      <c r="AV8" s="535">
        <f t="shared" ref="AV8:AV34" si="42">IF(AT8&gt;0,AU8,AV7)</f>
        <v>0.46239999999999998</v>
      </c>
      <c r="AW8" s="298">
        <f>-SUM('B5'!AI7)</f>
        <v>-388</v>
      </c>
      <c r="AX8" s="298">
        <f t="shared" si="39"/>
        <v>-4378.838709677424</v>
      </c>
      <c r="AY8" s="37">
        <f t="shared" si="40"/>
        <v>-4766.838709677424</v>
      </c>
      <c r="AZ8" s="100">
        <f>ELEC!A5</f>
        <v>8.6999999999999994E-2</v>
      </c>
      <c r="BA8" s="118">
        <f>'General information '!D8</f>
        <v>26.5</v>
      </c>
      <c r="BB8" s="404">
        <f>SUM('General information '!E8)</f>
        <v>0.65</v>
      </c>
      <c r="BC8" s="3">
        <f t="shared" ref="BC8:BC33" si="43">IF(AR7&gt;=AR8,0,1)</f>
        <v>0</v>
      </c>
      <c r="BD8" s="102">
        <v>19222</v>
      </c>
      <c r="BE8" s="14">
        <f>(305/1185)*ELEC!Q6</f>
        <v>4118.1434599156119</v>
      </c>
      <c r="BF8" s="14"/>
      <c r="BG8" s="14" t="e">
        <f>#REF!-BE8</f>
        <v>#REF!</v>
      </c>
      <c r="BH8" s="11">
        <v>16</v>
      </c>
    </row>
    <row r="9" spans="1:61">
      <c r="A9" s="457">
        <f>ELEC!C6</f>
        <v>44016</v>
      </c>
      <c r="B9">
        <f>'B5'!B8</f>
        <v>131</v>
      </c>
      <c r="C9" s="206">
        <f t="shared" si="18"/>
        <v>2818.6129032258063</v>
      </c>
      <c r="D9">
        <f t="shared" si="19"/>
        <v>131</v>
      </c>
      <c r="E9" s="206">
        <f t="shared" si="18"/>
        <v>2818.6129032258063</v>
      </c>
      <c r="F9">
        <f t="shared" si="20"/>
        <v>131</v>
      </c>
      <c r="G9" s="206">
        <f t="shared" si="1"/>
        <v>2818.6129032258063</v>
      </c>
      <c r="H9" s="206">
        <f t="shared" si="21"/>
        <v>131</v>
      </c>
      <c r="I9" s="206">
        <f t="shared" si="2"/>
        <v>2818.6129032258063</v>
      </c>
      <c r="J9" s="206">
        <f t="shared" si="22"/>
        <v>131</v>
      </c>
      <c r="K9" s="206">
        <f t="shared" si="3"/>
        <v>2818.6129032258063</v>
      </c>
      <c r="L9" s="206">
        <f t="shared" si="23"/>
        <v>131</v>
      </c>
      <c r="M9" s="206">
        <f t="shared" si="4"/>
        <v>2818.6129032258063</v>
      </c>
      <c r="N9" s="206">
        <f t="shared" si="24"/>
        <v>131</v>
      </c>
      <c r="O9" s="206">
        <f t="shared" si="5"/>
        <v>2818.6129032258063</v>
      </c>
      <c r="P9" s="206">
        <f t="shared" si="25"/>
        <v>131</v>
      </c>
      <c r="Q9" s="206">
        <f t="shared" si="6"/>
        <v>2818.6129032258063</v>
      </c>
      <c r="R9" s="206">
        <f t="shared" si="26"/>
        <v>131</v>
      </c>
      <c r="S9" s="206">
        <f t="shared" si="7"/>
        <v>2818.6129032258063</v>
      </c>
      <c r="T9" s="206">
        <f t="shared" si="27"/>
        <v>131</v>
      </c>
      <c r="U9" s="206">
        <f t="shared" si="8"/>
        <v>2818.6129032258063</v>
      </c>
      <c r="V9" s="206">
        <f t="shared" si="28"/>
        <v>131</v>
      </c>
      <c r="W9" s="206">
        <f t="shared" si="9"/>
        <v>2818.6129032258063</v>
      </c>
      <c r="X9" s="35">
        <f t="shared" si="10"/>
        <v>0.42258064516129035</v>
      </c>
      <c r="Y9" s="36">
        <f t="shared" si="29"/>
        <v>31004.741935483871</v>
      </c>
      <c r="Z9" s="206">
        <f>'B5'!C8</f>
        <v>141.5</v>
      </c>
      <c r="AA9" s="206">
        <f t="shared" si="30"/>
        <v>1415</v>
      </c>
      <c r="AB9" s="206">
        <f t="shared" si="31"/>
        <v>141.5</v>
      </c>
      <c r="AC9" s="206">
        <f t="shared" si="30"/>
        <v>1415</v>
      </c>
      <c r="AD9" s="206">
        <f t="shared" si="32"/>
        <v>141.5</v>
      </c>
      <c r="AE9" s="206">
        <f t="shared" si="11"/>
        <v>1415</v>
      </c>
      <c r="AF9" s="206">
        <f t="shared" si="33"/>
        <v>141.5</v>
      </c>
      <c r="AG9" s="206">
        <f t="shared" si="12"/>
        <v>1415</v>
      </c>
      <c r="AH9" s="206">
        <f t="shared" si="34"/>
        <v>141.5</v>
      </c>
      <c r="AI9" s="206">
        <f t="shared" si="13"/>
        <v>1415</v>
      </c>
      <c r="AJ9" s="206">
        <f t="shared" si="35"/>
        <v>141.5</v>
      </c>
      <c r="AK9" s="206">
        <f t="shared" si="14"/>
        <v>1415</v>
      </c>
      <c r="AL9" s="206">
        <f t="shared" si="36"/>
        <v>141.5</v>
      </c>
      <c r="AM9" s="206">
        <f t="shared" si="15"/>
        <v>1415</v>
      </c>
      <c r="AN9" s="35">
        <f t="shared" si="16"/>
        <v>0.50535714285714284</v>
      </c>
      <c r="AO9" s="36">
        <f>SUM(AA9+AC9+AE9+AG9+AI9+AK9+AM9)</f>
        <v>9905</v>
      </c>
      <c r="AQ9" s="226">
        <f t="shared" si="37"/>
        <v>0.4400316439225973</v>
      </c>
      <c r="AR9" s="38">
        <f t="shared" si="41"/>
        <v>40909.741935483871</v>
      </c>
      <c r="AS9" s="200">
        <f t="shared" si="38"/>
        <v>-5415.1935483870911</v>
      </c>
      <c r="AT9" s="365"/>
      <c r="AU9" s="449"/>
      <c r="AV9" s="535">
        <f t="shared" si="42"/>
        <v>0.46239999999999998</v>
      </c>
      <c r="AW9" s="298">
        <f>-SUM('B5'!AI8)</f>
        <v>-534</v>
      </c>
      <c r="AX9" s="298">
        <f>-SUM(AW9-AS9)</f>
        <v>-4881.1935483870911</v>
      </c>
      <c r="AY9" s="37">
        <f t="shared" si="40"/>
        <v>-5415.1935483870911</v>
      </c>
      <c r="AZ9" s="100">
        <f>ELEC!A6</f>
        <v>8.6999999999999994E-2</v>
      </c>
      <c r="BA9" s="118">
        <f>'General information '!D9</f>
        <v>26</v>
      </c>
      <c r="BB9" s="404">
        <f>SUM('General information '!E9)</f>
        <v>0.66</v>
      </c>
      <c r="BC9" s="3">
        <f t="shared" si="43"/>
        <v>0</v>
      </c>
      <c r="BD9" s="102">
        <v>19222</v>
      </c>
      <c r="BE9" s="14">
        <f>(305/1185)*ELEC!Q7</f>
        <v>3860.7594936708865</v>
      </c>
      <c r="BF9" s="14"/>
      <c r="BG9" s="14" t="e">
        <f>#REF!-BE9</f>
        <v>#REF!</v>
      </c>
      <c r="BH9" s="11">
        <v>18</v>
      </c>
    </row>
    <row r="10" spans="1:61">
      <c r="A10" s="457">
        <f>ELEC!C7</f>
        <v>44017</v>
      </c>
      <c r="B10">
        <f>'B5'!B9</f>
        <v>113</v>
      </c>
      <c r="C10" s="206">
        <f t="shared" si="18"/>
        <v>2431.3225806451615</v>
      </c>
      <c r="D10">
        <f t="shared" si="19"/>
        <v>113</v>
      </c>
      <c r="E10" s="206">
        <f t="shared" si="18"/>
        <v>2431.3225806451615</v>
      </c>
      <c r="F10">
        <f t="shared" si="20"/>
        <v>113</v>
      </c>
      <c r="G10" s="206">
        <f t="shared" si="1"/>
        <v>2431.3225806451615</v>
      </c>
      <c r="H10" s="206">
        <f t="shared" si="21"/>
        <v>113</v>
      </c>
      <c r="I10" s="206">
        <f t="shared" si="2"/>
        <v>2431.3225806451615</v>
      </c>
      <c r="J10" s="206">
        <f t="shared" si="22"/>
        <v>113</v>
      </c>
      <c r="K10" s="206">
        <f t="shared" si="3"/>
        <v>2431.3225806451615</v>
      </c>
      <c r="L10" s="206">
        <f t="shared" si="23"/>
        <v>113</v>
      </c>
      <c r="M10" s="206">
        <f t="shared" si="4"/>
        <v>2431.3225806451615</v>
      </c>
      <c r="N10" s="206">
        <f t="shared" si="24"/>
        <v>113</v>
      </c>
      <c r="O10" s="206">
        <f t="shared" si="5"/>
        <v>2431.3225806451615</v>
      </c>
      <c r="P10" s="206">
        <f t="shared" si="25"/>
        <v>113</v>
      </c>
      <c r="Q10" s="206">
        <f t="shared" si="6"/>
        <v>2431.3225806451615</v>
      </c>
      <c r="R10" s="206">
        <f t="shared" si="26"/>
        <v>113</v>
      </c>
      <c r="S10" s="206">
        <f t="shared" si="7"/>
        <v>2431.3225806451615</v>
      </c>
      <c r="T10" s="206">
        <f t="shared" si="27"/>
        <v>113</v>
      </c>
      <c r="U10" s="206">
        <f t="shared" si="8"/>
        <v>2431.3225806451615</v>
      </c>
      <c r="V10" s="206">
        <f t="shared" si="28"/>
        <v>113</v>
      </c>
      <c r="W10" s="206">
        <f t="shared" si="9"/>
        <v>2431.3225806451615</v>
      </c>
      <c r="X10" s="35">
        <f t="shared" si="10"/>
        <v>0.36451612903225816</v>
      </c>
      <c r="Y10" s="36">
        <f t="shared" si="29"/>
        <v>26744.54838709678</v>
      </c>
      <c r="Z10" s="206">
        <f>'B5'!C9</f>
        <v>125</v>
      </c>
      <c r="AA10" s="206">
        <f t="shared" si="30"/>
        <v>1250</v>
      </c>
      <c r="AB10" s="206">
        <f t="shared" si="31"/>
        <v>125</v>
      </c>
      <c r="AC10" s="206">
        <f t="shared" si="30"/>
        <v>1250</v>
      </c>
      <c r="AD10" s="206">
        <f t="shared" si="32"/>
        <v>125</v>
      </c>
      <c r="AE10" s="206">
        <f t="shared" si="11"/>
        <v>1250</v>
      </c>
      <c r="AF10" s="206">
        <f t="shared" si="33"/>
        <v>125</v>
      </c>
      <c r="AG10" s="206">
        <f t="shared" si="12"/>
        <v>1250</v>
      </c>
      <c r="AH10" s="206">
        <f t="shared" si="34"/>
        <v>125</v>
      </c>
      <c r="AI10" s="206">
        <f t="shared" si="13"/>
        <v>1250</v>
      </c>
      <c r="AJ10" s="206">
        <f t="shared" si="35"/>
        <v>125</v>
      </c>
      <c r="AK10" s="206">
        <f t="shared" si="14"/>
        <v>1250</v>
      </c>
      <c r="AL10" s="206">
        <f t="shared" si="36"/>
        <v>125</v>
      </c>
      <c r="AM10" s="206">
        <f t="shared" si="15"/>
        <v>1250</v>
      </c>
      <c r="AN10" s="35">
        <f t="shared" si="16"/>
        <v>0.44642857142857145</v>
      </c>
      <c r="AO10" s="36">
        <f t="shared" si="17"/>
        <v>8750</v>
      </c>
      <c r="AQ10" s="226">
        <f t="shared" si="37"/>
        <v>0.38178496705492931</v>
      </c>
      <c r="AR10" s="38">
        <f t="shared" si="41"/>
        <v>35494.54838709678</v>
      </c>
      <c r="AS10" s="200">
        <f>SUM(AR10-AR9-AT10)</f>
        <v>-5415.1935483870911</v>
      </c>
      <c r="AT10" s="365"/>
      <c r="AU10" s="449"/>
      <c r="AV10" s="535">
        <f>IF(AT10&gt;0,AU10,AV9)</f>
        <v>0.46239999999999998</v>
      </c>
      <c r="AW10" s="298">
        <f>-SUM('B5'!AI9)</f>
        <v>-338</v>
      </c>
      <c r="AX10" s="298">
        <f>-SUM(AW10-AS10)</f>
        <v>-5077.1935483870911</v>
      </c>
      <c r="AY10" s="37">
        <f t="shared" si="40"/>
        <v>-5415.1935483870911</v>
      </c>
      <c r="AZ10" s="100">
        <f>ELEC!A7</f>
        <v>7.8299999999999995E-2</v>
      </c>
      <c r="BA10" s="118">
        <f>'General information '!D10</f>
        <v>28</v>
      </c>
      <c r="BB10" s="404">
        <f>SUM('General information '!E10)</f>
        <v>0.7</v>
      </c>
      <c r="BC10" s="3">
        <f t="shared" si="43"/>
        <v>0</v>
      </c>
      <c r="BD10" s="102">
        <v>19222</v>
      </c>
      <c r="BE10" s="14">
        <f>(305/1185)*ELEC!Q8</f>
        <v>4632.9113924050635</v>
      </c>
      <c r="BF10" s="14"/>
      <c r="BG10" s="14" t="e">
        <f>#REF!-BE10</f>
        <v>#REF!</v>
      </c>
      <c r="BH10" s="11">
        <v>16</v>
      </c>
    </row>
    <row r="11" spans="1:61">
      <c r="A11" s="457">
        <f>ELEC!C8</f>
        <v>44018</v>
      </c>
      <c r="B11">
        <f>'B5'!B10</f>
        <v>136</v>
      </c>
      <c r="C11" s="206">
        <f t="shared" si="18"/>
        <v>2926.1935483870966</v>
      </c>
      <c r="D11">
        <f>SUM(B11)</f>
        <v>136</v>
      </c>
      <c r="E11" s="206">
        <f t="shared" si="18"/>
        <v>2926.1935483870966</v>
      </c>
      <c r="F11">
        <f>SUM(D11)</f>
        <v>136</v>
      </c>
      <c r="G11" s="206">
        <f t="shared" si="1"/>
        <v>2926.1935483870966</v>
      </c>
      <c r="H11" s="206">
        <f>SUM(F11)</f>
        <v>136</v>
      </c>
      <c r="I11" s="206">
        <f t="shared" si="2"/>
        <v>2926.1935483870966</v>
      </c>
      <c r="J11" s="206">
        <f>SUM(H11)</f>
        <v>136</v>
      </c>
      <c r="K11" s="206">
        <f t="shared" si="3"/>
        <v>2926.1935483870966</v>
      </c>
      <c r="L11" s="206">
        <f>SUM(J11)</f>
        <v>136</v>
      </c>
      <c r="M11" s="206">
        <f t="shared" si="4"/>
        <v>2926.1935483870966</v>
      </c>
      <c r="N11" s="206">
        <f>SUM(L11)</f>
        <v>136</v>
      </c>
      <c r="O11" s="206">
        <f t="shared" si="5"/>
        <v>2926.1935483870966</v>
      </c>
      <c r="P11" s="206">
        <f>SUM(N11)</f>
        <v>136</v>
      </c>
      <c r="Q11" s="206">
        <f t="shared" si="6"/>
        <v>2926.1935483870966</v>
      </c>
      <c r="R11" s="206">
        <f>SUM(P11)</f>
        <v>136</v>
      </c>
      <c r="S11" s="206">
        <f t="shared" si="7"/>
        <v>2926.1935483870966</v>
      </c>
      <c r="T11" s="206">
        <f>SUM(R11)</f>
        <v>136</v>
      </c>
      <c r="U11" s="206">
        <f t="shared" si="8"/>
        <v>2926.1935483870966</v>
      </c>
      <c r="V11" s="206">
        <f>SUM(T11)</f>
        <v>136</v>
      </c>
      <c r="W11" s="206">
        <f t="shared" si="9"/>
        <v>2926.1935483870966</v>
      </c>
      <c r="X11" s="35">
        <f>SUM(Y11/73370)</f>
        <v>0.4387096774193549</v>
      </c>
      <c r="Y11" s="36">
        <f>SUM(C11+E11+G11+I11+K11+M11+O11+Q11+S11+U11+W11)</f>
        <v>32188.129032258068</v>
      </c>
      <c r="Z11" s="206">
        <f>'B5'!C10</f>
        <v>143</v>
      </c>
      <c r="AA11" s="206">
        <f t="shared" si="30"/>
        <v>1430</v>
      </c>
      <c r="AB11" s="206">
        <f>SUM(Z11)</f>
        <v>143</v>
      </c>
      <c r="AC11" s="206">
        <f t="shared" si="30"/>
        <v>1430</v>
      </c>
      <c r="AD11" s="206">
        <f>SUM(AB11)</f>
        <v>143</v>
      </c>
      <c r="AE11" s="206">
        <f t="shared" si="11"/>
        <v>1430</v>
      </c>
      <c r="AF11" s="206">
        <f>SUM(AD11)</f>
        <v>143</v>
      </c>
      <c r="AG11" s="206">
        <f t="shared" si="12"/>
        <v>1430</v>
      </c>
      <c r="AH11" s="206">
        <f>SUM(AF11)</f>
        <v>143</v>
      </c>
      <c r="AI11" s="206">
        <f t="shared" si="13"/>
        <v>1430</v>
      </c>
      <c r="AJ11" s="206">
        <f>SUM(AH11)</f>
        <v>143</v>
      </c>
      <c r="AK11" s="206">
        <f t="shared" si="14"/>
        <v>1430</v>
      </c>
      <c r="AL11" s="206">
        <f>SUM(AJ11)</f>
        <v>143</v>
      </c>
      <c r="AM11" s="206">
        <f t="shared" si="15"/>
        <v>1430</v>
      </c>
      <c r="AN11" s="35">
        <f>SUM(AO11/19600)</f>
        <v>0.51071428571428568</v>
      </c>
      <c r="AO11" s="36">
        <f t="shared" si="17"/>
        <v>10010</v>
      </c>
      <c r="AP11" s="611"/>
      <c r="AQ11" s="226">
        <f t="shared" si="37"/>
        <v>0.45388973897233592</v>
      </c>
      <c r="AR11" s="38">
        <f t="shared" si="41"/>
        <v>42198.129032258068</v>
      </c>
      <c r="AS11" s="200">
        <f>SUM(AR11-AR10-AT11)</f>
        <v>-4633.419354838712</v>
      </c>
      <c r="AT11" s="365">
        <v>11337</v>
      </c>
      <c r="AU11" s="449">
        <v>0.46239999999999998</v>
      </c>
      <c r="AV11" s="535">
        <f>IF(AT11&gt;0,AU11,AV10)</f>
        <v>0.46239999999999998</v>
      </c>
      <c r="AW11" s="298">
        <f>-SUM('B5'!AI10)</f>
        <v>-430</v>
      </c>
      <c r="AX11" s="298">
        <f>-SUM(AW11-AS11)</f>
        <v>-4203.419354838712</v>
      </c>
      <c r="AY11" s="37">
        <f t="shared" si="40"/>
        <v>-4633.419354838712</v>
      </c>
      <c r="AZ11" s="100">
        <f>ELEC!A8</f>
        <v>8.2600000000000007E-2</v>
      </c>
      <c r="BA11" s="118">
        <f>'General information '!D11</f>
        <v>27</v>
      </c>
      <c r="BB11" s="404">
        <f>SUM('General information '!E11)</f>
        <v>0.69</v>
      </c>
      <c r="BC11" s="3">
        <f t="shared" si="43"/>
        <v>1</v>
      </c>
      <c r="BD11" s="102">
        <v>19222</v>
      </c>
      <c r="BE11" s="14">
        <f>(305/1185)*ELEC!Q9</f>
        <v>3860.7594936708865</v>
      </c>
      <c r="BF11" s="14"/>
      <c r="BG11" s="14" t="e">
        <f>#REF!-BE11</f>
        <v>#REF!</v>
      </c>
      <c r="BH11" s="11">
        <v>16.5</v>
      </c>
    </row>
    <row r="12" spans="1:61">
      <c r="A12" s="457">
        <f>ELEC!C9</f>
        <v>44019</v>
      </c>
      <c r="B12">
        <f>'B5'!B11</f>
        <v>118</v>
      </c>
      <c r="C12" s="206">
        <f t="shared" si="18"/>
        <v>2538.9032258064517</v>
      </c>
      <c r="D12">
        <f t="shared" si="19"/>
        <v>118</v>
      </c>
      <c r="E12" s="206">
        <f t="shared" si="18"/>
        <v>2538.9032258064517</v>
      </c>
      <c r="F12">
        <f t="shared" si="20"/>
        <v>118</v>
      </c>
      <c r="G12" s="206">
        <f t="shared" si="1"/>
        <v>2538.9032258064517</v>
      </c>
      <c r="H12" s="206">
        <f t="shared" si="21"/>
        <v>118</v>
      </c>
      <c r="I12" s="206">
        <f t="shared" si="2"/>
        <v>2538.9032258064517</v>
      </c>
      <c r="J12" s="206">
        <f t="shared" si="22"/>
        <v>118</v>
      </c>
      <c r="K12" s="206">
        <f t="shared" si="3"/>
        <v>2538.9032258064517</v>
      </c>
      <c r="L12" s="206">
        <f t="shared" si="23"/>
        <v>118</v>
      </c>
      <c r="M12" s="206">
        <f t="shared" si="4"/>
        <v>2538.9032258064517</v>
      </c>
      <c r="N12" s="206">
        <f t="shared" si="24"/>
        <v>118</v>
      </c>
      <c r="O12" s="206">
        <f t="shared" si="5"/>
        <v>2538.9032258064517</v>
      </c>
      <c r="P12" s="206">
        <f t="shared" si="25"/>
        <v>118</v>
      </c>
      <c r="Q12" s="206">
        <f t="shared" si="6"/>
        <v>2538.9032258064517</v>
      </c>
      <c r="R12" s="206">
        <f t="shared" si="26"/>
        <v>118</v>
      </c>
      <c r="S12" s="206">
        <f t="shared" si="7"/>
        <v>2538.9032258064517</v>
      </c>
      <c r="T12" s="206">
        <f t="shared" si="27"/>
        <v>118</v>
      </c>
      <c r="U12" s="206">
        <f t="shared" si="8"/>
        <v>2538.9032258064517</v>
      </c>
      <c r="V12" s="206">
        <f t="shared" si="28"/>
        <v>118</v>
      </c>
      <c r="W12" s="206">
        <f t="shared" si="9"/>
        <v>2538.9032258064517</v>
      </c>
      <c r="X12" s="35">
        <f t="shared" si="10"/>
        <v>0.3806451612903225</v>
      </c>
      <c r="Y12" s="36">
        <f t="shared" si="29"/>
        <v>27927.935483870962</v>
      </c>
      <c r="Z12" s="206">
        <f>'B5'!C11</f>
        <v>125.4</v>
      </c>
      <c r="AA12" s="206">
        <f t="shared" si="30"/>
        <v>1254</v>
      </c>
      <c r="AB12" s="206">
        <f t="shared" si="31"/>
        <v>125.4</v>
      </c>
      <c r="AC12" s="206">
        <f t="shared" si="30"/>
        <v>1254</v>
      </c>
      <c r="AD12" s="206">
        <f t="shared" si="32"/>
        <v>125.4</v>
      </c>
      <c r="AE12" s="206">
        <f t="shared" si="11"/>
        <v>1254</v>
      </c>
      <c r="AF12" s="206">
        <f t="shared" si="33"/>
        <v>125.4</v>
      </c>
      <c r="AG12" s="206">
        <f t="shared" si="12"/>
        <v>1254</v>
      </c>
      <c r="AH12" s="206">
        <f t="shared" si="34"/>
        <v>125.4</v>
      </c>
      <c r="AI12" s="206">
        <f t="shared" si="13"/>
        <v>1254</v>
      </c>
      <c r="AJ12" s="206">
        <f t="shared" si="35"/>
        <v>125.4</v>
      </c>
      <c r="AK12" s="206">
        <f t="shared" si="14"/>
        <v>1254</v>
      </c>
      <c r="AL12" s="206">
        <f t="shared" si="36"/>
        <v>125.4</v>
      </c>
      <c r="AM12" s="206">
        <f t="shared" si="15"/>
        <v>1254</v>
      </c>
      <c r="AN12" s="35">
        <f t="shared" si="16"/>
        <v>0.44785714285714284</v>
      </c>
      <c r="AO12" s="36">
        <f t="shared" si="17"/>
        <v>8778</v>
      </c>
      <c r="AP12" s="611"/>
      <c r="AQ12" s="226">
        <f t="shared" si="37"/>
        <v>0.39481483794633715</v>
      </c>
      <c r="AR12" s="38">
        <f t="shared" si="41"/>
        <v>36705.935483870962</v>
      </c>
      <c r="AS12" s="200">
        <f t="shared" si="38"/>
        <v>-5492.1935483871057</v>
      </c>
      <c r="AT12" s="277"/>
      <c r="AU12" s="492"/>
      <c r="AV12" s="535">
        <f t="shared" si="42"/>
        <v>0.46239999999999998</v>
      </c>
      <c r="AW12" s="298">
        <f>-SUM('B5'!AI11)</f>
        <v>-657</v>
      </c>
      <c r="AX12" s="298">
        <f t="shared" si="39"/>
        <v>-4835.1935483871057</v>
      </c>
      <c r="AY12" s="37">
        <f t="shared" si="40"/>
        <v>-5492.1935483871057</v>
      </c>
      <c r="AZ12" s="100">
        <f>ELEC!A9</f>
        <v>7.8299999999999995E-2</v>
      </c>
      <c r="BA12" s="118">
        <f>'General information '!D12</f>
        <v>26</v>
      </c>
      <c r="BB12" s="404">
        <f>SUM('General information '!E12)</f>
        <v>0.68</v>
      </c>
      <c r="BC12" s="3">
        <f t="shared" si="43"/>
        <v>0</v>
      </c>
      <c r="BD12" s="102">
        <v>19222</v>
      </c>
      <c r="BE12" s="14">
        <f>(305/1185)*ELEC!Q10</f>
        <v>3860.7594936708865</v>
      </c>
      <c r="BF12" s="14"/>
      <c r="BG12" s="14" t="e">
        <f>#REF!-BE12</f>
        <v>#REF!</v>
      </c>
      <c r="BH12" s="11">
        <v>15.5</v>
      </c>
    </row>
    <row r="13" spans="1:61">
      <c r="A13" s="457">
        <f>ELEC!C10</f>
        <v>44020</v>
      </c>
      <c r="B13">
        <f>'B5'!B12</f>
        <v>138.19999999999999</v>
      </c>
      <c r="C13" s="206">
        <f t="shared" si="18"/>
        <v>2973.529032258064</v>
      </c>
      <c r="D13">
        <f t="shared" si="19"/>
        <v>138.19999999999999</v>
      </c>
      <c r="E13" s="206">
        <f t="shared" si="18"/>
        <v>2973.529032258064</v>
      </c>
      <c r="F13">
        <f t="shared" si="20"/>
        <v>138.19999999999999</v>
      </c>
      <c r="G13" s="206">
        <f t="shared" si="1"/>
        <v>2973.529032258064</v>
      </c>
      <c r="H13" s="206">
        <f t="shared" si="21"/>
        <v>138.19999999999999</v>
      </c>
      <c r="I13" s="206">
        <f t="shared" si="2"/>
        <v>2973.529032258064</v>
      </c>
      <c r="J13" s="206">
        <f t="shared" si="22"/>
        <v>138.19999999999999</v>
      </c>
      <c r="K13" s="206">
        <f t="shared" si="3"/>
        <v>2973.529032258064</v>
      </c>
      <c r="L13" s="206">
        <f t="shared" si="23"/>
        <v>138.19999999999999</v>
      </c>
      <c r="M13" s="206">
        <f t="shared" si="4"/>
        <v>2973.529032258064</v>
      </c>
      <c r="N13" s="206">
        <f t="shared" si="24"/>
        <v>138.19999999999999</v>
      </c>
      <c r="O13" s="206">
        <f t="shared" si="5"/>
        <v>2973.529032258064</v>
      </c>
      <c r="P13" s="206">
        <f t="shared" si="25"/>
        <v>138.19999999999999</v>
      </c>
      <c r="Q13" s="206">
        <f t="shared" si="6"/>
        <v>2973.529032258064</v>
      </c>
      <c r="R13" s="206">
        <f t="shared" si="26"/>
        <v>138.19999999999999</v>
      </c>
      <c r="S13" s="206">
        <f t="shared" si="7"/>
        <v>2973.529032258064</v>
      </c>
      <c r="T13" s="206">
        <f t="shared" si="27"/>
        <v>138.19999999999999</v>
      </c>
      <c r="U13" s="206">
        <f t="shared" si="8"/>
        <v>2973.529032258064</v>
      </c>
      <c r="V13" s="206">
        <f t="shared" si="28"/>
        <v>138.19999999999999</v>
      </c>
      <c r="W13" s="206">
        <f t="shared" si="9"/>
        <v>2973.529032258064</v>
      </c>
      <c r="X13" s="35">
        <f t="shared" si="10"/>
        <v>0.44580645161290305</v>
      </c>
      <c r="Y13" s="36">
        <f t="shared" si="29"/>
        <v>32708.819354838699</v>
      </c>
      <c r="Z13" s="206">
        <f>'B5'!C12</f>
        <v>145.30000000000001</v>
      </c>
      <c r="AA13" s="206">
        <f t="shared" si="30"/>
        <v>1453</v>
      </c>
      <c r="AB13" s="206">
        <f t="shared" si="31"/>
        <v>145.30000000000001</v>
      </c>
      <c r="AC13" s="206">
        <f t="shared" si="30"/>
        <v>1453</v>
      </c>
      <c r="AD13" s="206">
        <f t="shared" si="32"/>
        <v>145.30000000000001</v>
      </c>
      <c r="AE13" s="206">
        <f t="shared" si="11"/>
        <v>1453</v>
      </c>
      <c r="AF13" s="206">
        <f t="shared" si="33"/>
        <v>145.30000000000001</v>
      </c>
      <c r="AG13" s="206">
        <f t="shared" si="12"/>
        <v>1453</v>
      </c>
      <c r="AH13" s="206">
        <f t="shared" si="34"/>
        <v>145.30000000000001</v>
      </c>
      <c r="AI13" s="206">
        <f t="shared" si="13"/>
        <v>1453</v>
      </c>
      <c r="AJ13" s="206">
        <f t="shared" si="35"/>
        <v>145.30000000000001</v>
      </c>
      <c r="AK13" s="206">
        <f t="shared" si="14"/>
        <v>1453</v>
      </c>
      <c r="AL13" s="206">
        <f t="shared" si="36"/>
        <v>145.30000000000001</v>
      </c>
      <c r="AM13" s="206">
        <f t="shared" si="15"/>
        <v>1453</v>
      </c>
      <c r="AN13" s="35">
        <f t="shared" si="16"/>
        <v>0.51892857142857141</v>
      </c>
      <c r="AO13" s="36">
        <f t="shared" si="17"/>
        <v>10171</v>
      </c>
      <c r="AP13" s="611"/>
      <c r="AQ13" s="226">
        <f t="shared" si="37"/>
        <v>0.46122210772118638</v>
      </c>
      <c r="AR13" s="38">
        <f t="shared" si="41"/>
        <v>42879.819354838699</v>
      </c>
      <c r="AS13" s="200">
        <f t="shared" si="38"/>
        <v>-5102.1161290322634</v>
      </c>
      <c r="AT13" s="277">
        <v>11276</v>
      </c>
      <c r="AU13" s="449">
        <v>0.52839999999999998</v>
      </c>
      <c r="AV13" s="535">
        <f t="shared" si="42"/>
        <v>0.52839999999999998</v>
      </c>
      <c r="AW13" s="298">
        <f>-SUM('B5'!AI12)</f>
        <v>-512</v>
      </c>
      <c r="AX13" s="298">
        <f t="shared" si="39"/>
        <v>-4590.1161290322634</v>
      </c>
      <c r="AY13" s="37">
        <f t="shared" si="40"/>
        <v>-5102.1161290322634</v>
      </c>
      <c r="AZ13" s="100">
        <f>ELEC!A10</f>
        <v>8.6999999999999994E-2</v>
      </c>
      <c r="BA13" s="118">
        <f>'General information '!D13</f>
        <v>26</v>
      </c>
      <c r="BB13" s="404">
        <f>SUM('General information '!E13)</f>
        <v>0.7</v>
      </c>
      <c r="BC13" s="3">
        <f t="shared" si="43"/>
        <v>1</v>
      </c>
      <c r="BD13" s="102">
        <v>19222</v>
      </c>
      <c r="BE13" s="14">
        <f>(305/1185)*ELEC!Q11</f>
        <v>0</v>
      </c>
      <c r="BF13" s="14"/>
      <c r="BG13" s="14" t="e">
        <f>#REF!-BE13</f>
        <v>#REF!</v>
      </c>
      <c r="BH13" s="11"/>
    </row>
    <row r="14" spans="1:61">
      <c r="A14" s="457">
        <f>ELEC!C11</f>
        <v>44021</v>
      </c>
      <c r="B14">
        <f>'B5'!B13</f>
        <v>138.19999999999999</v>
      </c>
      <c r="C14" s="206">
        <f t="shared" si="18"/>
        <v>2973.529032258064</v>
      </c>
      <c r="D14">
        <f t="shared" si="19"/>
        <v>138.19999999999999</v>
      </c>
      <c r="E14" s="206">
        <f t="shared" si="18"/>
        <v>2973.529032258064</v>
      </c>
      <c r="F14">
        <f t="shared" si="20"/>
        <v>138.19999999999999</v>
      </c>
      <c r="G14" s="206">
        <f t="shared" si="1"/>
        <v>2973.529032258064</v>
      </c>
      <c r="H14" s="206">
        <f t="shared" si="21"/>
        <v>138.19999999999999</v>
      </c>
      <c r="I14" s="206">
        <f t="shared" si="2"/>
        <v>2973.529032258064</v>
      </c>
      <c r="J14" s="206">
        <f t="shared" si="22"/>
        <v>138.19999999999999</v>
      </c>
      <c r="K14" s="206">
        <f t="shared" si="3"/>
        <v>2973.529032258064</v>
      </c>
      <c r="L14" s="206">
        <f t="shared" si="23"/>
        <v>138.19999999999999</v>
      </c>
      <c r="M14" s="206">
        <f t="shared" si="4"/>
        <v>2973.529032258064</v>
      </c>
      <c r="N14" s="206">
        <f t="shared" si="24"/>
        <v>138.19999999999999</v>
      </c>
      <c r="O14" s="206">
        <f t="shared" si="5"/>
        <v>2973.529032258064</v>
      </c>
      <c r="P14" s="206">
        <f t="shared" si="25"/>
        <v>138.19999999999999</v>
      </c>
      <c r="Q14" s="206">
        <f t="shared" si="6"/>
        <v>2973.529032258064</v>
      </c>
      <c r="R14" s="206">
        <f t="shared" si="26"/>
        <v>138.19999999999999</v>
      </c>
      <c r="S14" s="206">
        <f t="shared" si="7"/>
        <v>2973.529032258064</v>
      </c>
      <c r="T14" s="206">
        <f t="shared" si="27"/>
        <v>138.19999999999999</v>
      </c>
      <c r="U14" s="206">
        <f t="shared" si="8"/>
        <v>2973.529032258064</v>
      </c>
      <c r="V14" s="206">
        <f t="shared" si="28"/>
        <v>138.19999999999999</v>
      </c>
      <c r="W14" s="206">
        <f t="shared" si="9"/>
        <v>2973.529032258064</v>
      </c>
      <c r="X14" s="35">
        <f t="shared" si="10"/>
        <v>0.44580645161290305</v>
      </c>
      <c r="Y14" s="36">
        <f t="shared" si="29"/>
        <v>32708.819354838699</v>
      </c>
      <c r="Z14" s="206">
        <f>'B5'!C13</f>
        <v>145.30000000000001</v>
      </c>
      <c r="AA14" s="206">
        <f t="shared" si="30"/>
        <v>1453</v>
      </c>
      <c r="AB14" s="206">
        <f t="shared" si="31"/>
        <v>145.30000000000001</v>
      </c>
      <c r="AC14" s="206">
        <f t="shared" si="30"/>
        <v>1453</v>
      </c>
      <c r="AD14" s="206">
        <f t="shared" si="32"/>
        <v>145.30000000000001</v>
      </c>
      <c r="AE14" s="206">
        <f t="shared" si="11"/>
        <v>1453</v>
      </c>
      <c r="AF14" s="206">
        <f t="shared" si="33"/>
        <v>145.30000000000001</v>
      </c>
      <c r="AG14" s="206">
        <f t="shared" si="12"/>
        <v>1453</v>
      </c>
      <c r="AH14" s="206">
        <f t="shared" si="34"/>
        <v>145.30000000000001</v>
      </c>
      <c r="AI14" s="206">
        <f t="shared" si="13"/>
        <v>1453</v>
      </c>
      <c r="AJ14" s="206">
        <f t="shared" si="35"/>
        <v>145.30000000000001</v>
      </c>
      <c r="AK14" s="206">
        <f t="shared" si="14"/>
        <v>1453</v>
      </c>
      <c r="AL14" s="206">
        <f t="shared" si="36"/>
        <v>145.30000000000001</v>
      </c>
      <c r="AM14" s="206">
        <f t="shared" si="15"/>
        <v>1453</v>
      </c>
      <c r="AN14" s="35">
        <f t="shared" si="16"/>
        <v>0.51892857142857141</v>
      </c>
      <c r="AO14" s="36">
        <f t="shared" si="17"/>
        <v>10171</v>
      </c>
      <c r="AQ14" s="226">
        <f t="shared" si="37"/>
        <v>0.46122210772118638</v>
      </c>
      <c r="AR14" s="38">
        <f t="shared" si="41"/>
        <v>42879.819354838699</v>
      </c>
      <c r="AS14" s="200">
        <f t="shared" si="38"/>
        <v>0</v>
      </c>
      <c r="AT14" s="277"/>
      <c r="AU14" s="492"/>
      <c r="AV14" s="535">
        <f t="shared" si="42"/>
        <v>0.52839999999999998</v>
      </c>
      <c r="AW14" s="298">
        <f>-SUM('B5'!AI13)</f>
        <v>0</v>
      </c>
      <c r="AX14" s="298">
        <f t="shared" si="39"/>
        <v>0</v>
      </c>
      <c r="AY14" s="37">
        <f t="shared" si="40"/>
        <v>0</v>
      </c>
      <c r="AZ14" s="100">
        <f>ELEC!A11</f>
        <v>0</v>
      </c>
      <c r="BA14" s="118">
        <f>'General information '!D14</f>
        <v>0</v>
      </c>
      <c r="BB14" s="404">
        <f>SUM('General information '!E14)</f>
        <v>0</v>
      </c>
      <c r="BC14" s="3">
        <f t="shared" si="43"/>
        <v>0</v>
      </c>
      <c r="BD14" s="102">
        <v>19222</v>
      </c>
      <c r="BE14" s="14">
        <f>(305/1185)*ELEC!Q12</f>
        <v>0</v>
      </c>
      <c r="BF14" s="14"/>
      <c r="BG14" s="14" t="e">
        <f>#REF!-BE14</f>
        <v>#REF!</v>
      </c>
      <c r="BH14" s="11"/>
    </row>
    <row r="15" spans="1:61" ht="13.5" customHeight="1">
      <c r="A15" s="457">
        <f>ELEC!C12</f>
        <v>44022</v>
      </c>
      <c r="B15">
        <f>'B5'!B14</f>
        <v>138.19999999999999</v>
      </c>
      <c r="C15" s="206">
        <f t="shared" si="18"/>
        <v>2973.529032258064</v>
      </c>
      <c r="D15">
        <f t="shared" si="19"/>
        <v>138.19999999999999</v>
      </c>
      <c r="E15" s="206">
        <f t="shared" si="18"/>
        <v>2973.529032258064</v>
      </c>
      <c r="F15">
        <f t="shared" si="20"/>
        <v>138.19999999999999</v>
      </c>
      <c r="G15" s="206">
        <f t="shared" si="1"/>
        <v>2973.529032258064</v>
      </c>
      <c r="H15" s="206">
        <f t="shared" si="21"/>
        <v>138.19999999999999</v>
      </c>
      <c r="I15" s="206">
        <f t="shared" si="2"/>
        <v>2973.529032258064</v>
      </c>
      <c r="J15" s="206">
        <f t="shared" si="22"/>
        <v>138.19999999999999</v>
      </c>
      <c r="K15" s="206">
        <f t="shared" si="3"/>
        <v>2973.529032258064</v>
      </c>
      <c r="L15" s="206">
        <f t="shared" si="23"/>
        <v>138.19999999999999</v>
      </c>
      <c r="M15" s="206">
        <f t="shared" si="4"/>
        <v>2973.529032258064</v>
      </c>
      <c r="N15" s="206">
        <f t="shared" si="24"/>
        <v>138.19999999999999</v>
      </c>
      <c r="O15" s="206">
        <f t="shared" si="5"/>
        <v>2973.529032258064</v>
      </c>
      <c r="P15" s="206">
        <f t="shared" si="25"/>
        <v>138.19999999999999</v>
      </c>
      <c r="Q15" s="206">
        <f t="shared" si="6"/>
        <v>2973.529032258064</v>
      </c>
      <c r="R15" s="206">
        <f t="shared" si="26"/>
        <v>138.19999999999999</v>
      </c>
      <c r="S15" s="206">
        <f t="shared" si="7"/>
        <v>2973.529032258064</v>
      </c>
      <c r="T15" s="206">
        <f t="shared" si="27"/>
        <v>138.19999999999999</v>
      </c>
      <c r="U15" s="206">
        <f t="shared" si="8"/>
        <v>2973.529032258064</v>
      </c>
      <c r="V15" s="206">
        <f t="shared" si="28"/>
        <v>138.19999999999999</v>
      </c>
      <c r="W15" s="206">
        <f t="shared" si="9"/>
        <v>2973.529032258064</v>
      </c>
      <c r="X15" s="35">
        <f t="shared" si="10"/>
        <v>0.44580645161290305</v>
      </c>
      <c r="Y15" s="36">
        <f t="shared" si="29"/>
        <v>32708.819354838699</v>
      </c>
      <c r="Z15" s="206">
        <f>'B5'!C14</f>
        <v>145.30000000000001</v>
      </c>
      <c r="AA15" s="206">
        <f t="shared" si="30"/>
        <v>1453</v>
      </c>
      <c r="AB15" s="206">
        <f t="shared" si="31"/>
        <v>145.30000000000001</v>
      </c>
      <c r="AC15" s="206">
        <f t="shared" si="30"/>
        <v>1453</v>
      </c>
      <c r="AD15" s="206">
        <f t="shared" si="32"/>
        <v>145.30000000000001</v>
      </c>
      <c r="AE15" s="206">
        <f t="shared" si="11"/>
        <v>1453</v>
      </c>
      <c r="AF15" s="206">
        <f t="shared" si="33"/>
        <v>145.30000000000001</v>
      </c>
      <c r="AG15" s="206">
        <f t="shared" si="12"/>
        <v>1453</v>
      </c>
      <c r="AH15" s="206">
        <f t="shared" si="34"/>
        <v>145.30000000000001</v>
      </c>
      <c r="AI15" s="206">
        <f t="shared" si="13"/>
        <v>1453</v>
      </c>
      <c r="AJ15" s="206">
        <f t="shared" si="35"/>
        <v>145.30000000000001</v>
      </c>
      <c r="AK15" s="206">
        <f t="shared" si="14"/>
        <v>1453</v>
      </c>
      <c r="AL15" s="206">
        <f t="shared" si="36"/>
        <v>145.30000000000001</v>
      </c>
      <c r="AM15" s="206">
        <f t="shared" si="15"/>
        <v>1453</v>
      </c>
      <c r="AN15" s="35">
        <f t="shared" si="16"/>
        <v>0.51892857142857141</v>
      </c>
      <c r="AO15" s="36">
        <f t="shared" si="17"/>
        <v>10171</v>
      </c>
      <c r="AQ15" s="226">
        <f t="shared" si="37"/>
        <v>0.46122210772118638</v>
      </c>
      <c r="AR15" s="38">
        <f t="shared" si="41"/>
        <v>42879.819354838699</v>
      </c>
      <c r="AS15" s="200">
        <f>SUM(AR15-AR14-AT15)</f>
        <v>0</v>
      </c>
      <c r="AT15" s="277"/>
      <c r="AU15" s="449"/>
      <c r="AV15" s="535">
        <f>IF(AT15&gt;0,AU15,AV14)</f>
        <v>0.52839999999999998</v>
      </c>
      <c r="AW15" s="298">
        <f>-SUM('B5'!AI14)</f>
        <v>0</v>
      </c>
      <c r="AX15" s="298">
        <f>-SUM(AW15-AS15)</f>
        <v>0</v>
      </c>
      <c r="AY15" s="37">
        <f t="shared" si="40"/>
        <v>0</v>
      </c>
      <c r="AZ15" s="100">
        <f>ELEC!A12</f>
        <v>0</v>
      </c>
      <c r="BA15" s="118">
        <f>'General information '!D15</f>
        <v>0</v>
      </c>
      <c r="BB15" s="404">
        <f>SUM('General information '!E15)</f>
        <v>0</v>
      </c>
      <c r="BC15" s="3">
        <f t="shared" si="43"/>
        <v>0</v>
      </c>
      <c r="BD15" s="102">
        <v>19222</v>
      </c>
      <c r="BE15" s="14">
        <f>(305/1185)*ELEC!Q13</f>
        <v>0</v>
      </c>
      <c r="BF15" s="14"/>
      <c r="BG15" s="14" t="e">
        <f>#REF!-BE15</f>
        <v>#REF!</v>
      </c>
      <c r="BH15" s="11"/>
    </row>
    <row r="16" spans="1:61">
      <c r="A16" s="457">
        <f>ELEC!C13</f>
        <v>44023</v>
      </c>
      <c r="B16">
        <f>'B5'!B15</f>
        <v>138.19999999999999</v>
      </c>
      <c r="C16" s="206">
        <f t="shared" si="18"/>
        <v>2973.529032258064</v>
      </c>
      <c r="D16">
        <f t="shared" si="19"/>
        <v>138.19999999999999</v>
      </c>
      <c r="E16" s="206">
        <f t="shared" si="18"/>
        <v>2973.529032258064</v>
      </c>
      <c r="F16">
        <f t="shared" si="20"/>
        <v>138.19999999999999</v>
      </c>
      <c r="G16" s="206">
        <f t="shared" si="1"/>
        <v>2973.529032258064</v>
      </c>
      <c r="H16" s="206">
        <f t="shared" si="21"/>
        <v>138.19999999999999</v>
      </c>
      <c r="I16" s="206">
        <f t="shared" si="2"/>
        <v>2973.529032258064</v>
      </c>
      <c r="J16" s="206">
        <f t="shared" si="22"/>
        <v>138.19999999999999</v>
      </c>
      <c r="K16" s="206">
        <f t="shared" si="3"/>
        <v>2973.529032258064</v>
      </c>
      <c r="L16" s="206">
        <f t="shared" si="23"/>
        <v>138.19999999999999</v>
      </c>
      <c r="M16" s="206">
        <f t="shared" si="4"/>
        <v>2973.529032258064</v>
      </c>
      <c r="N16" s="206">
        <f t="shared" si="24"/>
        <v>138.19999999999999</v>
      </c>
      <c r="O16" s="206">
        <f t="shared" si="5"/>
        <v>2973.529032258064</v>
      </c>
      <c r="P16" s="206">
        <f t="shared" si="25"/>
        <v>138.19999999999999</v>
      </c>
      <c r="Q16" s="206">
        <f t="shared" si="6"/>
        <v>2973.529032258064</v>
      </c>
      <c r="R16" s="206">
        <f t="shared" si="26"/>
        <v>138.19999999999999</v>
      </c>
      <c r="S16" s="206">
        <f t="shared" si="7"/>
        <v>2973.529032258064</v>
      </c>
      <c r="T16" s="206">
        <f t="shared" si="27"/>
        <v>138.19999999999999</v>
      </c>
      <c r="U16" s="206">
        <f t="shared" si="8"/>
        <v>2973.529032258064</v>
      </c>
      <c r="V16" s="206">
        <f t="shared" si="28"/>
        <v>138.19999999999999</v>
      </c>
      <c r="W16" s="206">
        <f t="shared" si="9"/>
        <v>2973.529032258064</v>
      </c>
      <c r="X16" s="35">
        <f t="shared" si="10"/>
        <v>0.44580645161290305</v>
      </c>
      <c r="Y16" s="36">
        <f t="shared" si="29"/>
        <v>32708.819354838699</v>
      </c>
      <c r="Z16" s="206">
        <f>'B5'!C15</f>
        <v>145.30000000000001</v>
      </c>
      <c r="AA16" s="206">
        <f t="shared" si="30"/>
        <v>1453</v>
      </c>
      <c r="AB16" s="206">
        <f t="shared" si="31"/>
        <v>145.30000000000001</v>
      </c>
      <c r="AC16" s="206">
        <f t="shared" si="30"/>
        <v>1453</v>
      </c>
      <c r="AD16" s="206">
        <f t="shared" si="32"/>
        <v>145.30000000000001</v>
      </c>
      <c r="AE16" s="206">
        <f t="shared" si="11"/>
        <v>1453</v>
      </c>
      <c r="AF16" s="206">
        <f t="shared" si="33"/>
        <v>145.30000000000001</v>
      </c>
      <c r="AG16" s="206">
        <f t="shared" si="12"/>
        <v>1453</v>
      </c>
      <c r="AH16" s="206">
        <f t="shared" si="34"/>
        <v>145.30000000000001</v>
      </c>
      <c r="AI16" s="206">
        <f t="shared" si="13"/>
        <v>1453</v>
      </c>
      <c r="AJ16" s="206">
        <f t="shared" si="35"/>
        <v>145.30000000000001</v>
      </c>
      <c r="AK16" s="206">
        <f t="shared" si="14"/>
        <v>1453</v>
      </c>
      <c r="AL16" s="206">
        <f t="shared" si="36"/>
        <v>145.30000000000001</v>
      </c>
      <c r="AM16" s="206">
        <f t="shared" si="15"/>
        <v>1453</v>
      </c>
      <c r="AN16" s="35">
        <f t="shared" si="16"/>
        <v>0.51892857142857141</v>
      </c>
      <c r="AO16" s="36">
        <f t="shared" si="17"/>
        <v>10171</v>
      </c>
      <c r="AQ16" s="226">
        <f t="shared" si="37"/>
        <v>0.46122210772118638</v>
      </c>
      <c r="AR16" s="38">
        <f t="shared" si="41"/>
        <v>42879.819354838699</v>
      </c>
      <c r="AS16" s="200">
        <f>SUM(AR16-AR15-AT16)</f>
        <v>0</v>
      </c>
      <c r="AT16" s="277"/>
      <c r="AU16" s="449"/>
      <c r="AV16" s="535">
        <f>IF(AT16&gt;0,AU16,AV15)</f>
        <v>0.52839999999999998</v>
      </c>
      <c r="AW16" s="298">
        <f>-SUM('B5'!AI15)</f>
        <v>0</v>
      </c>
      <c r="AX16" s="298">
        <f>-SUM(AW16-AS16)</f>
        <v>0</v>
      </c>
      <c r="AY16" s="37">
        <f t="shared" si="40"/>
        <v>0</v>
      </c>
      <c r="AZ16" s="100">
        <f>ELEC!A13</f>
        <v>0</v>
      </c>
      <c r="BA16" s="118">
        <f>'General information '!D16</f>
        <v>0</v>
      </c>
      <c r="BB16" s="404">
        <f>SUM('General information '!E16)</f>
        <v>0</v>
      </c>
      <c r="BC16" s="3">
        <f t="shared" si="43"/>
        <v>0</v>
      </c>
      <c r="BD16" s="102">
        <v>19222</v>
      </c>
      <c r="BE16" s="14">
        <f>(305/1185)*ELEC!Q14</f>
        <v>0</v>
      </c>
      <c r="BF16" s="14"/>
      <c r="BG16" s="14" t="e">
        <f>#REF!-BE16</f>
        <v>#REF!</v>
      </c>
      <c r="BH16" s="11"/>
    </row>
    <row r="17" spans="1:61">
      <c r="A17" s="457">
        <f>ELEC!C14</f>
        <v>44024</v>
      </c>
      <c r="B17">
        <f>'B5'!B16</f>
        <v>138.19999999999999</v>
      </c>
      <c r="C17" s="206">
        <f t="shared" si="18"/>
        <v>2973.529032258064</v>
      </c>
      <c r="D17">
        <f t="shared" si="19"/>
        <v>138.19999999999999</v>
      </c>
      <c r="E17" s="206">
        <f t="shared" si="18"/>
        <v>2973.529032258064</v>
      </c>
      <c r="F17">
        <f t="shared" si="20"/>
        <v>138.19999999999999</v>
      </c>
      <c r="G17" s="206">
        <f t="shared" si="1"/>
        <v>2973.529032258064</v>
      </c>
      <c r="H17" s="206">
        <f t="shared" si="21"/>
        <v>138.19999999999999</v>
      </c>
      <c r="I17" s="206">
        <f t="shared" si="2"/>
        <v>2973.529032258064</v>
      </c>
      <c r="J17" s="206">
        <f t="shared" si="22"/>
        <v>138.19999999999999</v>
      </c>
      <c r="K17" s="206">
        <f t="shared" si="3"/>
        <v>2973.529032258064</v>
      </c>
      <c r="L17" s="206">
        <f t="shared" si="23"/>
        <v>138.19999999999999</v>
      </c>
      <c r="M17" s="206">
        <f t="shared" si="4"/>
        <v>2973.529032258064</v>
      </c>
      <c r="N17" s="206">
        <f t="shared" si="24"/>
        <v>138.19999999999999</v>
      </c>
      <c r="O17" s="206">
        <f t="shared" si="5"/>
        <v>2973.529032258064</v>
      </c>
      <c r="P17" s="206">
        <f t="shared" si="25"/>
        <v>138.19999999999999</v>
      </c>
      <c r="Q17" s="206">
        <f t="shared" si="6"/>
        <v>2973.529032258064</v>
      </c>
      <c r="R17" s="206">
        <f t="shared" si="26"/>
        <v>138.19999999999999</v>
      </c>
      <c r="S17" s="206">
        <f t="shared" si="7"/>
        <v>2973.529032258064</v>
      </c>
      <c r="T17" s="206">
        <f t="shared" si="27"/>
        <v>138.19999999999999</v>
      </c>
      <c r="U17" s="206">
        <f t="shared" si="8"/>
        <v>2973.529032258064</v>
      </c>
      <c r="V17" s="206">
        <f t="shared" si="28"/>
        <v>138.19999999999999</v>
      </c>
      <c r="W17" s="206">
        <f t="shared" si="9"/>
        <v>2973.529032258064</v>
      </c>
      <c r="X17" s="35">
        <f t="shared" si="10"/>
        <v>0.44580645161290305</v>
      </c>
      <c r="Y17" s="36">
        <f t="shared" si="29"/>
        <v>32708.819354838699</v>
      </c>
      <c r="Z17" s="206">
        <f>'B5'!C16</f>
        <v>145.30000000000001</v>
      </c>
      <c r="AA17" s="206">
        <f t="shared" si="30"/>
        <v>1453</v>
      </c>
      <c r="AB17" s="206">
        <f t="shared" si="31"/>
        <v>145.30000000000001</v>
      </c>
      <c r="AC17" s="206">
        <f t="shared" si="30"/>
        <v>1453</v>
      </c>
      <c r="AD17" s="206">
        <f t="shared" si="32"/>
        <v>145.30000000000001</v>
      </c>
      <c r="AE17" s="206">
        <f t="shared" si="11"/>
        <v>1453</v>
      </c>
      <c r="AF17" s="206">
        <f t="shared" si="33"/>
        <v>145.30000000000001</v>
      </c>
      <c r="AG17" s="206">
        <f t="shared" si="12"/>
        <v>1453</v>
      </c>
      <c r="AH17" s="206">
        <f t="shared" si="34"/>
        <v>145.30000000000001</v>
      </c>
      <c r="AI17" s="206">
        <f t="shared" si="13"/>
        <v>1453</v>
      </c>
      <c r="AJ17" s="206">
        <f t="shared" si="35"/>
        <v>145.30000000000001</v>
      </c>
      <c r="AK17" s="206">
        <f t="shared" si="14"/>
        <v>1453</v>
      </c>
      <c r="AL17" s="206">
        <f t="shared" si="36"/>
        <v>145.30000000000001</v>
      </c>
      <c r="AM17" s="206">
        <f t="shared" si="15"/>
        <v>1453</v>
      </c>
      <c r="AN17" s="35">
        <f t="shared" si="16"/>
        <v>0.51892857142857141</v>
      </c>
      <c r="AO17" s="36">
        <f>SUM(AA17+AC17+AE17+AG17+AI17+AK17+AM17)</f>
        <v>10171</v>
      </c>
      <c r="AQ17" s="226">
        <f t="shared" si="37"/>
        <v>0.46122210772118638</v>
      </c>
      <c r="AR17" s="38">
        <f t="shared" si="41"/>
        <v>42879.819354838699</v>
      </c>
      <c r="AS17" s="200">
        <f t="shared" si="38"/>
        <v>0</v>
      </c>
      <c r="AT17" s="365"/>
      <c r="AU17" s="492"/>
      <c r="AV17" s="535">
        <f t="shared" si="42"/>
        <v>0.52839999999999998</v>
      </c>
      <c r="AW17" s="298">
        <f>-SUM('B5'!AI16)</f>
        <v>0</v>
      </c>
      <c r="AX17" s="298">
        <f t="shared" si="39"/>
        <v>0</v>
      </c>
      <c r="AY17" s="37">
        <f t="shared" si="40"/>
        <v>0</v>
      </c>
      <c r="AZ17" s="100">
        <f>ELEC!A14</f>
        <v>0</v>
      </c>
      <c r="BA17" s="118">
        <f>'General information '!D17</f>
        <v>0</v>
      </c>
      <c r="BB17" s="404">
        <f>SUM('General information '!E17)</f>
        <v>0</v>
      </c>
      <c r="BC17" s="3">
        <f t="shared" si="43"/>
        <v>0</v>
      </c>
      <c r="BD17" s="102">
        <v>19222</v>
      </c>
      <c r="BE17" s="14">
        <f>(305/1185)*ELEC!Q15</f>
        <v>0</v>
      </c>
      <c r="BF17" s="14"/>
      <c r="BG17" s="14" t="e">
        <f>#REF!-BE17</f>
        <v>#REF!</v>
      </c>
      <c r="BH17" s="11"/>
    </row>
    <row r="18" spans="1:61">
      <c r="A18" s="457">
        <f>ELEC!C15</f>
        <v>44025</v>
      </c>
      <c r="B18">
        <f>'B5'!B17</f>
        <v>138.19999999999999</v>
      </c>
      <c r="C18" s="206">
        <f t="shared" si="18"/>
        <v>2973.529032258064</v>
      </c>
      <c r="D18">
        <f t="shared" si="19"/>
        <v>138.19999999999999</v>
      </c>
      <c r="E18" s="206">
        <f t="shared" si="18"/>
        <v>2973.529032258064</v>
      </c>
      <c r="F18">
        <f t="shared" si="20"/>
        <v>138.19999999999999</v>
      </c>
      <c r="G18" s="206">
        <f t="shared" si="1"/>
        <v>2973.529032258064</v>
      </c>
      <c r="H18" s="206">
        <f t="shared" si="21"/>
        <v>138.19999999999999</v>
      </c>
      <c r="I18" s="206">
        <f t="shared" si="2"/>
        <v>2973.529032258064</v>
      </c>
      <c r="J18" s="206">
        <f t="shared" si="22"/>
        <v>138.19999999999999</v>
      </c>
      <c r="K18" s="206">
        <f t="shared" si="3"/>
        <v>2973.529032258064</v>
      </c>
      <c r="L18" s="206">
        <f t="shared" si="23"/>
        <v>138.19999999999999</v>
      </c>
      <c r="M18" s="206">
        <f t="shared" si="4"/>
        <v>2973.529032258064</v>
      </c>
      <c r="N18" s="206">
        <f t="shared" si="24"/>
        <v>138.19999999999999</v>
      </c>
      <c r="O18" s="206">
        <f t="shared" si="5"/>
        <v>2973.529032258064</v>
      </c>
      <c r="P18" s="206">
        <f t="shared" si="25"/>
        <v>138.19999999999999</v>
      </c>
      <c r="Q18" s="206">
        <f t="shared" si="6"/>
        <v>2973.529032258064</v>
      </c>
      <c r="R18" s="206">
        <f t="shared" si="26"/>
        <v>138.19999999999999</v>
      </c>
      <c r="S18" s="206">
        <f t="shared" si="7"/>
        <v>2973.529032258064</v>
      </c>
      <c r="T18" s="206">
        <f t="shared" si="27"/>
        <v>138.19999999999999</v>
      </c>
      <c r="U18" s="206">
        <f t="shared" si="8"/>
        <v>2973.529032258064</v>
      </c>
      <c r="V18" s="206">
        <f t="shared" si="28"/>
        <v>138.19999999999999</v>
      </c>
      <c r="W18" s="206">
        <f t="shared" si="9"/>
        <v>2973.529032258064</v>
      </c>
      <c r="X18" s="35">
        <f t="shared" si="10"/>
        <v>0.44580645161290305</v>
      </c>
      <c r="Y18" s="36">
        <f t="shared" si="29"/>
        <v>32708.819354838699</v>
      </c>
      <c r="Z18" s="206">
        <f>'B5'!C17</f>
        <v>145.30000000000001</v>
      </c>
      <c r="AA18" s="206">
        <f t="shared" si="30"/>
        <v>1453</v>
      </c>
      <c r="AB18" s="206">
        <f t="shared" si="31"/>
        <v>145.30000000000001</v>
      </c>
      <c r="AC18" s="206">
        <f t="shared" si="30"/>
        <v>1453</v>
      </c>
      <c r="AD18" s="206">
        <f t="shared" si="32"/>
        <v>145.30000000000001</v>
      </c>
      <c r="AE18" s="206">
        <f t="shared" si="11"/>
        <v>1453</v>
      </c>
      <c r="AF18" s="206">
        <f t="shared" si="33"/>
        <v>145.30000000000001</v>
      </c>
      <c r="AG18" s="206">
        <f t="shared" si="12"/>
        <v>1453</v>
      </c>
      <c r="AH18" s="206">
        <f t="shared" si="34"/>
        <v>145.30000000000001</v>
      </c>
      <c r="AI18" s="206">
        <f t="shared" si="13"/>
        <v>1453</v>
      </c>
      <c r="AJ18" s="206">
        <f t="shared" si="35"/>
        <v>145.30000000000001</v>
      </c>
      <c r="AK18" s="206">
        <f t="shared" si="14"/>
        <v>1453</v>
      </c>
      <c r="AL18" s="206">
        <f t="shared" si="36"/>
        <v>145.30000000000001</v>
      </c>
      <c r="AM18" s="206">
        <f t="shared" si="15"/>
        <v>1453</v>
      </c>
      <c r="AN18" s="35">
        <f t="shared" si="16"/>
        <v>0.51892857142857141</v>
      </c>
      <c r="AO18" s="36">
        <f t="shared" si="17"/>
        <v>10171</v>
      </c>
      <c r="AQ18" s="226">
        <f t="shared" si="37"/>
        <v>0.46122210772118638</v>
      </c>
      <c r="AR18" s="38">
        <f t="shared" si="41"/>
        <v>42879.819354838699</v>
      </c>
      <c r="AS18" s="200">
        <f t="shared" si="38"/>
        <v>0</v>
      </c>
      <c r="AT18" s="277"/>
      <c r="AU18" s="449"/>
      <c r="AV18" s="535">
        <f>IF(AT18&gt;0,AU18,AV17)</f>
        <v>0.52839999999999998</v>
      </c>
      <c r="AW18" s="298">
        <f>-SUM('B5'!AI17)</f>
        <v>0</v>
      </c>
      <c r="AX18" s="298">
        <f t="shared" si="39"/>
        <v>0</v>
      </c>
      <c r="AY18" s="37">
        <f t="shared" si="40"/>
        <v>0</v>
      </c>
      <c r="AZ18" s="100">
        <f>ELEC!A15</f>
        <v>0</v>
      </c>
      <c r="BA18" s="118">
        <f>'General information '!D18</f>
        <v>0</v>
      </c>
      <c r="BB18" s="404">
        <f>SUM('General information '!E18)</f>
        <v>0</v>
      </c>
      <c r="BC18" s="3">
        <f t="shared" si="43"/>
        <v>0</v>
      </c>
      <c r="BD18" s="102">
        <v>19222</v>
      </c>
      <c r="BE18" s="14">
        <f>(305/1185)*ELEC!Q16</f>
        <v>0</v>
      </c>
      <c r="BF18" s="14"/>
      <c r="BG18" s="14" t="e">
        <f>#REF!-BE18</f>
        <v>#REF!</v>
      </c>
      <c r="BH18" s="11"/>
    </row>
    <row r="19" spans="1:61">
      <c r="A19" s="457">
        <f>ELEC!C16</f>
        <v>44026</v>
      </c>
      <c r="B19">
        <f>'B5'!B18</f>
        <v>138.19999999999999</v>
      </c>
      <c r="C19" s="206">
        <f t="shared" si="18"/>
        <v>2973.529032258064</v>
      </c>
      <c r="D19">
        <f t="shared" si="19"/>
        <v>138.19999999999999</v>
      </c>
      <c r="E19" s="206">
        <f t="shared" si="18"/>
        <v>2973.529032258064</v>
      </c>
      <c r="F19">
        <f t="shared" si="20"/>
        <v>138.19999999999999</v>
      </c>
      <c r="G19" s="206">
        <f t="shared" si="1"/>
        <v>2973.529032258064</v>
      </c>
      <c r="H19" s="206">
        <f t="shared" si="21"/>
        <v>138.19999999999999</v>
      </c>
      <c r="I19" s="206">
        <f t="shared" si="2"/>
        <v>2973.529032258064</v>
      </c>
      <c r="J19" s="206">
        <f t="shared" si="22"/>
        <v>138.19999999999999</v>
      </c>
      <c r="K19" s="206">
        <f t="shared" si="3"/>
        <v>2973.529032258064</v>
      </c>
      <c r="L19" s="206">
        <f t="shared" si="23"/>
        <v>138.19999999999999</v>
      </c>
      <c r="M19" s="206">
        <f t="shared" si="4"/>
        <v>2973.529032258064</v>
      </c>
      <c r="N19" s="206">
        <f t="shared" si="24"/>
        <v>138.19999999999999</v>
      </c>
      <c r="O19" s="206">
        <f t="shared" si="5"/>
        <v>2973.529032258064</v>
      </c>
      <c r="P19" s="206">
        <f t="shared" si="25"/>
        <v>138.19999999999999</v>
      </c>
      <c r="Q19" s="206">
        <f t="shared" si="6"/>
        <v>2973.529032258064</v>
      </c>
      <c r="R19" s="206">
        <f t="shared" si="26"/>
        <v>138.19999999999999</v>
      </c>
      <c r="S19" s="206">
        <f t="shared" si="7"/>
        <v>2973.529032258064</v>
      </c>
      <c r="T19" s="206">
        <f t="shared" si="27"/>
        <v>138.19999999999999</v>
      </c>
      <c r="U19" s="206">
        <f t="shared" si="8"/>
        <v>2973.529032258064</v>
      </c>
      <c r="V19" s="206">
        <f t="shared" si="28"/>
        <v>138.19999999999999</v>
      </c>
      <c r="W19" s="206">
        <f t="shared" si="9"/>
        <v>2973.529032258064</v>
      </c>
      <c r="X19" s="35">
        <f t="shared" si="10"/>
        <v>0.44580645161290305</v>
      </c>
      <c r="Y19" s="36">
        <f t="shared" si="29"/>
        <v>32708.819354838699</v>
      </c>
      <c r="Z19" s="206">
        <f>'B5'!C18</f>
        <v>145.30000000000001</v>
      </c>
      <c r="AA19" s="206">
        <f t="shared" si="30"/>
        <v>1453</v>
      </c>
      <c r="AB19" s="206">
        <f t="shared" si="31"/>
        <v>145.30000000000001</v>
      </c>
      <c r="AC19" s="206">
        <f t="shared" si="30"/>
        <v>1453</v>
      </c>
      <c r="AD19" s="206">
        <f t="shared" si="32"/>
        <v>145.30000000000001</v>
      </c>
      <c r="AE19" s="206">
        <f t="shared" si="11"/>
        <v>1453</v>
      </c>
      <c r="AF19" s="206">
        <f t="shared" si="33"/>
        <v>145.30000000000001</v>
      </c>
      <c r="AG19" s="206">
        <f t="shared" si="12"/>
        <v>1453</v>
      </c>
      <c r="AH19" s="206">
        <f t="shared" si="34"/>
        <v>145.30000000000001</v>
      </c>
      <c r="AI19" s="206">
        <f t="shared" si="13"/>
        <v>1453</v>
      </c>
      <c r="AJ19" s="206">
        <f t="shared" si="35"/>
        <v>145.30000000000001</v>
      </c>
      <c r="AK19" s="206">
        <f t="shared" si="14"/>
        <v>1453</v>
      </c>
      <c r="AL19" s="206">
        <f t="shared" si="36"/>
        <v>145.30000000000001</v>
      </c>
      <c r="AM19" s="206">
        <f t="shared" si="15"/>
        <v>1453</v>
      </c>
      <c r="AN19" s="35">
        <f t="shared" si="16"/>
        <v>0.51892857142857141</v>
      </c>
      <c r="AO19" s="36">
        <f t="shared" si="17"/>
        <v>10171</v>
      </c>
      <c r="AQ19" s="226">
        <f t="shared" si="37"/>
        <v>0.46122210772118638</v>
      </c>
      <c r="AR19" s="38">
        <f t="shared" si="41"/>
        <v>42879.819354838699</v>
      </c>
      <c r="AS19" s="200">
        <f t="shared" si="38"/>
        <v>0</v>
      </c>
      <c r="AT19" s="277"/>
      <c r="AU19" s="492"/>
      <c r="AV19" s="535">
        <f t="shared" si="42"/>
        <v>0.52839999999999998</v>
      </c>
      <c r="AW19" s="298">
        <f>-SUM('B5'!AI18)</f>
        <v>0</v>
      </c>
      <c r="AX19" s="298">
        <f t="shared" si="39"/>
        <v>0</v>
      </c>
      <c r="AY19" s="37">
        <f t="shared" si="40"/>
        <v>0</v>
      </c>
      <c r="AZ19" s="100">
        <f>ELEC!A16</f>
        <v>0</v>
      </c>
      <c r="BA19" s="118">
        <f>'General information '!D19</f>
        <v>0</v>
      </c>
      <c r="BB19" s="404">
        <f>SUM('General information '!E19)</f>
        <v>0</v>
      </c>
      <c r="BC19" s="3">
        <f t="shared" si="43"/>
        <v>0</v>
      </c>
      <c r="BD19" s="102">
        <v>19222</v>
      </c>
      <c r="BE19" s="14">
        <f>(305/1185)*ELEC!Q17</f>
        <v>0</v>
      </c>
      <c r="BF19" s="14"/>
      <c r="BG19" s="14" t="e">
        <f>#REF!-BE19</f>
        <v>#REF!</v>
      </c>
      <c r="BH19" s="11"/>
    </row>
    <row r="20" spans="1:61">
      <c r="A20" s="457">
        <f>ELEC!C17</f>
        <v>44027</v>
      </c>
      <c r="B20">
        <f>'B5'!B19</f>
        <v>138.19999999999999</v>
      </c>
      <c r="C20" s="206">
        <f t="shared" si="18"/>
        <v>2973.529032258064</v>
      </c>
      <c r="D20">
        <f t="shared" si="19"/>
        <v>138.19999999999999</v>
      </c>
      <c r="E20" s="206">
        <f t="shared" si="18"/>
        <v>2973.529032258064</v>
      </c>
      <c r="F20">
        <f t="shared" si="20"/>
        <v>138.19999999999999</v>
      </c>
      <c r="G20" s="206">
        <f t="shared" si="1"/>
        <v>2973.529032258064</v>
      </c>
      <c r="H20" s="206">
        <f t="shared" si="21"/>
        <v>138.19999999999999</v>
      </c>
      <c r="I20" s="206">
        <f t="shared" si="2"/>
        <v>2973.529032258064</v>
      </c>
      <c r="J20" s="206">
        <f t="shared" si="22"/>
        <v>138.19999999999999</v>
      </c>
      <c r="K20" s="206">
        <f t="shared" si="3"/>
        <v>2973.529032258064</v>
      </c>
      <c r="L20" s="206">
        <f t="shared" si="23"/>
        <v>138.19999999999999</v>
      </c>
      <c r="M20" s="206">
        <f t="shared" si="4"/>
        <v>2973.529032258064</v>
      </c>
      <c r="N20" s="206">
        <f t="shared" si="24"/>
        <v>138.19999999999999</v>
      </c>
      <c r="O20" s="206">
        <f t="shared" si="5"/>
        <v>2973.529032258064</v>
      </c>
      <c r="P20" s="206">
        <f t="shared" si="25"/>
        <v>138.19999999999999</v>
      </c>
      <c r="Q20" s="206">
        <f t="shared" si="6"/>
        <v>2973.529032258064</v>
      </c>
      <c r="R20" s="206">
        <f t="shared" si="26"/>
        <v>138.19999999999999</v>
      </c>
      <c r="S20" s="206">
        <f t="shared" si="7"/>
        <v>2973.529032258064</v>
      </c>
      <c r="T20" s="206">
        <f t="shared" si="27"/>
        <v>138.19999999999999</v>
      </c>
      <c r="U20" s="206">
        <f t="shared" si="8"/>
        <v>2973.529032258064</v>
      </c>
      <c r="V20" s="206">
        <f t="shared" si="28"/>
        <v>138.19999999999999</v>
      </c>
      <c r="W20" s="206">
        <f t="shared" si="9"/>
        <v>2973.529032258064</v>
      </c>
      <c r="X20" s="35">
        <f t="shared" si="10"/>
        <v>0.44580645161290305</v>
      </c>
      <c r="Y20" s="36">
        <f t="shared" si="29"/>
        <v>32708.819354838699</v>
      </c>
      <c r="Z20" s="206">
        <f>'B5'!C19</f>
        <v>145.30000000000001</v>
      </c>
      <c r="AA20" s="206">
        <f t="shared" si="30"/>
        <v>1453</v>
      </c>
      <c r="AB20" s="206">
        <f t="shared" si="31"/>
        <v>145.30000000000001</v>
      </c>
      <c r="AC20" s="206">
        <f t="shared" si="30"/>
        <v>1453</v>
      </c>
      <c r="AD20" s="206">
        <f t="shared" si="32"/>
        <v>145.30000000000001</v>
      </c>
      <c r="AE20" s="206">
        <f t="shared" si="11"/>
        <v>1453</v>
      </c>
      <c r="AF20" s="206">
        <f t="shared" si="33"/>
        <v>145.30000000000001</v>
      </c>
      <c r="AG20" s="206">
        <f t="shared" si="12"/>
        <v>1453</v>
      </c>
      <c r="AH20" s="206">
        <f t="shared" si="34"/>
        <v>145.30000000000001</v>
      </c>
      <c r="AI20" s="206">
        <f t="shared" si="13"/>
        <v>1453</v>
      </c>
      <c r="AJ20" s="206">
        <f t="shared" si="35"/>
        <v>145.30000000000001</v>
      </c>
      <c r="AK20" s="206">
        <f t="shared" si="14"/>
        <v>1453</v>
      </c>
      <c r="AL20" s="206">
        <f t="shared" si="36"/>
        <v>145.30000000000001</v>
      </c>
      <c r="AM20" s="206">
        <f t="shared" si="15"/>
        <v>1453</v>
      </c>
      <c r="AN20" s="35">
        <f t="shared" si="16"/>
        <v>0.51892857142857141</v>
      </c>
      <c r="AO20" s="36">
        <f t="shared" si="17"/>
        <v>10171</v>
      </c>
      <c r="AQ20" s="226">
        <f t="shared" si="37"/>
        <v>0.46122210772118638</v>
      </c>
      <c r="AR20" s="38">
        <f t="shared" si="41"/>
        <v>42879.819354838699</v>
      </c>
      <c r="AS20" s="200">
        <f t="shared" si="38"/>
        <v>0</v>
      </c>
      <c r="AT20" s="277"/>
      <c r="AU20" s="449"/>
      <c r="AV20" s="535">
        <f t="shared" si="42"/>
        <v>0.52839999999999998</v>
      </c>
      <c r="AW20" s="298">
        <f>-SUM('B5'!AI19)</f>
        <v>0</v>
      </c>
      <c r="AX20" s="298">
        <f t="shared" si="39"/>
        <v>0</v>
      </c>
      <c r="AY20" s="37">
        <f t="shared" si="40"/>
        <v>0</v>
      </c>
      <c r="AZ20" s="100">
        <f>ELEC!A17</f>
        <v>0</v>
      </c>
      <c r="BA20" s="118">
        <f>'General information '!D20</f>
        <v>0</v>
      </c>
      <c r="BB20" s="404">
        <f>SUM('General information '!E20)</f>
        <v>0</v>
      </c>
      <c r="BC20" s="3">
        <f t="shared" si="43"/>
        <v>0</v>
      </c>
      <c r="BD20" s="102">
        <v>19222</v>
      </c>
      <c r="BE20" s="14">
        <f>(305/1185)*ELEC!Q18</f>
        <v>0</v>
      </c>
      <c r="BF20" s="14"/>
      <c r="BG20" s="14" t="e">
        <f>#REF!-BE20</f>
        <v>#REF!</v>
      </c>
      <c r="BH20" s="11"/>
    </row>
    <row r="21" spans="1:61">
      <c r="A21" s="457">
        <f>ELEC!C18</f>
        <v>44028</v>
      </c>
      <c r="B21">
        <f>'B5'!B20</f>
        <v>138.19999999999999</v>
      </c>
      <c r="C21" s="206">
        <f t="shared" si="18"/>
        <v>2973.529032258064</v>
      </c>
      <c r="D21">
        <f t="shared" si="19"/>
        <v>138.19999999999999</v>
      </c>
      <c r="E21" s="206">
        <f t="shared" si="18"/>
        <v>2973.529032258064</v>
      </c>
      <c r="F21">
        <f t="shared" si="20"/>
        <v>138.19999999999999</v>
      </c>
      <c r="G21" s="206">
        <f t="shared" si="1"/>
        <v>2973.529032258064</v>
      </c>
      <c r="H21" s="206">
        <f t="shared" si="21"/>
        <v>138.19999999999999</v>
      </c>
      <c r="I21" s="206">
        <f t="shared" si="2"/>
        <v>2973.529032258064</v>
      </c>
      <c r="J21" s="206">
        <f t="shared" si="22"/>
        <v>138.19999999999999</v>
      </c>
      <c r="K21" s="206">
        <f t="shared" si="3"/>
        <v>2973.529032258064</v>
      </c>
      <c r="L21" s="206">
        <f t="shared" si="23"/>
        <v>138.19999999999999</v>
      </c>
      <c r="M21" s="206">
        <f t="shared" si="4"/>
        <v>2973.529032258064</v>
      </c>
      <c r="N21" s="206">
        <f t="shared" si="24"/>
        <v>138.19999999999999</v>
      </c>
      <c r="O21" s="206">
        <f t="shared" si="5"/>
        <v>2973.529032258064</v>
      </c>
      <c r="P21" s="206">
        <f t="shared" si="25"/>
        <v>138.19999999999999</v>
      </c>
      <c r="Q21" s="206">
        <f t="shared" si="6"/>
        <v>2973.529032258064</v>
      </c>
      <c r="R21" s="206">
        <f t="shared" si="26"/>
        <v>138.19999999999999</v>
      </c>
      <c r="S21" s="206">
        <f t="shared" si="7"/>
        <v>2973.529032258064</v>
      </c>
      <c r="T21" s="206">
        <f t="shared" si="27"/>
        <v>138.19999999999999</v>
      </c>
      <c r="U21" s="206">
        <f t="shared" si="8"/>
        <v>2973.529032258064</v>
      </c>
      <c r="V21" s="206">
        <f t="shared" si="28"/>
        <v>138.19999999999999</v>
      </c>
      <c r="W21" s="206">
        <f t="shared" si="9"/>
        <v>2973.529032258064</v>
      </c>
      <c r="X21" s="35">
        <f t="shared" si="10"/>
        <v>0.44580645161290305</v>
      </c>
      <c r="Y21" s="36">
        <f t="shared" si="29"/>
        <v>32708.819354838699</v>
      </c>
      <c r="Z21" s="206">
        <f>'B5'!C20</f>
        <v>145.30000000000001</v>
      </c>
      <c r="AA21" s="206">
        <f t="shared" si="30"/>
        <v>1453</v>
      </c>
      <c r="AB21" s="206">
        <f t="shared" si="31"/>
        <v>145.30000000000001</v>
      </c>
      <c r="AC21" s="206">
        <f t="shared" si="30"/>
        <v>1453</v>
      </c>
      <c r="AD21" s="206">
        <f t="shared" si="32"/>
        <v>145.30000000000001</v>
      </c>
      <c r="AE21" s="206">
        <f t="shared" si="11"/>
        <v>1453</v>
      </c>
      <c r="AF21" s="206">
        <f t="shared" si="33"/>
        <v>145.30000000000001</v>
      </c>
      <c r="AG21" s="206">
        <f t="shared" si="12"/>
        <v>1453</v>
      </c>
      <c r="AH21" s="206">
        <f t="shared" si="34"/>
        <v>145.30000000000001</v>
      </c>
      <c r="AI21" s="206">
        <f t="shared" si="13"/>
        <v>1453</v>
      </c>
      <c r="AJ21" s="206">
        <f t="shared" si="35"/>
        <v>145.30000000000001</v>
      </c>
      <c r="AK21" s="206">
        <f t="shared" si="14"/>
        <v>1453</v>
      </c>
      <c r="AL21" s="206">
        <f t="shared" si="36"/>
        <v>145.30000000000001</v>
      </c>
      <c r="AM21" s="206">
        <f t="shared" si="15"/>
        <v>1453</v>
      </c>
      <c r="AN21" s="35">
        <f t="shared" si="16"/>
        <v>0.51892857142857141</v>
      </c>
      <c r="AO21" s="36">
        <f t="shared" si="17"/>
        <v>10171</v>
      </c>
      <c r="AQ21" s="226">
        <f t="shared" si="37"/>
        <v>0.46122210772118638</v>
      </c>
      <c r="AR21" s="38">
        <f t="shared" si="41"/>
        <v>42879.819354838699</v>
      </c>
      <c r="AS21" s="200">
        <f>SUM(AR21-AR20-AT21)</f>
        <v>0</v>
      </c>
      <c r="AT21" s="277"/>
      <c r="AU21" s="449"/>
      <c r="AV21" s="535">
        <f t="shared" si="42"/>
        <v>0.52839999999999998</v>
      </c>
      <c r="AW21" s="298">
        <f>-SUM('B5'!AI20)</f>
        <v>0</v>
      </c>
      <c r="AX21" s="298">
        <f t="shared" si="39"/>
        <v>0</v>
      </c>
      <c r="AY21" s="37">
        <f t="shared" si="40"/>
        <v>0</v>
      </c>
      <c r="AZ21" s="100">
        <f>ELEC!A18</f>
        <v>0</v>
      </c>
      <c r="BA21" s="118">
        <f>'General information '!D21</f>
        <v>0</v>
      </c>
      <c r="BB21" s="404">
        <f>SUM('General information '!E21)</f>
        <v>0</v>
      </c>
      <c r="BC21" s="3">
        <f t="shared" si="43"/>
        <v>0</v>
      </c>
      <c r="BD21" s="102">
        <v>19222</v>
      </c>
      <c r="BE21" s="14">
        <f>(305/1185)*ELEC!Q19</f>
        <v>0</v>
      </c>
      <c r="BF21" s="14"/>
      <c r="BG21" s="14" t="e">
        <f>#REF!-BE21</f>
        <v>#REF!</v>
      </c>
      <c r="BH21" s="11"/>
    </row>
    <row r="22" spans="1:61">
      <c r="A22" s="457">
        <f>ELEC!C19</f>
        <v>44029</v>
      </c>
      <c r="B22">
        <f>'B5'!B21</f>
        <v>138.19999999999999</v>
      </c>
      <c r="C22" s="206">
        <f t="shared" si="18"/>
        <v>2973.529032258064</v>
      </c>
      <c r="D22">
        <f t="shared" si="19"/>
        <v>138.19999999999999</v>
      </c>
      <c r="E22" s="206">
        <f t="shared" si="18"/>
        <v>2973.529032258064</v>
      </c>
      <c r="F22">
        <f t="shared" si="20"/>
        <v>138.19999999999999</v>
      </c>
      <c r="G22" s="206">
        <f t="shared" si="1"/>
        <v>2973.529032258064</v>
      </c>
      <c r="H22" s="206">
        <f t="shared" si="21"/>
        <v>138.19999999999999</v>
      </c>
      <c r="I22" s="206">
        <f t="shared" si="2"/>
        <v>2973.529032258064</v>
      </c>
      <c r="J22" s="206">
        <f t="shared" si="22"/>
        <v>138.19999999999999</v>
      </c>
      <c r="K22" s="206">
        <f t="shared" si="3"/>
        <v>2973.529032258064</v>
      </c>
      <c r="L22" s="206">
        <f t="shared" si="23"/>
        <v>138.19999999999999</v>
      </c>
      <c r="M22" s="206">
        <f t="shared" si="4"/>
        <v>2973.529032258064</v>
      </c>
      <c r="N22" s="206">
        <f t="shared" si="24"/>
        <v>138.19999999999999</v>
      </c>
      <c r="O22" s="206">
        <f t="shared" si="5"/>
        <v>2973.529032258064</v>
      </c>
      <c r="P22" s="206">
        <f t="shared" si="25"/>
        <v>138.19999999999999</v>
      </c>
      <c r="Q22" s="206">
        <f t="shared" si="6"/>
        <v>2973.529032258064</v>
      </c>
      <c r="R22" s="206">
        <f t="shared" si="26"/>
        <v>138.19999999999999</v>
      </c>
      <c r="S22" s="206">
        <f t="shared" si="7"/>
        <v>2973.529032258064</v>
      </c>
      <c r="T22" s="206">
        <f t="shared" si="27"/>
        <v>138.19999999999999</v>
      </c>
      <c r="U22" s="206">
        <f t="shared" si="8"/>
        <v>2973.529032258064</v>
      </c>
      <c r="V22" s="206">
        <f t="shared" si="28"/>
        <v>138.19999999999999</v>
      </c>
      <c r="W22" s="206">
        <f t="shared" si="9"/>
        <v>2973.529032258064</v>
      </c>
      <c r="X22" s="35">
        <f t="shared" si="10"/>
        <v>0.44580645161290305</v>
      </c>
      <c r="Y22" s="36">
        <f t="shared" si="29"/>
        <v>32708.819354838699</v>
      </c>
      <c r="Z22" s="206">
        <f>'B5'!C21</f>
        <v>145.30000000000001</v>
      </c>
      <c r="AA22" s="206">
        <f t="shared" si="30"/>
        <v>1453</v>
      </c>
      <c r="AB22" s="206">
        <f t="shared" si="31"/>
        <v>145.30000000000001</v>
      </c>
      <c r="AC22" s="206">
        <f t="shared" si="30"/>
        <v>1453</v>
      </c>
      <c r="AD22" s="206">
        <f t="shared" si="32"/>
        <v>145.30000000000001</v>
      </c>
      <c r="AE22" s="206">
        <f t="shared" si="11"/>
        <v>1453</v>
      </c>
      <c r="AF22" s="206">
        <f t="shared" si="33"/>
        <v>145.30000000000001</v>
      </c>
      <c r="AG22" s="206">
        <f t="shared" si="12"/>
        <v>1453</v>
      </c>
      <c r="AH22" s="206">
        <f t="shared" si="34"/>
        <v>145.30000000000001</v>
      </c>
      <c r="AI22" s="206">
        <f t="shared" si="13"/>
        <v>1453</v>
      </c>
      <c r="AJ22" s="206">
        <f t="shared" si="35"/>
        <v>145.30000000000001</v>
      </c>
      <c r="AK22" s="206">
        <f t="shared" si="14"/>
        <v>1453</v>
      </c>
      <c r="AL22" s="206">
        <f t="shared" si="36"/>
        <v>145.30000000000001</v>
      </c>
      <c r="AM22" s="206">
        <f t="shared" si="15"/>
        <v>1453</v>
      </c>
      <c r="AN22" s="35">
        <f t="shared" si="16"/>
        <v>0.51892857142857141</v>
      </c>
      <c r="AO22" s="36">
        <f t="shared" si="17"/>
        <v>10171</v>
      </c>
      <c r="AQ22" s="226">
        <f t="shared" si="37"/>
        <v>0.46122210772118638</v>
      </c>
      <c r="AR22" s="38">
        <f t="shared" si="41"/>
        <v>42879.819354838699</v>
      </c>
      <c r="AS22" s="200">
        <f t="shared" si="38"/>
        <v>0</v>
      </c>
      <c r="AT22" s="277"/>
      <c r="AU22" s="449"/>
      <c r="AV22" s="535">
        <f t="shared" si="42"/>
        <v>0.52839999999999998</v>
      </c>
      <c r="AW22" s="298">
        <f>-SUM('B5'!AI21)</f>
        <v>0</v>
      </c>
      <c r="AX22" s="298">
        <f t="shared" si="39"/>
        <v>0</v>
      </c>
      <c r="AY22" s="37">
        <f t="shared" si="40"/>
        <v>0</v>
      </c>
      <c r="AZ22" s="100">
        <f>ELEC!A19</f>
        <v>0</v>
      </c>
      <c r="BA22" s="118">
        <f>'General information '!D22</f>
        <v>0</v>
      </c>
      <c r="BB22" s="404">
        <f>SUM('General information '!E22)</f>
        <v>0</v>
      </c>
      <c r="BC22" s="3">
        <f t="shared" si="43"/>
        <v>0</v>
      </c>
      <c r="BD22" s="102">
        <v>19222</v>
      </c>
      <c r="BE22" s="14">
        <f>(305/1185)*ELEC!Q20</f>
        <v>0</v>
      </c>
      <c r="BF22" s="14"/>
      <c r="BG22" s="14" t="e">
        <f>#REF!-BE22</f>
        <v>#REF!</v>
      </c>
      <c r="BH22" s="11"/>
    </row>
    <row r="23" spans="1:61">
      <c r="A23" s="457">
        <f>ELEC!C20</f>
        <v>44030</v>
      </c>
      <c r="B23">
        <f>'B5'!B22</f>
        <v>138.19999999999999</v>
      </c>
      <c r="C23" s="206">
        <f t="shared" si="18"/>
        <v>2973.529032258064</v>
      </c>
      <c r="D23">
        <f t="shared" si="19"/>
        <v>138.19999999999999</v>
      </c>
      <c r="E23" s="206">
        <f t="shared" si="18"/>
        <v>2973.529032258064</v>
      </c>
      <c r="F23">
        <f t="shared" si="20"/>
        <v>138.19999999999999</v>
      </c>
      <c r="G23" s="206">
        <f t="shared" si="1"/>
        <v>2973.529032258064</v>
      </c>
      <c r="H23" s="206">
        <f t="shared" si="21"/>
        <v>138.19999999999999</v>
      </c>
      <c r="I23" s="206">
        <f t="shared" si="2"/>
        <v>2973.529032258064</v>
      </c>
      <c r="J23" s="206">
        <f t="shared" si="22"/>
        <v>138.19999999999999</v>
      </c>
      <c r="K23" s="206">
        <f t="shared" si="3"/>
        <v>2973.529032258064</v>
      </c>
      <c r="L23" s="206">
        <f t="shared" si="23"/>
        <v>138.19999999999999</v>
      </c>
      <c r="M23" s="206">
        <f t="shared" si="4"/>
        <v>2973.529032258064</v>
      </c>
      <c r="N23" s="206">
        <f t="shared" si="24"/>
        <v>138.19999999999999</v>
      </c>
      <c r="O23" s="206">
        <f t="shared" si="5"/>
        <v>2973.529032258064</v>
      </c>
      <c r="P23" s="206">
        <f t="shared" si="25"/>
        <v>138.19999999999999</v>
      </c>
      <c r="Q23" s="206">
        <f t="shared" si="6"/>
        <v>2973.529032258064</v>
      </c>
      <c r="R23" s="206">
        <f t="shared" si="26"/>
        <v>138.19999999999999</v>
      </c>
      <c r="S23" s="206">
        <f t="shared" si="7"/>
        <v>2973.529032258064</v>
      </c>
      <c r="T23" s="206">
        <f t="shared" si="27"/>
        <v>138.19999999999999</v>
      </c>
      <c r="U23" s="206">
        <f t="shared" si="8"/>
        <v>2973.529032258064</v>
      </c>
      <c r="V23" s="206">
        <f t="shared" si="28"/>
        <v>138.19999999999999</v>
      </c>
      <c r="W23" s="206">
        <f t="shared" si="9"/>
        <v>2973.529032258064</v>
      </c>
      <c r="X23" s="35">
        <f t="shared" si="10"/>
        <v>0.44580645161290305</v>
      </c>
      <c r="Y23" s="36">
        <f t="shared" si="29"/>
        <v>32708.819354838699</v>
      </c>
      <c r="Z23" s="206">
        <f>'B5'!C22</f>
        <v>145.30000000000001</v>
      </c>
      <c r="AA23" s="206">
        <f t="shared" si="30"/>
        <v>1453</v>
      </c>
      <c r="AB23" s="206">
        <f t="shared" si="31"/>
        <v>145.30000000000001</v>
      </c>
      <c r="AC23" s="206">
        <f t="shared" si="30"/>
        <v>1453</v>
      </c>
      <c r="AD23" s="206">
        <f t="shared" si="32"/>
        <v>145.30000000000001</v>
      </c>
      <c r="AE23" s="206">
        <f t="shared" si="11"/>
        <v>1453</v>
      </c>
      <c r="AF23" s="206">
        <f t="shared" si="33"/>
        <v>145.30000000000001</v>
      </c>
      <c r="AG23" s="206">
        <f t="shared" si="12"/>
        <v>1453</v>
      </c>
      <c r="AH23" s="206">
        <f t="shared" si="34"/>
        <v>145.30000000000001</v>
      </c>
      <c r="AI23" s="206">
        <f t="shared" si="13"/>
        <v>1453</v>
      </c>
      <c r="AJ23" s="206">
        <f t="shared" si="35"/>
        <v>145.30000000000001</v>
      </c>
      <c r="AK23" s="206">
        <f t="shared" si="14"/>
        <v>1453</v>
      </c>
      <c r="AL23" s="206">
        <f t="shared" si="36"/>
        <v>145.30000000000001</v>
      </c>
      <c r="AM23" s="206">
        <f t="shared" si="15"/>
        <v>1453</v>
      </c>
      <c r="AN23" s="35">
        <f t="shared" si="16"/>
        <v>0.51892857142857141</v>
      </c>
      <c r="AO23" s="36">
        <f t="shared" si="17"/>
        <v>10171</v>
      </c>
      <c r="AQ23" s="226">
        <f t="shared" si="37"/>
        <v>0.46122210772118638</v>
      </c>
      <c r="AR23" s="38">
        <f t="shared" si="41"/>
        <v>42879.819354838699</v>
      </c>
      <c r="AS23" s="200">
        <f t="shared" si="38"/>
        <v>0</v>
      </c>
      <c r="AT23" s="277"/>
      <c r="AU23" s="449"/>
      <c r="AV23" s="535">
        <f t="shared" si="42"/>
        <v>0.52839999999999998</v>
      </c>
      <c r="AW23" s="298">
        <f>-SUM('B5'!AI22)</f>
        <v>0</v>
      </c>
      <c r="AX23" s="298">
        <f t="shared" si="39"/>
        <v>0</v>
      </c>
      <c r="AY23" s="37">
        <f t="shared" si="40"/>
        <v>0</v>
      </c>
      <c r="AZ23" s="100">
        <f>ELEC!A20</f>
        <v>0</v>
      </c>
      <c r="BA23" s="118">
        <f>'General information '!D23</f>
        <v>0</v>
      </c>
      <c r="BB23" s="404">
        <f>SUM('General information '!E23)</f>
        <v>0</v>
      </c>
      <c r="BC23" s="3">
        <f t="shared" si="43"/>
        <v>0</v>
      </c>
      <c r="BD23" s="102">
        <v>19222</v>
      </c>
      <c r="BE23" s="14">
        <f>(305/1185)*ELEC!Q21</f>
        <v>0</v>
      </c>
      <c r="BF23" s="14"/>
      <c r="BG23" s="14" t="e">
        <f>#REF!-BE23</f>
        <v>#REF!</v>
      </c>
      <c r="BH23" s="11"/>
    </row>
    <row r="24" spans="1:61">
      <c r="A24" s="457">
        <f>ELEC!C21</f>
        <v>44031</v>
      </c>
      <c r="B24">
        <f>'B5'!B23</f>
        <v>138.19999999999999</v>
      </c>
      <c r="C24" s="206">
        <f t="shared" si="18"/>
        <v>2973.529032258064</v>
      </c>
      <c r="D24">
        <f t="shared" si="19"/>
        <v>138.19999999999999</v>
      </c>
      <c r="E24" s="206">
        <f t="shared" si="18"/>
        <v>2973.529032258064</v>
      </c>
      <c r="F24">
        <f t="shared" si="20"/>
        <v>138.19999999999999</v>
      </c>
      <c r="G24" s="206">
        <f t="shared" si="1"/>
        <v>2973.529032258064</v>
      </c>
      <c r="H24" s="206">
        <f t="shared" si="21"/>
        <v>138.19999999999999</v>
      </c>
      <c r="I24" s="206">
        <f t="shared" si="2"/>
        <v>2973.529032258064</v>
      </c>
      <c r="J24" s="206">
        <f t="shared" si="22"/>
        <v>138.19999999999999</v>
      </c>
      <c r="K24" s="206">
        <f t="shared" si="3"/>
        <v>2973.529032258064</v>
      </c>
      <c r="L24" s="206">
        <f t="shared" si="23"/>
        <v>138.19999999999999</v>
      </c>
      <c r="M24" s="206">
        <f t="shared" si="4"/>
        <v>2973.529032258064</v>
      </c>
      <c r="N24" s="206">
        <f t="shared" si="24"/>
        <v>138.19999999999999</v>
      </c>
      <c r="O24" s="206">
        <f t="shared" si="5"/>
        <v>2973.529032258064</v>
      </c>
      <c r="P24" s="206">
        <f t="shared" si="25"/>
        <v>138.19999999999999</v>
      </c>
      <c r="Q24" s="206">
        <f t="shared" si="6"/>
        <v>2973.529032258064</v>
      </c>
      <c r="R24" s="206">
        <f t="shared" si="26"/>
        <v>138.19999999999999</v>
      </c>
      <c r="S24" s="206">
        <f t="shared" si="7"/>
        <v>2973.529032258064</v>
      </c>
      <c r="T24" s="206">
        <f t="shared" si="27"/>
        <v>138.19999999999999</v>
      </c>
      <c r="U24" s="206">
        <f t="shared" si="8"/>
        <v>2973.529032258064</v>
      </c>
      <c r="V24" s="206">
        <f t="shared" si="28"/>
        <v>138.19999999999999</v>
      </c>
      <c r="W24" s="206">
        <f t="shared" si="9"/>
        <v>2973.529032258064</v>
      </c>
      <c r="X24" s="35">
        <f t="shared" si="10"/>
        <v>0.44580645161290305</v>
      </c>
      <c r="Y24" s="36">
        <f t="shared" si="29"/>
        <v>32708.819354838699</v>
      </c>
      <c r="Z24" s="206">
        <f>'B5'!C23</f>
        <v>145.30000000000001</v>
      </c>
      <c r="AA24" s="206">
        <f t="shared" si="30"/>
        <v>1453</v>
      </c>
      <c r="AB24" s="206">
        <f t="shared" si="31"/>
        <v>145.30000000000001</v>
      </c>
      <c r="AC24" s="206">
        <f t="shared" si="30"/>
        <v>1453</v>
      </c>
      <c r="AD24" s="206">
        <f t="shared" si="32"/>
        <v>145.30000000000001</v>
      </c>
      <c r="AE24" s="206">
        <f t="shared" si="11"/>
        <v>1453</v>
      </c>
      <c r="AF24" s="206">
        <f t="shared" si="33"/>
        <v>145.30000000000001</v>
      </c>
      <c r="AG24" s="206">
        <f t="shared" si="12"/>
        <v>1453</v>
      </c>
      <c r="AH24" s="206">
        <f t="shared" si="34"/>
        <v>145.30000000000001</v>
      </c>
      <c r="AI24" s="206">
        <f t="shared" si="13"/>
        <v>1453</v>
      </c>
      <c r="AJ24" s="206">
        <f t="shared" si="35"/>
        <v>145.30000000000001</v>
      </c>
      <c r="AK24" s="206">
        <f t="shared" si="14"/>
        <v>1453</v>
      </c>
      <c r="AL24" s="206">
        <f t="shared" si="36"/>
        <v>145.30000000000001</v>
      </c>
      <c r="AM24" s="206">
        <f t="shared" si="15"/>
        <v>1453</v>
      </c>
      <c r="AN24" s="35">
        <f t="shared" si="16"/>
        <v>0.51892857142857141</v>
      </c>
      <c r="AO24" s="36">
        <f t="shared" si="17"/>
        <v>10171</v>
      </c>
      <c r="AQ24" s="226">
        <f t="shared" si="37"/>
        <v>0.46122210772118638</v>
      </c>
      <c r="AR24" s="38">
        <f t="shared" si="41"/>
        <v>42879.819354838699</v>
      </c>
      <c r="AS24" s="200">
        <f t="shared" si="38"/>
        <v>0</v>
      </c>
      <c r="AT24" s="277"/>
      <c r="AU24" s="449"/>
      <c r="AV24" s="535">
        <f t="shared" si="42"/>
        <v>0.52839999999999998</v>
      </c>
      <c r="AW24" s="298">
        <f>-SUM('B5'!AI23)</f>
        <v>0</v>
      </c>
      <c r="AX24" s="298">
        <f t="shared" si="39"/>
        <v>0</v>
      </c>
      <c r="AY24" s="37">
        <f t="shared" si="40"/>
        <v>0</v>
      </c>
      <c r="AZ24" s="100">
        <f>ELEC!A21</f>
        <v>0</v>
      </c>
      <c r="BA24" s="118">
        <f>'General information '!D24</f>
        <v>0</v>
      </c>
      <c r="BB24" s="404">
        <f>SUM('General information '!E24)</f>
        <v>0</v>
      </c>
      <c r="BC24" s="3">
        <f t="shared" si="43"/>
        <v>0</v>
      </c>
      <c r="BD24" s="102">
        <v>19222</v>
      </c>
      <c r="BE24" s="14">
        <f>(305/1185)*ELEC!Q22</f>
        <v>0</v>
      </c>
      <c r="BF24" s="14"/>
      <c r="BG24" s="14" t="e">
        <f>#REF!-BE24</f>
        <v>#REF!</v>
      </c>
      <c r="BH24" s="11"/>
      <c r="BI24" t="s">
        <v>326</v>
      </c>
    </row>
    <row r="25" spans="1:61">
      <c r="A25" s="457">
        <f>ELEC!C22</f>
        <v>44032</v>
      </c>
      <c r="B25">
        <f>'B5'!B24</f>
        <v>138.19999999999999</v>
      </c>
      <c r="C25" s="206">
        <f t="shared" si="18"/>
        <v>2973.529032258064</v>
      </c>
      <c r="D25">
        <f t="shared" si="19"/>
        <v>138.19999999999999</v>
      </c>
      <c r="E25" s="206">
        <f t="shared" si="18"/>
        <v>2973.529032258064</v>
      </c>
      <c r="F25">
        <f t="shared" si="20"/>
        <v>138.19999999999999</v>
      </c>
      <c r="G25" s="206">
        <f t="shared" si="1"/>
        <v>2973.529032258064</v>
      </c>
      <c r="H25" s="206">
        <f t="shared" si="21"/>
        <v>138.19999999999999</v>
      </c>
      <c r="I25" s="206">
        <f t="shared" si="2"/>
        <v>2973.529032258064</v>
      </c>
      <c r="J25" s="206">
        <f t="shared" si="22"/>
        <v>138.19999999999999</v>
      </c>
      <c r="K25" s="206">
        <f t="shared" si="3"/>
        <v>2973.529032258064</v>
      </c>
      <c r="L25" s="206">
        <f t="shared" si="23"/>
        <v>138.19999999999999</v>
      </c>
      <c r="M25" s="206">
        <f t="shared" si="4"/>
        <v>2973.529032258064</v>
      </c>
      <c r="N25" s="206">
        <f t="shared" si="24"/>
        <v>138.19999999999999</v>
      </c>
      <c r="O25" s="206">
        <f t="shared" si="5"/>
        <v>2973.529032258064</v>
      </c>
      <c r="P25" s="206">
        <f t="shared" si="25"/>
        <v>138.19999999999999</v>
      </c>
      <c r="Q25" s="206">
        <f t="shared" si="6"/>
        <v>2973.529032258064</v>
      </c>
      <c r="R25" s="206">
        <f t="shared" si="26"/>
        <v>138.19999999999999</v>
      </c>
      <c r="S25" s="206">
        <f t="shared" si="7"/>
        <v>2973.529032258064</v>
      </c>
      <c r="T25" s="206">
        <f t="shared" si="27"/>
        <v>138.19999999999999</v>
      </c>
      <c r="U25" s="206">
        <f t="shared" si="8"/>
        <v>2973.529032258064</v>
      </c>
      <c r="V25" s="206">
        <f t="shared" si="28"/>
        <v>138.19999999999999</v>
      </c>
      <c r="W25" s="206">
        <f t="shared" si="9"/>
        <v>2973.529032258064</v>
      </c>
      <c r="X25" s="35">
        <f t="shared" si="10"/>
        <v>0.44580645161290305</v>
      </c>
      <c r="Y25" s="36">
        <f t="shared" si="29"/>
        <v>32708.819354838699</v>
      </c>
      <c r="Z25" s="206">
        <f>'B5'!C24</f>
        <v>145.30000000000001</v>
      </c>
      <c r="AA25" s="206">
        <f t="shared" si="30"/>
        <v>1453</v>
      </c>
      <c r="AB25" s="206">
        <f t="shared" si="31"/>
        <v>145.30000000000001</v>
      </c>
      <c r="AC25" s="206">
        <f t="shared" si="30"/>
        <v>1453</v>
      </c>
      <c r="AD25" s="206">
        <f t="shared" si="32"/>
        <v>145.30000000000001</v>
      </c>
      <c r="AE25" s="206">
        <f t="shared" si="11"/>
        <v>1453</v>
      </c>
      <c r="AF25" s="206">
        <f t="shared" si="33"/>
        <v>145.30000000000001</v>
      </c>
      <c r="AG25" s="206">
        <f t="shared" si="12"/>
        <v>1453</v>
      </c>
      <c r="AH25" s="206">
        <f t="shared" si="34"/>
        <v>145.30000000000001</v>
      </c>
      <c r="AI25" s="206">
        <f t="shared" si="13"/>
        <v>1453</v>
      </c>
      <c r="AJ25" s="206">
        <f t="shared" si="35"/>
        <v>145.30000000000001</v>
      </c>
      <c r="AK25" s="206">
        <f t="shared" si="14"/>
        <v>1453</v>
      </c>
      <c r="AL25" s="206">
        <f t="shared" si="36"/>
        <v>145.30000000000001</v>
      </c>
      <c r="AM25" s="206">
        <f t="shared" si="15"/>
        <v>1453</v>
      </c>
      <c r="AN25" s="35">
        <f t="shared" si="16"/>
        <v>0.51892857142857141</v>
      </c>
      <c r="AO25" s="36">
        <f t="shared" si="17"/>
        <v>10171</v>
      </c>
      <c r="AQ25" s="226">
        <f t="shared" si="37"/>
        <v>0.46122210772118638</v>
      </c>
      <c r="AR25" s="38">
        <f t="shared" si="41"/>
        <v>42879.819354838699</v>
      </c>
      <c r="AS25" s="200">
        <f t="shared" si="38"/>
        <v>0</v>
      </c>
      <c r="AT25" s="277"/>
      <c r="AU25" s="449"/>
      <c r="AV25" s="535">
        <f t="shared" si="42"/>
        <v>0.52839999999999998</v>
      </c>
      <c r="AW25" s="298">
        <f>-SUM('B5'!AI24)</f>
        <v>0</v>
      </c>
      <c r="AX25" s="298">
        <f t="shared" si="39"/>
        <v>0</v>
      </c>
      <c r="AY25" s="37">
        <f t="shared" si="40"/>
        <v>0</v>
      </c>
      <c r="AZ25" s="100">
        <f>ELEC!A22</f>
        <v>0</v>
      </c>
      <c r="BA25" s="118">
        <f>'General information '!D25</f>
        <v>0</v>
      </c>
      <c r="BB25" s="404">
        <f>SUM('General information '!E25)</f>
        <v>0</v>
      </c>
      <c r="BC25" s="3">
        <f t="shared" si="43"/>
        <v>0</v>
      </c>
      <c r="BD25" s="102">
        <v>19222</v>
      </c>
      <c r="BE25" s="14">
        <f>(305/1185)*ELEC!Q23</f>
        <v>0</v>
      </c>
      <c r="BF25" s="14"/>
      <c r="BG25" s="14" t="e">
        <f>#REF!-BE25</f>
        <v>#REF!</v>
      </c>
      <c r="BH25" s="11"/>
    </row>
    <row r="26" spans="1:61">
      <c r="A26" s="457">
        <f>ELEC!C23</f>
        <v>44033</v>
      </c>
      <c r="B26">
        <f>'B5'!B25</f>
        <v>138.19999999999999</v>
      </c>
      <c r="C26" s="206">
        <f t="shared" si="18"/>
        <v>2973.529032258064</v>
      </c>
      <c r="D26">
        <f t="shared" si="19"/>
        <v>138.19999999999999</v>
      </c>
      <c r="E26" s="206">
        <f t="shared" si="18"/>
        <v>2973.529032258064</v>
      </c>
      <c r="F26">
        <f t="shared" si="20"/>
        <v>138.19999999999999</v>
      </c>
      <c r="G26" s="206">
        <f t="shared" si="1"/>
        <v>2973.529032258064</v>
      </c>
      <c r="H26" s="206">
        <f t="shared" si="21"/>
        <v>138.19999999999999</v>
      </c>
      <c r="I26" s="206">
        <f t="shared" si="2"/>
        <v>2973.529032258064</v>
      </c>
      <c r="J26" s="206">
        <f t="shared" si="22"/>
        <v>138.19999999999999</v>
      </c>
      <c r="K26" s="206">
        <f t="shared" si="3"/>
        <v>2973.529032258064</v>
      </c>
      <c r="L26" s="206">
        <f t="shared" si="23"/>
        <v>138.19999999999999</v>
      </c>
      <c r="M26" s="206">
        <f t="shared" si="4"/>
        <v>2973.529032258064</v>
      </c>
      <c r="N26" s="206">
        <f t="shared" si="24"/>
        <v>138.19999999999999</v>
      </c>
      <c r="O26" s="206">
        <f t="shared" si="5"/>
        <v>2973.529032258064</v>
      </c>
      <c r="P26" s="206">
        <f t="shared" si="25"/>
        <v>138.19999999999999</v>
      </c>
      <c r="Q26" s="206">
        <f t="shared" si="6"/>
        <v>2973.529032258064</v>
      </c>
      <c r="R26" s="206">
        <f t="shared" si="26"/>
        <v>138.19999999999999</v>
      </c>
      <c r="S26" s="206">
        <f t="shared" si="7"/>
        <v>2973.529032258064</v>
      </c>
      <c r="T26" s="206">
        <f t="shared" si="27"/>
        <v>138.19999999999999</v>
      </c>
      <c r="U26" s="206">
        <f t="shared" si="8"/>
        <v>2973.529032258064</v>
      </c>
      <c r="V26" s="206">
        <f t="shared" si="28"/>
        <v>138.19999999999999</v>
      </c>
      <c r="W26" s="206">
        <f t="shared" si="9"/>
        <v>2973.529032258064</v>
      </c>
      <c r="X26" s="35">
        <f t="shared" si="10"/>
        <v>0.44580645161290305</v>
      </c>
      <c r="Y26" s="36">
        <f t="shared" si="29"/>
        <v>32708.819354838699</v>
      </c>
      <c r="Z26" s="206">
        <f>'B5'!C25</f>
        <v>145.30000000000001</v>
      </c>
      <c r="AA26" s="206">
        <f t="shared" si="30"/>
        <v>1453</v>
      </c>
      <c r="AB26" s="206">
        <f t="shared" si="31"/>
        <v>145.30000000000001</v>
      </c>
      <c r="AC26" s="206">
        <f t="shared" si="30"/>
        <v>1453</v>
      </c>
      <c r="AD26" s="206">
        <f t="shared" si="32"/>
        <v>145.30000000000001</v>
      </c>
      <c r="AE26" s="206">
        <f t="shared" si="11"/>
        <v>1453</v>
      </c>
      <c r="AF26" s="206">
        <f t="shared" si="33"/>
        <v>145.30000000000001</v>
      </c>
      <c r="AG26" s="206">
        <f t="shared" si="12"/>
        <v>1453</v>
      </c>
      <c r="AH26" s="206">
        <f t="shared" si="34"/>
        <v>145.30000000000001</v>
      </c>
      <c r="AI26" s="206">
        <f t="shared" si="13"/>
        <v>1453</v>
      </c>
      <c r="AJ26" s="206">
        <f t="shared" si="35"/>
        <v>145.30000000000001</v>
      </c>
      <c r="AK26" s="206">
        <f t="shared" si="14"/>
        <v>1453</v>
      </c>
      <c r="AL26" s="206">
        <f t="shared" si="36"/>
        <v>145.30000000000001</v>
      </c>
      <c r="AM26" s="206">
        <f t="shared" si="15"/>
        <v>1453</v>
      </c>
      <c r="AN26" s="35">
        <f t="shared" si="16"/>
        <v>0.51892857142857141</v>
      </c>
      <c r="AO26" s="36">
        <f t="shared" si="17"/>
        <v>10171</v>
      </c>
      <c r="AQ26" s="226">
        <f t="shared" si="37"/>
        <v>0.46122210772118638</v>
      </c>
      <c r="AR26" s="38">
        <f t="shared" si="41"/>
        <v>42879.819354838699</v>
      </c>
      <c r="AS26" s="200">
        <f t="shared" si="38"/>
        <v>0</v>
      </c>
      <c r="AT26" s="277"/>
      <c r="AU26" s="449"/>
      <c r="AV26" s="535">
        <f t="shared" si="42"/>
        <v>0.52839999999999998</v>
      </c>
      <c r="AW26" s="298">
        <f>-SUM('B5'!AI25)</f>
        <v>0</v>
      </c>
      <c r="AX26" s="298">
        <f t="shared" si="39"/>
        <v>0</v>
      </c>
      <c r="AY26" s="37">
        <f t="shared" si="40"/>
        <v>0</v>
      </c>
      <c r="AZ26" s="100">
        <f>ELEC!A23</f>
        <v>0</v>
      </c>
      <c r="BA26" s="118">
        <f>'General information '!D26</f>
        <v>0</v>
      </c>
      <c r="BB26" s="404">
        <f>SUM('General information '!E26)</f>
        <v>0</v>
      </c>
      <c r="BC26" s="3">
        <f t="shared" si="43"/>
        <v>0</v>
      </c>
      <c r="BD26" s="102">
        <v>19222</v>
      </c>
      <c r="BE26" s="14">
        <f>(305/1185)*ELEC!Q24</f>
        <v>0</v>
      </c>
      <c r="BF26" s="14"/>
      <c r="BG26" s="14" t="e">
        <f>#REF!-BE26</f>
        <v>#REF!</v>
      </c>
      <c r="BH26" s="11"/>
    </row>
    <row r="27" spans="1:61">
      <c r="A27" s="457">
        <f>ELEC!C24</f>
        <v>44034</v>
      </c>
      <c r="B27">
        <f>'B5'!B26</f>
        <v>138.19999999999999</v>
      </c>
      <c r="C27" s="206">
        <f t="shared" si="18"/>
        <v>2973.529032258064</v>
      </c>
      <c r="D27">
        <f t="shared" si="19"/>
        <v>138.19999999999999</v>
      </c>
      <c r="E27" s="206">
        <f t="shared" si="18"/>
        <v>2973.529032258064</v>
      </c>
      <c r="F27">
        <f t="shared" si="20"/>
        <v>138.19999999999999</v>
      </c>
      <c r="G27" s="206">
        <f t="shared" si="1"/>
        <v>2973.529032258064</v>
      </c>
      <c r="H27" s="206">
        <f t="shared" si="21"/>
        <v>138.19999999999999</v>
      </c>
      <c r="I27" s="206">
        <f t="shared" si="2"/>
        <v>2973.529032258064</v>
      </c>
      <c r="J27" s="206">
        <f t="shared" si="22"/>
        <v>138.19999999999999</v>
      </c>
      <c r="K27" s="206">
        <f t="shared" si="3"/>
        <v>2973.529032258064</v>
      </c>
      <c r="L27" s="206">
        <f t="shared" si="23"/>
        <v>138.19999999999999</v>
      </c>
      <c r="M27" s="206">
        <f t="shared" si="4"/>
        <v>2973.529032258064</v>
      </c>
      <c r="N27" s="206">
        <f t="shared" si="24"/>
        <v>138.19999999999999</v>
      </c>
      <c r="O27" s="206">
        <f t="shared" si="5"/>
        <v>2973.529032258064</v>
      </c>
      <c r="P27" s="206">
        <f t="shared" si="25"/>
        <v>138.19999999999999</v>
      </c>
      <c r="Q27" s="206">
        <f t="shared" si="6"/>
        <v>2973.529032258064</v>
      </c>
      <c r="R27" s="206">
        <f t="shared" si="26"/>
        <v>138.19999999999999</v>
      </c>
      <c r="S27" s="206">
        <f t="shared" si="7"/>
        <v>2973.529032258064</v>
      </c>
      <c r="T27" s="206">
        <f t="shared" si="27"/>
        <v>138.19999999999999</v>
      </c>
      <c r="U27" s="206">
        <f t="shared" si="8"/>
        <v>2973.529032258064</v>
      </c>
      <c r="V27" s="206">
        <f t="shared" si="28"/>
        <v>138.19999999999999</v>
      </c>
      <c r="W27" s="206">
        <f t="shared" si="9"/>
        <v>2973.529032258064</v>
      </c>
      <c r="X27" s="35">
        <f t="shared" si="10"/>
        <v>0.44580645161290305</v>
      </c>
      <c r="Y27" s="36">
        <f t="shared" si="29"/>
        <v>32708.819354838699</v>
      </c>
      <c r="Z27" s="206">
        <f>'B5'!C26</f>
        <v>145.30000000000001</v>
      </c>
      <c r="AA27" s="206">
        <f t="shared" si="30"/>
        <v>1453</v>
      </c>
      <c r="AB27" s="206">
        <f t="shared" si="31"/>
        <v>145.30000000000001</v>
      </c>
      <c r="AC27" s="206">
        <f t="shared" si="30"/>
        <v>1453</v>
      </c>
      <c r="AD27" s="206">
        <f t="shared" si="32"/>
        <v>145.30000000000001</v>
      </c>
      <c r="AE27" s="206">
        <f t="shared" si="11"/>
        <v>1453</v>
      </c>
      <c r="AF27" s="206">
        <f t="shared" si="33"/>
        <v>145.30000000000001</v>
      </c>
      <c r="AG27" s="206">
        <f t="shared" si="12"/>
        <v>1453</v>
      </c>
      <c r="AH27" s="206">
        <f t="shared" si="34"/>
        <v>145.30000000000001</v>
      </c>
      <c r="AI27" s="206">
        <f t="shared" si="13"/>
        <v>1453</v>
      </c>
      <c r="AJ27" s="206">
        <f t="shared" si="35"/>
        <v>145.30000000000001</v>
      </c>
      <c r="AK27" s="206">
        <f t="shared" si="14"/>
        <v>1453</v>
      </c>
      <c r="AL27" s="206">
        <f t="shared" si="36"/>
        <v>145.30000000000001</v>
      </c>
      <c r="AM27" s="206">
        <f t="shared" si="15"/>
        <v>1453</v>
      </c>
      <c r="AN27" s="35">
        <f t="shared" si="16"/>
        <v>0.51892857142857141</v>
      </c>
      <c r="AO27" s="36">
        <f t="shared" si="17"/>
        <v>10171</v>
      </c>
      <c r="AQ27" s="226">
        <f t="shared" si="37"/>
        <v>0.46122210772118638</v>
      </c>
      <c r="AR27" s="38">
        <f t="shared" si="41"/>
        <v>42879.819354838699</v>
      </c>
      <c r="AS27" s="200">
        <f t="shared" si="38"/>
        <v>0</v>
      </c>
      <c r="AT27" s="277"/>
      <c r="AU27" s="449"/>
      <c r="AV27" s="535">
        <f t="shared" si="42"/>
        <v>0.52839999999999998</v>
      </c>
      <c r="AW27" s="298">
        <f>-SUM('B5'!AI26)</f>
        <v>0</v>
      </c>
      <c r="AX27" s="298">
        <f t="shared" si="39"/>
        <v>0</v>
      </c>
      <c r="AY27" s="37">
        <f t="shared" si="40"/>
        <v>0</v>
      </c>
      <c r="AZ27" s="100">
        <f>ELEC!A24</f>
        <v>0</v>
      </c>
      <c r="BA27" s="118">
        <f>'General information '!D27</f>
        <v>0</v>
      </c>
      <c r="BB27" s="404">
        <f>SUM('General information '!E27)</f>
        <v>0</v>
      </c>
      <c r="BC27" s="3">
        <f t="shared" si="43"/>
        <v>0</v>
      </c>
      <c r="BD27" s="102">
        <v>19222</v>
      </c>
      <c r="BE27" s="14">
        <f>(305/1185)*ELEC!Q25</f>
        <v>0</v>
      </c>
      <c r="BF27" s="14"/>
      <c r="BG27" s="14" t="e">
        <f>#REF!-BE27</f>
        <v>#REF!</v>
      </c>
      <c r="BH27" s="11"/>
    </row>
    <row r="28" spans="1:61">
      <c r="A28" s="457">
        <f>ELEC!C25</f>
        <v>44035</v>
      </c>
      <c r="B28">
        <f>'B5'!B27</f>
        <v>138.19999999999999</v>
      </c>
      <c r="C28" s="206">
        <f t="shared" si="18"/>
        <v>2973.529032258064</v>
      </c>
      <c r="D28">
        <f t="shared" si="19"/>
        <v>138.19999999999999</v>
      </c>
      <c r="E28" s="206">
        <f t="shared" si="18"/>
        <v>2973.529032258064</v>
      </c>
      <c r="F28">
        <f t="shared" si="20"/>
        <v>138.19999999999999</v>
      </c>
      <c r="G28" s="206">
        <f t="shared" si="1"/>
        <v>2973.529032258064</v>
      </c>
      <c r="H28" s="206">
        <f t="shared" si="21"/>
        <v>138.19999999999999</v>
      </c>
      <c r="I28" s="206">
        <f t="shared" si="2"/>
        <v>2973.529032258064</v>
      </c>
      <c r="J28" s="206">
        <f t="shared" si="22"/>
        <v>138.19999999999999</v>
      </c>
      <c r="K28" s="206">
        <f t="shared" si="3"/>
        <v>2973.529032258064</v>
      </c>
      <c r="L28" s="206">
        <f t="shared" si="23"/>
        <v>138.19999999999999</v>
      </c>
      <c r="M28" s="206">
        <f t="shared" si="4"/>
        <v>2973.529032258064</v>
      </c>
      <c r="N28" s="206">
        <f t="shared" si="24"/>
        <v>138.19999999999999</v>
      </c>
      <c r="O28" s="206">
        <f t="shared" si="5"/>
        <v>2973.529032258064</v>
      </c>
      <c r="P28" s="206">
        <f t="shared" si="25"/>
        <v>138.19999999999999</v>
      </c>
      <c r="Q28" s="206">
        <f t="shared" si="6"/>
        <v>2973.529032258064</v>
      </c>
      <c r="R28" s="206">
        <f t="shared" si="26"/>
        <v>138.19999999999999</v>
      </c>
      <c r="S28" s="206">
        <f t="shared" si="7"/>
        <v>2973.529032258064</v>
      </c>
      <c r="T28" s="206">
        <f t="shared" si="27"/>
        <v>138.19999999999999</v>
      </c>
      <c r="U28" s="206">
        <f t="shared" si="8"/>
        <v>2973.529032258064</v>
      </c>
      <c r="V28" s="206">
        <f t="shared" si="28"/>
        <v>138.19999999999999</v>
      </c>
      <c r="W28" s="206">
        <f t="shared" si="9"/>
        <v>2973.529032258064</v>
      </c>
      <c r="X28" s="35">
        <f t="shared" si="10"/>
        <v>0.44580645161290305</v>
      </c>
      <c r="Y28" s="36">
        <f t="shared" si="29"/>
        <v>32708.819354838699</v>
      </c>
      <c r="Z28" s="206">
        <f>'B5'!C27</f>
        <v>145.30000000000001</v>
      </c>
      <c r="AA28" s="206">
        <f t="shared" si="30"/>
        <v>1453</v>
      </c>
      <c r="AB28" s="206">
        <f t="shared" si="31"/>
        <v>145.30000000000001</v>
      </c>
      <c r="AC28" s="206">
        <f t="shared" si="30"/>
        <v>1453</v>
      </c>
      <c r="AD28" s="206">
        <f t="shared" si="32"/>
        <v>145.30000000000001</v>
      </c>
      <c r="AE28" s="206">
        <f t="shared" si="11"/>
        <v>1453</v>
      </c>
      <c r="AF28" s="206">
        <f t="shared" si="33"/>
        <v>145.30000000000001</v>
      </c>
      <c r="AG28" s="206">
        <f t="shared" si="12"/>
        <v>1453</v>
      </c>
      <c r="AH28" s="206">
        <f t="shared" si="34"/>
        <v>145.30000000000001</v>
      </c>
      <c r="AI28" s="206">
        <f t="shared" si="13"/>
        <v>1453</v>
      </c>
      <c r="AJ28" s="206">
        <f t="shared" si="35"/>
        <v>145.30000000000001</v>
      </c>
      <c r="AK28" s="206">
        <f t="shared" si="14"/>
        <v>1453</v>
      </c>
      <c r="AL28" s="206">
        <f t="shared" si="36"/>
        <v>145.30000000000001</v>
      </c>
      <c r="AM28" s="206">
        <f t="shared" si="15"/>
        <v>1453</v>
      </c>
      <c r="AN28" s="35">
        <f t="shared" si="16"/>
        <v>0.51892857142857141</v>
      </c>
      <c r="AO28" s="36">
        <f t="shared" si="17"/>
        <v>10171</v>
      </c>
      <c r="AQ28" s="226">
        <f t="shared" si="37"/>
        <v>0.46122210772118638</v>
      </c>
      <c r="AR28" s="38">
        <f t="shared" si="41"/>
        <v>42879.819354838699</v>
      </c>
      <c r="AS28" s="200">
        <f t="shared" si="38"/>
        <v>0</v>
      </c>
      <c r="AT28" s="365"/>
      <c r="AU28" s="449"/>
      <c r="AV28" s="535">
        <f t="shared" si="42"/>
        <v>0.52839999999999998</v>
      </c>
      <c r="AW28" s="298">
        <f>-SUM('B5'!AI27)</f>
        <v>0</v>
      </c>
      <c r="AX28" s="298">
        <f t="shared" si="39"/>
        <v>0</v>
      </c>
      <c r="AY28" s="37">
        <f t="shared" si="40"/>
        <v>0</v>
      </c>
      <c r="AZ28" s="100">
        <f>ELEC!A25</f>
        <v>0</v>
      </c>
      <c r="BA28" s="118">
        <f>'General information '!D28</f>
        <v>0</v>
      </c>
      <c r="BB28" s="404">
        <f>SUM('General information '!E28)</f>
        <v>0</v>
      </c>
      <c r="BC28" s="3">
        <f t="shared" si="43"/>
        <v>0</v>
      </c>
      <c r="BD28" s="102">
        <v>19222</v>
      </c>
      <c r="BE28" s="14">
        <f>(305/1185)*ELEC!Q26</f>
        <v>0</v>
      </c>
      <c r="BF28" s="14"/>
      <c r="BG28" s="14" t="e">
        <f>#REF!-BE28</f>
        <v>#REF!</v>
      </c>
      <c r="BH28" s="11"/>
    </row>
    <row r="29" spans="1:61">
      <c r="A29" s="457">
        <f>ELEC!C26</f>
        <v>44036</v>
      </c>
      <c r="B29">
        <f>'B5'!B28</f>
        <v>138.19999999999999</v>
      </c>
      <c r="C29" s="206">
        <f t="shared" si="18"/>
        <v>2973.529032258064</v>
      </c>
      <c r="D29">
        <f t="shared" si="19"/>
        <v>138.19999999999999</v>
      </c>
      <c r="E29" s="206">
        <f t="shared" si="18"/>
        <v>2973.529032258064</v>
      </c>
      <c r="F29">
        <f t="shared" si="20"/>
        <v>138.19999999999999</v>
      </c>
      <c r="G29" s="206">
        <f t="shared" si="1"/>
        <v>2973.529032258064</v>
      </c>
      <c r="H29" s="206">
        <f t="shared" si="21"/>
        <v>138.19999999999999</v>
      </c>
      <c r="I29" s="206">
        <f t="shared" si="2"/>
        <v>2973.529032258064</v>
      </c>
      <c r="J29" s="206">
        <f t="shared" si="22"/>
        <v>138.19999999999999</v>
      </c>
      <c r="K29" s="206">
        <f t="shared" si="3"/>
        <v>2973.529032258064</v>
      </c>
      <c r="L29" s="206">
        <f t="shared" si="23"/>
        <v>138.19999999999999</v>
      </c>
      <c r="M29" s="206">
        <f t="shared" si="4"/>
        <v>2973.529032258064</v>
      </c>
      <c r="N29" s="206">
        <f t="shared" si="24"/>
        <v>138.19999999999999</v>
      </c>
      <c r="O29" s="206">
        <f t="shared" si="5"/>
        <v>2973.529032258064</v>
      </c>
      <c r="P29" s="206">
        <f t="shared" si="25"/>
        <v>138.19999999999999</v>
      </c>
      <c r="Q29" s="206">
        <f t="shared" si="6"/>
        <v>2973.529032258064</v>
      </c>
      <c r="R29" s="206">
        <f t="shared" si="26"/>
        <v>138.19999999999999</v>
      </c>
      <c r="S29" s="206">
        <f t="shared" si="7"/>
        <v>2973.529032258064</v>
      </c>
      <c r="T29" s="206">
        <f t="shared" si="27"/>
        <v>138.19999999999999</v>
      </c>
      <c r="U29" s="206">
        <f t="shared" si="8"/>
        <v>2973.529032258064</v>
      </c>
      <c r="V29" s="206">
        <f t="shared" si="28"/>
        <v>138.19999999999999</v>
      </c>
      <c r="W29" s="206">
        <f t="shared" si="9"/>
        <v>2973.529032258064</v>
      </c>
      <c r="X29" s="35">
        <f t="shared" si="10"/>
        <v>0.44580645161290305</v>
      </c>
      <c r="Y29" s="36">
        <f t="shared" si="29"/>
        <v>32708.819354838699</v>
      </c>
      <c r="Z29" s="206">
        <f>'B5'!C28</f>
        <v>145.30000000000001</v>
      </c>
      <c r="AA29" s="206">
        <f t="shared" si="30"/>
        <v>1453</v>
      </c>
      <c r="AB29" s="206">
        <f t="shared" si="31"/>
        <v>145.30000000000001</v>
      </c>
      <c r="AC29" s="206">
        <f t="shared" si="30"/>
        <v>1453</v>
      </c>
      <c r="AD29" s="206">
        <f t="shared" si="32"/>
        <v>145.30000000000001</v>
      </c>
      <c r="AE29" s="206">
        <f t="shared" si="11"/>
        <v>1453</v>
      </c>
      <c r="AF29" s="206">
        <f t="shared" si="33"/>
        <v>145.30000000000001</v>
      </c>
      <c r="AG29" s="206">
        <f t="shared" si="12"/>
        <v>1453</v>
      </c>
      <c r="AH29" s="206">
        <f t="shared" si="34"/>
        <v>145.30000000000001</v>
      </c>
      <c r="AI29" s="206">
        <f t="shared" si="13"/>
        <v>1453</v>
      </c>
      <c r="AJ29" s="206">
        <f t="shared" si="35"/>
        <v>145.30000000000001</v>
      </c>
      <c r="AK29" s="206">
        <f t="shared" si="14"/>
        <v>1453</v>
      </c>
      <c r="AL29" s="206">
        <f t="shared" si="36"/>
        <v>145.30000000000001</v>
      </c>
      <c r="AM29" s="206">
        <f t="shared" si="15"/>
        <v>1453</v>
      </c>
      <c r="AN29" s="35">
        <f t="shared" si="16"/>
        <v>0.51892857142857141</v>
      </c>
      <c r="AO29" s="36">
        <f t="shared" si="17"/>
        <v>10171</v>
      </c>
      <c r="AQ29" s="226">
        <f t="shared" si="37"/>
        <v>0.46122210772118638</v>
      </c>
      <c r="AR29" s="38">
        <f t="shared" si="41"/>
        <v>42879.819354838699</v>
      </c>
      <c r="AS29" s="200">
        <f t="shared" si="38"/>
        <v>0</v>
      </c>
      <c r="AT29" s="365"/>
      <c r="AU29" s="449"/>
      <c r="AV29" s="535">
        <f t="shared" si="42"/>
        <v>0.52839999999999998</v>
      </c>
      <c r="AW29" s="298">
        <f>-SUM('B5'!AI28)</f>
        <v>0</v>
      </c>
      <c r="AX29" s="298">
        <f>-SUM(AW29-AS29)</f>
        <v>0</v>
      </c>
      <c r="AY29" s="37">
        <f t="shared" si="40"/>
        <v>0</v>
      </c>
      <c r="AZ29" s="100">
        <f>ELEC!A26</f>
        <v>0</v>
      </c>
      <c r="BA29" s="118">
        <f>'General information '!D29</f>
        <v>0</v>
      </c>
      <c r="BB29" s="404">
        <f>SUM('General information '!E29)</f>
        <v>0</v>
      </c>
      <c r="BC29" s="3">
        <f t="shared" si="43"/>
        <v>0</v>
      </c>
      <c r="BD29" s="102">
        <v>19222</v>
      </c>
      <c r="BE29" s="14">
        <f>(305/1185)*ELEC!Q27</f>
        <v>0</v>
      </c>
      <c r="BF29" s="14"/>
      <c r="BG29" s="14" t="e">
        <f>#REF!-BE29</f>
        <v>#REF!</v>
      </c>
      <c r="BH29" s="11"/>
    </row>
    <row r="30" spans="1:61">
      <c r="A30" s="457">
        <f>ELEC!C27</f>
        <v>44037</v>
      </c>
      <c r="B30">
        <f>'B5'!B29</f>
        <v>138.19999999999999</v>
      </c>
      <c r="C30" s="206">
        <f t="shared" si="18"/>
        <v>2973.529032258064</v>
      </c>
      <c r="D30">
        <f t="shared" ref="D30:D35" si="44">SUM(B30)</f>
        <v>138.19999999999999</v>
      </c>
      <c r="E30" s="206">
        <f t="shared" si="18"/>
        <v>2973.529032258064</v>
      </c>
      <c r="F30">
        <f t="shared" ref="F30:F35" si="45">SUM(D30)</f>
        <v>138.19999999999999</v>
      </c>
      <c r="G30" s="206">
        <f t="shared" si="1"/>
        <v>2973.529032258064</v>
      </c>
      <c r="H30" s="206">
        <f t="shared" ref="H30:H35" si="46">SUM(F30)</f>
        <v>138.19999999999999</v>
      </c>
      <c r="I30" s="206">
        <f t="shared" si="2"/>
        <v>2973.529032258064</v>
      </c>
      <c r="J30" s="206">
        <f t="shared" ref="J30:J35" si="47">SUM(H30)</f>
        <v>138.19999999999999</v>
      </c>
      <c r="K30" s="206">
        <f t="shared" si="3"/>
        <v>2973.529032258064</v>
      </c>
      <c r="L30" s="206">
        <f t="shared" ref="L30:L35" si="48">SUM(J30)</f>
        <v>138.19999999999999</v>
      </c>
      <c r="M30" s="206">
        <f t="shared" si="4"/>
        <v>2973.529032258064</v>
      </c>
      <c r="N30" s="206">
        <f t="shared" ref="N30:N35" si="49">SUM(L30)</f>
        <v>138.19999999999999</v>
      </c>
      <c r="O30" s="206">
        <f t="shared" si="5"/>
        <v>2973.529032258064</v>
      </c>
      <c r="P30" s="206">
        <f t="shared" ref="P30:P35" si="50">SUM(N30)</f>
        <v>138.19999999999999</v>
      </c>
      <c r="Q30" s="206">
        <f t="shared" si="6"/>
        <v>2973.529032258064</v>
      </c>
      <c r="R30" s="206">
        <f t="shared" ref="R30:R35" si="51">SUM(P30)</f>
        <v>138.19999999999999</v>
      </c>
      <c r="S30" s="206">
        <f t="shared" si="7"/>
        <v>2973.529032258064</v>
      </c>
      <c r="T30" s="206">
        <f t="shared" ref="T30:T35" si="52">SUM(R30)</f>
        <v>138.19999999999999</v>
      </c>
      <c r="U30" s="206">
        <f t="shared" si="8"/>
        <v>2973.529032258064</v>
      </c>
      <c r="V30" s="206">
        <f t="shared" ref="V30:V35" si="53">SUM(T30)</f>
        <v>138.19999999999999</v>
      </c>
      <c r="W30" s="206">
        <f t="shared" si="9"/>
        <v>2973.529032258064</v>
      </c>
      <c r="X30" s="35">
        <f t="shared" ref="X30:X35" si="54">SUM(Y30/73370)</f>
        <v>0.44580645161290305</v>
      </c>
      <c r="Y30" s="36">
        <f t="shared" ref="Y30:Y35" si="55">SUM(C30+E30+G30+I30+K30+M30+O30+Q30+S30+U30+W30)</f>
        <v>32708.819354838699</v>
      </c>
      <c r="Z30" s="206">
        <f>'B5'!C29</f>
        <v>145.30000000000001</v>
      </c>
      <c r="AA30" s="206">
        <f t="shared" si="30"/>
        <v>1453</v>
      </c>
      <c r="AB30" s="206">
        <f t="shared" ref="AB30:AB35" si="56">SUM(Z30)</f>
        <v>145.30000000000001</v>
      </c>
      <c r="AC30" s="206">
        <f t="shared" si="30"/>
        <v>1453</v>
      </c>
      <c r="AD30" s="206">
        <f t="shared" ref="AD30:AD35" si="57">SUM(AB30)</f>
        <v>145.30000000000001</v>
      </c>
      <c r="AE30" s="206">
        <f t="shared" si="11"/>
        <v>1453</v>
      </c>
      <c r="AF30" s="206">
        <f t="shared" ref="AF30:AF35" si="58">SUM(AD30)</f>
        <v>145.30000000000001</v>
      </c>
      <c r="AG30" s="206">
        <f t="shared" si="12"/>
        <v>1453</v>
      </c>
      <c r="AH30" s="206">
        <f t="shared" ref="AH30:AH35" si="59">SUM(AF30)</f>
        <v>145.30000000000001</v>
      </c>
      <c r="AI30" s="206">
        <f t="shared" si="13"/>
        <v>1453</v>
      </c>
      <c r="AJ30" s="206">
        <f t="shared" ref="AJ30:AJ35" si="60">SUM(AH30)</f>
        <v>145.30000000000001</v>
      </c>
      <c r="AK30" s="206">
        <f t="shared" si="14"/>
        <v>1453</v>
      </c>
      <c r="AL30" s="206">
        <f t="shared" ref="AL30:AL35" si="61">SUM(AJ30)</f>
        <v>145.30000000000001</v>
      </c>
      <c r="AM30" s="206">
        <f t="shared" si="15"/>
        <v>1453</v>
      </c>
      <c r="AN30" s="35">
        <f t="shared" ref="AN30:AN35" si="62">SUM(AO30/19600)</f>
        <v>0.51892857142857141</v>
      </c>
      <c r="AO30" s="36">
        <f t="shared" ref="AO30:AO35" si="63">SUM(AA30+AC30+AE30+AG30+AI30+AK30+AM30)</f>
        <v>10171</v>
      </c>
      <c r="AQ30" s="226">
        <f t="shared" si="37"/>
        <v>0.46122210772118638</v>
      </c>
      <c r="AR30" s="38">
        <f t="shared" si="41"/>
        <v>42879.819354838699</v>
      </c>
      <c r="AS30" s="200">
        <f t="shared" si="38"/>
        <v>0</v>
      </c>
      <c r="AT30" s="365"/>
      <c r="AU30" s="449"/>
      <c r="AV30" s="535">
        <f t="shared" si="42"/>
        <v>0.52839999999999998</v>
      </c>
      <c r="AW30" s="298">
        <f>-SUM('B5'!AI29)</f>
        <v>0</v>
      </c>
      <c r="AX30" s="298">
        <f>-SUM(AW30-AS30)</f>
        <v>0</v>
      </c>
      <c r="AY30" s="37">
        <f t="shared" si="40"/>
        <v>0</v>
      </c>
      <c r="AZ30" s="100">
        <f>ELEC!A27</f>
        <v>0</v>
      </c>
      <c r="BA30" s="118">
        <f>'General information '!D30</f>
        <v>0</v>
      </c>
      <c r="BB30" s="404">
        <f>SUM('General information '!E30)</f>
        <v>0</v>
      </c>
      <c r="BC30" s="3">
        <f t="shared" si="43"/>
        <v>0</v>
      </c>
      <c r="BD30" s="102">
        <v>19222</v>
      </c>
      <c r="BE30" s="14">
        <f>(305/1185)*ELEC!Q28</f>
        <v>0</v>
      </c>
      <c r="BF30" s="14"/>
      <c r="BG30" s="14" t="e">
        <f>#REF!-BE30</f>
        <v>#REF!</v>
      </c>
      <c r="BH30" s="11"/>
    </row>
    <row r="31" spans="1:61">
      <c r="A31" s="457">
        <f>ELEC!C28</f>
        <v>44038</v>
      </c>
      <c r="B31">
        <f>'B5'!B30</f>
        <v>138.19999999999999</v>
      </c>
      <c r="C31" s="206">
        <f t="shared" si="18"/>
        <v>2973.529032258064</v>
      </c>
      <c r="D31">
        <f t="shared" si="44"/>
        <v>138.19999999999999</v>
      </c>
      <c r="E31" s="206">
        <f t="shared" si="18"/>
        <v>2973.529032258064</v>
      </c>
      <c r="F31">
        <f t="shared" si="45"/>
        <v>138.19999999999999</v>
      </c>
      <c r="G31" s="206">
        <f t="shared" si="1"/>
        <v>2973.529032258064</v>
      </c>
      <c r="H31" s="206">
        <f t="shared" si="46"/>
        <v>138.19999999999999</v>
      </c>
      <c r="I31" s="206">
        <f t="shared" si="2"/>
        <v>2973.529032258064</v>
      </c>
      <c r="J31" s="206">
        <f t="shared" si="47"/>
        <v>138.19999999999999</v>
      </c>
      <c r="K31" s="206">
        <f t="shared" si="3"/>
        <v>2973.529032258064</v>
      </c>
      <c r="L31" s="206">
        <f t="shared" si="48"/>
        <v>138.19999999999999</v>
      </c>
      <c r="M31" s="206">
        <f t="shared" si="4"/>
        <v>2973.529032258064</v>
      </c>
      <c r="N31" s="206">
        <f t="shared" si="49"/>
        <v>138.19999999999999</v>
      </c>
      <c r="O31" s="206">
        <f t="shared" si="5"/>
        <v>2973.529032258064</v>
      </c>
      <c r="P31" s="206">
        <f t="shared" si="50"/>
        <v>138.19999999999999</v>
      </c>
      <c r="Q31" s="206">
        <f t="shared" si="6"/>
        <v>2973.529032258064</v>
      </c>
      <c r="R31" s="206">
        <f t="shared" si="51"/>
        <v>138.19999999999999</v>
      </c>
      <c r="S31" s="206">
        <f t="shared" si="7"/>
        <v>2973.529032258064</v>
      </c>
      <c r="T31" s="206">
        <f t="shared" si="52"/>
        <v>138.19999999999999</v>
      </c>
      <c r="U31" s="206">
        <f t="shared" si="8"/>
        <v>2973.529032258064</v>
      </c>
      <c r="V31" s="206">
        <f t="shared" si="53"/>
        <v>138.19999999999999</v>
      </c>
      <c r="W31" s="206">
        <f t="shared" si="9"/>
        <v>2973.529032258064</v>
      </c>
      <c r="X31" s="35">
        <f t="shared" si="54"/>
        <v>0.44580645161290305</v>
      </c>
      <c r="Y31" s="36">
        <f t="shared" si="55"/>
        <v>32708.819354838699</v>
      </c>
      <c r="Z31" s="206">
        <f>'B5'!C30</f>
        <v>145.30000000000001</v>
      </c>
      <c r="AA31" s="206">
        <f t="shared" si="30"/>
        <v>1453</v>
      </c>
      <c r="AB31" s="206">
        <f t="shared" si="56"/>
        <v>145.30000000000001</v>
      </c>
      <c r="AC31" s="206">
        <f t="shared" si="30"/>
        <v>1453</v>
      </c>
      <c r="AD31" s="206">
        <f t="shared" si="57"/>
        <v>145.30000000000001</v>
      </c>
      <c r="AE31" s="206">
        <f t="shared" si="11"/>
        <v>1453</v>
      </c>
      <c r="AF31" s="206">
        <f t="shared" si="58"/>
        <v>145.30000000000001</v>
      </c>
      <c r="AG31" s="206">
        <f t="shared" si="12"/>
        <v>1453</v>
      </c>
      <c r="AH31" s="206">
        <f t="shared" si="59"/>
        <v>145.30000000000001</v>
      </c>
      <c r="AI31" s="206">
        <f t="shared" si="13"/>
        <v>1453</v>
      </c>
      <c r="AJ31" s="206">
        <f t="shared" si="60"/>
        <v>145.30000000000001</v>
      </c>
      <c r="AK31" s="206">
        <f t="shared" si="14"/>
        <v>1453</v>
      </c>
      <c r="AL31" s="206">
        <f t="shared" si="61"/>
        <v>145.30000000000001</v>
      </c>
      <c r="AM31" s="206">
        <f t="shared" si="15"/>
        <v>1453</v>
      </c>
      <c r="AN31" s="35">
        <f t="shared" si="62"/>
        <v>0.51892857142857141</v>
      </c>
      <c r="AO31" s="36">
        <f t="shared" si="63"/>
        <v>10171</v>
      </c>
      <c r="AQ31" s="226">
        <f t="shared" si="37"/>
        <v>0.46122210772118638</v>
      </c>
      <c r="AR31" s="38">
        <f t="shared" si="41"/>
        <v>42879.819354838699</v>
      </c>
      <c r="AS31" s="200">
        <f>SUM(AR31-AR30-AT31)</f>
        <v>0</v>
      </c>
      <c r="AT31" s="365"/>
      <c r="AU31" s="449"/>
      <c r="AV31" s="535">
        <f t="shared" si="42"/>
        <v>0.52839999999999998</v>
      </c>
      <c r="AW31" s="298">
        <f>-SUM('B5'!AI30)</f>
        <v>0</v>
      </c>
      <c r="AX31" s="298">
        <f t="shared" si="39"/>
        <v>0</v>
      </c>
      <c r="AY31" s="37">
        <f t="shared" si="40"/>
        <v>0</v>
      </c>
      <c r="AZ31" s="100">
        <f>ELEC!A28</f>
        <v>0</v>
      </c>
      <c r="BA31" s="118">
        <f>'General information '!D31</f>
        <v>0</v>
      </c>
      <c r="BB31" s="404">
        <f>SUM('General information '!E31)</f>
        <v>0</v>
      </c>
      <c r="BC31" s="3">
        <f t="shared" si="43"/>
        <v>0</v>
      </c>
      <c r="BD31" s="102">
        <v>19222</v>
      </c>
      <c r="BE31" s="14">
        <f>(305/1185)*ELEC!Q29</f>
        <v>0</v>
      </c>
      <c r="BF31" s="14"/>
      <c r="BG31" s="14" t="e">
        <f>#REF!-BE31</f>
        <v>#REF!</v>
      </c>
      <c r="BH31" s="11"/>
    </row>
    <row r="32" spans="1:61">
      <c r="A32" s="457">
        <f>ELEC!C29</f>
        <v>44039</v>
      </c>
      <c r="B32">
        <f>'B5'!B31</f>
        <v>138.19999999999999</v>
      </c>
      <c r="C32" s="206">
        <f t="shared" si="18"/>
        <v>2973.529032258064</v>
      </c>
      <c r="D32">
        <f t="shared" si="44"/>
        <v>138.19999999999999</v>
      </c>
      <c r="E32" s="206">
        <f t="shared" si="18"/>
        <v>2973.529032258064</v>
      </c>
      <c r="F32">
        <f t="shared" si="45"/>
        <v>138.19999999999999</v>
      </c>
      <c r="G32" s="206">
        <f t="shared" si="1"/>
        <v>2973.529032258064</v>
      </c>
      <c r="H32" s="206">
        <f t="shared" si="46"/>
        <v>138.19999999999999</v>
      </c>
      <c r="I32" s="206">
        <f t="shared" si="2"/>
        <v>2973.529032258064</v>
      </c>
      <c r="J32" s="206">
        <f t="shared" si="47"/>
        <v>138.19999999999999</v>
      </c>
      <c r="K32" s="206">
        <f t="shared" si="3"/>
        <v>2973.529032258064</v>
      </c>
      <c r="L32" s="206">
        <f t="shared" si="48"/>
        <v>138.19999999999999</v>
      </c>
      <c r="M32" s="206">
        <f t="shared" si="4"/>
        <v>2973.529032258064</v>
      </c>
      <c r="N32" s="206">
        <f t="shared" si="49"/>
        <v>138.19999999999999</v>
      </c>
      <c r="O32" s="206">
        <f t="shared" si="5"/>
        <v>2973.529032258064</v>
      </c>
      <c r="P32" s="206">
        <f t="shared" si="50"/>
        <v>138.19999999999999</v>
      </c>
      <c r="Q32" s="206">
        <f t="shared" si="6"/>
        <v>2973.529032258064</v>
      </c>
      <c r="R32" s="206">
        <f t="shared" si="51"/>
        <v>138.19999999999999</v>
      </c>
      <c r="S32" s="206">
        <f t="shared" si="7"/>
        <v>2973.529032258064</v>
      </c>
      <c r="T32" s="206">
        <f t="shared" si="52"/>
        <v>138.19999999999999</v>
      </c>
      <c r="U32" s="206">
        <f t="shared" si="8"/>
        <v>2973.529032258064</v>
      </c>
      <c r="V32" s="206">
        <f t="shared" si="53"/>
        <v>138.19999999999999</v>
      </c>
      <c r="W32" s="206">
        <f t="shared" si="9"/>
        <v>2973.529032258064</v>
      </c>
      <c r="X32" s="35">
        <f t="shared" si="54"/>
        <v>0.44580645161290305</v>
      </c>
      <c r="Y32" s="36">
        <f t="shared" si="55"/>
        <v>32708.819354838699</v>
      </c>
      <c r="Z32" s="206">
        <f>'B5'!C31</f>
        <v>145.30000000000001</v>
      </c>
      <c r="AA32" s="206">
        <f t="shared" si="30"/>
        <v>1453</v>
      </c>
      <c r="AB32" s="206">
        <f t="shared" si="56"/>
        <v>145.30000000000001</v>
      </c>
      <c r="AC32" s="206">
        <f t="shared" si="30"/>
        <v>1453</v>
      </c>
      <c r="AD32" s="206">
        <f t="shared" si="57"/>
        <v>145.30000000000001</v>
      </c>
      <c r="AE32" s="206">
        <f t="shared" si="11"/>
        <v>1453</v>
      </c>
      <c r="AF32" s="206">
        <f t="shared" si="58"/>
        <v>145.30000000000001</v>
      </c>
      <c r="AG32" s="206">
        <f t="shared" si="12"/>
        <v>1453</v>
      </c>
      <c r="AH32" s="206">
        <f t="shared" si="59"/>
        <v>145.30000000000001</v>
      </c>
      <c r="AI32" s="206">
        <f t="shared" si="13"/>
        <v>1453</v>
      </c>
      <c r="AJ32" s="206">
        <f t="shared" si="60"/>
        <v>145.30000000000001</v>
      </c>
      <c r="AK32" s="206">
        <f t="shared" si="14"/>
        <v>1453</v>
      </c>
      <c r="AL32" s="206">
        <f t="shared" si="61"/>
        <v>145.30000000000001</v>
      </c>
      <c r="AM32" s="206">
        <f t="shared" si="15"/>
        <v>1453</v>
      </c>
      <c r="AN32" s="35">
        <f t="shared" si="62"/>
        <v>0.51892857142857141</v>
      </c>
      <c r="AO32" s="36">
        <f t="shared" si="63"/>
        <v>10171</v>
      </c>
      <c r="AQ32" s="226">
        <f t="shared" si="37"/>
        <v>0.46122210772118638</v>
      </c>
      <c r="AR32" s="38">
        <f t="shared" si="41"/>
        <v>42879.819354838699</v>
      </c>
      <c r="AS32" s="200">
        <f t="shared" si="38"/>
        <v>0</v>
      </c>
      <c r="AT32" s="365"/>
      <c r="AU32" s="449"/>
      <c r="AV32" s="535">
        <f>IF(AT32&gt;0,AU32,AV31)</f>
        <v>0.52839999999999998</v>
      </c>
      <c r="AW32" s="298">
        <f>-SUM('B5'!AI31)</f>
        <v>0</v>
      </c>
      <c r="AX32" s="298">
        <f t="shared" si="39"/>
        <v>0</v>
      </c>
      <c r="AY32" s="37">
        <f t="shared" si="40"/>
        <v>0</v>
      </c>
      <c r="AZ32" s="100">
        <f>ELEC!A29</f>
        <v>0</v>
      </c>
      <c r="BA32" s="118">
        <f>'General information '!D32</f>
        <v>0</v>
      </c>
      <c r="BB32" s="404">
        <f>SUM('General information '!E32)</f>
        <v>0</v>
      </c>
      <c r="BC32" s="3">
        <f t="shared" si="43"/>
        <v>0</v>
      </c>
      <c r="BD32" s="102">
        <v>19222</v>
      </c>
      <c r="BE32" s="14">
        <f>(305/1185)*ELEC!Q30</f>
        <v>0</v>
      </c>
      <c r="BF32" s="14"/>
      <c r="BG32" s="14" t="e">
        <f>#REF!-BE32</f>
        <v>#REF!</v>
      </c>
      <c r="BH32" s="11"/>
    </row>
    <row r="33" spans="1:60">
      <c r="A33" s="457">
        <f>ELEC!C30</f>
        <v>44040</v>
      </c>
      <c r="B33">
        <f>'B5'!B32</f>
        <v>138.19999999999999</v>
      </c>
      <c r="C33" s="206">
        <f t="shared" si="18"/>
        <v>2973.529032258064</v>
      </c>
      <c r="D33">
        <f t="shared" si="44"/>
        <v>138.19999999999999</v>
      </c>
      <c r="E33" s="206">
        <f t="shared" si="18"/>
        <v>2973.529032258064</v>
      </c>
      <c r="F33">
        <f t="shared" si="45"/>
        <v>138.19999999999999</v>
      </c>
      <c r="G33" s="206">
        <f t="shared" si="1"/>
        <v>2973.529032258064</v>
      </c>
      <c r="H33" s="206">
        <f t="shared" si="46"/>
        <v>138.19999999999999</v>
      </c>
      <c r="I33" s="206">
        <f t="shared" si="2"/>
        <v>2973.529032258064</v>
      </c>
      <c r="J33" s="206">
        <f t="shared" si="47"/>
        <v>138.19999999999999</v>
      </c>
      <c r="K33" s="206">
        <f t="shared" si="3"/>
        <v>2973.529032258064</v>
      </c>
      <c r="L33" s="206">
        <f t="shared" si="48"/>
        <v>138.19999999999999</v>
      </c>
      <c r="M33" s="206">
        <f t="shared" si="4"/>
        <v>2973.529032258064</v>
      </c>
      <c r="N33" s="206">
        <f t="shared" si="49"/>
        <v>138.19999999999999</v>
      </c>
      <c r="O33" s="206">
        <f t="shared" si="5"/>
        <v>2973.529032258064</v>
      </c>
      <c r="P33" s="206">
        <f t="shared" si="50"/>
        <v>138.19999999999999</v>
      </c>
      <c r="Q33" s="206">
        <f t="shared" si="6"/>
        <v>2973.529032258064</v>
      </c>
      <c r="R33" s="206">
        <f t="shared" si="51"/>
        <v>138.19999999999999</v>
      </c>
      <c r="S33" s="206">
        <f t="shared" si="7"/>
        <v>2973.529032258064</v>
      </c>
      <c r="T33" s="206">
        <f t="shared" si="52"/>
        <v>138.19999999999999</v>
      </c>
      <c r="U33" s="206">
        <f t="shared" si="8"/>
        <v>2973.529032258064</v>
      </c>
      <c r="V33" s="206">
        <f t="shared" si="53"/>
        <v>138.19999999999999</v>
      </c>
      <c r="W33" s="206">
        <f t="shared" si="9"/>
        <v>2973.529032258064</v>
      </c>
      <c r="X33" s="35">
        <f t="shared" si="54"/>
        <v>0.44580645161290305</v>
      </c>
      <c r="Y33" s="36">
        <f t="shared" si="55"/>
        <v>32708.819354838699</v>
      </c>
      <c r="Z33" s="206">
        <f>'B5'!C32</f>
        <v>145.30000000000001</v>
      </c>
      <c r="AA33" s="206">
        <f t="shared" si="30"/>
        <v>1453</v>
      </c>
      <c r="AB33" s="206">
        <f t="shared" si="56"/>
        <v>145.30000000000001</v>
      </c>
      <c r="AC33" s="206">
        <f t="shared" si="30"/>
        <v>1453</v>
      </c>
      <c r="AD33" s="206">
        <f t="shared" si="57"/>
        <v>145.30000000000001</v>
      </c>
      <c r="AE33" s="206">
        <f t="shared" si="11"/>
        <v>1453</v>
      </c>
      <c r="AF33" s="206">
        <f t="shared" si="58"/>
        <v>145.30000000000001</v>
      </c>
      <c r="AG33" s="206">
        <f t="shared" si="12"/>
        <v>1453</v>
      </c>
      <c r="AH33" s="206">
        <f t="shared" si="59"/>
        <v>145.30000000000001</v>
      </c>
      <c r="AI33" s="206">
        <f t="shared" si="13"/>
        <v>1453</v>
      </c>
      <c r="AJ33" s="206">
        <f t="shared" si="60"/>
        <v>145.30000000000001</v>
      </c>
      <c r="AK33" s="206">
        <f t="shared" si="14"/>
        <v>1453</v>
      </c>
      <c r="AL33" s="206">
        <f t="shared" si="61"/>
        <v>145.30000000000001</v>
      </c>
      <c r="AM33" s="206">
        <f t="shared" si="15"/>
        <v>1453</v>
      </c>
      <c r="AN33" s="35">
        <f t="shared" si="62"/>
        <v>0.51892857142857141</v>
      </c>
      <c r="AO33" s="36">
        <f t="shared" si="63"/>
        <v>10171</v>
      </c>
      <c r="AQ33" s="226">
        <f t="shared" si="37"/>
        <v>0.46122210772118638</v>
      </c>
      <c r="AR33" s="38">
        <f t="shared" si="41"/>
        <v>42879.819354838699</v>
      </c>
      <c r="AS33" s="200">
        <f t="shared" si="38"/>
        <v>0</v>
      </c>
      <c r="AT33" s="365"/>
      <c r="AU33" s="449"/>
      <c r="AV33" s="535">
        <f>IF(AT33&gt;0,AU33,AV32)</f>
        <v>0.52839999999999998</v>
      </c>
      <c r="AW33" s="298">
        <f>-SUM('B5'!AI32)</f>
        <v>0</v>
      </c>
      <c r="AX33" s="298">
        <f t="shared" si="39"/>
        <v>0</v>
      </c>
      <c r="AY33" s="37">
        <f t="shared" si="40"/>
        <v>0</v>
      </c>
      <c r="AZ33" s="100">
        <f>ELEC!A30</f>
        <v>0</v>
      </c>
      <c r="BA33" s="118">
        <f>'General information '!D33</f>
        <v>0</v>
      </c>
      <c r="BB33" s="207">
        <f>SUM('General information '!E33)</f>
        <v>0</v>
      </c>
      <c r="BC33" s="3">
        <f t="shared" si="43"/>
        <v>0</v>
      </c>
      <c r="BD33" s="102">
        <v>19222</v>
      </c>
      <c r="BE33" s="14">
        <f>(305/1185)*ELEC!Q31</f>
        <v>0</v>
      </c>
      <c r="BF33" s="14"/>
      <c r="BG33" s="14" t="e">
        <f>#REF!-BE33</f>
        <v>#REF!</v>
      </c>
      <c r="BH33" s="11"/>
    </row>
    <row r="34" spans="1:60">
      <c r="A34" s="457">
        <f>ELEC!C31</f>
        <v>44041</v>
      </c>
      <c r="B34">
        <f>'B5'!B33</f>
        <v>138.19999999999999</v>
      </c>
      <c r="C34" s="206">
        <f t="shared" si="18"/>
        <v>2973.529032258064</v>
      </c>
      <c r="D34">
        <f t="shared" si="44"/>
        <v>138.19999999999999</v>
      </c>
      <c r="E34" s="206">
        <f t="shared" si="18"/>
        <v>2973.529032258064</v>
      </c>
      <c r="F34">
        <f t="shared" si="45"/>
        <v>138.19999999999999</v>
      </c>
      <c r="G34" s="206">
        <f t="shared" si="1"/>
        <v>2973.529032258064</v>
      </c>
      <c r="H34" s="206">
        <f t="shared" si="46"/>
        <v>138.19999999999999</v>
      </c>
      <c r="I34" s="206">
        <f t="shared" si="2"/>
        <v>2973.529032258064</v>
      </c>
      <c r="J34" s="206">
        <f t="shared" si="47"/>
        <v>138.19999999999999</v>
      </c>
      <c r="K34" s="206">
        <f t="shared" si="3"/>
        <v>2973.529032258064</v>
      </c>
      <c r="L34" s="206">
        <f t="shared" si="48"/>
        <v>138.19999999999999</v>
      </c>
      <c r="M34" s="206">
        <f t="shared" si="4"/>
        <v>2973.529032258064</v>
      </c>
      <c r="N34" s="206">
        <f t="shared" si="49"/>
        <v>138.19999999999999</v>
      </c>
      <c r="O34" s="206">
        <f t="shared" si="5"/>
        <v>2973.529032258064</v>
      </c>
      <c r="P34" s="206">
        <f t="shared" si="50"/>
        <v>138.19999999999999</v>
      </c>
      <c r="Q34" s="206">
        <f t="shared" si="6"/>
        <v>2973.529032258064</v>
      </c>
      <c r="R34" s="206">
        <f t="shared" si="51"/>
        <v>138.19999999999999</v>
      </c>
      <c r="S34" s="206">
        <f t="shared" si="7"/>
        <v>2973.529032258064</v>
      </c>
      <c r="T34" s="206">
        <f t="shared" si="52"/>
        <v>138.19999999999999</v>
      </c>
      <c r="U34" s="206">
        <f t="shared" si="8"/>
        <v>2973.529032258064</v>
      </c>
      <c r="V34" s="206">
        <f t="shared" si="53"/>
        <v>138.19999999999999</v>
      </c>
      <c r="W34" s="206">
        <f t="shared" si="9"/>
        <v>2973.529032258064</v>
      </c>
      <c r="X34" s="35">
        <f t="shared" si="54"/>
        <v>0.44580645161290305</v>
      </c>
      <c r="Y34" s="36">
        <f t="shared" si="55"/>
        <v>32708.819354838699</v>
      </c>
      <c r="Z34" s="206">
        <f>'B5'!C33</f>
        <v>145.30000000000001</v>
      </c>
      <c r="AA34" s="206">
        <f t="shared" si="30"/>
        <v>1453</v>
      </c>
      <c r="AB34" s="206">
        <f t="shared" si="56"/>
        <v>145.30000000000001</v>
      </c>
      <c r="AC34" s="206">
        <f t="shared" si="30"/>
        <v>1453</v>
      </c>
      <c r="AD34" s="206">
        <f t="shared" si="57"/>
        <v>145.30000000000001</v>
      </c>
      <c r="AE34" s="206">
        <f t="shared" si="11"/>
        <v>1453</v>
      </c>
      <c r="AF34" s="206">
        <f t="shared" si="58"/>
        <v>145.30000000000001</v>
      </c>
      <c r="AG34" s="206">
        <f t="shared" si="12"/>
        <v>1453</v>
      </c>
      <c r="AH34" s="206">
        <f t="shared" si="59"/>
        <v>145.30000000000001</v>
      </c>
      <c r="AI34" s="206">
        <f t="shared" si="13"/>
        <v>1453</v>
      </c>
      <c r="AJ34" s="206">
        <f t="shared" si="60"/>
        <v>145.30000000000001</v>
      </c>
      <c r="AK34" s="206">
        <f t="shared" si="14"/>
        <v>1453</v>
      </c>
      <c r="AL34" s="206">
        <f t="shared" si="61"/>
        <v>145.30000000000001</v>
      </c>
      <c r="AM34" s="206">
        <f t="shared" si="15"/>
        <v>1453</v>
      </c>
      <c r="AN34" s="35">
        <f t="shared" si="62"/>
        <v>0.51892857142857141</v>
      </c>
      <c r="AO34" s="36">
        <f t="shared" si="63"/>
        <v>10171</v>
      </c>
      <c r="AQ34" s="226">
        <f>SUM(AR34/92970)</f>
        <v>0.46122210772118638</v>
      </c>
      <c r="AR34" s="38">
        <f t="shared" si="41"/>
        <v>42879.819354838699</v>
      </c>
      <c r="AS34" s="200">
        <f t="shared" si="38"/>
        <v>0</v>
      </c>
      <c r="AT34" s="365"/>
      <c r="AU34" s="449"/>
      <c r="AV34" s="535">
        <f t="shared" si="42"/>
        <v>0.52839999999999998</v>
      </c>
      <c r="AW34" s="298">
        <f>-SUM('B5'!AI33)</f>
        <v>0</v>
      </c>
      <c r="AX34" s="298">
        <f t="shared" si="39"/>
        <v>0</v>
      </c>
      <c r="AY34" s="37">
        <f t="shared" si="40"/>
        <v>0</v>
      </c>
      <c r="AZ34" s="100">
        <f>ELEC!A31</f>
        <v>0</v>
      </c>
      <c r="BA34" s="118">
        <f>'General information '!D34</f>
        <v>0</v>
      </c>
      <c r="BB34" s="207">
        <f>SUM('General information '!E34)</f>
        <v>0</v>
      </c>
      <c r="BC34" s="3">
        <f>IF(AR33&gt;=AR34,0,1)</f>
        <v>0</v>
      </c>
      <c r="BD34" s="102">
        <v>19222</v>
      </c>
      <c r="BE34" s="14" t="e">
        <f>(305/1185)*ELEC!#REF!</f>
        <v>#REF!</v>
      </c>
      <c r="BF34" s="14"/>
      <c r="BG34" s="14" t="e">
        <f>#REF!-BE34</f>
        <v>#REF!</v>
      </c>
      <c r="BH34" s="11"/>
    </row>
    <row r="35" spans="1:60">
      <c r="A35" s="457">
        <f>ELEC!C32</f>
        <v>44042</v>
      </c>
      <c r="B35">
        <f>'B5'!B34</f>
        <v>138.19999999999999</v>
      </c>
      <c r="C35" s="206">
        <f t="shared" si="18"/>
        <v>2973.529032258064</v>
      </c>
      <c r="D35">
        <f t="shared" si="44"/>
        <v>138.19999999999999</v>
      </c>
      <c r="E35" s="206">
        <f t="shared" si="18"/>
        <v>2973.529032258064</v>
      </c>
      <c r="F35">
        <f t="shared" si="45"/>
        <v>138.19999999999999</v>
      </c>
      <c r="G35" s="206">
        <f t="shared" si="1"/>
        <v>2973.529032258064</v>
      </c>
      <c r="H35" s="206">
        <f t="shared" si="46"/>
        <v>138.19999999999999</v>
      </c>
      <c r="I35" s="206">
        <f t="shared" si="2"/>
        <v>2973.529032258064</v>
      </c>
      <c r="J35" s="206">
        <f t="shared" si="47"/>
        <v>138.19999999999999</v>
      </c>
      <c r="K35" s="206">
        <f t="shared" si="3"/>
        <v>2973.529032258064</v>
      </c>
      <c r="L35" s="206">
        <f t="shared" si="48"/>
        <v>138.19999999999999</v>
      </c>
      <c r="M35" s="206">
        <f t="shared" si="4"/>
        <v>2973.529032258064</v>
      </c>
      <c r="N35" s="206">
        <f t="shared" si="49"/>
        <v>138.19999999999999</v>
      </c>
      <c r="O35" s="206">
        <f t="shared" si="5"/>
        <v>2973.529032258064</v>
      </c>
      <c r="P35" s="206">
        <f t="shared" si="50"/>
        <v>138.19999999999999</v>
      </c>
      <c r="Q35" s="206">
        <f t="shared" si="6"/>
        <v>2973.529032258064</v>
      </c>
      <c r="R35" s="206">
        <f t="shared" si="51"/>
        <v>138.19999999999999</v>
      </c>
      <c r="S35" s="206">
        <f t="shared" si="7"/>
        <v>2973.529032258064</v>
      </c>
      <c r="T35" s="206">
        <f t="shared" si="52"/>
        <v>138.19999999999999</v>
      </c>
      <c r="U35" s="206">
        <f t="shared" si="8"/>
        <v>2973.529032258064</v>
      </c>
      <c r="V35" s="206">
        <f t="shared" si="53"/>
        <v>138.19999999999999</v>
      </c>
      <c r="W35" s="206">
        <f t="shared" si="9"/>
        <v>2973.529032258064</v>
      </c>
      <c r="X35" s="35">
        <f t="shared" si="54"/>
        <v>0.44580645161290305</v>
      </c>
      <c r="Y35" s="36">
        <f t="shared" si="55"/>
        <v>32708.819354838699</v>
      </c>
      <c r="Z35" s="206">
        <f>'B5'!C34</f>
        <v>145.30000000000001</v>
      </c>
      <c r="AA35" s="206">
        <f t="shared" si="30"/>
        <v>1453</v>
      </c>
      <c r="AB35" s="206">
        <f t="shared" si="56"/>
        <v>145.30000000000001</v>
      </c>
      <c r="AC35" s="206">
        <f t="shared" si="30"/>
        <v>1453</v>
      </c>
      <c r="AD35" s="206">
        <f t="shared" si="57"/>
        <v>145.30000000000001</v>
      </c>
      <c r="AE35" s="206">
        <f t="shared" si="11"/>
        <v>1453</v>
      </c>
      <c r="AF35" s="206">
        <f t="shared" si="58"/>
        <v>145.30000000000001</v>
      </c>
      <c r="AG35" s="206">
        <f t="shared" si="12"/>
        <v>1453</v>
      </c>
      <c r="AH35" s="206">
        <f t="shared" si="59"/>
        <v>145.30000000000001</v>
      </c>
      <c r="AI35" s="206">
        <f t="shared" si="13"/>
        <v>1453</v>
      </c>
      <c r="AJ35" s="206">
        <f t="shared" si="60"/>
        <v>145.30000000000001</v>
      </c>
      <c r="AK35" s="206">
        <f t="shared" si="14"/>
        <v>1453</v>
      </c>
      <c r="AL35" s="206">
        <f t="shared" si="61"/>
        <v>145.30000000000001</v>
      </c>
      <c r="AM35" s="206">
        <f t="shared" si="15"/>
        <v>1453</v>
      </c>
      <c r="AN35" s="35">
        <f t="shared" si="62"/>
        <v>0.51892857142857141</v>
      </c>
      <c r="AO35" s="36">
        <f t="shared" si="63"/>
        <v>10171</v>
      </c>
      <c r="AQ35" s="226">
        <f>SUM(AR35/92970)</f>
        <v>0.46122210772118638</v>
      </c>
      <c r="AR35" s="38">
        <f t="shared" si="41"/>
        <v>42879.819354838699</v>
      </c>
      <c r="AS35" s="200">
        <f t="shared" si="38"/>
        <v>0</v>
      </c>
      <c r="AT35" s="365"/>
      <c r="AU35" s="449"/>
      <c r="AV35" s="535">
        <f>IF(AT35&gt;0,AU35,AV34)</f>
        <v>0.52839999999999998</v>
      </c>
      <c r="AW35" s="298">
        <f>-SUM('B5'!AI34)</f>
        <v>0</v>
      </c>
      <c r="AX35" s="298">
        <f t="shared" si="39"/>
        <v>0</v>
      </c>
      <c r="AY35" s="37">
        <f t="shared" si="40"/>
        <v>0</v>
      </c>
      <c r="AZ35" s="100">
        <f>ELEC!A32</f>
        <v>0</v>
      </c>
      <c r="BA35" s="118">
        <f>'General information '!D35</f>
        <v>0</v>
      </c>
      <c r="BB35" s="207">
        <f>SUM('General information '!E35)</f>
        <v>0</v>
      </c>
      <c r="BC35" s="3">
        <f>IF(AR34&gt;=AR35,0,1)</f>
        <v>0</v>
      </c>
      <c r="BD35" s="102">
        <v>19222</v>
      </c>
      <c r="BE35" s="14" t="e">
        <f>(305/1185)*ELEC!#REF!</f>
        <v>#REF!</v>
      </c>
      <c r="BF35" s="14"/>
      <c r="BG35" s="14" t="e">
        <f>#REF!-BE35</f>
        <v>#REF!</v>
      </c>
      <c r="BH35" s="11"/>
    </row>
    <row r="36" spans="1:60">
      <c r="A36" s="457">
        <f>ELEC!C33</f>
        <v>44043</v>
      </c>
      <c r="B36">
        <f>'B5'!B35</f>
        <v>138.19999999999999</v>
      </c>
      <c r="C36" s="206">
        <f t="shared" ref="C36" si="64">B36*$B$4</f>
        <v>2973.529032258064</v>
      </c>
      <c r="D36">
        <f t="shared" ref="D36" si="65">SUM(B36)</f>
        <v>138.19999999999999</v>
      </c>
      <c r="E36" s="206">
        <f t="shared" ref="E36" si="66">D36*$B$4</f>
        <v>2973.529032258064</v>
      </c>
      <c r="F36">
        <f t="shared" ref="F36" si="67">SUM(D36)</f>
        <v>138.19999999999999</v>
      </c>
      <c r="G36" s="206">
        <f t="shared" ref="G36" si="68">F36*$B$4</f>
        <v>2973.529032258064</v>
      </c>
      <c r="H36" s="206">
        <f t="shared" ref="H36" si="69">SUM(F36)</f>
        <v>138.19999999999999</v>
      </c>
      <c r="I36" s="206">
        <f t="shared" ref="I36" si="70">H36*$B$4</f>
        <v>2973.529032258064</v>
      </c>
      <c r="J36" s="206">
        <f t="shared" ref="J36" si="71">SUM(H36)</f>
        <v>138.19999999999999</v>
      </c>
      <c r="K36" s="206">
        <f t="shared" ref="K36" si="72">J36*$B$4</f>
        <v>2973.529032258064</v>
      </c>
      <c r="L36" s="206">
        <f t="shared" ref="L36" si="73">SUM(J36)</f>
        <v>138.19999999999999</v>
      </c>
      <c r="M36" s="206">
        <f t="shared" ref="M36" si="74">L36*$B$4</f>
        <v>2973.529032258064</v>
      </c>
      <c r="N36" s="206">
        <f t="shared" ref="N36" si="75">SUM(L36)</f>
        <v>138.19999999999999</v>
      </c>
      <c r="O36" s="206">
        <f t="shared" ref="O36" si="76">N36*$B$4</f>
        <v>2973.529032258064</v>
      </c>
      <c r="P36" s="206">
        <f t="shared" ref="P36" si="77">SUM(N36)</f>
        <v>138.19999999999999</v>
      </c>
      <c r="Q36" s="206">
        <f t="shared" ref="Q36" si="78">P36*$B$4</f>
        <v>2973.529032258064</v>
      </c>
      <c r="R36" s="206">
        <f t="shared" ref="R36" si="79">SUM(P36)</f>
        <v>138.19999999999999</v>
      </c>
      <c r="S36" s="206">
        <f t="shared" ref="S36" si="80">R36*$B$4</f>
        <v>2973.529032258064</v>
      </c>
      <c r="T36" s="206">
        <f t="shared" ref="T36" si="81">SUM(R36)</f>
        <v>138.19999999999999</v>
      </c>
      <c r="U36" s="206">
        <f t="shared" ref="U36" si="82">T36*$B$4</f>
        <v>2973.529032258064</v>
      </c>
      <c r="V36" s="206">
        <f t="shared" ref="V36" si="83">SUM(T36)</f>
        <v>138.19999999999999</v>
      </c>
      <c r="W36" s="206">
        <f t="shared" ref="W36" si="84">V36*$B$4</f>
        <v>2973.529032258064</v>
      </c>
      <c r="X36" s="35">
        <f t="shared" ref="X36" si="85">SUM(Y36/73370)</f>
        <v>0.44580645161290305</v>
      </c>
      <c r="Y36" s="36">
        <f t="shared" ref="Y36" si="86">SUM(C36+E36+G36+I36+K36+M36+O36+Q36+S36+U36+W36)</f>
        <v>32708.819354838699</v>
      </c>
      <c r="Z36" s="206">
        <f>'B5'!C35</f>
        <v>145.30000000000001</v>
      </c>
      <c r="AA36" s="206">
        <f t="shared" ref="AA36" si="87">SUM(Z36*$Z$4)</f>
        <v>1453</v>
      </c>
      <c r="AB36" s="206">
        <f t="shared" ref="AB36" si="88">SUM(Z36)</f>
        <v>145.30000000000001</v>
      </c>
      <c r="AC36" s="206">
        <f t="shared" ref="AC36" si="89">SUM(AB36*$Z$4)</f>
        <v>1453</v>
      </c>
      <c r="AD36" s="206">
        <f t="shared" ref="AD36" si="90">SUM(AB36)</f>
        <v>145.30000000000001</v>
      </c>
      <c r="AE36" s="206">
        <f t="shared" ref="AE36" si="91">SUM(AD36*$Z$4)</f>
        <v>1453</v>
      </c>
      <c r="AF36" s="206">
        <f t="shared" ref="AF36" si="92">SUM(AD36)</f>
        <v>145.30000000000001</v>
      </c>
      <c r="AG36" s="206">
        <f t="shared" ref="AG36" si="93">SUM(AF36*$Z$4)</f>
        <v>1453</v>
      </c>
      <c r="AH36" s="206">
        <f t="shared" ref="AH36" si="94">SUM(AF36)</f>
        <v>145.30000000000001</v>
      </c>
      <c r="AI36" s="206">
        <f t="shared" ref="AI36" si="95">SUM(AH36*$Z$4)</f>
        <v>1453</v>
      </c>
      <c r="AJ36" s="206">
        <f t="shared" ref="AJ36" si="96">SUM(AH36)</f>
        <v>145.30000000000001</v>
      </c>
      <c r="AK36" s="206">
        <f t="shared" ref="AK36" si="97">SUM(AJ36*$Z$4)</f>
        <v>1453</v>
      </c>
      <c r="AL36" s="206">
        <f t="shared" ref="AL36" si="98">SUM(AJ36)</f>
        <v>145.30000000000001</v>
      </c>
      <c r="AM36" s="206">
        <f t="shared" ref="AM36" si="99">SUM(AL36*$Z$4)</f>
        <v>1453</v>
      </c>
      <c r="AN36" s="35">
        <f t="shared" ref="AN36" si="100">SUM(AO36/19600)</f>
        <v>0.51892857142857141</v>
      </c>
      <c r="AO36" s="36">
        <f t="shared" ref="AO36" si="101">SUM(AA36+AC36+AE36+AG36+AI36+AK36+AM36)</f>
        <v>10171</v>
      </c>
      <c r="AQ36" s="226">
        <f>SUM(AR36/92970)</f>
        <v>0.46122210772118638</v>
      </c>
      <c r="AR36" s="38">
        <f t="shared" ref="AR36" si="102">SUM(AO36+Y36)</f>
        <v>42879.819354838699</v>
      </c>
      <c r="AS36" s="200">
        <f t="shared" ref="AS36" si="103">SUM(AR36-AR35-AT36)</f>
        <v>0</v>
      </c>
      <c r="AT36" s="365"/>
      <c r="AU36" s="449"/>
      <c r="AV36" s="535">
        <f>IF(AT36&gt;0,AU36,AV35)</f>
        <v>0.52839999999999998</v>
      </c>
      <c r="AW36" s="298">
        <f>-SUM('B5'!AI35)</f>
        <v>0</v>
      </c>
      <c r="AX36" s="298">
        <f t="shared" ref="AX36" si="104">-SUM(AW36-AS36)</f>
        <v>0</v>
      </c>
      <c r="AY36" s="37">
        <f t="shared" ref="AY36" si="105">SUM(AX36+AW36)</f>
        <v>0</v>
      </c>
      <c r="AZ36" s="100">
        <f>ELEC!A33</f>
        <v>7.4462499999999987E-2</v>
      </c>
      <c r="BA36" s="118">
        <f>'General information '!D36</f>
        <v>0</v>
      </c>
      <c r="BB36" s="404">
        <f>SUM('General information '!E36)</f>
        <v>0</v>
      </c>
      <c r="BC36" s="3">
        <f>IF(AR35&gt;=AR36,0,1)</f>
        <v>0</v>
      </c>
      <c r="BD36" s="102">
        <v>19222</v>
      </c>
      <c r="BE36" s="14" t="e">
        <f>(305/1185)*ELEC!#REF!</f>
        <v>#REF!</v>
      </c>
      <c r="BF36" s="14"/>
      <c r="BG36" s="14" t="e">
        <f>#REF!-BE36</f>
        <v>#REF!</v>
      </c>
      <c r="BH36" s="11"/>
    </row>
    <row r="37" spans="1:60">
      <c r="AQ37" s="20"/>
      <c r="AR37" s="493" t="s">
        <v>226</v>
      </c>
      <c r="AS37" s="499">
        <f>COUNT(AT6:AT35)</f>
        <v>3</v>
      </c>
      <c r="AT37" s="206">
        <f>SUM(AT6:AT35)</f>
        <v>38361</v>
      </c>
      <c r="AU37">
        <f>SUM(AU6:AU35)/AS37</f>
        <v>0.48439999999999994</v>
      </c>
      <c r="AX37" s="206">
        <f>SUM(AX6:AX35)</f>
        <v>-34895.019354838718</v>
      </c>
      <c r="AY37" s="206">
        <f>SUM(AY6:AY35)</f>
        <v>-38906.019354838718</v>
      </c>
    </row>
    <row r="38" spans="1:60">
      <c r="AS38" s="209"/>
      <c r="AT38">
        <f>+AT37*AU37</f>
        <v>18582.068399999996</v>
      </c>
    </row>
    <row r="40" spans="1:60">
      <c r="AS40" s="165">
        <f>SUM(AS6:AS35)/'EDl log'!A37</f>
        <v>-6484.336559139786</v>
      </c>
      <c r="AT40" s="206"/>
    </row>
  </sheetData>
  <mergeCells count="3">
    <mergeCell ref="AT3:AU3"/>
    <mergeCell ref="AS3:AS4"/>
    <mergeCell ref="AR3:AR4"/>
  </mergeCells>
  <conditionalFormatting sqref="AW6:AX36">
    <cfRule type="cellIs" dxfId="5" priority="3" stopIfTrue="1" operator="greaterThan">
      <formula>0</formula>
    </cfRule>
  </conditionalFormatting>
  <conditionalFormatting sqref="AT6:AU36">
    <cfRule type="cellIs" dxfId="4" priority="1" stopIfTrue="1" operator="greaterThan">
      <formula>0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AK35"/>
  <sheetViews>
    <sheetView topLeftCell="E1" zoomScaleNormal="100" workbookViewId="0">
      <pane ySplit="1" topLeftCell="A2" activePane="bottomLeft" state="frozen"/>
      <selection pane="bottomLeft" activeCell="X3" sqref="X3"/>
    </sheetView>
  </sheetViews>
  <sheetFormatPr defaultRowHeight="15"/>
  <cols>
    <col min="1" max="1" width="7.140625" bestFit="1" customWidth="1"/>
    <col min="2" max="2" width="10.5703125" bestFit="1" customWidth="1"/>
    <col min="3" max="3" width="7.7109375" bestFit="1" customWidth="1"/>
    <col min="4" max="4" width="10.5703125" bestFit="1" customWidth="1"/>
    <col min="5" max="6" width="8.7109375" bestFit="1" customWidth="1"/>
    <col min="7" max="7" width="3.42578125" bestFit="1" customWidth="1"/>
    <col min="8" max="8" width="8.140625" customWidth="1"/>
    <col min="9" max="9" width="11.42578125" bestFit="1" customWidth="1"/>
    <col min="10" max="10" width="9" bestFit="1" customWidth="1"/>
    <col min="11" max="11" width="7.7109375" bestFit="1" customWidth="1"/>
    <col min="12" max="12" width="10.5703125" bestFit="1" customWidth="1"/>
    <col min="13" max="13" width="10.28515625" customWidth="1"/>
    <col min="14" max="14" width="8.7109375" bestFit="1" customWidth="1"/>
    <col min="15" max="15" width="6.140625" bestFit="1" customWidth="1"/>
    <col min="16" max="16" width="8" bestFit="1" customWidth="1"/>
    <col min="17" max="17" width="7.7109375" bestFit="1" customWidth="1"/>
    <col min="18" max="18" width="9" bestFit="1" customWidth="1"/>
    <col min="19" max="19" width="8.7109375" bestFit="1" customWidth="1"/>
    <col min="20" max="20" width="11.5703125" customWidth="1"/>
    <col min="21" max="22" width="8.7109375" bestFit="1" customWidth="1"/>
    <col min="23" max="23" width="3.140625" bestFit="1" customWidth="1"/>
    <col min="24" max="24" width="12" customWidth="1"/>
    <col min="25" max="25" width="7.28515625" bestFit="1" customWidth="1"/>
    <col min="26" max="26" width="8" bestFit="1" customWidth="1"/>
    <col min="27" max="27" width="11.85546875" customWidth="1"/>
    <col min="28" max="28" width="9.28515625" hidden="1" customWidth="1"/>
    <col min="29" max="29" width="7.7109375" bestFit="1" customWidth="1"/>
    <col min="30" max="30" width="12.28515625" bestFit="1" customWidth="1"/>
    <col min="31" max="34" width="9.7109375" customWidth="1"/>
  </cols>
  <sheetData>
    <row r="1" spans="1:37" s="20" customFormat="1" ht="46.5">
      <c r="A1" s="25"/>
      <c r="B1" s="419" t="s">
        <v>44</v>
      </c>
      <c r="C1" s="25" t="s">
        <v>45</v>
      </c>
      <c r="D1" s="25" t="s">
        <v>372</v>
      </c>
      <c r="E1" s="25" t="s">
        <v>374</v>
      </c>
      <c r="F1" s="25" t="s">
        <v>373</v>
      </c>
      <c r="G1" s="25"/>
      <c r="H1" s="25" t="s">
        <v>46</v>
      </c>
      <c r="I1" s="25" t="s">
        <v>49</v>
      </c>
      <c r="J1" s="419" t="s">
        <v>47</v>
      </c>
      <c r="K1" s="25" t="s">
        <v>45</v>
      </c>
      <c r="L1" s="25" t="s">
        <v>372</v>
      </c>
      <c r="M1" s="25" t="s">
        <v>374</v>
      </c>
      <c r="N1" s="25" t="s">
        <v>373</v>
      </c>
      <c r="O1" s="294"/>
      <c r="P1" s="25" t="s">
        <v>46</v>
      </c>
      <c r="Q1" s="25" t="s">
        <v>49</v>
      </c>
      <c r="R1" s="419" t="s">
        <v>48</v>
      </c>
      <c r="S1" s="25" t="s">
        <v>45</v>
      </c>
      <c r="T1" s="25" t="s">
        <v>372</v>
      </c>
      <c r="U1" s="25" t="s">
        <v>374</v>
      </c>
      <c r="V1" s="25" t="s">
        <v>373</v>
      </c>
      <c r="W1" s="25"/>
      <c r="X1" s="25" t="s">
        <v>46</v>
      </c>
      <c r="Y1" s="25" t="s">
        <v>49</v>
      </c>
      <c r="Z1" s="25" t="s">
        <v>50</v>
      </c>
      <c r="AA1" s="25" t="s">
        <v>376</v>
      </c>
      <c r="AB1" s="294" t="s">
        <v>375</v>
      </c>
      <c r="AC1" s="294" t="s">
        <v>111</v>
      </c>
      <c r="AD1" s="72" t="s">
        <v>112</v>
      </c>
      <c r="AE1" s="72"/>
      <c r="AF1" s="72"/>
      <c r="AG1" s="72"/>
      <c r="AH1" s="72"/>
      <c r="AI1" s="72" t="s">
        <v>301</v>
      </c>
      <c r="AK1" s="20" t="s">
        <v>377</v>
      </c>
    </row>
    <row r="2" spans="1:37" ht="15.75" thickBot="1">
      <c r="A2" s="4">
        <f>ELEC!C2</f>
        <v>44012</v>
      </c>
      <c r="B2" s="276">
        <f>[1]GEN!B32</f>
        <v>8777</v>
      </c>
      <c r="C2" s="276">
        <f>[1]GEN!C32</f>
        <v>15</v>
      </c>
      <c r="D2" s="276">
        <f>[1]GEN!D32</f>
        <v>171037</v>
      </c>
      <c r="E2" s="276">
        <f>[1]GEN!E32</f>
        <v>2409</v>
      </c>
      <c r="F2" s="276">
        <f>[1]GEN!F32</f>
        <v>160.6</v>
      </c>
      <c r="G2" s="276">
        <f>[1]GEN!G32</f>
        <v>0</v>
      </c>
      <c r="H2" s="276">
        <f>[1]GEN!H32</f>
        <v>8770</v>
      </c>
      <c r="I2" s="276" t="str">
        <f>[1]GEN!I32</f>
        <v>oil change</v>
      </c>
      <c r="J2" s="276">
        <f>[1]GEN!J32</f>
        <v>10698</v>
      </c>
      <c r="K2" s="276">
        <f>[1]GEN!K32</f>
        <v>0</v>
      </c>
      <c r="L2" s="276">
        <f>[1]GEN!L32</f>
        <v>238499</v>
      </c>
      <c r="M2" s="276">
        <f>[1]GEN!M32</f>
        <v>2</v>
      </c>
      <c r="N2" s="276">
        <f>[1]GEN!N32</f>
        <v>0</v>
      </c>
      <c r="O2" s="276">
        <f>[1]GEN!O32</f>
        <v>0</v>
      </c>
      <c r="P2" s="276">
        <f>[1]GEN!P32</f>
        <v>10873</v>
      </c>
      <c r="Q2" s="276" t="str">
        <f>[1]GEN!Q32</f>
        <v>ok</v>
      </c>
      <c r="R2" s="276">
        <f>[1]GEN!R32</f>
        <v>11252</v>
      </c>
      <c r="S2" s="276">
        <f>[1]GEN!S32</f>
        <v>0</v>
      </c>
      <c r="T2" s="276">
        <f>[1]GEN!T32</f>
        <v>264828</v>
      </c>
      <c r="U2" s="276">
        <f>[1]GEN!U32</f>
        <v>47</v>
      </c>
      <c r="V2" s="276">
        <f>[1]GEN!V32</f>
        <v>0</v>
      </c>
      <c r="W2" s="276">
        <f>[1]GEN!W32</f>
        <v>0</v>
      </c>
      <c r="X2" s="276">
        <f>[1]GEN!X32</f>
        <v>12069</v>
      </c>
      <c r="Y2" s="276" t="str">
        <f>[1]GEN!Y32</f>
        <v>ok</v>
      </c>
      <c r="Z2" s="276">
        <f>[1]GEN!Z32</f>
        <v>15</v>
      </c>
      <c r="AA2" s="276">
        <f>[1]GEN!AA32</f>
        <v>2458</v>
      </c>
      <c r="AB2" s="276">
        <f>[1]GEN!AB32</f>
        <v>160.6</v>
      </c>
      <c r="AC2" s="276">
        <f>[1]GEN!AC32</f>
        <v>163.86666666666667</v>
      </c>
      <c r="AD2" s="276">
        <f>[1]GEN!AD32</f>
        <v>12000</v>
      </c>
      <c r="AE2" s="276">
        <f>[1]GEN!AE32</f>
        <v>800</v>
      </c>
      <c r="AF2" s="276">
        <f>[1]GEN!AF32</f>
        <v>0.5</v>
      </c>
      <c r="AG2" s="276">
        <f>[1]GEN!AG32</f>
        <v>160</v>
      </c>
      <c r="AH2" s="276">
        <f>[1]GEN!AH32</f>
        <v>3.8666666666666742</v>
      </c>
      <c r="AI2" s="276">
        <f>[1]GEN!AI32</f>
        <v>3088.6075949367091</v>
      </c>
      <c r="AJ2" s="276">
        <f>[1]GEN!AJ32</f>
        <v>0.25738396624472576</v>
      </c>
      <c r="AK2" s="276">
        <f>[1]GEN!AK32</f>
        <v>205.9071729957806</v>
      </c>
    </row>
    <row r="3" spans="1:37" ht="15.75" thickBot="1">
      <c r="A3" s="4">
        <f>ELEC!C3</f>
        <v>44013</v>
      </c>
      <c r="B3" s="576">
        <v>8789</v>
      </c>
      <c r="C3" s="295">
        <f>B3-B2</f>
        <v>12</v>
      </c>
      <c r="D3" s="577">
        <v>172770</v>
      </c>
      <c r="E3" s="295">
        <f>SUM(D3-D2)</f>
        <v>1733</v>
      </c>
      <c r="F3" s="295">
        <f t="shared" ref="F3:F32" si="0">IF(C3&gt;0,E3/C3,0)</f>
        <v>144.41666666666666</v>
      </c>
      <c r="G3" s="276">
        <f>[3]GEN!G32</f>
        <v>0</v>
      </c>
      <c r="H3" s="296">
        <f>H2</f>
        <v>8770</v>
      </c>
      <c r="I3" s="295" t="str">
        <f t="shared" ref="I3:I32" si="1">IF(B3-H3&lt;=0,"ok","oil change")</f>
        <v>oil change</v>
      </c>
      <c r="J3" s="276">
        <f>J2</f>
        <v>10698</v>
      </c>
      <c r="K3" s="295">
        <f t="shared" ref="K3:K31" si="2">J3-J2</f>
        <v>0</v>
      </c>
      <c r="L3" s="577">
        <f>L2</f>
        <v>238499</v>
      </c>
      <c r="M3" s="295">
        <f t="shared" ref="M3:M32" si="3">SUM(L3-L2)</f>
        <v>0</v>
      </c>
      <c r="N3" s="295">
        <f>IF(K3&gt;0,M3/K3,0)</f>
        <v>0</v>
      </c>
      <c r="O3" s="276">
        <f>[3]GEN!O32</f>
        <v>0</v>
      </c>
      <c r="P3" s="296">
        <f>P2</f>
        <v>10873</v>
      </c>
      <c r="Q3" s="295" t="str">
        <f t="shared" ref="Q3:Q17" si="4">IF(J3-P3&lt;=0,"ok","oil change")</f>
        <v>ok</v>
      </c>
      <c r="R3" s="276">
        <v>11276</v>
      </c>
      <c r="S3" s="295">
        <f t="shared" ref="S3:S32" si="5">R3-R2</f>
        <v>24</v>
      </c>
      <c r="T3" s="577">
        <f>T2</f>
        <v>264828</v>
      </c>
      <c r="U3" s="295">
        <f t="shared" ref="U3:U19" si="6">SUM(T3-T2)</f>
        <v>0</v>
      </c>
      <c r="V3" s="295">
        <f>IF(S3&gt;0,U3/S3,0)</f>
        <v>0</v>
      </c>
      <c r="W3" s="276">
        <f>[3]GEN!W32</f>
        <v>0</v>
      </c>
      <c r="X3" s="296">
        <f>X2</f>
        <v>12069</v>
      </c>
      <c r="Y3" s="295" t="str">
        <f t="shared" ref="Y3:Y20" si="7">IF(R3-X3&lt;=0,"ok","oil change")</f>
        <v>ok</v>
      </c>
      <c r="Z3" s="295">
        <f t="shared" ref="Z3:Z32" si="8">C3+K3+S3</f>
        <v>36</v>
      </c>
      <c r="AA3" s="295">
        <f>U3+M3+E3</f>
        <v>1733</v>
      </c>
      <c r="AB3" s="295">
        <f>V3+N3+F3</f>
        <v>144.41666666666666</v>
      </c>
      <c r="AC3" s="295">
        <f>IF(Z3&gt;0,AA3/Z3,0)</f>
        <v>48.138888888888886</v>
      </c>
      <c r="AD3" s="73">
        <f>ELEC!Q3</f>
        <v>14000</v>
      </c>
      <c r="AE3" s="73">
        <f>SUM(AD3/Z3)</f>
        <v>388.88888888888891</v>
      </c>
      <c r="AF3" s="413">
        <f>SUM(AE3/1600)</f>
        <v>0.24305555555555558</v>
      </c>
      <c r="AG3" s="414">
        <f>SUM(360*AF3)</f>
        <v>87.500000000000014</v>
      </c>
      <c r="AH3" s="414">
        <f>SUM(AC3-AG3)</f>
        <v>-39.361111111111128</v>
      </c>
      <c r="AI3" s="73">
        <f>AD3*AJ3</f>
        <v>3603.3755274261607</v>
      </c>
      <c r="AJ3" s="297">
        <f t="shared" ref="AJ3:AJ33" si="9">305/1185</f>
        <v>0.25738396624472576</v>
      </c>
      <c r="AK3" s="297">
        <f t="shared" ref="AK3:AK8" si="10">AI3/Z3</f>
        <v>100.09376465072668</v>
      </c>
    </row>
    <row r="4" spans="1:37" ht="15.75" thickBot="1">
      <c r="A4" s="4">
        <f>ELEC!C4</f>
        <v>44014</v>
      </c>
      <c r="B4" s="576">
        <v>8789</v>
      </c>
      <c r="C4" s="295">
        <f t="shared" ref="C4:C32" si="11">B4-B3</f>
        <v>0</v>
      </c>
      <c r="D4" s="577">
        <f t="shared" ref="D4:D33" si="12">D3</f>
        <v>172770</v>
      </c>
      <c r="E4" s="295">
        <f t="shared" ref="E4:E32" si="13">SUM(D4-D3)</f>
        <v>0</v>
      </c>
      <c r="F4" s="295">
        <f t="shared" si="0"/>
        <v>0</v>
      </c>
      <c r="G4" s="199"/>
      <c r="H4" s="296">
        <f t="shared" ref="H4:H33" si="14">H3</f>
        <v>8770</v>
      </c>
      <c r="I4" s="295" t="str">
        <f t="shared" si="1"/>
        <v>oil change</v>
      </c>
      <c r="J4" s="276">
        <f t="shared" ref="J4:J33" si="15">J3</f>
        <v>10698</v>
      </c>
      <c r="K4" s="295">
        <f t="shared" si="2"/>
        <v>0</v>
      </c>
      <c r="L4" s="577">
        <f t="shared" ref="L4:L33" si="16">L3</f>
        <v>238499</v>
      </c>
      <c r="M4" s="295">
        <f t="shared" si="3"/>
        <v>0</v>
      </c>
      <c r="N4" s="295">
        <f t="shared" ref="N4:N32" si="17">IF(K4&gt;0,M4/K4,0)</f>
        <v>0</v>
      </c>
      <c r="O4" s="199"/>
      <c r="P4" s="296">
        <f t="shared" ref="P4:P33" si="18">P3</f>
        <v>10873</v>
      </c>
      <c r="Q4" s="295" t="str">
        <f t="shared" si="4"/>
        <v>ok</v>
      </c>
      <c r="R4" s="276">
        <v>11277</v>
      </c>
      <c r="S4" s="295">
        <f t="shared" si="5"/>
        <v>1</v>
      </c>
      <c r="T4" s="577">
        <v>269562</v>
      </c>
      <c r="U4" s="295">
        <f t="shared" si="6"/>
        <v>4734</v>
      </c>
      <c r="V4" s="295">
        <f t="shared" ref="V4:V32" si="19">IF(S4&gt;0,U4/S4,0)</f>
        <v>4734</v>
      </c>
      <c r="W4" s="199"/>
      <c r="X4" s="296">
        <f t="shared" ref="X4:X33" si="20">X3</f>
        <v>12069</v>
      </c>
      <c r="Y4" s="295" t="str">
        <f t="shared" si="7"/>
        <v>ok</v>
      </c>
      <c r="Z4" s="295">
        <f>C4+K4+S4</f>
        <v>1</v>
      </c>
      <c r="AA4" s="295">
        <f t="shared" ref="AA4:AA32" si="21">U4+M4+E4</f>
        <v>4734</v>
      </c>
      <c r="AB4" s="295">
        <f t="shared" ref="AB4:AB32" si="22">V4+N4+F4</f>
        <v>4734</v>
      </c>
      <c r="AC4" s="295">
        <f t="shared" ref="AC4:AC32" si="23">IF(Z4&gt;0,AA4/Z4,0)</f>
        <v>4734</v>
      </c>
      <c r="AD4" s="73">
        <f>ELEC!Q4</f>
        <v>13000</v>
      </c>
      <c r="AE4" s="73">
        <f>SUM(AD4/Z4)</f>
        <v>13000</v>
      </c>
      <c r="AF4" s="413">
        <f>SUM(AE4/1600)</f>
        <v>8.125</v>
      </c>
      <c r="AG4" s="414">
        <f>SUM(360*AF4)</f>
        <v>2925</v>
      </c>
      <c r="AH4" s="414">
        <f t="shared" ref="AH4:AH32" si="24">SUM(AC4-AG4)</f>
        <v>1809</v>
      </c>
      <c r="AI4" s="73">
        <f>AD4*AJ4</f>
        <v>3345.9915611814349</v>
      </c>
      <c r="AJ4" s="297">
        <f t="shared" si="9"/>
        <v>0.25738396624472576</v>
      </c>
      <c r="AK4" s="297">
        <f t="shared" si="10"/>
        <v>3345.9915611814349</v>
      </c>
    </row>
    <row r="5" spans="1:37" ht="15.75" thickBot="1">
      <c r="A5" s="4">
        <f>ELEC!C5</f>
        <v>44015</v>
      </c>
      <c r="B5" s="576">
        <v>8806</v>
      </c>
      <c r="C5" s="295">
        <f t="shared" si="11"/>
        <v>17</v>
      </c>
      <c r="D5" s="577">
        <v>175464</v>
      </c>
      <c r="E5" s="295">
        <f t="shared" si="13"/>
        <v>2694</v>
      </c>
      <c r="F5" s="295">
        <f t="shared" si="0"/>
        <v>158.47058823529412</v>
      </c>
      <c r="G5" s="293"/>
      <c r="H5" s="296">
        <f>H4</f>
        <v>8770</v>
      </c>
      <c r="I5" s="295" t="str">
        <f t="shared" si="1"/>
        <v>oil change</v>
      </c>
      <c r="J5" s="276">
        <f t="shared" si="15"/>
        <v>10698</v>
      </c>
      <c r="K5" s="295">
        <f t="shared" si="2"/>
        <v>0</v>
      </c>
      <c r="L5" s="577">
        <f t="shared" si="16"/>
        <v>238499</v>
      </c>
      <c r="M5" s="295">
        <f t="shared" si="3"/>
        <v>0</v>
      </c>
      <c r="N5" s="295">
        <f t="shared" si="17"/>
        <v>0</v>
      </c>
      <c r="O5" s="199"/>
      <c r="P5" s="296">
        <f>P4</f>
        <v>10873</v>
      </c>
      <c r="Q5" s="295" t="str">
        <f t="shared" si="4"/>
        <v>ok</v>
      </c>
      <c r="R5" s="276">
        <v>11290</v>
      </c>
      <c r="S5" s="295">
        <f t="shared" si="5"/>
        <v>13</v>
      </c>
      <c r="T5" s="577">
        <v>269762</v>
      </c>
      <c r="U5" s="295">
        <f t="shared" si="6"/>
        <v>200</v>
      </c>
      <c r="V5" s="295">
        <f>IF(S5&gt;0,U5/S5,0)</f>
        <v>15.384615384615385</v>
      </c>
      <c r="W5" s="199"/>
      <c r="X5" s="296">
        <f t="shared" si="20"/>
        <v>12069</v>
      </c>
      <c r="Y5" s="295" t="str">
        <f t="shared" si="7"/>
        <v>ok</v>
      </c>
      <c r="Z5" s="295">
        <f t="shared" si="8"/>
        <v>30</v>
      </c>
      <c r="AA5" s="295">
        <f t="shared" si="21"/>
        <v>2894</v>
      </c>
      <c r="AB5" s="295">
        <f t="shared" si="22"/>
        <v>173.8552036199095</v>
      </c>
      <c r="AC5" s="295">
        <f t="shared" si="23"/>
        <v>96.466666666666669</v>
      </c>
      <c r="AD5" s="73">
        <f>ELEC!Q5</f>
        <v>14000</v>
      </c>
      <c r="AE5" s="73">
        <f t="shared" ref="AE5:AE32" si="25">SUM(AD5/Z5)</f>
        <v>466.66666666666669</v>
      </c>
      <c r="AF5" s="413">
        <f t="shared" ref="AF5:AF32" si="26">SUM(AE5/1600)</f>
        <v>0.29166666666666669</v>
      </c>
      <c r="AG5" s="414">
        <f t="shared" ref="AG5:AG32" si="27">SUM(320*AF5)</f>
        <v>93.333333333333343</v>
      </c>
      <c r="AH5" s="414">
        <f t="shared" si="24"/>
        <v>3.1333333333333258</v>
      </c>
      <c r="AI5" s="73">
        <f t="shared" ref="AI5:AI32" si="28">AD5*AJ5</f>
        <v>3603.3755274261607</v>
      </c>
      <c r="AJ5" s="297">
        <f t="shared" si="9"/>
        <v>0.25738396624472576</v>
      </c>
      <c r="AK5" s="297">
        <f t="shared" si="10"/>
        <v>120.11251758087202</v>
      </c>
    </row>
    <row r="6" spans="1:37" ht="15.75" thickBot="1">
      <c r="A6" s="4">
        <f>ELEC!C6</f>
        <v>44016</v>
      </c>
      <c r="B6" s="576">
        <v>8814</v>
      </c>
      <c r="C6" s="295">
        <f t="shared" si="11"/>
        <v>8</v>
      </c>
      <c r="D6" s="577">
        <v>176540</v>
      </c>
      <c r="E6" s="295">
        <f t="shared" si="13"/>
        <v>1076</v>
      </c>
      <c r="F6" s="295">
        <f t="shared" si="0"/>
        <v>134.5</v>
      </c>
      <c r="G6" s="199"/>
      <c r="H6" s="296">
        <f t="shared" si="14"/>
        <v>8770</v>
      </c>
      <c r="I6" s="295" t="str">
        <f t="shared" si="1"/>
        <v>oil change</v>
      </c>
      <c r="J6" s="276">
        <f t="shared" si="15"/>
        <v>10698</v>
      </c>
      <c r="K6" s="295">
        <f t="shared" si="2"/>
        <v>0</v>
      </c>
      <c r="L6" s="577">
        <f t="shared" si="16"/>
        <v>238499</v>
      </c>
      <c r="M6" s="295">
        <f t="shared" si="3"/>
        <v>0</v>
      </c>
      <c r="N6" s="295">
        <f t="shared" si="17"/>
        <v>0</v>
      </c>
      <c r="O6" s="315"/>
      <c r="P6" s="296">
        <f t="shared" si="18"/>
        <v>10873</v>
      </c>
      <c r="Q6" s="295" t="str">
        <f t="shared" si="4"/>
        <v>ok</v>
      </c>
      <c r="R6" s="276">
        <v>11308</v>
      </c>
      <c r="S6" s="295">
        <f t="shared" si="5"/>
        <v>18</v>
      </c>
      <c r="T6" s="577">
        <v>272338</v>
      </c>
      <c r="U6" s="295">
        <f t="shared" si="6"/>
        <v>2576</v>
      </c>
      <c r="V6" s="295">
        <f t="shared" si="19"/>
        <v>143.11111111111111</v>
      </c>
      <c r="W6" s="315"/>
      <c r="X6" s="296">
        <f t="shared" si="20"/>
        <v>12069</v>
      </c>
      <c r="Y6" s="295" t="str">
        <f t="shared" si="7"/>
        <v>ok</v>
      </c>
      <c r="Z6" s="295">
        <f t="shared" si="8"/>
        <v>26</v>
      </c>
      <c r="AA6" s="295">
        <f t="shared" si="21"/>
        <v>3652</v>
      </c>
      <c r="AB6" s="295">
        <f t="shared" si="22"/>
        <v>277.61111111111109</v>
      </c>
      <c r="AC6" s="295">
        <f t="shared" si="23"/>
        <v>140.46153846153845</v>
      </c>
      <c r="AD6" s="73">
        <f>ELEC!Q6</f>
        <v>16000</v>
      </c>
      <c r="AE6" s="73">
        <f>SUM(AD6/Z6)</f>
        <v>615.38461538461536</v>
      </c>
      <c r="AF6" s="413">
        <f t="shared" si="26"/>
        <v>0.38461538461538458</v>
      </c>
      <c r="AG6" s="414">
        <f>SUM(320*AF6)</f>
        <v>123.07692307692307</v>
      </c>
      <c r="AH6" s="414">
        <f t="shared" si="24"/>
        <v>17.384615384615387</v>
      </c>
      <c r="AI6" s="73">
        <f t="shared" si="28"/>
        <v>4118.1434599156119</v>
      </c>
      <c r="AJ6" s="297">
        <f t="shared" si="9"/>
        <v>0.25738396624472576</v>
      </c>
      <c r="AK6" s="297">
        <f t="shared" si="10"/>
        <v>158.39013307367739</v>
      </c>
    </row>
    <row r="7" spans="1:37" ht="15.75" thickBot="1">
      <c r="A7" s="4">
        <f>ELEC!C7</f>
        <v>44017</v>
      </c>
      <c r="B7" s="576">
        <v>8814</v>
      </c>
      <c r="C7" s="295">
        <f t="shared" si="11"/>
        <v>0</v>
      </c>
      <c r="D7" s="577">
        <v>176540</v>
      </c>
      <c r="E7" s="295">
        <f t="shared" si="13"/>
        <v>0</v>
      </c>
      <c r="F7" s="295">
        <f t="shared" si="0"/>
        <v>0</v>
      </c>
      <c r="G7" s="199"/>
      <c r="H7" s="296">
        <f t="shared" si="14"/>
        <v>8770</v>
      </c>
      <c r="I7" s="295" t="str">
        <f t="shared" si="1"/>
        <v>oil change</v>
      </c>
      <c r="J7" s="276">
        <f t="shared" si="15"/>
        <v>10698</v>
      </c>
      <c r="K7" s="295">
        <f t="shared" si="2"/>
        <v>0</v>
      </c>
      <c r="L7" s="577">
        <f t="shared" si="16"/>
        <v>238499</v>
      </c>
      <c r="M7" s="295">
        <f t="shared" si="3"/>
        <v>0</v>
      </c>
      <c r="N7" s="295">
        <f t="shared" si="17"/>
        <v>0</v>
      </c>
      <c r="O7" s="315"/>
      <c r="P7" s="296">
        <f t="shared" si="18"/>
        <v>10873</v>
      </c>
      <c r="Q7" s="295" t="str">
        <f t="shared" si="4"/>
        <v>ok</v>
      </c>
      <c r="R7" s="276">
        <v>11329</v>
      </c>
      <c r="S7" s="295">
        <f t="shared" si="5"/>
        <v>21</v>
      </c>
      <c r="T7" s="577">
        <v>276502</v>
      </c>
      <c r="U7" s="295">
        <f t="shared" si="6"/>
        <v>4164</v>
      </c>
      <c r="V7" s="295">
        <f t="shared" si="19"/>
        <v>198.28571428571428</v>
      </c>
      <c r="W7" s="199"/>
      <c r="X7" s="296">
        <f t="shared" si="20"/>
        <v>12069</v>
      </c>
      <c r="Y7" s="295" t="str">
        <f t="shared" si="7"/>
        <v>ok</v>
      </c>
      <c r="Z7" s="295">
        <f t="shared" si="8"/>
        <v>21</v>
      </c>
      <c r="AA7" s="295">
        <f>U7+M7+E7</f>
        <v>4164</v>
      </c>
      <c r="AB7" s="295">
        <f t="shared" si="22"/>
        <v>198.28571428571428</v>
      </c>
      <c r="AC7" s="295">
        <f t="shared" si="23"/>
        <v>198.28571428571428</v>
      </c>
      <c r="AD7" s="73">
        <f>ELEC!Q7</f>
        <v>15000</v>
      </c>
      <c r="AE7" s="73">
        <f t="shared" si="25"/>
        <v>714.28571428571433</v>
      </c>
      <c r="AF7" s="413">
        <f t="shared" si="26"/>
        <v>0.44642857142857145</v>
      </c>
      <c r="AG7" s="519" t="s">
        <v>406</v>
      </c>
      <c r="AH7" s="414" t="e">
        <f t="shared" si="24"/>
        <v>#VALUE!</v>
      </c>
      <c r="AI7" s="73">
        <f t="shared" si="28"/>
        <v>3860.7594936708865</v>
      </c>
      <c r="AJ7" s="297">
        <f t="shared" si="9"/>
        <v>0.25738396624472576</v>
      </c>
      <c r="AK7" s="297">
        <f t="shared" si="10"/>
        <v>183.84569017480413</v>
      </c>
    </row>
    <row r="8" spans="1:37" ht="15.75" thickBot="1">
      <c r="A8" s="4">
        <f>ELEC!C8</f>
        <v>44018</v>
      </c>
      <c r="B8" s="576">
        <v>8814</v>
      </c>
      <c r="C8" s="295">
        <f t="shared" si="11"/>
        <v>0</v>
      </c>
      <c r="D8" s="577">
        <v>176540</v>
      </c>
      <c r="E8" s="295">
        <f t="shared" si="13"/>
        <v>0</v>
      </c>
      <c r="F8" s="295">
        <f t="shared" si="0"/>
        <v>0</v>
      </c>
      <c r="G8" s="199"/>
      <c r="H8" s="296">
        <f t="shared" si="14"/>
        <v>8770</v>
      </c>
      <c r="I8" s="295" t="str">
        <f t="shared" si="1"/>
        <v>oil change</v>
      </c>
      <c r="J8" s="276">
        <v>10698</v>
      </c>
      <c r="K8" s="295">
        <f t="shared" si="2"/>
        <v>0</v>
      </c>
      <c r="L8" s="577">
        <v>238500</v>
      </c>
      <c r="M8" s="295">
        <f t="shared" si="3"/>
        <v>1</v>
      </c>
      <c r="N8" s="295">
        <f t="shared" si="17"/>
        <v>0</v>
      </c>
      <c r="O8" s="199"/>
      <c r="P8" s="296">
        <f t="shared" si="18"/>
        <v>10873</v>
      </c>
      <c r="Q8" s="295" t="str">
        <f t="shared" si="4"/>
        <v>ok</v>
      </c>
      <c r="R8" s="276">
        <v>11347</v>
      </c>
      <c r="S8" s="295">
        <f t="shared" si="5"/>
        <v>18</v>
      </c>
      <c r="T8" s="577">
        <v>283947</v>
      </c>
      <c r="U8" s="295">
        <f t="shared" si="6"/>
        <v>7445</v>
      </c>
      <c r="V8" s="295">
        <f t="shared" si="19"/>
        <v>413.61111111111109</v>
      </c>
      <c r="W8" s="199"/>
      <c r="X8" s="296">
        <f t="shared" si="20"/>
        <v>12069</v>
      </c>
      <c r="Y8" s="295" t="str">
        <f t="shared" si="7"/>
        <v>ok</v>
      </c>
      <c r="Z8" s="295">
        <f t="shared" si="8"/>
        <v>18</v>
      </c>
      <c r="AA8" s="295">
        <f t="shared" si="21"/>
        <v>7446</v>
      </c>
      <c r="AB8" s="295">
        <f t="shared" si="22"/>
        <v>413.61111111111109</v>
      </c>
      <c r="AC8" s="295">
        <f t="shared" si="23"/>
        <v>413.66666666666669</v>
      </c>
      <c r="AD8" s="73">
        <f>ELEC!Q8</f>
        <v>18000</v>
      </c>
      <c r="AE8" s="73">
        <f t="shared" si="25"/>
        <v>1000</v>
      </c>
      <c r="AF8" s="413">
        <f t="shared" si="26"/>
        <v>0.625</v>
      </c>
      <c r="AG8" s="414">
        <f t="shared" si="27"/>
        <v>200</v>
      </c>
      <c r="AH8" s="414">
        <f t="shared" si="24"/>
        <v>213.66666666666669</v>
      </c>
      <c r="AI8" s="73">
        <f t="shared" si="28"/>
        <v>4632.9113924050635</v>
      </c>
      <c r="AJ8" s="297">
        <f t="shared" si="9"/>
        <v>0.25738396624472576</v>
      </c>
      <c r="AK8" s="297">
        <f t="shared" si="10"/>
        <v>257.38396624472574</v>
      </c>
    </row>
    <row r="9" spans="1:37" ht="15.75" thickBot="1">
      <c r="A9" s="4">
        <f>ELEC!C9</f>
        <v>44019</v>
      </c>
      <c r="B9" s="576">
        <v>8816</v>
      </c>
      <c r="C9" s="295">
        <f t="shared" si="11"/>
        <v>2</v>
      </c>
      <c r="D9" s="577">
        <v>177318</v>
      </c>
      <c r="E9" s="295">
        <f t="shared" si="13"/>
        <v>778</v>
      </c>
      <c r="F9" s="295">
        <f t="shared" si="0"/>
        <v>389</v>
      </c>
      <c r="G9" s="199"/>
      <c r="H9" s="296">
        <f t="shared" si="14"/>
        <v>8770</v>
      </c>
      <c r="I9" s="295" t="str">
        <f t="shared" si="1"/>
        <v>oil change</v>
      </c>
      <c r="J9" s="276">
        <v>10698</v>
      </c>
      <c r="K9" s="295">
        <f t="shared" si="2"/>
        <v>0</v>
      </c>
      <c r="L9" s="577">
        <f t="shared" si="16"/>
        <v>238500</v>
      </c>
      <c r="M9" s="295">
        <f t="shared" si="3"/>
        <v>0</v>
      </c>
      <c r="N9" s="295">
        <f t="shared" si="17"/>
        <v>0</v>
      </c>
      <c r="O9" s="199"/>
      <c r="P9" s="296">
        <f t="shared" si="18"/>
        <v>10873</v>
      </c>
      <c r="Q9" s="295" t="str">
        <f t="shared" si="4"/>
        <v>ok</v>
      </c>
      <c r="R9" s="276">
        <v>11369</v>
      </c>
      <c r="S9" s="295">
        <f t="shared" si="5"/>
        <v>22</v>
      </c>
      <c r="T9" s="577">
        <f t="shared" ref="T9:T33" si="29">T8</f>
        <v>283947</v>
      </c>
      <c r="U9" s="295">
        <f t="shared" si="6"/>
        <v>0</v>
      </c>
      <c r="V9" s="295">
        <f t="shared" si="19"/>
        <v>0</v>
      </c>
      <c r="W9" s="199"/>
      <c r="X9" s="296">
        <f t="shared" si="20"/>
        <v>12069</v>
      </c>
      <c r="Y9" s="295" t="str">
        <f t="shared" si="7"/>
        <v>ok</v>
      </c>
      <c r="Z9" s="295">
        <f t="shared" si="8"/>
        <v>24</v>
      </c>
      <c r="AA9" s="295">
        <f t="shared" si="21"/>
        <v>778</v>
      </c>
      <c r="AB9" s="295">
        <f t="shared" si="22"/>
        <v>389</v>
      </c>
      <c r="AC9" s="295">
        <f t="shared" si="23"/>
        <v>32.416666666666664</v>
      </c>
      <c r="AD9" s="73">
        <f>ELEC!Q9</f>
        <v>15000</v>
      </c>
      <c r="AE9" s="73">
        <f t="shared" si="25"/>
        <v>625</v>
      </c>
      <c r="AF9" s="413">
        <f t="shared" si="26"/>
        <v>0.390625</v>
      </c>
      <c r="AG9" s="414">
        <f t="shared" si="27"/>
        <v>125</v>
      </c>
      <c r="AH9" s="414">
        <f t="shared" si="24"/>
        <v>-92.583333333333343</v>
      </c>
      <c r="AI9" s="73">
        <f t="shared" si="28"/>
        <v>3860.7594936708865</v>
      </c>
      <c r="AJ9" s="297">
        <v>0.25738396624472576</v>
      </c>
      <c r="AK9" s="297">
        <f t="shared" ref="AK9:AK16" si="30">IF(Z9&gt;0,AI9/Z9,0)</f>
        <v>160.8649789029536</v>
      </c>
    </row>
    <row r="10" spans="1:37" ht="15.75" thickBot="1">
      <c r="A10" s="4">
        <f>ELEC!C10</f>
        <v>44020</v>
      </c>
      <c r="B10" s="576">
        <f t="shared" ref="B10:B33" si="31">B9</f>
        <v>8816</v>
      </c>
      <c r="C10" s="295">
        <f t="shared" si="11"/>
        <v>0</v>
      </c>
      <c r="D10" s="577">
        <f t="shared" si="12"/>
        <v>177318</v>
      </c>
      <c r="E10" s="295">
        <f t="shared" si="13"/>
        <v>0</v>
      </c>
      <c r="F10" s="295">
        <f t="shared" si="0"/>
        <v>0</v>
      </c>
      <c r="G10" s="199"/>
      <c r="H10" s="296">
        <f t="shared" si="14"/>
        <v>8770</v>
      </c>
      <c r="I10" s="295" t="str">
        <f t="shared" si="1"/>
        <v>oil change</v>
      </c>
      <c r="J10" s="276">
        <f t="shared" si="15"/>
        <v>10698</v>
      </c>
      <c r="K10" s="295">
        <f t="shared" si="2"/>
        <v>0</v>
      </c>
      <c r="L10" s="577">
        <f t="shared" si="16"/>
        <v>238500</v>
      </c>
      <c r="M10" s="295">
        <f t="shared" si="3"/>
        <v>0</v>
      </c>
      <c r="N10" s="295">
        <f t="shared" si="17"/>
        <v>0</v>
      </c>
      <c r="O10" s="199"/>
      <c r="P10" s="296">
        <v>10873</v>
      </c>
      <c r="Q10" s="295" t="str">
        <f t="shared" si="4"/>
        <v>ok</v>
      </c>
      <c r="R10" s="276">
        <f t="shared" ref="R10:R33" si="32">R9</f>
        <v>11369</v>
      </c>
      <c r="S10" s="295">
        <f t="shared" si="5"/>
        <v>0</v>
      </c>
      <c r="T10" s="577">
        <f t="shared" si="29"/>
        <v>283947</v>
      </c>
      <c r="U10" s="295">
        <f t="shared" si="6"/>
        <v>0</v>
      </c>
      <c r="V10" s="295">
        <f t="shared" si="19"/>
        <v>0</v>
      </c>
      <c r="W10" s="199"/>
      <c r="X10" s="296">
        <f t="shared" si="20"/>
        <v>12069</v>
      </c>
      <c r="Y10" s="295" t="str">
        <f t="shared" si="7"/>
        <v>ok</v>
      </c>
      <c r="Z10" s="295">
        <f t="shared" si="8"/>
        <v>0</v>
      </c>
      <c r="AA10" s="295">
        <f t="shared" si="21"/>
        <v>0</v>
      </c>
      <c r="AB10" s="295">
        <f t="shared" si="22"/>
        <v>0</v>
      </c>
      <c r="AC10" s="295">
        <f t="shared" si="23"/>
        <v>0</v>
      </c>
      <c r="AD10" s="73">
        <f>ELEC!Q10</f>
        <v>15000</v>
      </c>
      <c r="AE10" s="73" t="e">
        <f t="shared" si="25"/>
        <v>#DIV/0!</v>
      </c>
      <c r="AF10" s="413" t="e">
        <f t="shared" si="26"/>
        <v>#DIV/0!</v>
      </c>
      <c r="AG10" s="414" t="e">
        <f t="shared" si="27"/>
        <v>#DIV/0!</v>
      </c>
      <c r="AH10" s="414" t="e">
        <f t="shared" si="24"/>
        <v>#DIV/0!</v>
      </c>
      <c r="AI10" s="73">
        <f t="shared" si="28"/>
        <v>3860.7594936708865</v>
      </c>
      <c r="AJ10" s="297">
        <f t="shared" si="9"/>
        <v>0.25738396624472576</v>
      </c>
      <c r="AK10" s="297">
        <f t="shared" si="30"/>
        <v>0</v>
      </c>
    </row>
    <row r="11" spans="1:37" ht="15.75" thickBot="1">
      <c r="A11" s="4">
        <f>ELEC!C11</f>
        <v>44021</v>
      </c>
      <c r="B11" s="576">
        <f t="shared" si="31"/>
        <v>8816</v>
      </c>
      <c r="C11" s="295">
        <f t="shared" si="11"/>
        <v>0</v>
      </c>
      <c r="D11" s="577">
        <f t="shared" si="12"/>
        <v>177318</v>
      </c>
      <c r="E11" s="295">
        <f t="shared" si="13"/>
        <v>0</v>
      </c>
      <c r="F11" s="295">
        <f t="shared" si="0"/>
        <v>0</v>
      </c>
      <c r="G11" s="199"/>
      <c r="H11" s="296">
        <f t="shared" si="14"/>
        <v>8770</v>
      </c>
      <c r="I11" s="295" t="str">
        <f t="shared" si="1"/>
        <v>oil change</v>
      </c>
      <c r="J11" s="276">
        <f t="shared" si="15"/>
        <v>10698</v>
      </c>
      <c r="K11" s="295">
        <f t="shared" si="2"/>
        <v>0</v>
      </c>
      <c r="L11" s="577">
        <f t="shared" si="16"/>
        <v>238500</v>
      </c>
      <c r="M11" s="295">
        <f t="shared" si="3"/>
        <v>0</v>
      </c>
      <c r="N11" s="295">
        <f t="shared" si="17"/>
        <v>0</v>
      </c>
      <c r="O11" s="199"/>
      <c r="P11" s="296">
        <f t="shared" si="18"/>
        <v>10873</v>
      </c>
      <c r="Q11" s="295" t="str">
        <f t="shared" si="4"/>
        <v>ok</v>
      </c>
      <c r="R11" s="276">
        <f t="shared" si="32"/>
        <v>11369</v>
      </c>
      <c r="S11" s="295">
        <f t="shared" si="5"/>
        <v>0</v>
      </c>
      <c r="T11" s="577">
        <f t="shared" si="29"/>
        <v>283947</v>
      </c>
      <c r="U11" s="295">
        <f t="shared" si="6"/>
        <v>0</v>
      </c>
      <c r="V11" s="295">
        <f t="shared" si="19"/>
        <v>0</v>
      </c>
      <c r="W11" s="199"/>
      <c r="X11" s="296">
        <f t="shared" si="20"/>
        <v>12069</v>
      </c>
      <c r="Y11" s="295" t="str">
        <f t="shared" si="7"/>
        <v>ok</v>
      </c>
      <c r="Z11" s="295">
        <f t="shared" si="8"/>
        <v>0</v>
      </c>
      <c r="AA11" s="295">
        <f t="shared" si="21"/>
        <v>0</v>
      </c>
      <c r="AB11" s="295">
        <f t="shared" si="22"/>
        <v>0</v>
      </c>
      <c r="AC11" s="295">
        <f t="shared" si="23"/>
        <v>0</v>
      </c>
      <c r="AD11" s="73">
        <f>ELEC!Q11</f>
        <v>0</v>
      </c>
      <c r="AE11" s="73" t="e">
        <f t="shared" si="25"/>
        <v>#DIV/0!</v>
      </c>
      <c r="AF11" s="413" t="e">
        <f t="shared" si="26"/>
        <v>#DIV/0!</v>
      </c>
      <c r="AG11" s="414" t="e">
        <f t="shared" si="27"/>
        <v>#DIV/0!</v>
      </c>
      <c r="AH11" s="414" t="e">
        <f t="shared" si="24"/>
        <v>#DIV/0!</v>
      </c>
      <c r="AI11" s="73">
        <f t="shared" si="28"/>
        <v>0</v>
      </c>
      <c r="AJ11" s="297">
        <f t="shared" si="9"/>
        <v>0.25738396624472576</v>
      </c>
      <c r="AK11" s="297">
        <f t="shared" si="30"/>
        <v>0</v>
      </c>
    </row>
    <row r="12" spans="1:37" ht="15.75" thickBot="1">
      <c r="A12" s="4">
        <f>ELEC!C12</f>
        <v>44022</v>
      </c>
      <c r="B12" s="576">
        <f t="shared" si="31"/>
        <v>8816</v>
      </c>
      <c r="C12" s="295">
        <f t="shared" si="11"/>
        <v>0</v>
      </c>
      <c r="D12" s="577">
        <f t="shared" si="12"/>
        <v>177318</v>
      </c>
      <c r="E12" s="295">
        <f t="shared" si="13"/>
        <v>0</v>
      </c>
      <c r="F12" s="295">
        <f t="shared" si="0"/>
        <v>0</v>
      </c>
      <c r="G12" s="199"/>
      <c r="H12" s="296">
        <f t="shared" si="14"/>
        <v>8770</v>
      </c>
      <c r="I12" s="295" t="str">
        <f t="shared" si="1"/>
        <v>oil change</v>
      </c>
      <c r="J12" s="276">
        <f t="shared" si="15"/>
        <v>10698</v>
      </c>
      <c r="K12" s="295">
        <f t="shared" si="2"/>
        <v>0</v>
      </c>
      <c r="L12" s="577">
        <f t="shared" si="16"/>
        <v>238500</v>
      </c>
      <c r="M12" s="295">
        <f t="shared" si="3"/>
        <v>0</v>
      </c>
      <c r="N12" s="295">
        <f t="shared" si="17"/>
        <v>0</v>
      </c>
      <c r="O12" s="199"/>
      <c r="P12" s="296">
        <f t="shared" si="18"/>
        <v>10873</v>
      </c>
      <c r="Q12" s="295" t="str">
        <f t="shared" si="4"/>
        <v>ok</v>
      </c>
      <c r="R12" s="276">
        <f t="shared" si="32"/>
        <v>11369</v>
      </c>
      <c r="S12" s="295">
        <f t="shared" si="5"/>
        <v>0</v>
      </c>
      <c r="T12" s="577">
        <f t="shared" si="29"/>
        <v>283947</v>
      </c>
      <c r="U12" s="295">
        <f t="shared" si="6"/>
        <v>0</v>
      </c>
      <c r="V12" s="295">
        <f t="shared" si="19"/>
        <v>0</v>
      </c>
      <c r="W12" s="199"/>
      <c r="X12" s="296">
        <f t="shared" si="20"/>
        <v>12069</v>
      </c>
      <c r="Y12" s="295" t="str">
        <f t="shared" si="7"/>
        <v>ok</v>
      </c>
      <c r="Z12" s="295">
        <f t="shared" si="8"/>
        <v>0</v>
      </c>
      <c r="AA12" s="295">
        <f t="shared" si="21"/>
        <v>0</v>
      </c>
      <c r="AB12" s="295">
        <f t="shared" si="22"/>
        <v>0</v>
      </c>
      <c r="AC12" s="295">
        <f t="shared" si="23"/>
        <v>0</v>
      </c>
      <c r="AD12" s="73">
        <f>ELEC!Q12</f>
        <v>0</v>
      </c>
      <c r="AE12" s="73" t="e">
        <f t="shared" si="25"/>
        <v>#DIV/0!</v>
      </c>
      <c r="AF12" s="413" t="e">
        <f t="shared" si="26"/>
        <v>#DIV/0!</v>
      </c>
      <c r="AG12" s="414" t="e">
        <f t="shared" si="27"/>
        <v>#DIV/0!</v>
      </c>
      <c r="AH12" s="414" t="e">
        <f t="shared" si="24"/>
        <v>#DIV/0!</v>
      </c>
      <c r="AI12" s="73">
        <f t="shared" si="28"/>
        <v>0</v>
      </c>
      <c r="AJ12" s="297">
        <f t="shared" si="9"/>
        <v>0.25738396624472576</v>
      </c>
      <c r="AK12" s="297">
        <f t="shared" si="30"/>
        <v>0</v>
      </c>
    </row>
    <row r="13" spans="1:37" ht="15.75" thickBot="1">
      <c r="A13" s="4">
        <f>ELEC!C13</f>
        <v>44023</v>
      </c>
      <c r="B13" s="576">
        <f t="shared" si="31"/>
        <v>8816</v>
      </c>
      <c r="C13" s="295">
        <f t="shared" si="11"/>
        <v>0</v>
      </c>
      <c r="D13" s="577">
        <f t="shared" si="12"/>
        <v>177318</v>
      </c>
      <c r="E13" s="295">
        <f t="shared" si="13"/>
        <v>0</v>
      </c>
      <c r="F13" s="295">
        <f t="shared" si="0"/>
        <v>0</v>
      </c>
      <c r="G13" s="199"/>
      <c r="H13" s="296">
        <f t="shared" si="14"/>
        <v>8770</v>
      </c>
      <c r="I13" s="295" t="str">
        <f t="shared" si="1"/>
        <v>oil change</v>
      </c>
      <c r="J13" s="276">
        <f t="shared" si="15"/>
        <v>10698</v>
      </c>
      <c r="K13" s="295">
        <f t="shared" si="2"/>
        <v>0</v>
      </c>
      <c r="L13" s="577">
        <f t="shared" si="16"/>
        <v>238500</v>
      </c>
      <c r="M13" s="295">
        <f t="shared" si="3"/>
        <v>0</v>
      </c>
      <c r="N13" s="295">
        <f t="shared" si="17"/>
        <v>0</v>
      </c>
      <c r="O13" s="199"/>
      <c r="P13" s="296">
        <f t="shared" si="18"/>
        <v>10873</v>
      </c>
      <c r="Q13" s="295" t="str">
        <f t="shared" si="4"/>
        <v>ok</v>
      </c>
      <c r="R13" s="276">
        <f t="shared" si="32"/>
        <v>11369</v>
      </c>
      <c r="S13" s="295">
        <f t="shared" si="5"/>
        <v>0</v>
      </c>
      <c r="T13" s="577">
        <f t="shared" si="29"/>
        <v>283947</v>
      </c>
      <c r="U13" s="295">
        <f t="shared" si="6"/>
        <v>0</v>
      </c>
      <c r="V13" s="295">
        <f t="shared" si="19"/>
        <v>0</v>
      </c>
      <c r="W13" s="199"/>
      <c r="X13" s="296">
        <f>X12+180</f>
        <v>12249</v>
      </c>
      <c r="Y13" s="295" t="str">
        <f t="shared" si="7"/>
        <v>ok</v>
      </c>
      <c r="Z13" s="295">
        <f t="shared" si="8"/>
        <v>0</v>
      </c>
      <c r="AA13" s="295">
        <f t="shared" si="21"/>
        <v>0</v>
      </c>
      <c r="AB13" s="295">
        <f t="shared" si="22"/>
        <v>0</v>
      </c>
      <c r="AC13" s="295">
        <f t="shared" si="23"/>
        <v>0</v>
      </c>
      <c r="AD13" s="73">
        <f>ELEC!Q13</f>
        <v>0</v>
      </c>
      <c r="AE13" s="73" t="e">
        <f t="shared" si="25"/>
        <v>#DIV/0!</v>
      </c>
      <c r="AF13" s="413" t="e">
        <f t="shared" si="26"/>
        <v>#DIV/0!</v>
      </c>
      <c r="AG13" s="414" t="e">
        <f t="shared" si="27"/>
        <v>#DIV/0!</v>
      </c>
      <c r="AH13" s="414" t="e">
        <f t="shared" si="24"/>
        <v>#DIV/0!</v>
      </c>
      <c r="AI13" s="73">
        <f t="shared" si="28"/>
        <v>0</v>
      </c>
      <c r="AJ13" s="297">
        <f t="shared" si="9"/>
        <v>0.25738396624472576</v>
      </c>
      <c r="AK13" s="297">
        <f t="shared" si="30"/>
        <v>0</v>
      </c>
    </row>
    <row r="14" spans="1:37" ht="15.75" thickBot="1">
      <c r="A14" s="4">
        <f>ELEC!C14</f>
        <v>44024</v>
      </c>
      <c r="B14" s="576">
        <f t="shared" si="31"/>
        <v>8816</v>
      </c>
      <c r="C14" s="295">
        <f t="shared" si="11"/>
        <v>0</v>
      </c>
      <c r="D14" s="577">
        <f t="shared" si="12"/>
        <v>177318</v>
      </c>
      <c r="E14" s="295">
        <f t="shared" si="13"/>
        <v>0</v>
      </c>
      <c r="F14" s="295">
        <f t="shared" si="0"/>
        <v>0</v>
      </c>
      <c r="G14" s="199"/>
      <c r="H14" s="296">
        <f t="shared" si="14"/>
        <v>8770</v>
      </c>
      <c r="I14" s="295" t="str">
        <f t="shared" si="1"/>
        <v>oil change</v>
      </c>
      <c r="J14" s="276">
        <f t="shared" si="15"/>
        <v>10698</v>
      </c>
      <c r="K14" s="295">
        <f t="shared" si="2"/>
        <v>0</v>
      </c>
      <c r="L14" s="577">
        <f t="shared" si="16"/>
        <v>238500</v>
      </c>
      <c r="M14" s="295">
        <f t="shared" si="3"/>
        <v>0</v>
      </c>
      <c r="N14" s="295">
        <f t="shared" si="17"/>
        <v>0</v>
      </c>
      <c r="O14" s="199"/>
      <c r="P14" s="296">
        <f t="shared" si="18"/>
        <v>10873</v>
      </c>
      <c r="Q14" s="295" t="str">
        <f t="shared" si="4"/>
        <v>ok</v>
      </c>
      <c r="R14" s="276">
        <f t="shared" si="32"/>
        <v>11369</v>
      </c>
      <c r="S14" s="295">
        <f t="shared" si="5"/>
        <v>0</v>
      </c>
      <c r="T14" s="577">
        <f t="shared" si="29"/>
        <v>283947</v>
      </c>
      <c r="U14" s="295">
        <f t="shared" si="6"/>
        <v>0</v>
      </c>
      <c r="V14" s="295">
        <f t="shared" si="19"/>
        <v>0</v>
      </c>
      <c r="W14" s="199"/>
      <c r="X14" s="296">
        <f t="shared" si="20"/>
        <v>12249</v>
      </c>
      <c r="Y14" s="295" t="str">
        <f t="shared" si="7"/>
        <v>ok</v>
      </c>
      <c r="Z14" s="295">
        <f t="shared" si="8"/>
        <v>0</v>
      </c>
      <c r="AA14" s="295">
        <f t="shared" si="21"/>
        <v>0</v>
      </c>
      <c r="AB14" s="295">
        <f t="shared" si="22"/>
        <v>0</v>
      </c>
      <c r="AC14" s="295">
        <f t="shared" si="23"/>
        <v>0</v>
      </c>
      <c r="AD14" s="73">
        <f>ELEC!Q14</f>
        <v>0</v>
      </c>
      <c r="AE14" s="73" t="e">
        <f t="shared" si="25"/>
        <v>#DIV/0!</v>
      </c>
      <c r="AF14" s="413" t="e">
        <f t="shared" si="26"/>
        <v>#DIV/0!</v>
      </c>
      <c r="AG14" s="414" t="e">
        <f t="shared" si="27"/>
        <v>#DIV/0!</v>
      </c>
      <c r="AH14" s="414" t="e">
        <f t="shared" si="24"/>
        <v>#DIV/0!</v>
      </c>
      <c r="AI14" s="73">
        <f t="shared" si="28"/>
        <v>0</v>
      </c>
      <c r="AJ14" s="297">
        <f t="shared" si="9"/>
        <v>0.25738396624472576</v>
      </c>
      <c r="AK14" s="297">
        <f t="shared" si="30"/>
        <v>0</v>
      </c>
    </row>
    <row r="15" spans="1:37" ht="15.75" thickBot="1">
      <c r="A15" s="4">
        <f>ELEC!C15</f>
        <v>44025</v>
      </c>
      <c r="B15" s="576">
        <f t="shared" si="31"/>
        <v>8816</v>
      </c>
      <c r="C15" s="295">
        <f t="shared" si="11"/>
        <v>0</v>
      </c>
      <c r="D15" s="577">
        <f t="shared" si="12"/>
        <v>177318</v>
      </c>
      <c r="E15" s="295">
        <f t="shared" si="13"/>
        <v>0</v>
      </c>
      <c r="F15" s="295">
        <f t="shared" si="0"/>
        <v>0</v>
      </c>
      <c r="G15" s="199"/>
      <c r="H15" s="296">
        <f t="shared" si="14"/>
        <v>8770</v>
      </c>
      <c r="I15" s="295" t="str">
        <f t="shared" si="1"/>
        <v>oil change</v>
      </c>
      <c r="J15" s="276">
        <f t="shared" si="15"/>
        <v>10698</v>
      </c>
      <c r="K15" s="295">
        <f t="shared" si="2"/>
        <v>0</v>
      </c>
      <c r="L15" s="577">
        <f t="shared" si="16"/>
        <v>238500</v>
      </c>
      <c r="M15" s="295">
        <f t="shared" si="3"/>
        <v>0</v>
      </c>
      <c r="N15" s="295">
        <f t="shared" si="17"/>
        <v>0</v>
      </c>
      <c r="O15" s="199"/>
      <c r="P15" s="296">
        <f t="shared" si="18"/>
        <v>10873</v>
      </c>
      <c r="Q15" s="295" t="str">
        <f t="shared" si="4"/>
        <v>ok</v>
      </c>
      <c r="R15" s="276">
        <f t="shared" si="32"/>
        <v>11369</v>
      </c>
      <c r="S15" s="295">
        <f t="shared" si="5"/>
        <v>0</v>
      </c>
      <c r="T15" s="577">
        <f t="shared" si="29"/>
        <v>283947</v>
      </c>
      <c r="U15" s="295">
        <f t="shared" si="6"/>
        <v>0</v>
      </c>
      <c r="V15" s="295">
        <f t="shared" si="19"/>
        <v>0</v>
      </c>
      <c r="W15" s="199"/>
      <c r="X15" s="296">
        <f t="shared" si="20"/>
        <v>12249</v>
      </c>
      <c r="Y15" s="295" t="str">
        <f t="shared" si="7"/>
        <v>ok</v>
      </c>
      <c r="Z15" s="295">
        <f t="shared" si="8"/>
        <v>0</v>
      </c>
      <c r="AA15" s="295">
        <f t="shared" si="21"/>
        <v>0</v>
      </c>
      <c r="AB15" s="295">
        <f t="shared" si="22"/>
        <v>0</v>
      </c>
      <c r="AC15" s="295">
        <f t="shared" si="23"/>
        <v>0</v>
      </c>
      <c r="AD15" s="73">
        <f>ELEC!Q15</f>
        <v>0</v>
      </c>
      <c r="AE15" s="73" t="e">
        <f t="shared" si="25"/>
        <v>#DIV/0!</v>
      </c>
      <c r="AF15" s="413" t="e">
        <f t="shared" si="26"/>
        <v>#DIV/0!</v>
      </c>
      <c r="AG15" s="414" t="e">
        <f t="shared" si="27"/>
        <v>#DIV/0!</v>
      </c>
      <c r="AH15" s="414" t="e">
        <f t="shared" si="24"/>
        <v>#DIV/0!</v>
      </c>
      <c r="AI15" s="73">
        <f t="shared" si="28"/>
        <v>0</v>
      </c>
      <c r="AJ15" s="297">
        <f t="shared" si="9"/>
        <v>0.25738396624472576</v>
      </c>
      <c r="AK15" s="297">
        <f t="shared" si="30"/>
        <v>0</v>
      </c>
    </row>
    <row r="16" spans="1:37" ht="15.75" thickBot="1">
      <c r="A16" s="4">
        <f>ELEC!C16</f>
        <v>44026</v>
      </c>
      <c r="B16" s="576">
        <f t="shared" si="31"/>
        <v>8816</v>
      </c>
      <c r="C16" s="295">
        <f t="shared" si="11"/>
        <v>0</v>
      </c>
      <c r="D16" s="577">
        <f t="shared" si="12"/>
        <v>177318</v>
      </c>
      <c r="E16" s="295">
        <f t="shared" si="13"/>
        <v>0</v>
      </c>
      <c r="F16" s="295">
        <f t="shared" si="0"/>
        <v>0</v>
      </c>
      <c r="G16" s="199"/>
      <c r="H16" s="296">
        <f t="shared" si="14"/>
        <v>8770</v>
      </c>
      <c r="I16" s="295" t="str">
        <f t="shared" si="1"/>
        <v>oil change</v>
      </c>
      <c r="J16" s="276">
        <f t="shared" si="15"/>
        <v>10698</v>
      </c>
      <c r="K16" s="295">
        <f t="shared" si="2"/>
        <v>0</v>
      </c>
      <c r="L16" s="577">
        <f t="shared" si="16"/>
        <v>238500</v>
      </c>
      <c r="M16" s="295">
        <f t="shared" si="3"/>
        <v>0</v>
      </c>
      <c r="N16" s="295">
        <f t="shared" si="17"/>
        <v>0</v>
      </c>
      <c r="O16" s="199"/>
      <c r="P16" s="296">
        <f t="shared" si="18"/>
        <v>10873</v>
      </c>
      <c r="Q16" s="295" t="str">
        <f t="shared" si="4"/>
        <v>ok</v>
      </c>
      <c r="R16" s="276">
        <f t="shared" si="32"/>
        <v>11369</v>
      </c>
      <c r="S16" s="526">
        <f t="shared" si="5"/>
        <v>0</v>
      </c>
      <c r="T16" s="577">
        <f t="shared" si="29"/>
        <v>283947</v>
      </c>
      <c r="U16" s="295">
        <f t="shared" si="6"/>
        <v>0</v>
      </c>
      <c r="V16" s="295">
        <f t="shared" si="19"/>
        <v>0</v>
      </c>
      <c r="W16" s="199"/>
      <c r="X16" s="296">
        <f t="shared" si="20"/>
        <v>12249</v>
      </c>
      <c r="Y16" s="295" t="str">
        <f t="shared" si="7"/>
        <v>ok</v>
      </c>
      <c r="Z16" s="295">
        <f t="shared" si="8"/>
        <v>0</v>
      </c>
      <c r="AA16" s="295">
        <f t="shared" si="21"/>
        <v>0</v>
      </c>
      <c r="AB16" s="295">
        <f t="shared" si="22"/>
        <v>0</v>
      </c>
      <c r="AC16" s="295">
        <f t="shared" si="23"/>
        <v>0</v>
      </c>
      <c r="AD16" s="73">
        <f>ELEC!Q16</f>
        <v>0</v>
      </c>
      <c r="AE16" s="73" t="e">
        <f t="shared" si="25"/>
        <v>#DIV/0!</v>
      </c>
      <c r="AF16" s="413" t="e">
        <f t="shared" si="26"/>
        <v>#DIV/0!</v>
      </c>
      <c r="AG16" s="414" t="e">
        <f t="shared" si="27"/>
        <v>#DIV/0!</v>
      </c>
      <c r="AH16" s="414" t="e">
        <f t="shared" si="24"/>
        <v>#DIV/0!</v>
      </c>
      <c r="AI16" s="73">
        <f t="shared" si="28"/>
        <v>0</v>
      </c>
      <c r="AJ16" s="297">
        <f t="shared" si="9"/>
        <v>0.25738396624472576</v>
      </c>
      <c r="AK16" s="297">
        <f t="shared" si="30"/>
        <v>0</v>
      </c>
    </row>
    <row r="17" spans="1:37" ht="15.75" thickBot="1">
      <c r="A17" s="4">
        <f>ELEC!C17</f>
        <v>44027</v>
      </c>
      <c r="B17" s="576">
        <f t="shared" si="31"/>
        <v>8816</v>
      </c>
      <c r="C17" s="295">
        <f t="shared" si="11"/>
        <v>0</v>
      </c>
      <c r="D17" s="577">
        <f t="shared" si="12"/>
        <v>177318</v>
      </c>
      <c r="E17" s="295">
        <f t="shared" si="13"/>
        <v>0</v>
      </c>
      <c r="F17" s="295">
        <f t="shared" si="0"/>
        <v>0</v>
      </c>
      <c r="G17" s="199"/>
      <c r="H17" s="296">
        <f t="shared" si="14"/>
        <v>8770</v>
      </c>
      <c r="I17" s="295" t="str">
        <f t="shared" si="1"/>
        <v>oil change</v>
      </c>
      <c r="J17" s="276">
        <f t="shared" si="15"/>
        <v>10698</v>
      </c>
      <c r="K17" s="295">
        <f t="shared" si="2"/>
        <v>0</v>
      </c>
      <c r="L17" s="577">
        <f t="shared" si="16"/>
        <v>238500</v>
      </c>
      <c r="M17" s="295">
        <f t="shared" si="3"/>
        <v>0</v>
      </c>
      <c r="N17" s="295">
        <f t="shared" si="17"/>
        <v>0</v>
      </c>
      <c r="O17" s="199"/>
      <c r="P17" s="296">
        <f t="shared" si="18"/>
        <v>10873</v>
      </c>
      <c r="Q17" s="295" t="str">
        <f t="shared" si="4"/>
        <v>ok</v>
      </c>
      <c r="R17" s="276">
        <f t="shared" si="32"/>
        <v>11369</v>
      </c>
      <c r="S17" s="527">
        <f t="shared" si="5"/>
        <v>0</v>
      </c>
      <c r="T17" s="577">
        <f t="shared" si="29"/>
        <v>283947</v>
      </c>
      <c r="U17" s="295">
        <f t="shared" si="6"/>
        <v>0</v>
      </c>
      <c r="V17" s="295">
        <f t="shared" si="19"/>
        <v>0</v>
      </c>
      <c r="W17" s="199"/>
      <c r="X17" s="296">
        <f t="shared" si="20"/>
        <v>12249</v>
      </c>
      <c r="Y17" s="295" t="str">
        <f t="shared" si="7"/>
        <v>ok</v>
      </c>
      <c r="Z17" s="295">
        <f t="shared" si="8"/>
        <v>0</v>
      </c>
      <c r="AA17" s="295">
        <f t="shared" si="21"/>
        <v>0</v>
      </c>
      <c r="AB17" s="295">
        <f t="shared" si="22"/>
        <v>0</v>
      </c>
      <c r="AC17" s="295">
        <f t="shared" si="23"/>
        <v>0</v>
      </c>
      <c r="AD17" s="73">
        <f>ELEC!Q17</f>
        <v>0</v>
      </c>
      <c r="AE17" s="73" t="e">
        <f t="shared" si="25"/>
        <v>#DIV/0!</v>
      </c>
      <c r="AF17" s="413" t="e">
        <f t="shared" si="26"/>
        <v>#DIV/0!</v>
      </c>
      <c r="AG17" s="414" t="e">
        <f t="shared" si="27"/>
        <v>#DIV/0!</v>
      </c>
      <c r="AH17" s="414" t="e">
        <f t="shared" si="24"/>
        <v>#DIV/0!</v>
      </c>
      <c r="AI17" s="73">
        <f t="shared" si="28"/>
        <v>0</v>
      </c>
      <c r="AJ17" s="297">
        <f t="shared" si="9"/>
        <v>0.25738396624472576</v>
      </c>
      <c r="AK17" s="297">
        <f t="shared" ref="AK17:AK32" si="33">IF(Z17&gt;0,AI17/Z17,0)</f>
        <v>0</v>
      </c>
    </row>
    <row r="18" spans="1:37" ht="15.75" thickBot="1">
      <c r="A18" s="4">
        <f>ELEC!C18</f>
        <v>44028</v>
      </c>
      <c r="B18" s="576">
        <f t="shared" si="31"/>
        <v>8816</v>
      </c>
      <c r="C18" s="295">
        <f t="shared" si="11"/>
        <v>0</v>
      </c>
      <c r="D18" s="577">
        <f t="shared" si="12"/>
        <v>177318</v>
      </c>
      <c r="E18" s="295">
        <f t="shared" si="13"/>
        <v>0</v>
      </c>
      <c r="F18" s="295">
        <f t="shared" si="0"/>
        <v>0</v>
      </c>
      <c r="G18" s="199"/>
      <c r="H18" s="296">
        <f t="shared" si="14"/>
        <v>8770</v>
      </c>
      <c r="I18" s="295" t="str">
        <f t="shared" si="1"/>
        <v>oil change</v>
      </c>
      <c r="J18" s="276">
        <f t="shared" si="15"/>
        <v>10698</v>
      </c>
      <c r="K18" s="295">
        <f t="shared" si="2"/>
        <v>0</v>
      </c>
      <c r="L18" s="577">
        <f t="shared" si="16"/>
        <v>238500</v>
      </c>
      <c r="M18" s="295">
        <f t="shared" si="3"/>
        <v>0</v>
      </c>
      <c r="N18" s="295">
        <f t="shared" si="17"/>
        <v>0</v>
      </c>
      <c r="O18" s="199"/>
      <c r="P18" s="296">
        <f t="shared" si="18"/>
        <v>10873</v>
      </c>
      <c r="Q18" s="295" t="str">
        <f>IF(J18-P14&lt;=0,"ok","oil change")</f>
        <v>ok</v>
      </c>
      <c r="R18" s="276">
        <f t="shared" si="32"/>
        <v>11369</v>
      </c>
      <c r="S18" s="295">
        <f t="shared" si="5"/>
        <v>0</v>
      </c>
      <c r="T18" s="577">
        <f t="shared" si="29"/>
        <v>283947</v>
      </c>
      <c r="U18" s="295">
        <f t="shared" si="6"/>
        <v>0</v>
      </c>
      <c r="V18" s="295">
        <f t="shared" si="19"/>
        <v>0</v>
      </c>
      <c r="W18" s="346"/>
      <c r="X18" s="296">
        <f t="shared" si="20"/>
        <v>12249</v>
      </c>
      <c r="Y18" s="295" t="str">
        <f t="shared" si="7"/>
        <v>ok</v>
      </c>
      <c r="Z18" s="295">
        <f t="shared" si="8"/>
        <v>0</v>
      </c>
      <c r="AA18" s="295">
        <f t="shared" si="21"/>
        <v>0</v>
      </c>
      <c r="AB18" s="295">
        <f t="shared" si="22"/>
        <v>0</v>
      </c>
      <c r="AC18" s="295">
        <f t="shared" si="23"/>
        <v>0</v>
      </c>
      <c r="AD18" s="73">
        <f>ELEC!Q18</f>
        <v>0</v>
      </c>
      <c r="AE18" s="73" t="e">
        <f t="shared" si="25"/>
        <v>#DIV/0!</v>
      </c>
      <c r="AF18" s="413" t="e">
        <f t="shared" si="26"/>
        <v>#DIV/0!</v>
      </c>
      <c r="AG18" s="414" t="e">
        <f t="shared" si="27"/>
        <v>#DIV/0!</v>
      </c>
      <c r="AH18" s="414" t="e">
        <f t="shared" si="24"/>
        <v>#DIV/0!</v>
      </c>
      <c r="AI18" s="73">
        <f t="shared" si="28"/>
        <v>0</v>
      </c>
      <c r="AJ18" s="297">
        <f t="shared" si="9"/>
        <v>0.25738396624472576</v>
      </c>
      <c r="AK18" s="297">
        <f t="shared" si="33"/>
        <v>0</v>
      </c>
    </row>
    <row r="19" spans="1:37" ht="15.75" thickBot="1">
      <c r="A19" s="4">
        <f>ELEC!C19</f>
        <v>44029</v>
      </c>
      <c r="B19" s="576">
        <f t="shared" si="31"/>
        <v>8816</v>
      </c>
      <c r="C19" s="295">
        <f t="shared" si="11"/>
        <v>0</v>
      </c>
      <c r="D19" s="577">
        <f t="shared" si="12"/>
        <v>177318</v>
      </c>
      <c r="E19" s="295">
        <f t="shared" si="13"/>
        <v>0</v>
      </c>
      <c r="F19" s="295">
        <f t="shared" si="0"/>
        <v>0</v>
      </c>
      <c r="G19" s="199"/>
      <c r="H19" s="296">
        <f t="shared" si="14"/>
        <v>8770</v>
      </c>
      <c r="I19" s="295" t="str">
        <f t="shared" si="1"/>
        <v>oil change</v>
      </c>
      <c r="J19" s="276">
        <f t="shared" si="15"/>
        <v>10698</v>
      </c>
      <c r="K19" s="295">
        <f t="shared" si="2"/>
        <v>0</v>
      </c>
      <c r="L19" s="577">
        <f t="shared" si="16"/>
        <v>238500</v>
      </c>
      <c r="M19" s="295">
        <f t="shared" si="3"/>
        <v>0</v>
      </c>
      <c r="N19" s="295">
        <f t="shared" si="17"/>
        <v>0</v>
      </c>
      <c r="O19" s="199"/>
      <c r="P19" s="296">
        <f t="shared" si="18"/>
        <v>10873</v>
      </c>
      <c r="Q19" s="295" t="str">
        <f t="shared" ref="Q19:Q32" si="34">IF(J19-P19&lt;=0,"ok","oil change")</f>
        <v>ok</v>
      </c>
      <c r="R19" s="276">
        <f t="shared" si="32"/>
        <v>11369</v>
      </c>
      <c r="S19" s="295">
        <f t="shared" si="5"/>
        <v>0</v>
      </c>
      <c r="T19" s="577">
        <f t="shared" si="29"/>
        <v>283947</v>
      </c>
      <c r="U19" s="295">
        <f t="shared" si="6"/>
        <v>0</v>
      </c>
      <c r="V19" s="295">
        <f t="shared" si="19"/>
        <v>0</v>
      </c>
      <c r="W19" s="199"/>
      <c r="X19" s="296">
        <f t="shared" si="20"/>
        <v>12249</v>
      </c>
      <c r="Y19" s="295" t="str">
        <f t="shared" si="7"/>
        <v>ok</v>
      </c>
      <c r="Z19" s="295">
        <f t="shared" si="8"/>
        <v>0</v>
      </c>
      <c r="AA19" s="295">
        <f t="shared" si="21"/>
        <v>0</v>
      </c>
      <c r="AB19" s="295">
        <f t="shared" si="22"/>
        <v>0</v>
      </c>
      <c r="AC19" s="295">
        <f t="shared" si="23"/>
        <v>0</v>
      </c>
      <c r="AD19" s="73">
        <f>ELEC!Q19</f>
        <v>0</v>
      </c>
      <c r="AE19" s="73" t="e">
        <f t="shared" si="25"/>
        <v>#DIV/0!</v>
      </c>
      <c r="AF19" s="413" t="e">
        <f t="shared" si="26"/>
        <v>#DIV/0!</v>
      </c>
      <c r="AG19" s="414" t="e">
        <f t="shared" si="27"/>
        <v>#DIV/0!</v>
      </c>
      <c r="AH19" s="414" t="e">
        <f t="shared" si="24"/>
        <v>#DIV/0!</v>
      </c>
      <c r="AI19" s="73">
        <f t="shared" si="28"/>
        <v>0</v>
      </c>
      <c r="AJ19" s="297">
        <f t="shared" si="9"/>
        <v>0.25738396624472576</v>
      </c>
      <c r="AK19" s="297">
        <f t="shared" si="33"/>
        <v>0</v>
      </c>
    </row>
    <row r="20" spans="1:37" ht="15.75" thickBot="1">
      <c r="A20" s="4">
        <f>ELEC!C20</f>
        <v>44030</v>
      </c>
      <c r="B20" s="576">
        <f t="shared" si="31"/>
        <v>8816</v>
      </c>
      <c r="C20" s="295">
        <f>B20-B19</f>
        <v>0</v>
      </c>
      <c r="D20" s="577">
        <f t="shared" si="12"/>
        <v>177318</v>
      </c>
      <c r="E20" s="295">
        <f t="shared" si="13"/>
        <v>0</v>
      </c>
      <c r="F20" s="295">
        <f t="shared" si="0"/>
        <v>0</v>
      </c>
      <c r="G20" s="199"/>
      <c r="H20" s="296">
        <f t="shared" si="14"/>
        <v>8770</v>
      </c>
      <c r="I20" s="295" t="str">
        <f t="shared" si="1"/>
        <v>oil change</v>
      </c>
      <c r="J20" s="276">
        <f t="shared" si="15"/>
        <v>10698</v>
      </c>
      <c r="K20" s="295">
        <f t="shared" si="2"/>
        <v>0</v>
      </c>
      <c r="L20" s="577">
        <f t="shared" si="16"/>
        <v>238500</v>
      </c>
      <c r="M20" s="295">
        <f t="shared" si="3"/>
        <v>0</v>
      </c>
      <c r="N20" s="295">
        <f t="shared" si="17"/>
        <v>0</v>
      </c>
      <c r="O20" s="199"/>
      <c r="P20" s="296">
        <f t="shared" si="18"/>
        <v>10873</v>
      </c>
      <c r="Q20" s="295" t="str">
        <f t="shared" si="34"/>
        <v>ok</v>
      </c>
      <c r="R20" s="276">
        <f t="shared" si="32"/>
        <v>11369</v>
      </c>
      <c r="S20" s="295">
        <f t="shared" si="5"/>
        <v>0</v>
      </c>
      <c r="T20" s="577">
        <f t="shared" si="29"/>
        <v>283947</v>
      </c>
      <c r="U20" s="295">
        <f t="shared" ref="U20:U32" si="35">SUM(T20-T19)</f>
        <v>0</v>
      </c>
      <c r="V20" s="295">
        <f t="shared" si="19"/>
        <v>0</v>
      </c>
      <c r="W20" s="199"/>
      <c r="X20" s="296">
        <f t="shared" si="20"/>
        <v>12249</v>
      </c>
      <c r="Y20" s="295" t="str">
        <f t="shared" si="7"/>
        <v>ok</v>
      </c>
      <c r="Z20" s="295">
        <f t="shared" si="8"/>
        <v>0</v>
      </c>
      <c r="AA20" s="295">
        <f t="shared" si="21"/>
        <v>0</v>
      </c>
      <c r="AB20" s="295">
        <f t="shared" si="22"/>
        <v>0</v>
      </c>
      <c r="AC20" s="295">
        <f t="shared" si="23"/>
        <v>0</v>
      </c>
      <c r="AD20" s="73">
        <f>ELEC!Q20</f>
        <v>0</v>
      </c>
      <c r="AE20" s="73" t="e">
        <f t="shared" si="25"/>
        <v>#DIV/0!</v>
      </c>
      <c r="AF20" s="413" t="e">
        <f t="shared" si="26"/>
        <v>#DIV/0!</v>
      </c>
      <c r="AG20" s="414" t="e">
        <f t="shared" si="27"/>
        <v>#DIV/0!</v>
      </c>
      <c r="AH20" s="414" t="e">
        <f t="shared" si="24"/>
        <v>#DIV/0!</v>
      </c>
      <c r="AI20" s="73">
        <f>AD20*AJ20</f>
        <v>0</v>
      </c>
      <c r="AJ20" s="297">
        <f t="shared" si="9"/>
        <v>0.25738396624472576</v>
      </c>
      <c r="AK20" s="297">
        <f t="shared" si="33"/>
        <v>0</v>
      </c>
    </row>
    <row r="21" spans="1:37" ht="15.75" thickBot="1">
      <c r="A21" s="4">
        <f>ELEC!C21</f>
        <v>44031</v>
      </c>
      <c r="B21" s="576">
        <f t="shared" si="31"/>
        <v>8816</v>
      </c>
      <c r="C21" s="295">
        <f t="shared" si="11"/>
        <v>0</v>
      </c>
      <c r="D21" s="577">
        <f t="shared" si="12"/>
        <v>177318</v>
      </c>
      <c r="E21" s="295">
        <f t="shared" si="13"/>
        <v>0</v>
      </c>
      <c r="F21" s="295">
        <f t="shared" si="0"/>
        <v>0</v>
      </c>
      <c r="G21" s="199"/>
      <c r="H21" s="296">
        <f t="shared" si="14"/>
        <v>8770</v>
      </c>
      <c r="I21" s="295" t="str">
        <f t="shared" si="1"/>
        <v>oil change</v>
      </c>
      <c r="J21" s="276">
        <f t="shared" si="15"/>
        <v>10698</v>
      </c>
      <c r="K21" s="295">
        <f t="shared" si="2"/>
        <v>0</v>
      </c>
      <c r="L21" s="577">
        <f t="shared" si="16"/>
        <v>238500</v>
      </c>
      <c r="M21" s="295">
        <f t="shared" si="3"/>
        <v>0</v>
      </c>
      <c r="N21" s="295">
        <f t="shared" si="17"/>
        <v>0</v>
      </c>
      <c r="O21" s="199"/>
      <c r="P21" s="296">
        <f t="shared" si="18"/>
        <v>10873</v>
      </c>
      <c r="Q21" s="295" t="str">
        <f t="shared" si="34"/>
        <v>ok</v>
      </c>
      <c r="R21" s="276">
        <f t="shared" si="32"/>
        <v>11369</v>
      </c>
      <c r="S21" s="295">
        <f t="shared" si="5"/>
        <v>0</v>
      </c>
      <c r="T21" s="577">
        <f t="shared" si="29"/>
        <v>283947</v>
      </c>
      <c r="U21" s="295">
        <f t="shared" si="35"/>
        <v>0</v>
      </c>
      <c r="V21" s="295">
        <f t="shared" si="19"/>
        <v>0</v>
      </c>
      <c r="W21" s="199"/>
      <c r="X21" s="296">
        <f t="shared" si="20"/>
        <v>12249</v>
      </c>
      <c r="Y21" s="295" t="str">
        <f>Y20</f>
        <v>ok</v>
      </c>
      <c r="Z21" s="295">
        <f t="shared" si="8"/>
        <v>0</v>
      </c>
      <c r="AA21" s="295">
        <f t="shared" si="21"/>
        <v>0</v>
      </c>
      <c r="AB21" s="295">
        <f t="shared" si="22"/>
        <v>0</v>
      </c>
      <c r="AC21" s="295">
        <f t="shared" si="23"/>
        <v>0</v>
      </c>
      <c r="AD21" s="73">
        <f>ELEC!Q21</f>
        <v>0</v>
      </c>
      <c r="AE21" s="73" t="e">
        <f t="shared" si="25"/>
        <v>#DIV/0!</v>
      </c>
      <c r="AF21" s="413" t="e">
        <f t="shared" si="26"/>
        <v>#DIV/0!</v>
      </c>
      <c r="AG21" s="414" t="e">
        <f t="shared" si="27"/>
        <v>#DIV/0!</v>
      </c>
      <c r="AH21" s="414" t="e">
        <f t="shared" si="24"/>
        <v>#DIV/0!</v>
      </c>
      <c r="AI21" s="73">
        <f t="shared" si="28"/>
        <v>0</v>
      </c>
      <c r="AJ21" s="297">
        <f t="shared" si="9"/>
        <v>0.25738396624472576</v>
      </c>
      <c r="AK21" s="297">
        <f t="shared" si="33"/>
        <v>0</v>
      </c>
    </row>
    <row r="22" spans="1:37" ht="15.75" thickBot="1">
      <c r="A22" s="4">
        <f>ELEC!C22</f>
        <v>44032</v>
      </c>
      <c r="B22" s="576">
        <f t="shared" si="31"/>
        <v>8816</v>
      </c>
      <c r="C22" s="295">
        <f t="shared" si="11"/>
        <v>0</v>
      </c>
      <c r="D22" s="577">
        <f t="shared" si="12"/>
        <v>177318</v>
      </c>
      <c r="E22" s="295">
        <f t="shared" si="13"/>
        <v>0</v>
      </c>
      <c r="F22" s="295">
        <f t="shared" si="0"/>
        <v>0</v>
      </c>
      <c r="G22" s="199"/>
      <c r="H22" s="296">
        <f t="shared" si="14"/>
        <v>8770</v>
      </c>
      <c r="I22" s="295" t="str">
        <f t="shared" si="1"/>
        <v>oil change</v>
      </c>
      <c r="J22" s="276">
        <f t="shared" si="15"/>
        <v>10698</v>
      </c>
      <c r="K22" s="295">
        <f t="shared" si="2"/>
        <v>0</v>
      </c>
      <c r="L22" s="577">
        <f t="shared" si="16"/>
        <v>238500</v>
      </c>
      <c r="M22" s="295">
        <f t="shared" si="3"/>
        <v>0</v>
      </c>
      <c r="N22" s="295">
        <f t="shared" si="17"/>
        <v>0</v>
      </c>
      <c r="O22" s="199"/>
      <c r="P22" s="296">
        <f t="shared" si="18"/>
        <v>10873</v>
      </c>
      <c r="Q22" s="295" t="str">
        <f t="shared" si="34"/>
        <v>ok</v>
      </c>
      <c r="R22" s="276">
        <f t="shared" si="32"/>
        <v>11369</v>
      </c>
      <c r="S22" s="295">
        <f t="shared" si="5"/>
        <v>0</v>
      </c>
      <c r="T22" s="577">
        <f t="shared" si="29"/>
        <v>283947</v>
      </c>
      <c r="U22" s="295">
        <f t="shared" si="35"/>
        <v>0</v>
      </c>
      <c r="V22" s="295">
        <f t="shared" si="19"/>
        <v>0</v>
      </c>
      <c r="W22" s="199"/>
      <c r="X22" s="296">
        <f t="shared" si="20"/>
        <v>12249</v>
      </c>
      <c r="Y22" s="295" t="str">
        <f t="shared" ref="Y22:Y32" si="36">IF(R22-X22&lt;=0,"ok","oil change")</f>
        <v>ok</v>
      </c>
      <c r="Z22" s="295">
        <f t="shared" si="8"/>
        <v>0</v>
      </c>
      <c r="AA22" s="295">
        <f t="shared" si="21"/>
        <v>0</v>
      </c>
      <c r="AB22" s="295">
        <f t="shared" si="22"/>
        <v>0</v>
      </c>
      <c r="AC22" s="295">
        <f t="shared" si="23"/>
        <v>0</v>
      </c>
      <c r="AD22" s="73">
        <f>ELEC!Q22</f>
        <v>0</v>
      </c>
      <c r="AE22" s="73" t="e">
        <f t="shared" si="25"/>
        <v>#DIV/0!</v>
      </c>
      <c r="AF22" s="413" t="e">
        <f t="shared" si="26"/>
        <v>#DIV/0!</v>
      </c>
      <c r="AG22" s="414" t="e">
        <f t="shared" si="27"/>
        <v>#DIV/0!</v>
      </c>
      <c r="AH22" s="414" t="e">
        <f t="shared" si="24"/>
        <v>#DIV/0!</v>
      </c>
      <c r="AI22" s="73">
        <f t="shared" si="28"/>
        <v>0</v>
      </c>
      <c r="AJ22" s="297">
        <f t="shared" si="9"/>
        <v>0.25738396624472576</v>
      </c>
      <c r="AK22" s="297">
        <f t="shared" si="33"/>
        <v>0</v>
      </c>
    </row>
    <row r="23" spans="1:37" ht="15.75" thickBot="1">
      <c r="A23" s="4">
        <f>ELEC!C23</f>
        <v>44033</v>
      </c>
      <c r="B23" s="576">
        <f t="shared" si="31"/>
        <v>8816</v>
      </c>
      <c r="C23" s="295">
        <f t="shared" si="11"/>
        <v>0</v>
      </c>
      <c r="D23" s="577">
        <f t="shared" si="12"/>
        <v>177318</v>
      </c>
      <c r="E23" s="295">
        <f t="shared" si="13"/>
        <v>0</v>
      </c>
      <c r="F23" s="295">
        <f t="shared" si="0"/>
        <v>0</v>
      </c>
      <c r="G23" s="199"/>
      <c r="H23" s="296">
        <f t="shared" si="14"/>
        <v>8770</v>
      </c>
      <c r="I23" s="295" t="str">
        <f t="shared" si="1"/>
        <v>oil change</v>
      </c>
      <c r="J23" s="276">
        <f t="shared" si="15"/>
        <v>10698</v>
      </c>
      <c r="K23" s="295">
        <f t="shared" si="2"/>
        <v>0</v>
      </c>
      <c r="L23" s="577">
        <f t="shared" si="16"/>
        <v>238500</v>
      </c>
      <c r="M23" s="295">
        <f t="shared" si="3"/>
        <v>0</v>
      </c>
      <c r="N23" s="295">
        <f t="shared" si="17"/>
        <v>0</v>
      </c>
      <c r="O23" s="199"/>
      <c r="P23" s="296">
        <f t="shared" si="18"/>
        <v>10873</v>
      </c>
      <c r="Q23" s="295" t="str">
        <f t="shared" si="34"/>
        <v>ok</v>
      </c>
      <c r="R23" s="276">
        <f t="shared" si="32"/>
        <v>11369</v>
      </c>
      <c r="S23" s="295">
        <f t="shared" si="5"/>
        <v>0</v>
      </c>
      <c r="T23" s="577">
        <f t="shared" si="29"/>
        <v>283947</v>
      </c>
      <c r="U23" s="295">
        <f t="shared" si="35"/>
        <v>0</v>
      </c>
      <c r="V23" s="295">
        <f t="shared" si="19"/>
        <v>0</v>
      </c>
      <c r="W23" s="199"/>
      <c r="X23" s="296">
        <f t="shared" si="20"/>
        <v>12249</v>
      </c>
      <c r="Y23" s="295" t="str">
        <f t="shared" si="36"/>
        <v>ok</v>
      </c>
      <c r="Z23" s="295">
        <f t="shared" si="8"/>
        <v>0</v>
      </c>
      <c r="AA23" s="295">
        <f t="shared" si="21"/>
        <v>0</v>
      </c>
      <c r="AB23" s="295">
        <f t="shared" si="22"/>
        <v>0</v>
      </c>
      <c r="AC23" s="295">
        <f t="shared" si="23"/>
        <v>0</v>
      </c>
      <c r="AD23" s="73">
        <f>ELEC!Q23</f>
        <v>0</v>
      </c>
      <c r="AE23" s="73" t="e">
        <f t="shared" si="25"/>
        <v>#DIV/0!</v>
      </c>
      <c r="AF23" s="413" t="e">
        <f t="shared" si="26"/>
        <v>#DIV/0!</v>
      </c>
      <c r="AG23" s="414" t="e">
        <f t="shared" si="27"/>
        <v>#DIV/0!</v>
      </c>
      <c r="AH23" s="414" t="e">
        <f t="shared" si="24"/>
        <v>#DIV/0!</v>
      </c>
      <c r="AI23" s="73">
        <f t="shared" si="28"/>
        <v>0</v>
      </c>
      <c r="AJ23" s="297">
        <f t="shared" si="9"/>
        <v>0.25738396624472576</v>
      </c>
      <c r="AK23" s="297">
        <f t="shared" si="33"/>
        <v>0</v>
      </c>
    </row>
    <row r="24" spans="1:37" ht="15.75" thickBot="1">
      <c r="A24" s="4">
        <f>ELEC!C24</f>
        <v>44034</v>
      </c>
      <c r="B24" s="576">
        <f t="shared" si="31"/>
        <v>8816</v>
      </c>
      <c r="C24" s="295">
        <f t="shared" si="11"/>
        <v>0</v>
      </c>
      <c r="D24" s="577">
        <f t="shared" si="12"/>
        <v>177318</v>
      </c>
      <c r="E24" s="295">
        <f t="shared" si="13"/>
        <v>0</v>
      </c>
      <c r="F24" s="295">
        <f t="shared" si="0"/>
        <v>0</v>
      </c>
      <c r="G24" s="199"/>
      <c r="H24" s="296">
        <f t="shared" si="14"/>
        <v>8770</v>
      </c>
      <c r="I24" s="295" t="str">
        <f t="shared" si="1"/>
        <v>oil change</v>
      </c>
      <c r="J24" s="276">
        <f t="shared" si="15"/>
        <v>10698</v>
      </c>
      <c r="K24" s="295">
        <f t="shared" si="2"/>
        <v>0</v>
      </c>
      <c r="L24" s="577">
        <f t="shared" si="16"/>
        <v>238500</v>
      </c>
      <c r="M24" s="295">
        <f t="shared" si="3"/>
        <v>0</v>
      </c>
      <c r="N24" s="295">
        <f t="shared" si="17"/>
        <v>0</v>
      </c>
      <c r="O24" s="199"/>
      <c r="P24" s="296">
        <f>P23</f>
        <v>10873</v>
      </c>
      <c r="Q24" s="295" t="str">
        <f t="shared" si="34"/>
        <v>ok</v>
      </c>
      <c r="R24" s="276">
        <f t="shared" si="32"/>
        <v>11369</v>
      </c>
      <c r="S24" s="295">
        <f t="shared" si="5"/>
        <v>0</v>
      </c>
      <c r="T24" s="577">
        <f t="shared" si="29"/>
        <v>283947</v>
      </c>
      <c r="U24" s="295">
        <f t="shared" si="35"/>
        <v>0</v>
      </c>
      <c r="V24" s="295">
        <f t="shared" si="19"/>
        <v>0</v>
      </c>
      <c r="W24" s="199"/>
      <c r="X24" s="296">
        <f t="shared" si="20"/>
        <v>12249</v>
      </c>
      <c r="Y24" s="295" t="str">
        <f t="shared" si="36"/>
        <v>ok</v>
      </c>
      <c r="Z24" s="295">
        <f t="shared" si="8"/>
        <v>0</v>
      </c>
      <c r="AA24" s="295">
        <f t="shared" si="21"/>
        <v>0</v>
      </c>
      <c r="AB24" s="295">
        <f t="shared" si="22"/>
        <v>0</v>
      </c>
      <c r="AC24" s="295">
        <f t="shared" si="23"/>
        <v>0</v>
      </c>
      <c r="AD24" s="73">
        <f>ELEC!Q24</f>
        <v>0</v>
      </c>
      <c r="AE24" s="73" t="e">
        <f t="shared" si="25"/>
        <v>#DIV/0!</v>
      </c>
      <c r="AF24" s="413" t="e">
        <f t="shared" si="26"/>
        <v>#DIV/0!</v>
      </c>
      <c r="AG24" s="414" t="e">
        <f t="shared" si="27"/>
        <v>#DIV/0!</v>
      </c>
      <c r="AH24" s="414" t="e">
        <f t="shared" si="24"/>
        <v>#DIV/0!</v>
      </c>
      <c r="AI24" s="73">
        <f t="shared" si="28"/>
        <v>0</v>
      </c>
      <c r="AJ24" s="297">
        <f t="shared" si="9"/>
        <v>0.25738396624472576</v>
      </c>
      <c r="AK24" s="297">
        <f t="shared" si="33"/>
        <v>0</v>
      </c>
    </row>
    <row r="25" spans="1:37" ht="15.75" thickBot="1">
      <c r="A25" s="4">
        <f>ELEC!C25</f>
        <v>44035</v>
      </c>
      <c r="B25" s="576">
        <f t="shared" si="31"/>
        <v>8816</v>
      </c>
      <c r="C25" s="295">
        <f t="shared" si="11"/>
        <v>0</v>
      </c>
      <c r="D25" s="577">
        <f t="shared" si="12"/>
        <v>177318</v>
      </c>
      <c r="E25" s="295">
        <f t="shared" si="13"/>
        <v>0</v>
      </c>
      <c r="F25" s="295">
        <f t="shared" si="0"/>
        <v>0</v>
      </c>
      <c r="G25" s="199"/>
      <c r="H25" s="296">
        <v>8770</v>
      </c>
      <c r="I25" s="295" t="str">
        <f t="shared" si="1"/>
        <v>oil change</v>
      </c>
      <c r="J25" s="276">
        <f t="shared" si="15"/>
        <v>10698</v>
      </c>
      <c r="K25" s="295">
        <f t="shared" si="2"/>
        <v>0</v>
      </c>
      <c r="L25" s="577">
        <f t="shared" si="16"/>
        <v>238500</v>
      </c>
      <c r="M25" s="295">
        <f t="shared" si="3"/>
        <v>0</v>
      </c>
      <c r="N25" s="295">
        <f t="shared" si="17"/>
        <v>0</v>
      </c>
      <c r="O25" s="199"/>
      <c r="P25" s="296">
        <f t="shared" si="18"/>
        <v>10873</v>
      </c>
      <c r="Q25" s="295" t="str">
        <f t="shared" si="34"/>
        <v>ok</v>
      </c>
      <c r="R25" s="276">
        <f t="shared" si="32"/>
        <v>11369</v>
      </c>
      <c r="S25" s="295">
        <f t="shared" si="5"/>
        <v>0</v>
      </c>
      <c r="T25" s="577">
        <f t="shared" si="29"/>
        <v>283947</v>
      </c>
      <c r="U25" s="295">
        <f t="shared" si="35"/>
        <v>0</v>
      </c>
      <c r="V25" s="295">
        <f t="shared" si="19"/>
        <v>0</v>
      </c>
      <c r="W25" s="199"/>
      <c r="X25" s="296">
        <f t="shared" si="20"/>
        <v>12249</v>
      </c>
      <c r="Y25" s="295" t="str">
        <f t="shared" si="36"/>
        <v>ok</v>
      </c>
      <c r="Z25" s="295">
        <f t="shared" si="8"/>
        <v>0</v>
      </c>
      <c r="AA25" s="295">
        <f t="shared" si="21"/>
        <v>0</v>
      </c>
      <c r="AB25" s="295">
        <f t="shared" si="22"/>
        <v>0</v>
      </c>
      <c r="AC25" s="295">
        <f t="shared" si="23"/>
        <v>0</v>
      </c>
      <c r="AD25" s="73">
        <f>ELEC!Q25</f>
        <v>0</v>
      </c>
      <c r="AE25" s="73" t="e">
        <f t="shared" si="25"/>
        <v>#DIV/0!</v>
      </c>
      <c r="AF25" s="413" t="e">
        <f t="shared" si="26"/>
        <v>#DIV/0!</v>
      </c>
      <c r="AG25" s="414" t="e">
        <f t="shared" si="27"/>
        <v>#DIV/0!</v>
      </c>
      <c r="AH25" s="414" t="e">
        <f t="shared" si="24"/>
        <v>#DIV/0!</v>
      </c>
      <c r="AI25" s="73">
        <f t="shared" si="28"/>
        <v>0</v>
      </c>
      <c r="AJ25" s="297">
        <f t="shared" si="9"/>
        <v>0.25738396624472576</v>
      </c>
      <c r="AK25" s="297">
        <f t="shared" si="33"/>
        <v>0</v>
      </c>
    </row>
    <row r="26" spans="1:37" ht="15.75" thickBot="1">
      <c r="A26" s="4">
        <f>ELEC!C26</f>
        <v>44036</v>
      </c>
      <c r="B26" s="576">
        <f t="shared" si="31"/>
        <v>8816</v>
      </c>
      <c r="C26" s="295">
        <f t="shared" si="11"/>
        <v>0</v>
      </c>
      <c r="D26" s="577">
        <f t="shared" si="12"/>
        <v>177318</v>
      </c>
      <c r="E26" s="295">
        <f t="shared" si="13"/>
        <v>0</v>
      </c>
      <c r="F26" s="295">
        <f t="shared" si="0"/>
        <v>0</v>
      </c>
      <c r="G26" s="199"/>
      <c r="H26" s="296">
        <f t="shared" si="14"/>
        <v>8770</v>
      </c>
      <c r="I26" s="295" t="str">
        <f t="shared" si="1"/>
        <v>oil change</v>
      </c>
      <c r="J26" s="276">
        <f t="shared" si="15"/>
        <v>10698</v>
      </c>
      <c r="K26" s="295">
        <f t="shared" si="2"/>
        <v>0</v>
      </c>
      <c r="L26" s="577">
        <f t="shared" si="16"/>
        <v>238500</v>
      </c>
      <c r="M26" s="295">
        <f t="shared" si="3"/>
        <v>0</v>
      </c>
      <c r="N26" s="295">
        <f t="shared" si="17"/>
        <v>0</v>
      </c>
      <c r="O26" s="199"/>
      <c r="P26" s="296">
        <f t="shared" si="18"/>
        <v>10873</v>
      </c>
      <c r="Q26" s="295" t="str">
        <f t="shared" si="34"/>
        <v>ok</v>
      </c>
      <c r="R26" s="276">
        <f t="shared" si="32"/>
        <v>11369</v>
      </c>
      <c r="S26" s="295">
        <f t="shared" si="5"/>
        <v>0</v>
      </c>
      <c r="T26" s="577">
        <f t="shared" si="29"/>
        <v>283947</v>
      </c>
      <c r="U26" s="295">
        <f t="shared" si="35"/>
        <v>0</v>
      </c>
      <c r="V26" s="295">
        <f t="shared" si="19"/>
        <v>0</v>
      </c>
      <c r="W26" s="199"/>
      <c r="X26" s="296">
        <f t="shared" si="20"/>
        <v>12249</v>
      </c>
      <c r="Y26" s="295" t="str">
        <f t="shared" si="36"/>
        <v>ok</v>
      </c>
      <c r="Z26" s="295">
        <f t="shared" si="8"/>
        <v>0</v>
      </c>
      <c r="AA26" s="295">
        <f t="shared" si="21"/>
        <v>0</v>
      </c>
      <c r="AB26" s="295">
        <f t="shared" si="22"/>
        <v>0</v>
      </c>
      <c r="AC26" s="295">
        <f t="shared" si="23"/>
        <v>0</v>
      </c>
      <c r="AD26" s="73">
        <f>ELEC!Q26</f>
        <v>0</v>
      </c>
      <c r="AE26" s="73" t="e">
        <f t="shared" si="25"/>
        <v>#DIV/0!</v>
      </c>
      <c r="AF26" s="413" t="e">
        <f t="shared" si="26"/>
        <v>#DIV/0!</v>
      </c>
      <c r="AG26" s="414" t="e">
        <f t="shared" si="27"/>
        <v>#DIV/0!</v>
      </c>
      <c r="AH26" s="414" t="e">
        <f t="shared" si="24"/>
        <v>#DIV/0!</v>
      </c>
      <c r="AI26" s="73">
        <f t="shared" si="28"/>
        <v>0</v>
      </c>
      <c r="AJ26" s="297">
        <f t="shared" si="9"/>
        <v>0.25738396624472576</v>
      </c>
      <c r="AK26" s="297">
        <f t="shared" si="33"/>
        <v>0</v>
      </c>
    </row>
    <row r="27" spans="1:37" ht="15.75" thickBot="1">
      <c r="A27" s="4">
        <f>ELEC!C27</f>
        <v>44037</v>
      </c>
      <c r="B27" s="576">
        <f t="shared" si="31"/>
        <v>8816</v>
      </c>
      <c r="C27" s="295">
        <f t="shared" si="11"/>
        <v>0</v>
      </c>
      <c r="D27" s="577">
        <f t="shared" si="12"/>
        <v>177318</v>
      </c>
      <c r="E27" s="295">
        <f t="shared" si="13"/>
        <v>0</v>
      </c>
      <c r="F27" s="295">
        <f t="shared" si="0"/>
        <v>0</v>
      </c>
      <c r="G27" s="199"/>
      <c r="H27" s="296">
        <f t="shared" si="14"/>
        <v>8770</v>
      </c>
      <c r="I27" s="295" t="str">
        <f>IF(B27-H27&lt;=0,"ok","oil change")</f>
        <v>oil change</v>
      </c>
      <c r="J27" s="276">
        <f t="shared" si="15"/>
        <v>10698</v>
      </c>
      <c r="K27" s="295">
        <f t="shared" si="2"/>
        <v>0</v>
      </c>
      <c r="L27" s="577">
        <f t="shared" si="16"/>
        <v>238500</v>
      </c>
      <c r="M27" s="295">
        <f t="shared" si="3"/>
        <v>0</v>
      </c>
      <c r="N27" s="295">
        <f t="shared" si="17"/>
        <v>0</v>
      </c>
      <c r="O27" s="199"/>
      <c r="P27" s="296">
        <f t="shared" si="18"/>
        <v>10873</v>
      </c>
      <c r="Q27" s="295" t="str">
        <f t="shared" si="34"/>
        <v>ok</v>
      </c>
      <c r="R27" s="276">
        <f t="shared" si="32"/>
        <v>11369</v>
      </c>
      <c r="S27" s="295">
        <f t="shared" si="5"/>
        <v>0</v>
      </c>
      <c r="T27" s="577">
        <f t="shared" si="29"/>
        <v>283947</v>
      </c>
      <c r="U27" s="295">
        <f t="shared" si="35"/>
        <v>0</v>
      </c>
      <c r="V27" s="295">
        <f t="shared" si="19"/>
        <v>0</v>
      </c>
      <c r="W27" s="199"/>
      <c r="X27" s="296">
        <f t="shared" si="20"/>
        <v>12249</v>
      </c>
      <c r="Y27" s="295" t="str">
        <f t="shared" si="36"/>
        <v>ok</v>
      </c>
      <c r="Z27" s="295">
        <f t="shared" si="8"/>
        <v>0</v>
      </c>
      <c r="AA27" s="295">
        <f t="shared" si="21"/>
        <v>0</v>
      </c>
      <c r="AB27" s="295">
        <f t="shared" si="22"/>
        <v>0</v>
      </c>
      <c r="AC27" s="295">
        <f t="shared" si="23"/>
        <v>0</v>
      </c>
      <c r="AD27" s="73">
        <f>ELEC!Q27</f>
        <v>0</v>
      </c>
      <c r="AE27" s="73" t="e">
        <f t="shared" si="25"/>
        <v>#DIV/0!</v>
      </c>
      <c r="AF27" s="413" t="e">
        <f t="shared" si="26"/>
        <v>#DIV/0!</v>
      </c>
      <c r="AG27" s="414" t="e">
        <f t="shared" si="27"/>
        <v>#DIV/0!</v>
      </c>
      <c r="AH27" s="414" t="e">
        <f t="shared" si="24"/>
        <v>#DIV/0!</v>
      </c>
      <c r="AI27" s="73">
        <f t="shared" si="28"/>
        <v>0</v>
      </c>
      <c r="AJ27" s="297">
        <f t="shared" si="9"/>
        <v>0.25738396624472576</v>
      </c>
      <c r="AK27" s="297">
        <f t="shared" si="33"/>
        <v>0</v>
      </c>
    </row>
    <row r="28" spans="1:37" ht="15.75" thickBot="1">
      <c r="A28" s="4">
        <f>ELEC!C28</f>
        <v>44038</v>
      </c>
      <c r="B28" s="576">
        <f t="shared" si="31"/>
        <v>8816</v>
      </c>
      <c r="C28" s="295">
        <f t="shared" si="11"/>
        <v>0</v>
      </c>
      <c r="D28" s="577">
        <f t="shared" si="12"/>
        <v>177318</v>
      </c>
      <c r="E28" s="295">
        <f t="shared" si="13"/>
        <v>0</v>
      </c>
      <c r="F28" s="295">
        <f t="shared" si="0"/>
        <v>0</v>
      </c>
      <c r="G28" s="293"/>
      <c r="H28" s="296">
        <f t="shared" si="14"/>
        <v>8770</v>
      </c>
      <c r="I28" s="295" t="str">
        <f t="shared" si="1"/>
        <v>oil change</v>
      </c>
      <c r="J28" s="276">
        <f t="shared" si="15"/>
        <v>10698</v>
      </c>
      <c r="K28" s="295">
        <f t="shared" si="2"/>
        <v>0</v>
      </c>
      <c r="L28" s="577">
        <f t="shared" si="16"/>
        <v>238500</v>
      </c>
      <c r="M28" s="295">
        <f t="shared" si="3"/>
        <v>0</v>
      </c>
      <c r="N28" s="295">
        <f t="shared" si="17"/>
        <v>0</v>
      </c>
      <c r="O28" s="199"/>
      <c r="P28" s="296">
        <f t="shared" si="18"/>
        <v>10873</v>
      </c>
      <c r="Q28" s="295" t="str">
        <f t="shared" si="34"/>
        <v>ok</v>
      </c>
      <c r="R28" s="276">
        <f t="shared" si="32"/>
        <v>11369</v>
      </c>
      <c r="S28" s="295">
        <f t="shared" si="5"/>
        <v>0</v>
      </c>
      <c r="T28" s="577">
        <f t="shared" si="29"/>
        <v>283947</v>
      </c>
      <c r="U28" s="295">
        <f t="shared" si="35"/>
        <v>0</v>
      </c>
      <c r="V28" s="295">
        <f t="shared" si="19"/>
        <v>0</v>
      </c>
      <c r="W28" s="199"/>
      <c r="X28" s="296">
        <f t="shared" si="20"/>
        <v>12249</v>
      </c>
      <c r="Y28" s="295" t="str">
        <f t="shared" si="36"/>
        <v>ok</v>
      </c>
      <c r="Z28" s="295">
        <f t="shared" si="8"/>
        <v>0</v>
      </c>
      <c r="AA28" s="295">
        <f t="shared" si="21"/>
        <v>0</v>
      </c>
      <c r="AB28" s="295">
        <f t="shared" si="22"/>
        <v>0</v>
      </c>
      <c r="AC28" s="295">
        <f t="shared" si="23"/>
        <v>0</v>
      </c>
      <c r="AD28" s="73">
        <f>ELEC!Q28</f>
        <v>0</v>
      </c>
      <c r="AE28" s="73" t="e">
        <f t="shared" si="25"/>
        <v>#DIV/0!</v>
      </c>
      <c r="AF28" s="413" t="e">
        <f t="shared" si="26"/>
        <v>#DIV/0!</v>
      </c>
      <c r="AG28" s="414" t="e">
        <f t="shared" si="27"/>
        <v>#DIV/0!</v>
      </c>
      <c r="AH28" s="414" t="e">
        <f t="shared" si="24"/>
        <v>#DIV/0!</v>
      </c>
      <c r="AI28" s="73">
        <f t="shared" si="28"/>
        <v>0</v>
      </c>
      <c r="AJ28" s="297">
        <f t="shared" si="9"/>
        <v>0.25738396624472576</v>
      </c>
      <c r="AK28" s="297">
        <f t="shared" si="33"/>
        <v>0</v>
      </c>
    </row>
    <row r="29" spans="1:37" ht="15.75" thickBot="1">
      <c r="A29" s="4">
        <f>ELEC!C29</f>
        <v>44039</v>
      </c>
      <c r="B29" s="576">
        <f t="shared" si="31"/>
        <v>8816</v>
      </c>
      <c r="C29" s="295">
        <f t="shared" si="11"/>
        <v>0</v>
      </c>
      <c r="D29" s="577">
        <f t="shared" si="12"/>
        <v>177318</v>
      </c>
      <c r="E29" s="295">
        <f>SUM(D29-D28)</f>
        <v>0</v>
      </c>
      <c r="F29" s="295">
        <f t="shared" si="0"/>
        <v>0</v>
      </c>
      <c r="G29" s="199"/>
      <c r="H29" s="296">
        <f t="shared" si="14"/>
        <v>8770</v>
      </c>
      <c r="I29" s="295" t="str">
        <f t="shared" si="1"/>
        <v>oil change</v>
      </c>
      <c r="J29" s="276">
        <f t="shared" si="15"/>
        <v>10698</v>
      </c>
      <c r="K29" s="295">
        <f t="shared" si="2"/>
        <v>0</v>
      </c>
      <c r="L29" s="577">
        <f t="shared" si="16"/>
        <v>238500</v>
      </c>
      <c r="M29" s="295">
        <f t="shared" si="3"/>
        <v>0</v>
      </c>
      <c r="N29" s="295">
        <f t="shared" si="17"/>
        <v>0</v>
      </c>
      <c r="O29" s="199"/>
      <c r="P29" s="296">
        <f t="shared" si="18"/>
        <v>10873</v>
      </c>
      <c r="Q29" s="295" t="str">
        <f t="shared" si="34"/>
        <v>ok</v>
      </c>
      <c r="R29" s="276">
        <f t="shared" si="32"/>
        <v>11369</v>
      </c>
      <c r="S29" s="295">
        <f t="shared" si="5"/>
        <v>0</v>
      </c>
      <c r="T29" s="577">
        <f t="shared" si="29"/>
        <v>283947</v>
      </c>
      <c r="U29" s="295">
        <f t="shared" si="35"/>
        <v>0</v>
      </c>
      <c r="V29" s="295">
        <f t="shared" si="19"/>
        <v>0</v>
      </c>
      <c r="W29" s="199"/>
      <c r="X29" s="296">
        <f t="shared" si="20"/>
        <v>12249</v>
      </c>
      <c r="Y29" s="295" t="str">
        <f t="shared" si="36"/>
        <v>ok</v>
      </c>
      <c r="Z29" s="295">
        <f t="shared" si="8"/>
        <v>0</v>
      </c>
      <c r="AA29" s="295">
        <f t="shared" si="21"/>
        <v>0</v>
      </c>
      <c r="AB29" s="295">
        <f t="shared" si="22"/>
        <v>0</v>
      </c>
      <c r="AC29" s="295">
        <f t="shared" si="23"/>
        <v>0</v>
      </c>
      <c r="AD29" s="73">
        <f>ELEC!Q29</f>
        <v>0</v>
      </c>
      <c r="AE29" s="73" t="e">
        <f t="shared" si="25"/>
        <v>#DIV/0!</v>
      </c>
      <c r="AF29" s="413" t="e">
        <f t="shared" si="26"/>
        <v>#DIV/0!</v>
      </c>
      <c r="AG29" s="414" t="e">
        <f t="shared" si="27"/>
        <v>#DIV/0!</v>
      </c>
      <c r="AH29" s="414" t="e">
        <f t="shared" si="24"/>
        <v>#DIV/0!</v>
      </c>
      <c r="AI29" s="73">
        <f t="shared" si="28"/>
        <v>0</v>
      </c>
      <c r="AJ29" s="297">
        <f t="shared" si="9"/>
        <v>0.25738396624472576</v>
      </c>
      <c r="AK29" s="297">
        <f t="shared" si="33"/>
        <v>0</v>
      </c>
    </row>
    <row r="30" spans="1:37" ht="15.75" thickBot="1">
      <c r="A30" s="4">
        <f>ELEC!C30</f>
        <v>44040</v>
      </c>
      <c r="B30" s="576">
        <f t="shared" si="31"/>
        <v>8816</v>
      </c>
      <c r="C30" s="295">
        <f t="shared" si="11"/>
        <v>0</v>
      </c>
      <c r="D30" s="577">
        <f t="shared" si="12"/>
        <v>177318</v>
      </c>
      <c r="E30" s="295">
        <f t="shared" si="13"/>
        <v>0</v>
      </c>
      <c r="F30" s="295">
        <f t="shared" si="0"/>
        <v>0</v>
      </c>
      <c r="G30" s="199"/>
      <c r="H30" s="296">
        <f t="shared" si="14"/>
        <v>8770</v>
      </c>
      <c r="I30" s="295" t="str">
        <f t="shared" si="1"/>
        <v>oil change</v>
      </c>
      <c r="J30" s="276">
        <f t="shared" si="15"/>
        <v>10698</v>
      </c>
      <c r="K30" s="295">
        <f t="shared" si="2"/>
        <v>0</v>
      </c>
      <c r="L30" s="577">
        <f t="shared" si="16"/>
        <v>238500</v>
      </c>
      <c r="M30" s="295">
        <f t="shared" si="3"/>
        <v>0</v>
      </c>
      <c r="N30" s="295">
        <f t="shared" si="17"/>
        <v>0</v>
      </c>
      <c r="O30" s="199"/>
      <c r="P30" s="296">
        <f t="shared" si="18"/>
        <v>10873</v>
      </c>
      <c r="Q30" s="295" t="str">
        <f t="shared" si="34"/>
        <v>ok</v>
      </c>
      <c r="R30" s="276">
        <f t="shared" si="32"/>
        <v>11369</v>
      </c>
      <c r="S30" s="295">
        <f t="shared" si="5"/>
        <v>0</v>
      </c>
      <c r="T30" s="577">
        <f t="shared" si="29"/>
        <v>283947</v>
      </c>
      <c r="U30" s="295">
        <f t="shared" si="35"/>
        <v>0</v>
      </c>
      <c r="V30" s="295">
        <f t="shared" si="19"/>
        <v>0</v>
      </c>
      <c r="W30" s="293"/>
      <c r="X30" s="296">
        <f t="shared" si="20"/>
        <v>12249</v>
      </c>
      <c r="Y30" s="295" t="str">
        <f t="shared" si="36"/>
        <v>ok</v>
      </c>
      <c r="Z30" s="295">
        <f t="shared" si="8"/>
        <v>0</v>
      </c>
      <c r="AA30" s="295">
        <f t="shared" si="21"/>
        <v>0</v>
      </c>
      <c r="AB30" s="295">
        <f t="shared" si="22"/>
        <v>0</v>
      </c>
      <c r="AC30" s="295">
        <f t="shared" si="23"/>
        <v>0</v>
      </c>
      <c r="AD30" s="73">
        <f>ELEC!Q30</f>
        <v>0</v>
      </c>
      <c r="AE30" s="73" t="e">
        <f t="shared" si="25"/>
        <v>#DIV/0!</v>
      </c>
      <c r="AF30" s="413" t="e">
        <f t="shared" si="26"/>
        <v>#DIV/0!</v>
      </c>
      <c r="AG30" s="414" t="e">
        <f t="shared" si="27"/>
        <v>#DIV/0!</v>
      </c>
      <c r="AH30" s="414" t="e">
        <f t="shared" si="24"/>
        <v>#DIV/0!</v>
      </c>
      <c r="AI30" s="73">
        <f t="shared" si="28"/>
        <v>0</v>
      </c>
      <c r="AJ30" s="297">
        <f t="shared" si="9"/>
        <v>0.25738396624472576</v>
      </c>
      <c r="AK30" s="297">
        <f t="shared" si="33"/>
        <v>0</v>
      </c>
    </row>
    <row r="31" spans="1:37" ht="15.75" thickBot="1">
      <c r="A31" s="4">
        <f>ELEC!C31</f>
        <v>44041</v>
      </c>
      <c r="B31" s="576">
        <f t="shared" si="31"/>
        <v>8816</v>
      </c>
      <c r="C31" s="295">
        <f t="shared" si="11"/>
        <v>0</v>
      </c>
      <c r="D31" s="577">
        <f t="shared" si="12"/>
        <v>177318</v>
      </c>
      <c r="E31" s="295">
        <f t="shared" si="13"/>
        <v>0</v>
      </c>
      <c r="F31" s="295">
        <f t="shared" si="0"/>
        <v>0</v>
      </c>
      <c r="G31" s="199"/>
      <c r="H31" s="296">
        <f t="shared" si="14"/>
        <v>8770</v>
      </c>
      <c r="I31" s="295" t="str">
        <f t="shared" si="1"/>
        <v>oil change</v>
      </c>
      <c r="J31" s="276">
        <f t="shared" si="15"/>
        <v>10698</v>
      </c>
      <c r="K31" s="295">
        <f t="shared" si="2"/>
        <v>0</v>
      </c>
      <c r="L31" s="577">
        <f t="shared" si="16"/>
        <v>238500</v>
      </c>
      <c r="M31" s="295">
        <f t="shared" si="3"/>
        <v>0</v>
      </c>
      <c r="N31" s="295">
        <f t="shared" si="17"/>
        <v>0</v>
      </c>
      <c r="O31" s="199"/>
      <c r="P31" s="296">
        <f t="shared" si="18"/>
        <v>10873</v>
      </c>
      <c r="Q31" s="295" t="str">
        <f t="shared" si="34"/>
        <v>ok</v>
      </c>
      <c r="R31" s="276">
        <f t="shared" si="32"/>
        <v>11369</v>
      </c>
      <c r="S31" s="295">
        <f t="shared" si="5"/>
        <v>0</v>
      </c>
      <c r="T31" s="577">
        <f t="shared" si="29"/>
        <v>283947</v>
      </c>
      <c r="U31" s="295">
        <f t="shared" si="35"/>
        <v>0</v>
      </c>
      <c r="V31" s="295">
        <f t="shared" si="19"/>
        <v>0</v>
      </c>
      <c r="W31" s="199"/>
      <c r="X31" s="296">
        <f t="shared" si="20"/>
        <v>12249</v>
      </c>
      <c r="Y31" s="295" t="str">
        <f t="shared" si="36"/>
        <v>ok</v>
      </c>
      <c r="Z31" s="295">
        <f t="shared" si="8"/>
        <v>0</v>
      </c>
      <c r="AA31" s="295">
        <f t="shared" si="21"/>
        <v>0</v>
      </c>
      <c r="AB31" s="295">
        <f t="shared" si="22"/>
        <v>0</v>
      </c>
      <c r="AC31" s="295">
        <f t="shared" si="23"/>
        <v>0</v>
      </c>
      <c r="AD31" s="73">
        <f>ELEC!Q31</f>
        <v>0</v>
      </c>
      <c r="AE31" s="73" t="e">
        <f t="shared" si="25"/>
        <v>#DIV/0!</v>
      </c>
      <c r="AF31" s="413" t="e">
        <f t="shared" si="26"/>
        <v>#DIV/0!</v>
      </c>
      <c r="AG31" s="414" t="e">
        <f t="shared" si="27"/>
        <v>#DIV/0!</v>
      </c>
      <c r="AH31" s="414" t="e">
        <f t="shared" si="24"/>
        <v>#DIV/0!</v>
      </c>
      <c r="AI31" s="73">
        <f t="shared" si="28"/>
        <v>0</v>
      </c>
      <c r="AJ31" s="297">
        <f t="shared" si="9"/>
        <v>0.25738396624472576</v>
      </c>
      <c r="AK31" s="297">
        <f t="shared" si="33"/>
        <v>0</v>
      </c>
    </row>
    <row r="32" spans="1:37" ht="15.75" thickBot="1">
      <c r="A32" s="4">
        <f>ELEC!C32</f>
        <v>44042</v>
      </c>
      <c r="B32" s="576">
        <f t="shared" si="31"/>
        <v>8816</v>
      </c>
      <c r="C32" s="295">
        <f t="shared" si="11"/>
        <v>0</v>
      </c>
      <c r="D32" s="577">
        <f t="shared" si="12"/>
        <v>177318</v>
      </c>
      <c r="E32" s="295">
        <f t="shared" si="13"/>
        <v>0</v>
      </c>
      <c r="F32" s="295">
        <f t="shared" si="0"/>
        <v>0</v>
      </c>
      <c r="G32" s="199"/>
      <c r="H32" s="296">
        <f t="shared" si="14"/>
        <v>8770</v>
      </c>
      <c r="I32" s="295" t="str">
        <f t="shared" si="1"/>
        <v>oil change</v>
      </c>
      <c r="J32" s="276">
        <f t="shared" si="15"/>
        <v>10698</v>
      </c>
      <c r="K32" s="295">
        <f>J32-J31</f>
        <v>0</v>
      </c>
      <c r="L32" s="577">
        <f t="shared" si="16"/>
        <v>238500</v>
      </c>
      <c r="M32" s="295">
        <f t="shared" si="3"/>
        <v>0</v>
      </c>
      <c r="N32" s="295">
        <f t="shared" si="17"/>
        <v>0</v>
      </c>
      <c r="O32" s="199"/>
      <c r="P32" s="296">
        <f t="shared" si="18"/>
        <v>10873</v>
      </c>
      <c r="Q32" s="295" t="str">
        <f t="shared" si="34"/>
        <v>ok</v>
      </c>
      <c r="R32" s="276">
        <f t="shared" si="32"/>
        <v>11369</v>
      </c>
      <c r="S32" s="295">
        <f t="shared" si="5"/>
        <v>0</v>
      </c>
      <c r="T32" s="577">
        <f t="shared" si="29"/>
        <v>283947</v>
      </c>
      <c r="U32" s="295">
        <f t="shared" si="35"/>
        <v>0</v>
      </c>
      <c r="V32" s="295">
        <f t="shared" si="19"/>
        <v>0</v>
      </c>
      <c r="W32" s="199"/>
      <c r="X32" s="296">
        <f t="shared" si="20"/>
        <v>12249</v>
      </c>
      <c r="Y32" s="295" t="str">
        <f t="shared" si="36"/>
        <v>ok</v>
      </c>
      <c r="Z32" s="295">
        <f t="shared" si="8"/>
        <v>0</v>
      </c>
      <c r="AA32" s="295">
        <f t="shared" si="21"/>
        <v>0</v>
      </c>
      <c r="AB32" s="295">
        <f t="shared" si="22"/>
        <v>0</v>
      </c>
      <c r="AC32" s="295">
        <f t="shared" si="23"/>
        <v>0</v>
      </c>
      <c r="AD32" s="73">
        <f>ELEC!Q32</f>
        <v>0</v>
      </c>
      <c r="AE32" s="73" t="e">
        <f t="shared" si="25"/>
        <v>#DIV/0!</v>
      </c>
      <c r="AF32" s="413" t="e">
        <f t="shared" si="26"/>
        <v>#DIV/0!</v>
      </c>
      <c r="AG32" s="414" t="e">
        <f t="shared" si="27"/>
        <v>#DIV/0!</v>
      </c>
      <c r="AH32" s="414" t="e">
        <f t="shared" si="24"/>
        <v>#DIV/0!</v>
      </c>
      <c r="AI32" s="73">
        <f t="shared" si="28"/>
        <v>0</v>
      </c>
      <c r="AJ32" s="297">
        <f t="shared" si="9"/>
        <v>0.25738396624472576</v>
      </c>
      <c r="AK32" s="297">
        <f t="shared" si="33"/>
        <v>0</v>
      </c>
    </row>
    <row r="33" spans="1:37">
      <c r="A33" s="4">
        <f>ELEC!C33</f>
        <v>44043</v>
      </c>
      <c r="B33" s="576">
        <f t="shared" si="31"/>
        <v>8816</v>
      </c>
      <c r="C33" s="295">
        <f t="shared" ref="C33" si="37">B33-B32</f>
        <v>0</v>
      </c>
      <c r="D33" s="577">
        <f t="shared" si="12"/>
        <v>177318</v>
      </c>
      <c r="E33" s="295">
        <f t="shared" ref="E33" si="38">SUM(D33-D32)</f>
        <v>0</v>
      </c>
      <c r="F33" s="295">
        <f t="shared" ref="F33" si="39">IF(C33&gt;0,E33/C33,0)</f>
        <v>0</v>
      </c>
      <c r="G33" s="346"/>
      <c r="H33" s="296">
        <f t="shared" si="14"/>
        <v>8770</v>
      </c>
      <c r="I33" s="295" t="str">
        <f t="shared" ref="I33" si="40">IF(B33-H33&lt;=0,"ok","oil change")</f>
        <v>oil change</v>
      </c>
      <c r="J33" s="276">
        <f t="shared" si="15"/>
        <v>10698</v>
      </c>
      <c r="K33" s="295">
        <f>J33-J32</f>
        <v>0</v>
      </c>
      <c r="L33" s="577">
        <f t="shared" si="16"/>
        <v>238500</v>
      </c>
      <c r="M33" s="295">
        <f t="shared" ref="M33" si="41">SUM(L33-L32)</f>
        <v>0</v>
      </c>
      <c r="N33" s="295">
        <f t="shared" ref="N33" si="42">IF(K33&gt;0,M33/K33,0)</f>
        <v>0</v>
      </c>
      <c r="O33" s="346"/>
      <c r="P33" s="296">
        <f t="shared" si="18"/>
        <v>10873</v>
      </c>
      <c r="Q33" s="295" t="str">
        <f t="shared" ref="Q33" si="43">IF(J33-P33&lt;=0,"ok","oil change")</f>
        <v>ok</v>
      </c>
      <c r="R33" s="276">
        <f t="shared" si="32"/>
        <v>11369</v>
      </c>
      <c r="S33" s="295">
        <f t="shared" ref="S33" si="44">R33-R32</f>
        <v>0</v>
      </c>
      <c r="T33" s="577">
        <f t="shared" si="29"/>
        <v>283947</v>
      </c>
      <c r="U33" s="295">
        <f t="shared" ref="U33" si="45">SUM(T33-T32)</f>
        <v>0</v>
      </c>
      <c r="V33" s="295">
        <f t="shared" ref="V33" si="46">IF(S33&gt;0,U33/S33,0)</f>
        <v>0</v>
      </c>
      <c r="W33" s="346"/>
      <c r="X33" s="296">
        <f t="shared" si="20"/>
        <v>12249</v>
      </c>
      <c r="Y33" s="295" t="str">
        <f t="shared" ref="Y33" si="47">IF(R33-X33&lt;=0,"ok","oil change")</f>
        <v>ok</v>
      </c>
      <c r="Z33" s="295">
        <f t="shared" ref="Z33" si="48">C33+K33+S33</f>
        <v>0</v>
      </c>
      <c r="AA33" s="295">
        <f t="shared" ref="AA33" si="49">U33+M33+E33</f>
        <v>0</v>
      </c>
      <c r="AB33" s="295">
        <f t="shared" ref="AB33" si="50">V33+N33+F33</f>
        <v>0</v>
      </c>
      <c r="AC33" s="295">
        <f t="shared" ref="AC33" si="51">IF(Z33&gt;0,AA33/Z33,0)</f>
        <v>0</v>
      </c>
      <c r="AD33" s="73">
        <f>ELEC!Q33</f>
        <v>0</v>
      </c>
      <c r="AE33" s="73" t="e">
        <f t="shared" ref="AE33" si="52">SUM(AD33/Z33)</f>
        <v>#DIV/0!</v>
      </c>
      <c r="AF33" s="413" t="e">
        <f t="shared" ref="AF33" si="53">SUM(AE33/1600)</f>
        <v>#DIV/0!</v>
      </c>
      <c r="AG33" s="519" t="e">
        <f t="shared" ref="AG33" si="54">SUM(320*AF33)</f>
        <v>#DIV/0!</v>
      </c>
      <c r="AH33" s="519" t="e">
        <f t="shared" ref="AH33" si="55">SUM(AC33-AG33)</f>
        <v>#DIV/0!</v>
      </c>
      <c r="AI33" s="73">
        <f t="shared" ref="AI33" si="56">AD33*AJ33</f>
        <v>0</v>
      </c>
      <c r="AJ33" s="297">
        <f t="shared" si="9"/>
        <v>0.25738396624472576</v>
      </c>
      <c r="AK33" s="297">
        <f t="shared" ref="AK33" si="57">IF(Z33&gt;0,AI33/Z33,0)</f>
        <v>0</v>
      </c>
    </row>
    <row r="34" spans="1:37">
      <c r="H34" s="39"/>
      <c r="I34" s="273"/>
      <c r="M34" s="39"/>
      <c r="N34" s="39"/>
      <c r="O34" s="39"/>
      <c r="P34" s="82">
        <f>+O34/3</f>
        <v>0</v>
      </c>
      <c r="S34" s="39"/>
      <c r="T34" s="39"/>
      <c r="U34" s="40">
        <f>SUM(C35:S35)</f>
        <v>156</v>
      </c>
      <c r="V34" s="40"/>
      <c r="X34">
        <v>341</v>
      </c>
      <c r="Z34" s="432">
        <f>SUM(Z3:Z32)</f>
        <v>156</v>
      </c>
    </row>
    <row r="35" spans="1:37">
      <c r="C35" s="40">
        <f>SUM(C3:C32)</f>
        <v>39</v>
      </c>
      <c r="K35" s="40">
        <f>SUM(K3:K32)</f>
        <v>0</v>
      </c>
      <c r="S35" s="40">
        <f>SUM(S3:S32)</f>
        <v>117</v>
      </c>
      <c r="U35" s="40"/>
      <c r="V35" s="40"/>
      <c r="X35" s="40"/>
    </row>
  </sheetData>
  <conditionalFormatting sqref="C3:C33 K3:K33 Z3:Z33 S3:S33">
    <cfRule type="cellIs" dxfId="3" priority="10" stopIfTrue="1" operator="equal">
      <formula>0</formula>
    </cfRule>
  </conditionalFormatting>
  <conditionalFormatting sqref="AA3:AB33">
    <cfRule type="cellIs" dxfId="2" priority="3" stopIfTrue="1" operator="lessThan">
      <formula>0</formula>
    </cfRule>
  </conditionalFormatting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32"/>
  <sheetViews>
    <sheetView topLeftCell="A5" zoomScale="70" zoomScaleNormal="70" workbookViewId="0">
      <selection activeCell="G52" sqref="G51:G52"/>
    </sheetView>
  </sheetViews>
  <sheetFormatPr defaultRowHeight="15"/>
  <cols>
    <col min="1" max="1" width="16.140625" customWidth="1"/>
    <col min="2" max="2" width="19.42578125" customWidth="1"/>
    <col min="3" max="3" width="18.42578125" customWidth="1"/>
    <col min="4" max="4" width="18.28515625" customWidth="1"/>
    <col min="5" max="7" width="16.85546875" customWidth="1"/>
    <col min="8" max="8" width="13" customWidth="1"/>
    <col min="9" max="9" width="18.42578125" customWidth="1"/>
    <col min="10" max="10" width="21.140625" customWidth="1"/>
  </cols>
  <sheetData>
    <row r="1" spans="1:10">
      <c r="A1" s="2" t="s">
        <v>83</v>
      </c>
      <c r="B1" s="2" t="s">
        <v>87</v>
      </c>
      <c r="C1" s="2" t="s">
        <v>88</v>
      </c>
      <c r="D1" s="2" t="s">
        <v>84</v>
      </c>
      <c r="E1" s="2" t="s">
        <v>90</v>
      </c>
      <c r="F1" s="2" t="s">
        <v>89</v>
      </c>
      <c r="G1" s="16" t="s">
        <v>91</v>
      </c>
      <c r="H1" s="16" t="s">
        <v>85</v>
      </c>
      <c r="I1" s="16" t="s">
        <v>86</v>
      </c>
      <c r="J1" t="s">
        <v>51</v>
      </c>
    </row>
    <row r="2" spans="1:10">
      <c r="A2" s="3" t="e">
        <f>ELEC!T3+ELEC!X1+ELEC!AB3</f>
        <v>#VALUE!</v>
      </c>
      <c r="B2" s="3">
        <f>ELEC!AF3</f>
        <v>3740</v>
      </c>
      <c r="C2" s="3">
        <f>ELEC!N3</f>
        <v>18028</v>
      </c>
      <c r="D2" s="3">
        <f>C2-E2</f>
        <v>4028</v>
      </c>
      <c r="E2" s="3">
        <f>ELEC!Q3</f>
        <v>14000</v>
      </c>
      <c r="F2" s="3">
        <f>GEN!Z2</f>
        <v>15</v>
      </c>
      <c r="G2" s="3">
        <f>WATER!C5+WATER!H5</f>
        <v>413</v>
      </c>
      <c r="H2" s="3">
        <f>WATER!L5</f>
        <v>10</v>
      </c>
      <c r="I2" s="15">
        <f>WATER!BC5+WATER!BD5+WATER!BE6-Sheet1!G2</f>
        <v>-380</v>
      </c>
      <c r="J2" s="9">
        <f>'B5'!A4</f>
        <v>44012</v>
      </c>
    </row>
    <row r="3" spans="1:10">
      <c r="A3" s="3">
        <f>ELEC!T4+ELEC!X2+ELEC!AB4</f>
        <v>22</v>
      </c>
      <c r="B3" s="3">
        <f>ELEC!AF4</f>
        <v>5028</v>
      </c>
      <c r="C3" s="3">
        <f>ELEC!N4</f>
        <v>18859</v>
      </c>
      <c r="D3" s="3">
        <f t="shared" ref="D3:D30" si="0">C3-E3</f>
        <v>5859</v>
      </c>
      <c r="E3" s="3">
        <f>ELEC!Q4</f>
        <v>13000</v>
      </c>
      <c r="F3" s="3">
        <f>GEN!Z3</f>
        <v>36</v>
      </c>
      <c r="G3" s="3">
        <f>WATER!C6+WATER!H6</f>
        <v>0</v>
      </c>
      <c r="H3" s="3">
        <f>WATER!L6</f>
        <v>0</v>
      </c>
      <c r="I3" s="15">
        <f>WATER!BC6+WATER!BD6+WATER!BE7-Sheet1!G3</f>
        <v>137</v>
      </c>
      <c r="J3" s="9">
        <f>'B5'!A5</f>
        <v>44013</v>
      </c>
    </row>
    <row r="4" spans="1:10">
      <c r="A4" s="3">
        <f>ELEC!T5+ELEC!X5+ELEC!AB5</f>
        <v>19</v>
      </c>
      <c r="B4" s="3">
        <f>ELEC!AF5</f>
        <v>4928</v>
      </c>
      <c r="C4" s="3">
        <f>ELEC!N5</f>
        <v>20891</v>
      </c>
      <c r="D4" s="3">
        <f t="shared" si="0"/>
        <v>6891</v>
      </c>
      <c r="E4" s="3">
        <f>ELEC!Q5</f>
        <v>14000</v>
      </c>
      <c r="F4" s="3">
        <f>GEN!Z4</f>
        <v>1</v>
      </c>
      <c r="G4" s="3">
        <f>WATER!C7+WATER!H7</f>
        <v>393</v>
      </c>
      <c r="H4" s="3">
        <f>WATER!L7</f>
        <v>0</v>
      </c>
      <c r="I4" s="15">
        <f>WATER!BC7+WATER!BD7+WATER!BE8-Sheet1!G4</f>
        <v>-444</v>
      </c>
      <c r="J4" s="9">
        <f>'B5'!A6</f>
        <v>44014</v>
      </c>
    </row>
    <row r="5" spans="1:10">
      <c r="A5" s="3">
        <f>ELEC!T6+ELEC!X6+ELEC!AB6</f>
        <v>20</v>
      </c>
      <c r="B5" s="3">
        <f>ELEC!AF6</f>
        <v>4443</v>
      </c>
      <c r="C5" s="3">
        <f>ELEC!N6</f>
        <v>18152</v>
      </c>
      <c r="D5" s="3">
        <f t="shared" si="0"/>
        <v>2152</v>
      </c>
      <c r="E5" s="3">
        <f>ELEC!Q6</f>
        <v>16000</v>
      </c>
      <c r="F5" s="3">
        <f>GEN!Z5</f>
        <v>30</v>
      </c>
      <c r="G5" s="3">
        <f>WATER!C8+WATER!H8</f>
        <v>0</v>
      </c>
      <c r="H5" s="3">
        <f>WATER!L8</f>
        <v>2</v>
      </c>
      <c r="I5" s="15">
        <f>WATER!BC8+WATER!BD8+WATER!BE9-Sheet1!G5</f>
        <v>239.00000000000006</v>
      </c>
      <c r="J5" s="9">
        <f>'B5'!A7</f>
        <v>44015</v>
      </c>
    </row>
    <row r="6" spans="1:10">
      <c r="A6" s="3">
        <f>ELEC!T7+ELEC!X7+ELEC!AB7</f>
        <v>21</v>
      </c>
      <c r="B6" s="3">
        <f>ELEC!AF7</f>
        <v>4985</v>
      </c>
      <c r="C6" s="3">
        <f>ELEC!N7</f>
        <v>18161</v>
      </c>
      <c r="D6" s="3">
        <f t="shared" si="0"/>
        <v>18161</v>
      </c>
      <c r="E6" s="3">
        <f>ELEC!Q24</f>
        <v>0</v>
      </c>
      <c r="F6" s="3">
        <f>GEN!Z6</f>
        <v>26</v>
      </c>
      <c r="G6" s="3">
        <f>WATER!C9+WATER!H9</f>
        <v>563</v>
      </c>
      <c r="H6" s="3">
        <f>WATER!L9</f>
        <v>10</v>
      </c>
      <c r="I6" s="15">
        <f>WATER!BC9+WATER!BD9+WATER!BE10-Sheet1!G6</f>
        <v>-459.80000000000007</v>
      </c>
      <c r="J6" s="9">
        <f>'B5'!A8</f>
        <v>44016</v>
      </c>
    </row>
    <row r="7" spans="1:10">
      <c r="A7" s="3">
        <f>ELEC!T8+ELEC!X8+ELEC!AB8</f>
        <v>22</v>
      </c>
      <c r="B7" s="3">
        <f>ELEC!AF8</f>
        <v>5022</v>
      </c>
      <c r="C7" s="3">
        <f>ELEC!N8</f>
        <v>20764</v>
      </c>
      <c r="D7" s="3">
        <f t="shared" si="0"/>
        <v>2764</v>
      </c>
      <c r="E7" s="3">
        <f>ELEC!Q8</f>
        <v>18000</v>
      </c>
      <c r="F7" s="3">
        <f>GEN!Z7</f>
        <v>21</v>
      </c>
      <c r="G7" s="3">
        <f>WATER!C10+WATER!H10</f>
        <v>45</v>
      </c>
      <c r="H7" s="3">
        <f>WATER!L10</f>
        <v>8</v>
      </c>
      <c r="I7" s="15">
        <f>WATER!BC10+WATER!BD10+WATER!BE11-Sheet1!G7</f>
        <v>-45.200000000000017</v>
      </c>
      <c r="J7" s="9">
        <f>'B5'!A9</f>
        <v>44017</v>
      </c>
    </row>
    <row r="8" spans="1:10">
      <c r="A8" s="3">
        <f>ELEC!T9+ELEC!X9+ELEC!AB9</f>
        <v>23</v>
      </c>
      <c r="B8" s="3">
        <f>ELEC!AF9</f>
        <v>5810</v>
      </c>
      <c r="C8" s="3">
        <f>ELEC!N9</f>
        <v>20479</v>
      </c>
      <c r="D8" s="3">
        <f t="shared" si="0"/>
        <v>5479</v>
      </c>
      <c r="E8" s="3">
        <f>ELEC!Q9</f>
        <v>15000</v>
      </c>
      <c r="F8" s="3">
        <f>GEN!Z8</f>
        <v>18</v>
      </c>
      <c r="G8" s="3">
        <f>WATER!C11+WATER!H11</f>
        <v>227</v>
      </c>
      <c r="H8" s="3">
        <f>WATER!L11</f>
        <v>6</v>
      </c>
      <c r="I8" s="15">
        <f>WATER!BC11+WATER!BD11+WATER!BE12-Sheet1!G8</f>
        <v>-237.09999999999997</v>
      </c>
      <c r="J8" s="9">
        <f>'B5'!A10</f>
        <v>44018</v>
      </c>
    </row>
    <row r="9" spans="1:10">
      <c r="A9" s="3">
        <f>ELEC!T10+ELEC!X10+ELEC!AB10</f>
        <v>24</v>
      </c>
      <c r="B9" s="3">
        <f>ELEC!AF10</f>
        <v>5634</v>
      </c>
      <c r="C9" s="3">
        <f>ELEC!N10</f>
        <v>23543</v>
      </c>
      <c r="D9" s="3">
        <f t="shared" si="0"/>
        <v>8543</v>
      </c>
      <c r="E9" s="3">
        <f>ELEC!Q10</f>
        <v>15000</v>
      </c>
      <c r="F9" s="3">
        <f>GEN!Z9</f>
        <v>24</v>
      </c>
      <c r="G9" s="3">
        <f>WATER!C12+WATER!H12</f>
        <v>201</v>
      </c>
      <c r="H9" s="3">
        <f>WATER!L12</f>
        <v>8</v>
      </c>
      <c r="I9" s="15">
        <f>WATER!BC12+WATER!BD12+WATER!BE13-Sheet1!G9</f>
        <v>-213</v>
      </c>
      <c r="J9" s="9">
        <f>'B5'!A11</f>
        <v>44019</v>
      </c>
    </row>
    <row r="10" spans="1:10">
      <c r="A10" s="3">
        <f>ELEC!T11+ELEC!X11+ELEC!AB11</f>
        <v>0</v>
      </c>
      <c r="B10" s="3">
        <f>ELEC!AF11</f>
        <v>0</v>
      </c>
      <c r="C10" s="3">
        <f>ELEC!N11</f>
        <v>0</v>
      </c>
      <c r="D10" s="3">
        <f t="shared" si="0"/>
        <v>0</v>
      </c>
      <c r="E10" s="3">
        <f>ELEC!Q11</f>
        <v>0</v>
      </c>
      <c r="F10" s="3">
        <f>GEN!Z10</f>
        <v>0</v>
      </c>
      <c r="G10" s="3">
        <f>WATER!C13+WATER!H13</f>
        <v>0</v>
      </c>
      <c r="H10" s="3">
        <f>WATER!L13</f>
        <v>5</v>
      </c>
      <c r="I10" s="15">
        <f>WATER!BC13+WATER!BD13+WATER!BE14-Sheet1!G10</f>
        <v>0</v>
      </c>
      <c r="J10" s="9">
        <f>'B5'!A12</f>
        <v>44020</v>
      </c>
    </row>
    <row r="11" spans="1:10">
      <c r="A11" s="3">
        <f>ELEC!T12+ELEC!X12+ELEC!AB12</f>
        <v>0</v>
      </c>
      <c r="B11" s="3">
        <f>ELEC!AF12</f>
        <v>0</v>
      </c>
      <c r="C11" s="3">
        <f>ELEC!N12</f>
        <v>0</v>
      </c>
      <c r="D11" s="3">
        <f t="shared" si="0"/>
        <v>0</v>
      </c>
      <c r="E11" s="3">
        <f>ELEC!Q12</f>
        <v>0</v>
      </c>
      <c r="F11" s="3">
        <f>GEN!Z11</f>
        <v>0</v>
      </c>
      <c r="G11" s="3">
        <f>WATER!C14+WATER!H14</f>
        <v>0</v>
      </c>
      <c r="H11" s="3">
        <f>WATER!L14</f>
        <v>0</v>
      </c>
      <c r="I11" s="15">
        <f>WATER!BC14+WATER!BD14+WATER!BE15-Sheet1!G11</f>
        <v>0</v>
      </c>
      <c r="J11" s="9">
        <f>'B5'!A13</f>
        <v>44021</v>
      </c>
    </row>
    <row r="12" spans="1:10">
      <c r="A12" s="3">
        <f>ELEC!T13+ELEC!X13+ELEC!AB13</f>
        <v>0</v>
      </c>
      <c r="B12" s="3">
        <f>ELEC!AF13</f>
        <v>0</v>
      </c>
      <c r="C12" s="3">
        <f>ELEC!N13</f>
        <v>0</v>
      </c>
      <c r="D12" s="3">
        <f t="shared" si="0"/>
        <v>0</v>
      </c>
      <c r="E12" s="3">
        <f>ELEC!Q13</f>
        <v>0</v>
      </c>
      <c r="F12" s="3">
        <f>GEN!Z12</f>
        <v>0</v>
      </c>
      <c r="G12" s="3">
        <f>WATER!C15+WATER!H15</f>
        <v>0</v>
      </c>
      <c r="H12" s="3">
        <f>WATER!L15</f>
        <v>0</v>
      </c>
      <c r="I12" s="15">
        <f>WATER!BC15+WATER!BD15+WATER!BE16-Sheet1!G12</f>
        <v>0</v>
      </c>
      <c r="J12" s="9">
        <f>'B5'!A14</f>
        <v>44022</v>
      </c>
    </row>
    <row r="13" spans="1:10">
      <c r="A13" s="3">
        <f>ELEC!T14+ELEC!X14+ELEC!AB14</f>
        <v>0</v>
      </c>
      <c r="B13" s="3">
        <f>ELEC!AF14</f>
        <v>0</v>
      </c>
      <c r="C13" s="3">
        <f>ELEC!N14</f>
        <v>0</v>
      </c>
      <c r="D13" s="3">
        <f t="shared" si="0"/>
        <v>0</v>
      </c>
      <c r="E13" s="3">
        <f>ELEC!Q14</f>
        <v>0</v>
      </c>
      <c r="F13" s="3">
        <f>GEN!Z13</f>
        <v>0</v>
      </c>
      <c r="G13" s="3">
        <f>WATER!C16+WATER!H16</f>
        <v>0</v>
      </c>
      <c r="H13" s="3">
        <f>WATER!L16</f>
        <v>0</v>
      </c>
      <c r="I13" s="15">
        <f>WATER!BC16+WATER!BD16+WATER!BE17-Sheet1!G13</f>
        <v>0</v>
      </c>
      <c r="J13" s="9">
        <f>'B5'!A15</f>
        <v>44023</v>
      </c>
    </row>
    <row r="14" spans="1:10">
      <c r="A14" s="3">
        <f>ELEC!T15+ELEC!X15+ELEC!AB15</f>
        <v>0</v>
      </c>
      <c r="B14" s="3">
        <f>ELEC!AF15</f>
        <v>0</v>
      </c>
      <c r="C14" s="3">
        <f>ELEC!N15</f>
        <v>0</v>
      </c>
      <c r="D14" s="3">
        <f t="shared" si="0"/>
        <v>0</v>
      </c>
      <c r="E14" s="3">
        <f>ELEC!Q15</f>
        <v>0</v>
      </c>
      <c r="F14" s="3">
        <f>GEN!Z14</f>
        <v>0</v>
      </c>
      <c r="G14" s="3">
        <f>WATER!C17+WATER!H17</f>
        <v>0</v>
      </c>
      <c r="H14" s="3">
        <f>WATER!L17</f>
        <v>0</v>
      </c>
      <c r="I14" s="15">
        <f>WATER!BC17+WATER!BD17+WATER!BE18-Sheet1!G14</f>
        <v>0</v>
      </c>
      <c r="J14" s="9">
        <f>'B5'!A16</f>
        <v>44024</v>
      </c>
    </row>
    <row r="15" spans="1:10">
      <c r="A15" s="3">
        <f>ELEC!T16+ELEC!X16+ELEC!AB16</f>
        <v>0</v>
      </c>
      <c r="B15" s="3">
        <f>ELEC!AF16</f>
        <v>0</v>
      </c>
      <c r="C15" s="3">
        <f>ELEC!N16</f>
        <v>0</v>
      </c>
      <c r="D15" s="3">
        <f t="shared" si="0"/>
        <v>0</v>
      </c>
      <c r="E15" s="3">
        <f>ELEC!Q16</f>
        <v>0</v>
      </c>
      <c r="F15" s="3">
        <f>GEN!Z15</f>
        <v>0</v>
      </c>
      <c r="G15" s="3">
        <f>WATER!C18+WATER!H18</f>
        <v>0</v>
      </c>
      <c r="H15" s="3">
        <f>WATER!L18</f>
        <v>0</v>
      </c>
      <c r="I15" s="15">
        <f>WATER!BC18+WATER!BD18+WATER!BE19-Sheet1!G15</f>
        <v>0</v>
      </c>
      <c r="J15" s="9">
        <f>'B5'!A17</f>
        <v>44025</v>
      </c>
    </row>
    <row r="16" spans="1:10">
      <c r="A16" s="3">
        <f>ELEC!T17+ELEC!X17+ELEC!AB17</f>
        <v>0</v>
      </c>
      <c r="B16" s="3">
        <f>ELEC!AF17</f>
        <v>0</v>
      </c>
      <c r="C16" s="3">
        <f>ELEC!N17</f>
        <v>0</v>
      </c>
      <c r="D16" s="3">
        <f t="shared" si="0"/>
        <v>0</v>
      </c>
      <c r="E16" s="3">
        <f>ELEC!Q17</f>
        <v>0</v>
      </c>
      <c r="F16" s="3">
        <f>GEN!Z16</f>
        <v>0</v>
      </c>
      <c r="G16" s="3">
        <f>WATER!C19+WATER!H19</f>
        <v>0</v>
      </c>
      <c r="H16" s="3">
        <f>WATER!L19</f>
        <v>0</v>
      </c>
      <c r="I16" s="15">
        <f>WATER!BC19+WATER!BD19+WATER!BE20-Sheet1!G16</f>
        <v>0</v>
      </c>
      <c r="J16" s="9">
        <f>'B5'!A18</f>
        <v>44026</v>
      </c>
    </row>
    <row r="17" spans="1:10">
      <c r="A17" s="3">
        <f>ELEC!T18+ELEC!X18+ELEC!AB18</f>
        <v>0</v>
      </c>
      <c r="B17" s="3">
        <f>ELEC!AF18</f>
        <v>0</v>
      </c>
      <c r="C17" s="3">
        <f>ELEC!N18</f>
        <v>0</v>
      </c>
      <c r="D17" s="3">
        <f t="shared" si="0"/>
        <v>0</v>
      </c>
      <c r="E17" s="3">
        <f>ELEC!Q18</f>
        <v>0</v>
      </c>
      <c r="F17" s="3">
        <f>GEN!Z17</f>
        <v>0</v>
      </c>
      <c r="G17" s="3">
        <f>WATER!C20+WATER!H20</f>
        <v>0</v>
      </c>
      <c r="H17" s="3">
        <f>WATER!L20</f>
        <v>0</v>
      </c>
      <c r="I17" s="15">
        <f>WATER!BC20+WATER!BD20+WATER!BE21-Sheet1!G17</f>
        <v>0</v>
      </c>
      <c r="J17" s="9">
        <f>'B5'!A19</f>
        <v>44027</v>
      </c>
    </row>
    <row r="18" spans="1:10">
      <c r="A18" s="3">
        <f>ELEC!T19+ELEC!X19+ELEC!AB19</f>
        <v>0</v>
      </c>
      <c r="B18" s="3">
        <f>ELEC!AF19</f>
        <v>0</v>
      </c>
      <c r="C18" s="3">
        <f>ELEC!N19</f>
        <v>0</v>
      </c>
      <c r="D18" s="3">
        <f t="shared" si="0"/>
        <v>0</v>
      </c>
      <c r="E18" s="3">
        <f>ELEC!Q19</f>
        <v>0</v>
      </c>
      <c r="F18" s="3">
        <f>GEN!Z18</f>
        <v>0</v>
      </c>
      <c r="G18" s="3">
        <f>WATER!C21+WATER!H21</f>
        <v>0</v>
      </c>
      <c r="H18" s="3">
        <f>WATER!L21</f>
        <v>0</v>
      </c>
      <c r="I18" s="15">
        <f>WATER!BC21+WATER!BD21+WATER!BE22-Sheet1!G18</f>
        <v>0</v>
      </c>
      <c r="J18" s="9">
        <f>'B5'!A20</f>
        <v>44028</v>
      </c>
    </row>
    <row r="19" spans="1:10">
      <c r="A19" s="3">
        <f>ELEC!T20+ELEC!X20+ELEC!AB20</f>
        <v>0</v>
      </c>
      <c r="B19" s="3">
        <f>ELEC!AF20</f>
        <v>0</v>
      </c>
      <c r="C19" s="3">
        <f>ELEC!N20</f>
        <v>0</v>
      </c>
      <c r="D19" s="3">
        <f t="shared" si="0"/>
        <v>0</v>
      </c>
      <c r="E19" s="3">
        <f>ELEC!Q20</f>
        <v>0</v>
      </c>
      <c r="F19" s="3">
        <f>GEN!Z19</f>
        <v>0</v>
      </c>
      <c r="G19" s="3">
        <f>WATER!C22+WATER!H22</f>
        <v>0</v>
      </c>
      <c r="H19" s="3">
        <f>WATER!L22</f>
        <v>0</v>
      </c>
      <c r="I19" s="15">
        <f>WATER!BC22+WATER!BD22+WATER!BE23-Sheet1!G19</f>
        <v>0</v>
      </c>
      <c r="J19" s="9">
        <f>'B5'!A21</f>
        <v>44029</v>
      </c>
    </row>
    <row r="20" spans="1:10">
      <c r="A20" s="3">
        <f>ELEC!T21+ELEC!X21+ELEC!AB21</f>
        <v>0</v>
      </c>
      <c r="B20" s="3">
        <f>ELEC!AF21</f>
        <v>0</v>
      </c>
      <c r="C20" s="3">
        <f>ELEC!N21</f>
        <v>0</v>
      </c>
      <c r="D20" s="3">
        <f t="shared" si="0"/>
        <v>0</v>
      </c>
      <c r="E20" s="3">
        <f>ELEC!Q21</f>
        <v>0</v>
      </c>
      <c r="F20" s="3">
        <f>GEN!Z20</f>
        <v>0</v>
      </c>
      <c r="G20" s="3">
        <f>WATER!C23+WATER!H23</f>
        <v>0</v>
      </c>
      <c r="H20" s="3">
        <f>WATER!L23</f>
        <v>0</v>
      </c>
      <c r="I20" s="15">
        <f>WATER!BC23+WATER!BD23+WATER!BE24-Sheet1!G20</f>
        <v>0</v>
      </c>
      <c r="J20" s="9">
        <f>'B5'!A22</f>
        <v>44030</v>
      </c>
    </row>
    <row r="21" spans="1:10">
      <c r="A21" s="3">
        <f>ELEC!T22+ELEC!X22+ELEC!AB22</f>
        <v>0</v>
      </c>
      <c r="B21" s="3">
        <f>ELEC!AF22</f>
        <v>0</v>
      </c>
      <c r="C21" s="3">
        <f>ELEC!N22</f>
        <v>0</v>
      </c>
      <c r="D21" s="3">
        <f t="shared" si="0"/>
        <v>0</v>
      </c>
      <c r="E21" s="3">
        <f>ELEC!Q22</f>
        <v>0</v>
      </c>
      <c r="F21" s="3">
        <f>GEN!Z21</f>
        <v>0</v>
      </c>
      <c r="G21" s="3">
        <f>WATER!C24+WATER!H24</f>
        <v>0</v>
      </c>
      <c r="H21" s="3">
        <f>WATER!L24</f>
        <v>0</v>
      </c>
      <c r="I21" s="15">
        <f>WATER!BC24+WATER!BD24+WATER!BE25-Sheet1!G21</f>
        <v>0</v>
      </c>
      <c r="J21" s="9">
        <f>'B5'!A23</f>
        <v>44031</v>
      </c>
    </row>
    <row r="22" spans="1:10">
      <c r="A22" s="3">
        <f>ELEC!T23+ELEC!X23+ELEC!AB23</f>
        <v>0</v>
      </c>
      <c r="B22" s="3">
        <f>ELEC!AF23</f>
        <v>0</v>
      </c>
      <c r="C22" s="3">
        <f>ELEC!N23</f>
        <v>0</v>
      </c>
      <c r="D22" s="3">
        <f t="shared" si="0"/>
        <v>0</v>
      </c>
      <c r="E22" s="3">
        <f>ELEC!Q23</f>
        <v>0</v>
      </c>
      <c r="F22" s="3">
        <f>GEN!Z22</f>
        <v>0</v>
      </c>
      <c r="G22" s="3">
        <f>WATER!C25+WATER!H25</f>
        <v>0</v>
      </c>
      <c r="H22" s="3">
        <f>WATER!L25</f>
        <v>0</v>
      </c>
      <c r="I22" s="15">
        <f>WATER!BC25+WATER!BD25+WATER!BE26-Sheet1!G22</f>
        <v>0</v>
      </c>
      <c r="J22" s="9">
        <f>'B5'!A24</f>
        <v>44032</v>
      </c>
    </row>
    <row r="23" spans="1:10">
      <c r="A23" s="3">
        <f>ELEC!T24+ELEC!X24+ELEC!AB24</f>
        <v>0</v>
      </c>
      <c r="B23" s="3">
        <f>ELEC!AF24</f>
        <v>0</v>
      </c>
      <c r="C23" s="3">
        <f>ELEC!N24</f>
        <v>0</v>
      </c>
      <c r="D23" s="3">
        <f t="shared" si="0"/>
        <v>0</v>
      </c>
      <c r="E23" s="3">
        <f>ELEC!Q24</f>
        <v>0</v>
      </c>
      <c r="F23" s="3">
        <f>GEN!Z23</f>
        <v>0</v>
      </c>
      <c r="G23" s="3">
        <f>WATER!C26+WATER!H26</f>
        <v>0</v>
      </c>
      <c r="H23" s="3">
        <f>WATER!L26</f>
        <v>0</v>
      </c>
      <c r="I23" s="15">
        <f>WATER!BC26+WATER!BD26+WATER!BE27-Sheet1!G23</f>
        <v>0</v>
      </c>
      <c r="J23" s="9">
        <f>'B5'!A25</f>
        <v>44033</v>
      </c>
    </row>
    <row r="24" spans="1:10">
      <c r="A24" s="3">
        <f>ELEC!T25+ELEC!X25+ELEC!AB25</f>
        <v>0</v>
      </c>
      <c r="B24" s="3">
        <f>ELEC!AF25</f>
        <v>0</v>
      </c>
      <c r="C24" s="3">
        <f>ELEC!N25</f>
        <v>0</v>
      </c>
      <c r="D24" s="3">
        <f t="shared" si="0"/>
        <v>0</v>
      </c>
      <c r="E24" s="3">
        <f>ELEC!Q25</f>
        <v>0</v>
      </c>
      <c r="F24" s="3">
        <f>GEN!Z24</f>
        <v>0</v>
      </c>
      <c r="G24" s="3">
        <f>WATER!C27+WATER!H27</f>
        <v>0</v>
      </c>
      <c r="H24" s="3">
        <f>WATER!L27</f>
        <v>0</v>
      </c>
      <c r="I24" s="15">
        <f>WATER!BC27+WATER!BD27+WATER!BE28-Sheet1!G24</f>
        <v>0</v>
      </c>
      <c r="J24" s="9">
        <f>'B5'!A26</f>
        <v>44034</v>
      </c>
    </row>
    <row r="25" spans="1:10">
      <c r="A25" s="3">
        <f>ELEC!T26+ELEC!X26+ELEC!AB26</f>
        <v>0</v>
      </c>
      <c r="B25" s="3">
        <f>ELEC!AF26</f>
        <v>0</v>
      </c>
      <c r="C25" s="3">
        <f>ELEC!N26</f>
        <v>0</v>
      </c>
      <c r="D25" s="3">
        <f t="shared" si="0"/>
        <v>0</v>
      </c>
      <c r="E25" s="3">
        <f>ELEC!Q26</f>
        <v>0</v>
      </c>
      <c r="F25" s="3">
        <f>GEN!Z25</f>
        <v>0</v>
      </c>
      <c r="G25" s="3">
        <f>WATER!C28+WATER!H28</f>
        <v>0</v>
      </c>
      <c r="H25" s="3">
        <f>WATER!L28</f>
        <v>0</v>
      </c>
      <c r="I25" s="15">
        <f>WATER!BC28+WATER!BD28+WATER!BE29-Sheet1!G25</f>
        <v>0</v>
      </c>
      <c r="J25" s="9">
        <f>'B5'!A27</f>
        <v>44035</v>
      </c>
    </row>
    <row r="26" spans="1:10">
      <c r="A26" s="3">
        <f>ELEC!T27+ELEC!X27+ELEC!AB27</f>
        <v>0</v>
      </c>
      <c r="B26" s="3">
        <f>ELEC!AF27</f>
        <v>0</v>
      </c>
      <c r="C26" s="3">
        <f>ELEC!N27</f>
        <v>0</v>
      </c>
      <c r="D26" s="3">
        <f t="shared" si="0"/>
        <v>0</v>
      </c>
      <c r="E26" s="3">
        <f>ELEC!Q27</f>
        <v>0</v>
      </c>
      <c r="F26" s="3">
        <f>GEN!Z26</f>
        <v>0</v>
      </c>
      <c r="G26" s="3">
        <f>WATER!C29+WATER!H29</f>
        <v>0</v>
      </c>
      <c r="H26" s="3">
        <f>WATER!L29</f>
        <v>0</v>
      </c>
      <c r="I26" s="15">
        <f>WATER!BC29+WATER!BD29+WATER!BE30-Sheet1!G26</f>
        <v>0</v>
      </c>
      <c r="J26" s="9">
        <f>'B5'!A28</f>
        <v>44036</v>
      </c>
    </row>
    <row r="27" spans="1:10">
      <c r="A27" s="3">
        <f>ELEC!T28+ELEC!X28+ELEC!AB28</f>
        <v>0</v>
      </c>
      <c r="B27" s="3">
        <f>ELEC!AF28</f>
        <v>0</v>
      </c>
      <c r="C27" s="3">
        <f>ELEC!N28</f>
        <v>0</v>
      </c>
      <c r="D27" s="3">
        <f t="shared" si="0"/>
        <v>0</v>
      </c>
      <c r="E27" s="3">
        <f>ELEC!Q28</f>
        <v>0</v>
      </c>
      <c r="F27" s="3">
        <f>GEN!Z27</f>
        <v>0</v>
      </c>
      <c r="G27" s="3">
        <f>WATER!C30+WATER!H30</f>
        <v>0</v>
      </c>
      <c r="H27" s="3">
        <f>WATER!L30</f>
        <v>0</v>
      </c>
      <c r="I27" s="15">
        <f>WATER!BC30+WATER!BD30+WATER!BE31-Sheet1!G27</f>
        <v>0</v>
      </c>
      <c r="J27" s="9">
        <f>'B5'!A29</f>
        <v>44037</v>
      </c>
    </row>
    <row r="28" spans="1:10">
      <c r="A28" s="3">
        <f>ELEC!T29+ELEC!X29+ELEC!AB29</f>
        <v>0</v>
      </c>
      <c r="B28" s="3">
        <f>ELEC!AF29</f>
        <v>0</v>
      </c>
      <c r="C28" s="3">
        <f>ELEC!N29</f>
        <v>0</v>
      </c>
      <c r="D28" s="3">
        <f t="shared" si="0"/>
        <v>0</v>
      </c>
      <c r="E28" s="3">
        <f>ELEC!Q29</f>
        <v>0</v>
      </c>
      <c r="F28" s="3">
        <f>GEN!Z28</f>
        <v>0</v>
      </c>
      <c r="G28" s="3">
        <f>WATER!C31+WATER!H31</f>
        <v>0</v>
      </c>
      <c r="H28" s="3">
        <f>WATER!L31</f>
        <v>0</v>
      </c>
      <c r="I28" s="15">
        <f>WATER!BC31+WATER!BD31+WATER!BE32-Sheet1!G28</f>
        <v>0</v>
      </c>
      <c r="J28" s="9">
        <f>'B5'!A30</f>
        <v>44038</v>
      </c>
    </row>
    <row r="29" spans="1:10">
      <c r="A29" s="3">
        <f>ELEC!T30+ELEC!X30+ELEC!AB30</f>
        <v>0</v>
      </c>
      <c r="B29" s="3">
        <f>ELEC!AF30</f>
        <v>0</v>
      </c>
      <c r="C29" s="3">
        <f>ELEC!N30</f>
        <v>0</v>
      </c>
      <c r="D29" s="3">
        <f t="shared" si="0"/>
        <v>0</v>
      </c>
      <c r="E29" s="3">
        <f>ELEC!Q30</f>
        <v>0</v>
      </c>
      <c r="F29" s="3">
        <f>GEN!Z29</f>
        <v>0</v>
      </c>
      <c r="G29" s="3">
        <f>WATER!C32+WATER!H32</f>
        <v>0</v>
      </c>
      <c r="H29" s="3">
        <f>WATER!L32</f>
        <v>0</v>
      </c>
      <c r="I29" s="15">
        <f>WATER!BC32+WATER!BD32+WATER!BE33-Sheet1!G29</f>
        <v>0</v>
      </c>
      <c r="J29" s="9">
        <f>'B5'!A31</f>
        <v>44039</v>
      </c>
    </row>
    <row r="30" spans="1:10">
      <c r="A30" s="3" t="e">
        <f>ELEC!T31+ELEC!X31+ELEC!#REF!</f>
        <v>#REF!</v>
      </c>
      <c r="B30" s="3">
        <f>ELEC!AF31</f>
        <v>0</v>
      </c>
      <c r="C30" s="3">
        <f>ELEC!N31</f>
        <v>0</v>
      </c>
      <c r="D30" s="3">
        <f t="shared" si="0"/>
        <v>0</v>
      </c>
      <c r="E30" s="3">
        <f>ELEC!Q31</f>
        <v>0</v>
      </c>
      <c r="F30" s="3">
        <f>GEN!Z30</f>
        <v>0</v>
      </c>
      <c r="G30" s="3">
        <f>WATER!C33+WATER!H33</f>
        <v>0</v>
      </c>
      <c r="H30" s="3">
        <f>WATER!L33</f>
        <v>0</v>
      </c>
      <c r="I30" s="15">
        <f>WATER!BC33+WATER!BD33+WATER!BE34-Sheet1!G30</f>
        <v>0</v>
      </c>
      <c r="J30" s="9">
        <f>'B5'!A32</f>
        <v>44040</v>
      </c>
    </row>
    <row r="31" spans="1:10">
      <c r="A31" s="3">
        <f>ELEC!T32+ELEC!X32+ELEC!AB31</f>
        <v>0</v>
      </c>
      <c r="B31" s="3">
        <f>ELEC!AF32</f>
        <v>0</v>
      </c>
      <c r="C31" s="3">
        <f>ELEC!N32</f>
        <v>0</v>
      </c>
      <c r="D31" s="3">
        <f>C31-E31</f>
        <v>0</v>
      </c>
      <c r="E31" s="3">
        <f>ELEC!Q32</f>
        <v>0</v>
      </c>
      <c r="F31" s="3">
        <f>GEN!Z31</f>
        <v>0</v>
      </c>
      <c r="G31" s="3">
        <f>WATER!C34+WATER!H34</f>
        <v>0</v>
      </c>
      <c r="H31" s="3">
        <f>WATER!L34</f>
        <v>0</v>
      </c>
      <c r="I31" s="15">
        <f>WATER!BC34+WATER!BD34+WATER!BE35-Sheet1!G31</f>
        <v>0</v>
      </c>
      <c r="J31" s="9">
        <f>'B5'!A33</f>
        <v>44041</v>
      </c>
    </row>
    <row r="32" spans="1:10">
      <c r="A32" s="3" t="e">
        <f>ELEC!#REF!+ELEC!#REF!+ELEC!#REF!</f>
        <v>#REF!</v>
      </c>
      <c r="B32" s="3" t="e">
        <f>ELEC!#REF!</f>
        <v>#REF!</v>
      </c>
      <c r="C32" s="3" t="e">
        <f>ELEC!#REF!</f>
        <v>#REF!</v>
      </c>
      <c r="D32" s="3" t="e">
        <f>C32-E32</f>
        <v>#REF!</v>
      </c>
      <c r="E32" s="3" t="e">
        <f>ELEC!#REF!</f>
        <v>#REF!</v>
      </c>
      <c r="F32" s="3" t="e">
        <f>GEN!#REF!</f>
        <v>#REF!</v>
      </c>
      <c r="G32" s="3" t="e">
        <f>WATER!#REF!+WATER!#REF!</f>
        <v>#REF!</v>
      </c>
      <c r="H32" s="3" t="e">
        <f>WATER!#REF!</f>
        <v>#REF!</v>
      </c>
      <c r="I32" s="15" t="e">
        <f>WATER!#REF!+WATER!#REF!+WATER!BE37-Sheet1!G32</f>
        <v>#REF!</v>
      </c>
      <c r="J32" s="9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N34"/>
  <sheetViews>
    <sheetView zoomScale="115" zoomScaleNormal="115" workbookViewId="0">
      <selection activeCell="B4" sqref="B4"/>
    </sheetView>
  </sheetViews>
  <sheetFormatPr defaultRowHeight="15"/>
  <cols>
    <col min="1" max="1" width="10.7109375" style="41" bestFit="1" customWidth="1"/>
    <col min="2" max="2" width="11.28515625" bestFit="1" customWidth="1"/>
    <col min="3" max="3" width="12.28515625" customWidth="1"/>
    <col min="4" max="4" width="11.5703125" customWidth="1"/>
    <col min="5" max="5" width="12.42578125" bestFit="1" customWidth="1"/>
    <col min="6" max="6" width="8.85546875" customWidth="1"/>
    <col min="7" max="7" width="15.140625" style="74" customWidth="1"/>
    <col min="8" max="8" width="11.140625" bestFit="1" customWidth="1"/>
    <col min="9" max="9" width="12.140625" customWidth="1"/>
    <col min="10" max="10" width="8.5703125" bestFit="1" customWidth="1"/>
    <col min="13" max="13" width="9.28515625" customWidth="1"/>
  </cols>
  <sheetData>
    <row r="1" spans="1:14">
      <c r="A1" s="645"/>
      <c r="B1" s="642" t="s">
        <v>119</v>
      </c>
      <c r="C1" s="642" t="s">
        <v>118</v>
      </c>
      <c r="D1" s="647" t="s">
        <v>113</v>
      </c>
      <c r="E1" s="647" t="s">
        <v>114</v>
      </c>
      <c r="F1" s="648" t="s">
        <v>120</v>
      </c>
      <c r="G1" s="649" t="s">
        <v>75</v>
      </c>
      <c r="H1" s="650" t="s">
        <v>115</v>
      </c>
      <c r="I1" s="651" t="s">
        <v>116</v>
      </c>
      <c r="J1" s="650" t="s">
        <v>117</v>
      </c>
      <c r="K1" s="644" t="s">
        <v>121</v>
      </c>
      <c r="L1" s="644" t="s">
        <v>122</v>
      </c>
      <c r="M1" s="644" t="s">
        <v>123</v>
      </c>
      <c r="N1" s="644" t="s">
        <v>124</v>
      </c>
    </row>
    <row r="2" spans="1:14">
      <c r="A2" s="646"/>
      <c r="B2" s="643"/>
      <c r="C2" s="643"/>
      <c r="D2" s="647"/>
      <c r="E2" s="647"/>
      <c r="F2" s="648"/>
      <c r="G2" s="649"/>
      <c r="H2" s="650"/>
      <c r="I2" s="652"/>
      <c r="J2" s="650"/>
      <c r="K2" s="644"/>
      <c r="L2" s="644"/>
      <c r="M2" s="644"/>
      <c r="N2" s="644"/>
    </row>
    <row r="3" spans="1:14">
      <c r="A3" s="43"/>
      <c r="B3" s="76">
        <f>'B5'!V3</f>
        <v>0</v>
      </c>
      <c r="C3" s="76">
        <f>'B5'!AH3</f>
        <v>0</v>
      </c>
      <c r="D3" s="76"/>
      <c r="E3" s="77">
        <f>B3+C3+D3</f>
        <v>0</v>
      </c>
      <c r="F3" s="75"/>
      <c r="G3" s="78"/>
      <c r="H3" s="79"/>
      <c r="I3" s="79"/>
      <c r="J3" s="79"/>
      <c r="K3" s="3"/>
      <c r="L3" s="3"/>
      <c r="M3" s="3"/>
      <c r="N3" s="3"/>
    </row>
    <row r="4" spans="1:14">
      <c r="A4" s="63">
        <v>42704</v>
      </c>
      <c r="B4" s="268">
        <v>810</v>
      </c>
      <c r="C4" s="268">
        <v>-606.10000000000582</v>
      </c>
      <c r="D4" s="268">
        <v>1420.5021097047013</v>
      </c>
      <c r="E4" s="268">
        <v>1624.4021097046955</v>
      </c>
      <c r="F4" s="268">
        <v>106</v>
      </c>
      <c r="G4" s="268">
        <v>-58.399999999999977</v>
      </c>
      <c r="H4" s="268">
        <v>6284</v>
      </c>
      <c r="I4" s="268">
        <v>2398.9999999994325</v>
      </c>
      <c r="J4" s="268">
        <v>23932.000000000568</v>
      </c>
      <c r="K4" s="268">
        <v>0</v>
      </c>
      <c r="L4" s="268">
        <v>0</v>
      </c>
      <c r="M4" s="268">
        <v>0</v>
      </c>
      <c r="N4" s="268">
        <v>0</v>
      </c>
    </row>
    <row r="5" spans="1:14">
      <c r="A5" s="63">
        <f>'B5'!A5</f>
        <v>44013</v>
      </c>
      <c r="B5" s="76">
        <f>'B5'!V5</f>
        <v>417</v>
      </c>
      <c r="C5" s="76">
        <f>'B5'!AH5</f>
        <v>0</v>
      </c>
      <c r="D5" s="76">
        <f>GEN!AI3</f>
        <v>3603.3755274261607</v>
      </c>
      <c r="E5" s="247">
        <f t="shared" ref="E5:E33" si="0">B5+C5+D5</f>
        <v>4020.3755274261607</v>
      </c>
      <c r="F5" s="75">
        <f>WATER!L5</f>
        <v>10</v>
      </c>
      <c r="G5" s="78">
        <f>WATER!BG5</f>
        <v>180.2</v>
      </c>
      <c r="H5" s="79">
        <f>ELEC!AF3</f>
        <v>3740</v>
      </c>
      <c r="I5" s="79">
        <f>ELEC!Q3</f>
        <v>14000</v>
      </c>
      <c r="J5" s="79">
        <f>ELEC!R3</f>
        <v>4028</v>
      </c>
      <c r="K5" s="80"/>
      <c r="L5" s="3"/>
      <c r="M5" s="3"/>
      <c r="N5" s="3"/>
    </row>
    <row r="6" spans="1:14">
      <c r="A6" s="63">
        <f>'B5'!A6</f>
        <v>44014</v>
      </c>
      <c r="B6" s="76">
        <f>'B5'!V6</f>
        <v>465</v>
      </c>
      <c r="C6" s="76">
        <f>'B5'!AH6</f>
        <v>270</v>
      </c>
      <c r="D6" s="76">
        <f>GEN!AI4</f>
        <v>3345.9915611814349</v>
      </c>
      <c r="E6" s="247">
        <f t="shared" si="0"/>
        <v>4080.9915611814349</v>
      </c>
      <c r="F6" s="75">
        <f>WATER!L6</f>
        <v>0</v>
      </c>
      <c r="G6" s="78">
        <f>WATER!BG6</f>
        <v>-75.199999999999989</v>
      </c>
      <c r="H6" s="79">
        <f>ELEC!AF4</f>
        <v>5028</v>
      </c>
      <c r="I6" s="79">
        <f>ELEC!Q4</f>
        <v>13000</v>
      </c>
      <c r="J6" s="79">
        <f>ELEC!R4</f>
        <v>5859</v>
      </c>
      <c r="K6" s="3"/>
      <c r="L6" s="3"/>
      <c r="M6" s="3"/>
      <c r="N6" s="3"/>
    </row>
    <row r="7" spans="1:14">
      <c r="A7" s="63">
        <f>'B5'!A7</f>
        <v>44015</v>
      </c>
      <c r="B7" s="76">
        <f>'B5'!V7</f>
        <v>388</v>
      </c>
      <c r="C7" s="76">
        <f>'B5'!AH7</f>
        <v>0</v>
      </c>
      <c r="D7" s="76">
        <f>GEN!AI5</f>
        <v>3603.3755274261607</v>
      </c>
      <c r="E7" s="247">
        <f t="shared" si="0"/>
        <v>3991.3755274261607</v>
      </c>
      <c r="F7" s="75">
        <f>WATER!L7</f>
        <v>0</v>
      </c>
      <c r="G7" s="78">
        <f>WATER!BG7</f>
        <v>122.19999999999999</v>
      </c>
      <c r="H7" s="79">
        <f>ELEC!AF5</f>
        <v>4928</v>
      </c>
      <c r="I7" s="79">
        <f>ELEC!Q5</f>
        <v>14000</v>
      </c>
      <c r="J7" s="79">
        <f>ELEC!R5</f>
        <v>6891</v>
      </c>
      <c r="K7" s="3"/>
      <c r="L7" s="3"/>
      <c r="M7" s="3"/>
      <c r="N7" s="3"/>
    </row>
    <row r="8" spans="1:14">
      <c r="A8" s="63">
        <f>'B5'!A8</f>
        <v>44016</v>
      </c>
      <c r="B8" s="76">
        <f>'B5'!V8</f>
        <v>534</v>
      </c>
      <c r="C8" s="76">
        <f>'B5'!AH8</f>
        <v>0</v>
      </c>
      <c r="D8" s="76">
        <f>GEN!AI6</f>
        <v>4118.1434599156119</v>
      </c>
      <c r="E8" s="247">
        <f t="shared" si="0"/>
        <v>4652.1434599156119</v>
      </c>
      <c r="F8" s="75">
        <f>WATER!L8</f>
        <v>2</v>
      </c>
      <c r="G8" s="78">
        <f>WATER!BG8</f>
        <v>-65.199999999999974</v>
      </c>
      <c r="H8" s="79">
        <f>ELEC!AF6</f>
        <v>4443</v>
      </c>
      <c r="I8" s="79">
        <f>ELEC!Q6</f>
        <v>16000</v>
      </c>
      <c r="J8" s="79">
        <f>ELEC!R6</f>
        <v>2152</v>
      </c>
      <c r="K8" s="3"/>
      <c r="L8" s="3"/>
      <c r="M8" s="3"/>
      <c r="N8" s="3"/>
    </row>
    <row r="9" spans="1:14">
      <c r="A9" s="63">
        <f>'B5'!A9</f>
        <v>44017</v>
      </c>
      <c r="B9" s="76">
        <f>'B5'!V9</f>
        <v>338</v>
      </c>
      <c r="C9" s="76">
        <f>'B5'!AH9</f>
        <v>0</v>
      </c>
      <c r="D9" s="76">
        <f>GEN!AI7</f>
        <v>3860.7594936708865</v>
      </c>
      <c r="E9" s="247">
        <f t="shared" si="0"/>
        <v>4198.7594936708865</v>
      </c>
      <c r="F9" s="75">
        <f>WATER!L9</f>
        <v>10</v>
      </c>
      <c r="G9" s="78">
        <f>WATER!BG9</f>
        <v>204.3</v>
      </c>
      <c r="H9" s="79">
        <f>ELEC!AF7</f>
        <v>4985</v>
      </c>
      <c r="I9" s="79">
        <f>ELEC!Q7</f>
        <v>15000</v>
      </c>
      <c r="J9" s="79">
        <f>ELEC!R7</f>
        <v>3161</v>
      </c>
      <c r="K9" s="3"/>
      <c r="L9" s="3"/>
      <c r="M9" s="3"/>
      <c r="N9" s="3"/>
    </row>
    <row r="10" spans="1:14">
      <c r="A10" s="63">
        <f>'B5'!A10</f>
        <v>44018</v>
      </c>
      <c r="B10" s="76">
        <f>'B5'!V10</f>
        <v>246</v>
      </c>
      <c r="C10" s="76">
        <f>'B5'!AH10</f>
        <v>184</v>
      </c>
      <c r="D10" s="76">
        <f>GEN!AI8</f>
        <v>4632.9113924050635</v>
      </c>
      <c r="E10" s="247">
        <f t="shared" si="0"/>
        <v>5062.9113924050635</v>
      </c>
      <c r="F10" s="75">
        <f>WATER!L10</f>
        <v>8</v>
      </c>
      <c r="G10" s="78">
        <f>WATER!BG10</f>
        <v>-17.400000000000063</v>
      </c>
      <c r="H10" s="79">
        <f>ELEC!AF8</f>
        <v>5022</v>
      </c>
      <c r="I10" s="79">
        <f>ELEC!Q8</f>
        <v>18000</v>
      </c>
      <c r="J10" s="79">
        <f>ELEC!R8</f>
        <v>2764</v>
      </c>
      <c r="K10" s="3"/>
      <c r="L10" s="3"/>
      <c r="M10" s="3"/>
      <c r="N10" s="3"/>
    </row>
    <row r="11" spans="1:14">
      <c r="A11" s="63">
        <f>'B5'!A11</f>
        <v>44019</v>
      </c>
      <c r="B11" s="76">
        <f>'B5'!V11</f>
        <v>657</v>
      </c>
      <c r="C11" s="76">
        <f>'B5'!AH11</f>
        <v>0</v>
      </c>
      <c r="D11" s="76">
        <f>GEN!AI9</f>
        <v>3860.7594936708865</v>
      </c>
      <c r="E11" s="247">
        <f t="shared" si="0"/>
        <v>4517.7594936708865</v>
      </c>
      <c r="F11" s="75">
        <f>WATER!L11</f>
        <v>6</v>
      </c>
      <c r="G11" s="78">
        <f>WATER!BG11</f>
        <v>46.900000000000034</v>
      </c>
      <c r="H11" s="79">
        <f>ELEC!AF9</f>
        <v>5810</v>
      </c>
      <c r="I11" s="79">
        <f>ELEC!Q9</f>
        <v>15000</v>
      </c>
      <c r="J11" s="79">
        <f>ELEC!R9</f>
        <v>5479</v>
      </c>
      <c r="K11" s="3"/>
      <c r="L11" s="3"/>
      <c r="M11" s="3"/>
      <c r="N11" s="3"/>
    </row>
    <row r="12" spans="1:14">
      <c r="A12" s="63">
        <f>'B5'!A12</f>
        <v>44020</v>
      </c>
      <c r="B12" s="76">
        <f>'B5'!V12</f>
        <v>232</v>
      </c>
      <c r="C12" s="76">
        <f>'B5'!AH12</f>
        <v>280</v>
      </c>
      <c r="D12" s="76">
        <f>GEN!AI10</f>
        <v>3860.7594936708865</v>
      </c>
      <c r="E12" s="247">
        <f t="shared" si="0"/>
        <v>4372.7594936708865</v>
      </c>
      <c r="F12" s="75">
        <f>WATER!L12</f>
        <v>8</v>
      </c>
      <c r="G12" s="78">
        <f>WATER!BG12</f>
        <v>-60.600000000000023</v>
      </c>
      <c r="H12" s="79">
        <f>ELEC!AF10</f>
        <v>5634</v>
      </c>
      <c r="I12" s="79">
        <f>ELEC!Q10</f>
        <v>15000</v>
      </c>
      <c r="J12" s="79">
        <f>ELEC!R10</f>
        <v>8543</v>
      </c>
      <c r="K12" s="3"/>
      <c r="L12" s="3"/>
      <c r="M12" s="3"/>
      <c r="N12" s="3"/>
    </row>
    <row r="13" spans="1:14">
      <c r="A13" s="63">
        <f>'B5'!A13</f>
        <v>44021</v>
      </c>
      <c r="B13" s="76">
        <f>'B5'!V13</f>
        <v>0</v>
      </c>
      <c r="C13" s="76">
        <f>'B5'!AH13</f>
        <v>0</v>
      </c>
      <c r="D13" s="76">
        <f>GEN!AI11</f>
        <v>0</v>
      </c>
      <c r="E13" s="247">
        <f t="shared" si="0"/>
        <v>0</v>
      </c>
      <c r="F13" s="75">
        <f>WATER!L13</f>
        <v>5</v>
      </c>
      <c r="G13" s="78">
        <f>WATER!BG13</f>
        <v>0</v>
      </c>
      <c r="H13" s="79">
        <f>ELEC!AF11</f>
        <v>0</v>
      </c>
      <c r="I13" s="79">
        <f>ELEC!Q11</f>
        <v>0</v>
      </c>
      <c r="J13" s="79">
        <f>ELEC!R11</f>
        <v>0</v>
      </c>
      <c r="K13" s="3"/>
      <c r="L13" s="3"/>
      <c r="M13" s="3"/>
      <c r="N13" s="3"/>
    </row>
    <row r="14" spans="1:14">
      <c r="A14" s="63">
        <f>'B5'!A14</f>
        <v>44022</v>
      </c>
      <c r="B14" s="76">
        <f>'B5'!V14</f>
        <v>0</v>
      </c>
      <c r="C14" s="76">
        <f>'B5'!AH14</f>
        <v>0</v>
      </c>
      <c r="D14" s="76">
        <f>GEN!AI12</f>
        <v>0</v>
      </c>
      <c r="E14" s="247">
        <f t="shared" si="0"/>
        <v>0</v>
      </c>
      <c r="F14" s="75">
        <f>WATER!L14</f>
        <v>0</v>
      </c>
      <c r="G14" s="78">
        <f>WATER!BG14</f>
        <v>0</v>
      </c>
      <c r="H14" s="79">
        <f>ELEC!AF12</f>
        <v>0</v>
      </c>
      <c r="I14" s="79">
        <f>ELEC!Q12</f>
        <v>0</v>
      </c>
      <c r="J14" s="79">
        <f>ELEC!R12</f>
        <v>0</v>
      </c>
      <c r="K14" s="3"/>
      <c r="L14" s="3"/>
      <c r="M14" s="3"/>
      <c r="N14" s="3"/>
    </row>
    <row r="15" spans="1:14">
      <c r="A15" s="63">
        <f>'B5'!A15</f>
        <v>44023</v>
      </c>
      <c r="B15" s="76">
        <f>'B5'!V15</f>
        <v>0</v>
      </c>
      <c r="C15" s="76">
        <f>'B5'!AH15</f>
        <v>0</v>
      </c>
      <c r="D15" s="76">
        <f>GEN!AI13</f>
        <v>0</v>
      </c>
      <c r="E15" s="247">
        <f t="shared" si="0"/>
        <v>0</v>
      </c>
      <c r="F15" s="75">
        <f>WATER!L15</f>
        <v>0</v>
      </c>
      <c r="G15" s="78">
        <f>WATER!BG15</f>
        <v>0</v>
      </c>
      <c r="H15" s="79">
        <f>ELEC!AF13</f>
        <v>0</v>
      </c>
      <c r="I15" s="79">
        <f>ELEC!Q13</f>
        <v>0</v>
      </c>
      <c r="J15" s="79">
        <f>ELEC!R13</f>
        <v>0</v>
      </c>
      <c r="K15" s="3"/>
      <c r="L15" s="3"/>
      <c r="M15" s="3"/>
      <c r="N15" s="3"/>
    </row>
    <row r="16" spans="1:14">
      <c r="A16" s="63">
        <f>'B5'!A16</f>
        <v>44024</v>
      </c>
      <c r="B16" s="76">
        <f>'B5'!V16</f>
        <v>0</v>
      </c>
      <c r="C16" s="76">
        <f>'B5'!AH16</f>
        <v>0</v>
      </c>
      <c r="D16" s="76">
        <f>GEN!AI14</f>
        <v>0</v>
      </c>
      <c r="E16" s="247">
        <f t="shared" si="0"/>
        <v>0</v>
      </c>
      <c r="F16" s="75">
        <f>WATER!L16</f>
        <v>0</v>
      </c>
      <c r="G16" s="78">
        <f>WATER!BG16</f>
        <v>0</v>
      </c>
      <c r="H16" s="79">
        <f>ELEC!AF14</f>
        <v>0</v>
      </c>
      <c r="I16" s="79">
        <f>ELEC!Q14</f>
        <v>0</v>
      </c>
      <c r="J16" s="79">
        <f>ELEC!R14</f>
        <v>0</v>
      </c>
      <c r="K16" s="3"/>
      <c r="L16" s="3"/>
      <c r="M16" s="3"/>
      <c r="N16" s="3"/>
    </row>
    <row r="17" spans="1:14">
      <c r="A17" s="63">
        <f>'B5'!A17</f>
        <v>44025</v>
      </c>
      <c r="B17" s="76">
        <f>'B5'!V17</f>
        <v>0</v>
      </c>
      <c r="C17" s="76">
        <f>'B5'!AH17</f>
        <v>0</v>
      </c>
      <c r="D17" s="76">
        <f>GEN!AI15</f>
        <v>0</v>
      </c>
      <c r="E17" s="247">
        <f t="shared" si="0"/>
        <v>0</v>
      </c>
      <c r="F17" s="75">
        <f>WATER!L17</f>
        <v>0</v>
      </c>
      <c r="G17" s="78">
        <f>WATER!BG17</f>
        <v>0</v>
      </c>
      <c r="H17" s="79">
        <f>ELEC!AF15</f>
        <v>0</v>
      </c>
      <c r="I17" s="79">
        <f>ELEC!Q15</f>
        <v>0</v>
      </c>
      <c r="J17" s="79">
        <f>ELEC!R15</f>
        <v>0</v>
      </c>
      <c r="K17" s="3"/>
      <c r="L17" s="3"/>
      <c r="M17" s="3"/>
      <c r="N17" s="3"/>
    </row>
    <row r="18" spans="1:14">
      <c r="A18" s="63">
        <f>'B5'!A18</f>
        <v>44026</v>
      </c>
      <c r="B18" s="76">
        <f>'B5'!V18</f>
        <v>0</v>
      </c>
      <c r="C18" s="76">
        <f>'B5'!AH18</f>
        <v>0</v>
      </c>
      <c r="D18" s="76">
        <f>GEN!AI16</f>
        <v>0</v>
      </c>
      <c r="E18" s="247">
        <f t="shared" si="0"/>
        <v>0</v>
      </c>
      <c r="F18" s="75">
        <f>WATER!L18</f>
        <v>0</v>
      </c>
      <c r="G18" s="78">
        <f>WATER!BG18</f>
        <v>0</v>
      </c>
      <c r="H18" s="79">
        <f>ELEC!AF16</f>
        <v>0</v>
      </c>
      <c r="I18" s="79">
        <f>ELEC!Q16</f>
        <v>0</v>
      </c>
      <c r="J18" s="79">
        <f>ELEC!R16</f>
        <v>0</v>
      </c>
      <c r="K18" s="3"/>
      <c r="L18" s="3"/>
      <c r="M18" s="3"/>
      <c r="N18" s="3"/>
    </row>
    <row r="19" spans="1:14">
      <c r="A19" s="63">
        <f>'B5'!A19</f>
        <v>44027</v>
      </c>
      <c r="B19" s="76">
        <f>'B5'!V19</f>
        <v>0</v>
      </c>
      <c r="C19" s="76">
        <f>'B5'!AH19</f>
        <v>0</v>
      </c>
      <c r="D19" s="76">
        <f>GEN!AI17</f>
        <v>0</v>
      </c>
      <c r="E19" s="247">
        <f t="shared" si="0"/>
        <v>0</v>
      </c>
      <c r="F19" s="75">
        <f>WATER!L19</f>
        <v>0</v>
      </c>
      <c r="G19" s="78">
        <f>WATER!BG19</f>
        <v>0</v>
      </c>
      <c r="H19" s="79">
        <f>ELEC!AF17</f>
        <v>0</v>
      </c>
      <c r="I19" s="79">
        <f>ELEC!Q17</f>
        <v>0</v>
      </c>
      <c r="J19" s="79">
        <f>ELEC!R17</f>
        <v>0</v>
      </c>
      <c r="K19" s="3"/>
      <c r="L19" s="3"/>
      <c r="M19" s="3"/>
      <c r="N19" s="3"/>
    </row>
    <row r="20" spans="1:14">
      <c r="A20" s="63">
        <f>'B5'!A20</f>
        <v>44028</v>
      </c>
      <c r="B20" s="76">
        <f>'B5'!V20</f>
        <v>0</v>
      </c>
      <c r="C20" s="76">
        <f>'B5'!AH20</f>
        <v>0</v>
      </c>
      <c r="D20" s="76">
        <f>GEN!AI18</f>
        <v>0</v>
      </c>
      <c r="E20" s="247">
        <f t="shared" si="0"/>
        <v>0</v>
      </c>
      <c r="F20" s="75">
        <f>WATER!L20</f>
        <v>0</v>
      </c>
      <c r="G20" s="78">
        <f>WATER!BG20</f>
        <v>0</v>
      </c>
      <c r="H20" s="79">
        <f>ELEC!AF18</f>
        <v>0</v>
      </c>
      <c r="I20" s="79">
        <f>ELEC!Q18</f>
        <v>0</v>
      </c>
      <c r="J20" s="79">
        <f>ELEC!R18</f>
        <v>0</v>
      </c>
      <c r="K20" s="3"/>
      <c r="L20" s="3"/>
      <c r="M20" s="3"/>
      <c r="N20" s="3"/>
    </row>
    <row r="21" spans="1:14">
      <c r="A21" s="63">
        <f>'B5'!A21</f>
        <v>44029</v>
      </c>
      <c r="B21" s="76">
        <f>'B5'!V21</f>
        <v>0</v>
      </c>
      <c r="C21" s="76">
        <f>'B5'!AH21</f>
        <v>0</v>
      </c>
      <c r="D21" s="76">
        <f>GEN!AI19</f>
        <v>0</v>
      </c>
      <c r="E21" s="247">
        <f t="shared" si="0"/>
        <v>0</v>
      </c>
      <c r="F21" s="75">
        <f>WATER!L21</f>
        <v>0</v>
      </c>
      <c r="G21" s="78">
        <f>WATER!BG21</f>
        <v>0</v>
      </c>
      <c r="H21" s="79">
        <f>ELEC!AF19</f>
        <v>0</v>
      </c>
      <c r="I21" s="79">
        <f>ELEC!Q19</f>
        <v>0</v>
      </c>
      <c r="J21" s="79">
        <f>ELEC!R19</f>
        <v>0</v>
      </c>
      <c r="K21" s="3"/>
      <c r="L21" s="3"/>
      <c r="M21" s="3"/>
      <c r="N21" s="3"/>
    </row>
    <row r="22" spans="1:14">
      <c r="A22" s="63">
        <f>'B5'!A22</f>
        <v>44030</v>
      </c>
      <c r="B22" s="76">
        <f>'B5'!V22</f>
        <v>0</v>
      </c>
      <c r="C22" s="76">
        <f>'B5'!AH22</f>
        <v>0</v>
      </c>
      <c r="D22" s="76">
        <f>GEN!AI20</f>
        <v>0</v>
      </c>
      <c r="E22" s="247">
        <f t="shared" si="0"/>
        <v>0</v>
      </c>
      <c r="F22" s="75">
        <f>WATER!L22</f>
        <v>0</v>
      </c>
      <c r="G22" s="78">
        <f>WATER!BG22</f>
        <v>0</v>
      </c>
      <c r="H22" s="79">
        <f>ELEC!AF20</f>
        <v>0</v>
      </c>
      <c r="I22" s="79">
        <f>ELEC!Q20</f>
        <v>0</v>
      </c>
      <c r="J22" s="79">
        <f>ELEC!R20</f>
        <v>0</v>
      </c>
      <c r="K22" s="3"/>
      <c r="L22" s="3"/>
      <c r="M22" s="3"/>
      <c r="N22" s="3"/>
    </row>
    <row r="23" spans="1:14">
      <c r="A23" s="63">
        <f>'B5'!A23</f>
        <v>44031</v>
      </c>
      <c r="B23" s="76">
        <f>'B5'!V23</f>
        <v>0</v>
      </c>
      <c r="C23" s="76">
        <f>'B5'!AH23</f>
        <v>0</v>
      </c>
      <c r="D23" s="76">
        <f>GEN!AI21</f>
        <v>0</v>
      </c>
      <c r="E23" s="247">
        <f t="shared" si="0"/>
        <v>0</v>
      </c>
      <c r="F23" s="75">
        <f>WATER!L23</f>
        <v>0</v>
      </c>
      <c r="G23" s="78">
        <f>WATER!BG23</f>
        <v>0</v>
      </c>
      <c r="H23" s="79">
        <f>ELEC!AF21</f>
        <v>0</v>
      </c>
      <c r="I23" s="79">
        <f>ELEC!Q21</f>
        <v>0</v>
      </c>
      <c r="J23" s="79">
        <f>ELEC!R21</f>
        <v>0</v>
      </c>
      <c r="K23" s="3"/>
      <c r="L23" s="3"/>
      <c r="M23" s="3"/>
      <c r="N23" s="3"/>
    </row>
    <row r="24" spans="1:14">
      <c r="A24" s="63">
        <f>'B5'!A24</f>
        <v>44032</v>
      </c>
      <c r="B24" s="76">
        <f>'B5'!V24</f>
        <v>0</v>
      </c>
      <c r="C24" s="76">
        <f>'B5'!AH24</f>
        <v>0</v>
      </c>
      <c r="D24" s="76">
        <f>GEN!AI22</f>
        <v>0</v>
      </c>
      <c r="E24" s="247">
        <f t="shared" si="0"/>
        <v>0</v>
      </c>
      <c r="F24" s="75">
        <f>WATER!L24</f>
        <v>0</v>
      </c>
      <c r="G24" s="78">
        <f>WATER!BG24</f>
        <v>0</v>
      </c>
      <c r="H24" s="79">
        <f>ELEC!AF22</f>
        <v>0</v>
      </c>
      <c r="I24" s="79">
        <f>ELEC!Q22</f>
        <v>0</v>
      </c>
      <c r="J24" s="79">
        <f>ELEC!R22</f>
        <v>0</v>
      </c>
      <c r="K24" s="3"/>
      <c r="L24" s="3"/>
      <c r="M24" s="3"/>
      <c r="N24" s="3"/>
    </row>
    <row r="25" spans="1:14">
      <c r="A25" s="63">
        <f>'B5'!A25</f>
        <v>44033</v>
      </c>
      <c r="B25" s="76">
        <f>'B5'!V25</f>
        <v>0</v>
      </c>
      <c r="C25" s="76">
        <f>'B5'!AH25</f>
        <v>0</v>
      </c>
      <c r="D25" s="76">
        <f>GEN!AI23</f>
        <v>0</v>
      </c>
      <c r="E25" s="247">
        <f t="shared" si="0"/>
        <v>0</v>
      </c>
      <c r="F25" s="75">
        <f>WATER!L25</f>
        <v>0</v>
      </c>
      <c r="G25" s="78">
        <f>WATER!BG25</f>
        <v>0</v>
      </c>
      <c r="H25" s="79">
        <f>ELEC!AF23</f>
        <v>0</v>
      </c>
      <c r="I25" s="79">
        <f>ELEC!Q23</f>
        <v>0</v>
      </c>
      <c r="J25" s="79">
        <f>ELEC!R23</f>
        <v>0</v>
      </c>
      <c r="K25" s="3"/>
      <c r="L25" s="3"/>
      <c r="M25" s="3"/>
      <c r="N25" s="3"/>
    </row>
    <row r="26" spans="1:14">
      <c r="A26" s="63">
        <f>'B5'!A26</f>
        <v>44034</v>
      </c>
      <c r="B26" s="76">
        <f>'B5'!V26</f>
        <v>0</v>
      </c>
      <c r="C26" s="76">
        <f>'B5'!AH26</f>
        <v>0</v>
      </c>
      <c r="D26" s="76">
        <f>GEN!AI24</f>
        <v>0</v>
      </c>
      <c r="E26" s="247">
        <f t="shared" si="0"/>
        <v>0</v>
      </c>
      <c r="F26" s="75">
        <f>WATER!L26</f>
        <v>0</v>
      </c>
      <c r="G26" s="78">
        <f>WATER!BG26</f>
        <v>0</v>
      </c>
      <c r="H26" s="79">
        <f>ELEC!AF24</f>
        <v>0</v>
      </c>
      <c r="I26" s="79">
        <f>ELEC!Q24</f>
        <v>0</v>
      </c>
      <c r="J26" s="79">
        <f>ELEC!R24</f>
        <v>0</v>
      </c>
      <c r="K26" s="3"/>
      <c r="L26" s="3"/>
      <c r="M26" s="3"/>
      <c r="N26" s="3"/>
    </row>
    <row r="27" spans="1:14">
      <c r="A27" s="63">
        <f>'B5'!A27</f>
        <v>44035</v>
      </c>
      <c r="B27" s="76">
        <f>'B5'!V27</f>
        <v>0</v>
      </c>
      <c r="C27" s="76">
        <f>'B5'!AH27</f>
        <v>0</v>
      </c>
      <c r="D27" s="76">
        <f>GEN!AI25</f>
        <v>0</v>
      </c>
      <c r="E27" s="247">
        <f t="shared" si="0"/>
        <v>0</v>
      </c>
      <c r="F27" s="75">
        <f>WATER!L27</f>
        <v>0</v>
      </c>
      <c r="G27" s="78">
        <f>WATER!BG27</f>
        <v>0</v>
      </c>
      <c r="H27" s="79">
        <f>ELEC!AF25</f>
        <v>0</v>
      </c>
      <c r="I27" s="79">
        <f>ELEC!Q25</f>
        <v>0</v>
      </c>
      <c r="J27" s="79">
        <f>ELEC!R25</f>
        <v>0</v>
      </c>
      <c r="K27" s="3"/>
      <c r="L27" s="3"/>
      <c r="M27" s="3"/>
      <c r="N27" s="3"/>
    </row>
    <row r="28" spans="1:14">
      <c r="A28" s="63">
        <f>'B5'!A28</f>
        <v>44036</v>
      </c>
      <c r="B28" s="76">
        <f>'B5'!V28</f>
        <v>0</v>
      </c>
      <c r="C28" s="76">
        <f>'B5'!AH28</f>
        <v>0</v>
      </c>
      <c r="D28" s="76">
        <f>GEN!AI26</f>
        <v>0</v>
      </c>
      <c r="E28" s="247">
        <f t="shared" si="0"/>
        <v>0</v>
      </c>
      <c r="F28" s="75">
        <f>WATER!L28</f>
        <v>0</v>
      </c>
      <c r="G28" s="78">
        <f>WATER!BG28</f>
        <v>0</v>
      </c>
      <c r="H28" s="79">
        <f>ELEC!AF26</f>
        <v>0</v>
      </c>
      <c r="I28" s="79">
        <f>ELEC!Q26</f>
        <v>0</v>
      </c>
      <c r="J28" s="79">
        <f>ELEC!R26</f>
        <v>0</v>
      </c>
      <c r="K28" s="3"/>
      <c r="L28" s="3"/>
      <c r="M28" s="3"/>
      <c r="N28" s="3"/>
    </row>
    <row r="29" spans="1:14">
      <c r="A29" s="63">
        <f>'B5'!A29</f>
        <v>44037</v>
      </c>
      <c r="B29" s="76">
        <f>'B5'!V29</f>
        <v>0</v>
      </c>
      <c r="C29" s="76">
        <f>'B5'!AH29</f>
        <v>0</v>
      </c>
      <c r="D29" s="76">
        <f>GEN!AI27</f>
        <v>0</v>
      </c>
      <c r="E29" s="77">
        <f t="shared" si="0"/>
        <v>0</v>
      </c>
      <c r="F29" s="75">
        <f>WATER!L29</f>
        <v>0</v>
      </c>
      <c r="G29" s="78">
        <f>WATER!BG29</f>
        <v>0</v>
      </c>
      <c r="H29" s="79">
        <f>ELEC!AF27</f>
        <v>0</v>
      </c>
      <c r="I29" s="79">
        <f>ELEC!Q27</f>
        <v>0</v>
      </c>
      <c r="J29" s="79">
        <f>ELEC!R27</f>
        <v>0</v>
      </c>
      <c r="K29" s="3"/>
      <c r="L29" s="3"/>
      <c r="M29" s="3"/>
      <c r="N29" s="3"/>
    </row>
    <row r="30" spans="1:14">
      <c r="A30" s="63">
        <f>'B5'!A30</f>
        <v>44038</v>
      </c>
      <c r="B30" s="76">
        <f>'B5'!V30</f>
        <v>0</v>
      </c>
      <c r="C30" s="76">
        <f>'B5'!AH30</f>
        <v>0</v>
      </c>
      <c r="D30" s="76">
        <f>GEN!AI28</f>
        <v>0</v>
      </c>
      <c r="E30" s="77">
        <f t="shared" si="0"/>
        <v>0</v>
      </c>
      <c r="F30" s="75">
        <f>WATER!L30</f>
        <v>0</v>
      </c>
      <c r="G30" s="78">
        <f>WATER!BG30</f>
        <v>0</v>
      </c>
      <c r="H30" s="79">
        <f>ELEC!AF28</f>
        <v>0</v>
      </c>
      <c r="I30" s="79">
        <f>ELEC!Q28</f>
        <v>0</v>
      </c>
      <c r="J30" s="79">
        <f>ELEC!R28</f>
        <v>0</v>
      </c>
      <c r="K30" s="3"/>
      <c r="L30" s="3"/>
      <c r="M30" s="3"/>
      <c r="N30" s="3"/>
    </row>
    <row r="31" spans="1:14">
      <c r="A31" s="63">
        <f>'B5'!A31</f>
        <v>44039</v>
      </c>
      <c r="B31" s="76">
        <f>'B5'!V31</f>
        <v>0</v>
      </c>
      <c r="C31" s="76">
        <f>'B5'!AH31</f>
        <v>0</v>
      </c>
      <c r="D31" s="76">
        <f>GEN!AI29</f>
        <v>0</v>
      </c>
      <c r="E31" s="77">
        <f t="shared" si="0"/>
        <v>0</v>
      </c>
      <c r="F31" s="75">
        <f>WATER!L31</f>
        <v>0</v>
      </c>
      <c r="G31" s="78">
        <f>WATER!BG31</f>
        <v>0</v>
      </c>
      <c r="H31" s="79">
        <f>ELEC!AF29</f>
        <v>0</v>
      </c>
      <c r="I31" s="79">
        <f>ELEC!Q29</f>
        <v>0</v>
      </c>
      <c r="J31" s="79">
        <f>ELEC!R29</f>
        <v>0</v>
      </c>
      <c r="K31" s="3"/>
      <c r="L31" s="3"/>
      <c r="M31" s="3"/>
      <c r="N31" s="3"/>
    </row>
    <row r="32" spans="1:14">
      <c r="A32" s="63">
        <f>'B5'!A32</f>
        <v>44040</v>
      </c>
      <c r="B32" s="76">
        <f>'B5'!V32</f>
        <v>0</v>
      </c>
      <c r="C32" s="76">
        <f>'B5'!AH32</f>
        <v>0</v>
      </c>
      <c r="D32" s="76">
        <f>GEN!AI30</f>
        <v>0</v>
      </c>
      <c r="E32" s="77">
        <f t="shared" si="0"/>
        <v>0</v>
      </c>
      <c r="F32" s="75">
        <f>WATER!L32</f>
        <v>0</v>
      </c>
      <c r="G32" s="78">
        <f>WATER!BG32</f>
        <v>0</v>
      </c>
      <c r="H32" s="79">
        <f>ELEC!AF30</f>
        <v>0</v>
      </c>
      <c r="I32" s="79">
        <f>ELEC!Q30</f>
        <v>0</v>
      </c>
      <c r="J32" s="79">
        <f>ELEC!R30</f>
        <v>0</v>
      </c>
      <c r="K32" s="3"/>
      <c r="L32" s="3"/>
      <c r="M32" s="3"/>
      <c r="N32" s="3"/>
    </row>
    <row r="33" spans="1:14">
      <c r="A33" s="63">
        <f>'B5'!A33</f>
        <v>44041</v>
      </c>
      <c r="B33" s="76">
        <f>'B5'!V33</f>
        <v>0</v>
      </c>
      <c r="C33" s="76">
        <f>'B5'!AH33</f>
        <v>0</v>
      </c>
      <c r="D33" s="76">
        <f>GEN!AI31</f>
        <v>0</v>
      </c>
      <c r="E33" s="77">
        <f t="shared" si="0"/>
        <v>0</v>
      </c>
      <c r="F33" s="75">
        <f>WATER!L33</f>
        <v>0</v>
      </c>
      <c r="G33" s="78">
        <f>WATER!BG33</f>
        <v>0</v>
      </c>
      <c r="H33" s="79">
        <f>ELEC!AF31</f>
        <v>0</v>
      </c>
      <c r="I33" s="79">
        <f>ELEC!Q31</f>
        <v>0</v>
      </c>
      <c r="J33" s="79">
        <f>ELEC!R31</f>
        <v>0</v>
      </c>
      <c r="K33" s="3"/>
      <c r="L33" s="3"/>
      <c r="M33" s="3"/>
      <c r="N33" s="3"/>
    </row>
    <row r="34" spans="1:14">
      <c r="A34" s="63">
        <f>'B5'!A34</f>
        <v>44042</v>
      </c>
      <c r="B34" s="76">
        <f>'B5'!V34</f>
        <v>0</v>
      </c>
      <c r="C34" s="76">
        <f>'B5'!AH34</f>
        <v>0</v>
      </c>
      <c r="D34" s="76">
        <f>GEN!AI32</f>
        <v>0</v>
      </c>
      <c r="E34" s="77">
        <f>B34+C34+D34</f>
        <v>0</v>
      </c>
      <c r="F34" s="75">
        <f>WATER!L34</f>
        <v>0</v>
      </c>
      <c r="G34" s="78">
        <f>WATER!BG34</f>
        <v>0</v>
      </c>
      <c r="H34" s="79" t="e">
        <f>ELEC!#REF!</f>
        <v>#REF!</v>
      </c>
      <c r="I34" s="79" t="e">
        <f>ELEC!#REF!</f>
        <v>#REF!</v>
      </c>
      <c r="J34" s="79" t="e">
        <f>ELEC!#REF!</f>
        <v>#REF!</v>
      </c>
      <c r="K34" s="3"/>
      <c r="L34" s="3"/>
      <c r="M34" s="3"/>
      <c r="N34" s="3"/>
    </row>
  </sheetData>
  <mergeCells count="14">
    <mergeCell ref="L1:L2"/>
    <mergeCell ref="M1:M2"/>
    <mergeCell ref="N1:N2"/>
    <mergeCell ref="H1:H2"/>
    <mergeCell ref="J1:J2"/>
    <mergeCell ref="I1:I2"/>
    <mergeCell ref="B1:B2"/>
    <mergeCell ref="C1:C2"/>
    <mergeCell ref="K1:K2"/>
    <mergeCell ref="A1:A2"/>
    <mergeCell ref="D1:D2"/>
    <mergeCell ref="E1:E2"/>
    <mergeCell ref="F1:F2"/>
    <mergeCell ref="G1:G2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C3:U38"/>
  <sheetViews>
    <sheetView topLeftCell="A3" workbookViewId="0">
      <selection activeCell="K31" sqref="K31"/>
    </sheetView>
  </sheetViews>
  <sheetFormatPr defaultRowHeight="15"/>
  <cols>
    <col min="3" max="3" width="11.5703125" bestFit="1" customWidth="1"/>
    <col min="4" max="4" width="12.5703125" customWidth="1"/>
    <col min="5" max="5" width="9" bestFit="1" customWidth="1"/>
    <col min="6" max="6" width="12.85546875" bestFit="1" customWidth="1"/>
    <col min="8" max="8" width="10" bestFit="1" customWidth="1"/>
    <col min="10" max="10" width="13.42578125" customWidth="1"/>
    <col min="11" max="11" width="12.85546875" bestFit="1" customWidth="1"/>
    <col min="12" max="12" width="9.85546875" bestFit="1" customWidth="1"/>
    <col min="13" max="13" width="9" bestFit="1" customWidth="1"/>
    <col min="14" max="14" width="8.5703125" bestFit="1" customWidth="1"/>
    <col min="15" max="15" width="10.42578125" bestFit="1" customWidth="1"/>
    <col min="16" max="16" width="11.28515625" bestFit="1" customWidth="1"/>
    <col min="17" max="17" width="12.5703125" bestFit="1" customWidth="1"/>
    <col min="18" max="18" width="11" bestFit="1" customWidth="1"/>
    <col min="19" max="19" width="11" customWidth="1"/>
  </cols>
  <sheetData>
    <row r="3" spans="3:21">
      <c r="T3" s="653" t="s">
        <v>151</v>
      </c>
      <c r="U3" s="653"/>
    </row>
    <row r="4" spans="3:21" ht="30">
      <c r="C4" s="3" t="s">
        <v>152</v>
      </c>
      <c r="D4" s="98" t="s">
        <v>135</v>
      </c>
      <c r="E4" s="97" t="s">
        <v>137</v>
      </c>
      <c r="F4" s="97" t="s">
        <v>136</v>
      </c>
      <c r="G4" s="97" t="s">
        <v>137</v>
      </c>
      <c r="H4" s="97" t="s">
        <v>138</v>
      </c>
      <c r="I4" s="97" t="s">
        <v>137</v>
      </c>
      <c r="J4" s="97" t="s">
        <v>139</v>
      </c>
      <c r="K4" s="97" t="s">
        <v>140</v>
      </c>
      <c r="L4" s="97" t="s">
        <v>141</v>
      </c>
      <c r="M4" s="97" t="s">
        <v>142</v>
      </c>
      <c r="N4" s="97" t="s">
        <v>143</v>
      </c>
      <c r="O4" s="97" t="s">
        <v>144</v>
      </c>
      <c r="P4" s="97" t="s">
        <v>145</v>
      </c>
      <c r="Q4" s="97" t="s">
        <v>146</v>
      </c>
      <c r="R4" s="97" t="s">
        <v>147</v>
      </c>
      <c r="S4" s="97" t="s">
        <v>148</v>
      </c>
      <c r="T4" s="97" t="s">
        <v>149</v>
      </c>
      <c r="U4" s="97" t="s">
        <v>150</v>
      </c>
    </row>
    <row r="5" spans="3:21">
      <c r="C5" s="99">
        <v>42429</v>
      </c>
      <c r="D5">
        <f>'B5'!AL4</f>
        <v>5</v>
      </c>
      <c r="E5">
        <f t="shared" ref="E5:E37" si="0">D5*90</f>
        <v>450</v>
      </c>
      <c r="F5">
        <f>'B5'!AM4</f>
        <v>0</v>
      </c>
      <c r="G5">
        <f t="shared" ref="G5:G37" si="1">F5*107</f>
        <v>0</v>
      </c>
      <c r="H5">
        <f>GEN!Z3</f>
        <v>36</v>
      </c>
    </row>
    <row r="6" spans="3:21">
      <c r="C6" s="99">
        <v>42430</v>
      </c>
      <c r="D6">
        <f>'B5'!AL5</f>
        <v>5</v>
      </c>
      <c r="E6">
        <f t="shared" si="0"/>
        <v>450</v>
      </c>
      <c r="F6">
        <f>'B5'!AM5</f>
        <v>0</v>
      </c>
      <c r="G6">
        <f t="shared" si="1"/>
        <v>0</v>
      </c>
    </row>
    <row r="7" spans="3:21">
      <c r="C7" s="99">
        <v>42431</v>
      </c>
      <c r="D7">
        <f>'B5'!AL6</f>
        <v>6</v>
      </c>
      <c r="E7">
        <f t="shared" si="0"/>
        <v>540</v>
      </c>
      <c r="F7">
        <f>'B5'!AM6</f>
        <v>5</v>
      </c>
      <c r="G7">
        <f t="shared" si="1"/>
        <v>535</v>
      </c>
    </row>
    <row r="8" spans="3:21">
      <c r="C8" s="99">
        <v>42432</v>
      </c>
      <c r="D8">
        <f>'B5'!AL7</f>
        <v>5</v>
      </c>
      <c r="E8">
        <f t="shared" si="0"/>
        <v>450</v>
      </c>
      <c r="F8">
        <f>'B5'!AM7</f>
        <v>0</v>
      </c>
      <c r="G8">
        <f t="shared" si="1"/>
        <v>0</v>
      </c>
    </row>
    <row r="9" spans="3:21">
      <c r="C9" s="99">
        <v>42433</v>
      </c>
      <c r="D9">
        <f>'B5'!AL8</f>
        <v>6</v>
      </c>
      <c r="E9">
        <f t="shared" si="0"/>
        <v>540</v>
      </c>
      <c r="F9">
        <f>'B5'!AM8</f>
        <v>0</v>
      </c>
      <c r="G9">
        <f t="shared" si="1"/>
        <v>0</v>
      </c>
    </row>
    <row r="10" spans="3:21">
      <c r="C10" s="99">
        <v>42434</v>
      </c>
      <c r="D10">
        <f>'B5'!AL9</f>
        <v>5</v>
      </c>
      <c r="E10">
        <f t="shared" si="0"/>
        <v>450</v>
      </c>
      <c r="F10">
        <f>'B5'!AM9</f>
        <v>0</v>
      </c>
      <c r="G10">
        <f t="shared" si="1"/>
        <v>0</v>
      </c>
    </row>
    <row r="11" spans="3:21">
      <c r="C11" s="99">
        <v>42435</v>
      </c>
      <c r="D11">
        <f>'B5'!AL10</f>
        <v>3</v>
      </c>
      <c r="E11">
        <f t="shared" si="0"/>
        <v>270</v>
      </c>
      <c r="F11">
        <f>'B5'!AM10</f>
        <v>3</v>
      </c>
      <c r="G11">
        <f t="shared" si="1"/>
        <v>321</v>
      </c>
    </row>
    <row r="12" spans="3:21">
      <c r="C12" s="99">
        <v>42436</v>
      </c>
      <c r="D12">
        <f>'B5'!AL11</f>
        <v>8</v>
      </c>
      <c r="E12">
        <f t="shared" si="0"/>
        <v>720</v>
      </c>
      <c r="F12">
        <f>'B5'!AM11</f>
        <v>0</v>
      </c>
      <c r="G12">
        <f t="shared" si="1"/>
        <v>0</v>
      </c>
    </row>
    <row r="13" spans="3:21">
      <c r="C13" s="99">
        <v>42437</v>
      </c>
      <c r="D13">
        <f>'B5'!AL12</f>
        <v>3</v>
      </c>
      <c r="E13">
        <f t="shared" si="0"/>
        <v>270</v>
      </c>
      <c r="F13">
        <f>'B5'!AM12</f>
        <v>4</v>
      </c>
      <c r="G13">
        <f t="shared" si="1"/>
        <v>428</v>
      </c>
    </row>
    <row r="14" spans="3:21">
      <c r="C14" s="99">
        <v>42438</v>
      </c>
      <c r="D14">
        <f>'B5'!AL13</f>
        <v>0</v>
      </c>
      <c r="E14">
        <f t="shared" si="0"/>
        <v>0</v>
      </c>
      <c r="F14">
        <f>'B5'!AM13</f>
        <v>0</v>
      </c>
      <c r="G14">
        <f t="shared" si="1"/>
        <v>0</v>
      </c>
    </row>
    <row r="15" spans="3:21">
      <c r="C15" s="99">
        <v>42439</v>
      </c>
      <c r="D15">
        <f>'B5'!AL14</f>
        <v>0</v>
      </c>
      <c r="E15">
        <f t="shared" si="0"/>
        <v>0</v>
      </c>
      <c r="F15">
        <f>'B5'!AM14</f>
        <v>0</v>
      </c>
      <c r="G15">
        <f t="shared" si="1"/>
        <v>0</v>
      </c>
    </row>
    <row r="16" spans="3:21">
      <c r="C16" s="99">
        <v>42440</v>
      </c>
      <c r="D16">
        <f>'B5'!AL15</f>
        <v>0</v>
      </c>
      <c r="E16">
        <f t="shared" si="0"/>
        <v>0</v>
      </c>
      <c r="F16">
        <f>'B5'!AM15</f>
        <v>0</v>
      </c>
      <c r="G16">
        <f t="shared" si="1"/>
        <v>0</v>
      </c>
    </row>
    <row r="17" spans="3:7">
      <c r="C17" s="99">
        <v>42441</v>
      </c>
      <c r="D17">
        <f>'B5'!AL16</f>
        <v>0</v>
      </c>
      <c r="E17">
        <f t="shared" si="0"/>
        <v>0</v>
      </c>
      <c r="F17">
        <f>'B5'!AM16</f>
        <v>0</v>
      </c>
      <c r="G17">
        <f t="shared" si="1"/>
        <v>0</v>
      </c>
    </row>
    <row r="18" spans="3:7">
      <c r="C18" s="99">
        <v>42442</v>
      </c>
      <c r="D18">
        <f>'B5'!AL17</f>
        <v>0</v>
      </c>
      <c r="E18">
        <f t="shared" si="0"/>
        <v>0</v>
      </c>
      <c r="F18">
        <f>'B5'!AM17</f>
        <v>0</v>
      </c>
      <c r="G18">
        <f t="shared" si="1"/>
        <v>0</v>
      </c>
    </row>
    <row r="19" spans="3:7">
      <c r="C19" s="99">
        <v>42443</v>
      </c>
      <c r="D19">
        <f>'B5'!AL18</f>
        <v>0</v>
      </c>
      <c r="E19">
        <f t="shared" si="0"/>
        <v>0</v>
      </c>
      <c r="F19">
        <f>'B5'!AM18</f>
        <v>0</v>
      </c>
      <c r="G19">
        <f t="shared" si="1"/>
        <v>0</v>
      </c>
    </row>
    <row r="20" spans="3:7">
      <c r="C20" s="99">
        <v>42444</v>
      </c>
      <c r="D20">
        <f>'B5'!AL19</f>
        <v>0</v>
      </c>
      <c r="E20">
        <f t="shared" si="0"/>
        <v>0</v>
      </c>
      <c r="F20">
        <f>'B5'!AM19</f>
        <v>0</v>
      </c>
      <c r="G20">
        <f t="shared" si="1"/>
        <v>0</v>
      </c>
    </row>
    <row r="21" spans="3:7">
      <c r="C21" s="99">
        <v>42445</v>
      </c>
      <c r="D21">
        <f>'B5'!AL20</f>
        <v>0</v>
      </c>
      <c r="E21">
        <f t="shared" si="0"/>
        <v>0</v>
      </c>
      <c r="F21">
        <f>'B5'!AM20</f>
        <v>0</v>
      </c>
      <c r="G21">
        <f t="shared" si="1"/>
        <v>0</v>
      </c>
    </row>
    <row r="22" spans="3:7">
      <c r="C22" s="99">
        <v>42446</v>
      </c>
      <c r="D22">
        <f>'B5'!AL21</f>
        <v>0</v>
      </c>
      <c r="E22">
        <f t="shared" si="0"/>
        <v>0</v>
      </c>
      <c r="F22">
        <f>'B5'!AM21</f>
        <v>0</v>
      </c>
      <c r="G22">
        <f t="shared" si="1"/>
        <v>0</v>
      </c>
    </row>
    <row r="23" spans="3:7">
      <c r="C23" s="99">
        <v>42447</v>
      </c>
      <c r="D23">
        <f>'B5'!AL22</f>
        <v>0</v>
      </c>
      <c r="E23">
        <f t="shared" si="0"/>
        <v>0</v>
      </c>
      <c r="F23">
        <f>'B5'!AM22</f>
        <v>0</v>
      </c>
      <c r="G23">
        <f t="shared" si="1"/>
        <v>0</v>
      </c>
    </row>
    <row r="24" spans="3:7">
      <c r="C24" s="99">
        <v>42448</v>
      </c>
      <c r="D24">
        <f>'B5'!AL23</f>
        <v>0</v>
      </c>
      <c r="E24">
        <f t="shared" si="0"/>
        <v>0</v>
      </c>
      <c r="F24">
        <f>'B5'!AM23</f>
        <v>0</v>
      </c>
      <c r="G24">
        <f t="shared" si="1"/>
        <v>0</v>
      </c>
    </row>
    <row r="25" spans="3:7">
      <c r="C25" s="99">
        <v>42449</v>
      </c>
      <c r="D25">
        <f>'B5'!AL24</f>
        <v>0</v>
      </c>
      <c r="E25">
        <f t="shared" si="0"/>
        <v>0</v>
      </c>
      <c r="F25">
        <f>'B5'!AM24</f>
        <v>0</v>
      </c>
      <c r="G25">
        <f t="shared" si="1"/>
        <v>0</v>
      </c>
    </row>
    <row r="26" spans="3:7">
      <c r="C26" s="99">
        <v>42450</v>
      </c>
      <c r="D26">
        <f>'B5'!AL25</f>
        <v>0</v>
      </c>
      <c r="E26">
        <f t="shared" si="0"/>
        <v>0</v>
      </c>
      <c r="F26">
        <f>'B5'!AM25</f>
        <v>0</v>
      </c>
      <c r="G26">
        <f t="shared" si="1"/>
        <v>0</v>
      </c>
    </row>
    <row r="27" spans="3:7">
      <c r="C27" s="99">
        <v>42451</v>
      </c>
      <c r="D27">
        <f>'B5'!AL26</f>
        <v>0</v>
      </c>
      <c r="E27">
        <f t="shared" si="0"/>
        <v>0</v>
      </c>
      <c r="F27">
        <f>'B5'!AM26</f>
        <v>0</v>
      </c>
      <c r="G27">
        <f t="shared" si="1"/>
        <v>0</v>
      </c>
    </row>
    <row r="28" spans="3:7">
      <c r="C28" s="99">
        <v>42452</v>
      </c>
      <c r="D28">
        <f>'B5'!AL27</f>
        <v>0</v>
      </c>
      <c r="E28">
        <f t="shared" si="0"/>
        <v>0</v>
      </c>
      <c r="F28">
        <f>'B5'!AM27</f>
        <v>0</v>
      </c>
      <c r="G28">
        <f t="shared" si="1"/>
        <v>0</v>
      </c>
    </row>
    <row r="29" spans="3:7">
      <c r="C29" s="99">
        <v>42453</v>
      </c>
      <c r="D29">
        <f>'B5'!AL28</f>
        <v>0</v>
      </c>
      <c r="E29">
        <f t="shared" si="0"/>
        <v>0</v>
      </c>
      <c r="F29">
        <f>'B5'!AM28</f>
        <v>0</v>
      </c>
      <c r="G29">
        <f t="shared" si="1"/>
        <v>0</v>
      </c>
    </row>
    <row r="30" spans="3:7">
      <c r="C30" s="99">
        <v>42454</v>
      </c>
      <c r="D30">
        <f>'B5'!AL29</f>
        <v>0</v>
      </c>
      <c r="E30">
        <f t="shared" si="0"/>
        <v>0</v>
      </c>
      <c r="F30">
        <f>'B5'!AM29</f>
        <v>0</v>
      </c>
      <c r="G30">
        <f t="shared" si="1"/>
        <v>0</v>
      </c>
    </row>
    <row r="31" spans="3:7">
      <c r="C31" s="99">
        <v>42455</v>
      </c>
      <c r="D31">
        <f>'B5'!AL30</f>
        <v>0</v>
      </c>
      <c r="E31">
        <f t="shared" si="0"/>
        <v>0</v>
      </c>
      <c r="F31">
        <f>'B5'!AM30</f>
        <v>0</v>
      </c>
      <c r="G31">
        <f t="shared" si="1"/>
        <v>0</v>
      </c>
    </row>
    <row r="32" spans="3:7">
      <c r="C32" s="99">
        <v>42456</v>
      </c>
      <c r="D32">
        <f>'B5'!AL31</f>
        <v>0</v>
      </c>
      <c r="E32">
        <f t="shared" si="0"/>
        <v>0</v>
      </c>
      <c r="F32">
        <f>'B5'!AM31</f>
        <v>0</v>
      </c>
      <c r="G32">
        <f t="shared" si="1"/>
        <v>0</v>
      </c>
    </row>
    <row r="33" spans="3:7">
      <c r="C33" s="99">
        <v>42457</v>
      </c>
      <c r="D33">
        <f>'B5'!AL32</f>
        <v>0</v>
      </c>
      <c r="E33">
        <f t="shared" si="0"/>
        <v>0</v>
      </c>
      <c r="F33">
        <f>'B5'!AM32</f>
        <v>0</v>
      </c>
      <c r="G33">
        <f t="shared" si="1"/>
        <v>0</v>
      </c>
    </row>
    <row r="34" spans="3:7">
      <c r="C34" s="99">
        <v>42458</v>
      </c>
      <c r="D34">
        <f>'B5'!AL33</f>
        <v>0</v>
      </c>
      <c r="E34">
        <f t="shared" si="0"/>
        <v>0</v>
      </c>
      <c r="F34">
        <f>'B5'!AM33</f>
        <v>0</v>
      </c>
      <c r="G34">
        <f t="shared" si="1"/>
        <v>0</v>
      </c>
    </row>
    <row r="35" spans="3:7">
      <c r="C35" s="99">
        <v>42459</v>
      </c>
      <c r="D35">
        <f>'B5'!AL34</f>
        <v>0</v>
      </c>
      <c r="E35">
        <f t="shared" si="0"/>
        <v>0</v>
      </c>
      <c r="F35">
        <f>'B5'!AM34</f>
        <v>0</v>
      </c>
      <c r="G35">
        <f t="shared" si="1"/>
        <v>0</v>
      </c>
    </row>
    <row r="36" spans="3:7">
      <c r="C36" s="99">
        <v>42460</v>
      </c>
      <c r="D36" t="e">
        <f>'B5'!#REF!</f>
        <v>#REF!</v>
      </c>
      <c r="E36" t="e">
        <f t="shared" si="0"/>
        <v>#REF!</v>
      </c>
      <c r="F36" t="e">
        <f>'B5'!#REF!</f>
        <v>#REF!</v>
      </c>
      <c r="G36" t="e">
        <f t="shared" si="1"/>
        <v>#REF!</v>
      </c>
    </row>
    <row r="37" spans="3:7">
      <c r="C37" s="99">
        <v>42461</v>
      </c>
      <c r="D37" t="e">
        <f>'B5'!#REF!</f>
        <v>#REF!</v>
      </c>
      <c r="E37" t="e">
        <f t="shared" si="0"/>
        <v>#REF!</v>
      </c>
      <c r="F37" t="e">
        <f>'B5'!#REF!</f>
        <v>#REF!</v>
      </c>
      <c r="G37" t="e">
        <f t="shared" si="1"/>
        <v>#REF!</v>
      </c>
    </row>
    <row r="38" spans="3:7">
      <c r="C38" s="3"/>
    </row>
  </sheetData>
  <mergeCells count="1">
    <mergeCell ref="T3:U3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F82"/>
  <sheetViews>
    <sheetView topLeftCell="J1" zoomScale="80" zoomScaleNormal="80" workbookViewId="0">
      <selection activeCell="S11" sqref="S11"/>
    </sheetView>
  </sheetViews>
  <sheetFormatPr defaultRowHeight="15"/>
  <cols>
    <col min="1" max="1" width="15.5703125" customWidth="1"/>
    <col min="2" max="5" width="17.5703125" customWidth="1"/>
    <col min="6" max="7" width="17.42578125" customWidth="1"/>
    <col min="8" max="9" width="16.140625" customWidth="1"/>
    <col min="10" max="10" width="22" customWidth="1"/>
    <col min="11" max="11" width="11.42578125" customWidth="1"/>
    <col min="12" max="12" width="15.140625" bestFit="1" customWidth="1"/>
    <col min="13" max="13" width="19.140625" bestFit="1" customWidth="1"/>
    <col min="14" max="14" width="15.140625" bestFit="1" customWidth="1"/>
    <col min="15" max="15" width="13.85546875" bestFit="1" customWidth="1"/>
    <col min="16" max="16" width="12.85546875" customWidth="1"/>
    <col min="17" max="17" width="14.28515625" customWidth="1"/>
    <col min="18" max="18" width="13.42578125" bestFit="1" customWidth="1"/>
    <col min="19" max="19" width="13.7109375" style="301" customWidth="1"/>
    <col min="20" max="20" width="10.28515625" style="345" customWidth="1"/>
    <col min="22" max="22" width="23.28515625" bestFit="1" customWidth="1"/>
    <col min="23" max="23" width="14.85546875" bestFit="1" customWidth="1"/>
    <col min="24" max="24" width="10.7109375" bestFit="1" customWidth="1"/>
    <col min="25" max="25" width="12.5703125" bestFit="1" customWidth="1"/>
    <col min="26" max="26" width="15.85546875" bestFit="1" customWidth="1"/>
    <col min="27" max="27" width="18.7109375" bestFit="1" customWidth="1"/>
    <col min="28" max="28" width="23.5703125" bestFit="1" customWidth="1"/>
    <col min="29" max="29" width="14.28515625" customWidth="1"/>
    <col min="30" max="30" width="8.42578125" bestFit="1" customWidth="1"/>
    <col min="31" max="31" width="14.28515625" bestFit="1" customWidth="1"/>
    <col min="32" max="32" width="17" bestFit="1" customWidth="1"/>
    <col min="33" max="33" width="10.28515625" bestFit="1" customWidth="1"/>
  </cols>
  <sheetData>
    <row r="1" spans="1:30">
      <c r="A1" s="164" t="s">
        <v>51</v>
      </c>
      <c r="B1" s="164" t="s">
        <v>196</v>
      </c>
      <c r="C1" s="164" t="s">
        <v>200</v>
      </c>
      <c r="D1" s="164"/>
      <c r="E1" s="164"/>
      <c r="F1" s="164" t="s">
        <v>197</v>
      </c>
      <c r="G1" s="164">
        <v>320</v>
      </c>
      <c r="H1" s="164" t="s">
        <v>198</v>
      </c>
      <c r="I1" s="164">
        <v>112</v>
      </c>
      <c r="J1" s="164" t="s">
        <v>199</v>
      </c>
      <c r="K1" s="164">
        <v>80</v>
      </c>
      <c r="L1" s="164"/>
      <c r="M1" s="164"/>
      <c r="N1" s="164"/>
      <c r="O1" s="164"/>
      <c r="P1" s="164"/>
      <c r="Q1" s="164"/>
      <c r="R1" s="164"/>
      <c r="S1" s="306"/>
      <c r="T1" s="343"/>
    </row>
    <row r="2" spans="1:30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 t="s">
        <v>365</v>
      </c>
      <c r="M2" s="164" t="s">
        <v>366</v>
      </c>
      <c r="N2" s="164" t="s">
        <v>367</v>
      </c>
      <c r="O2" s="164" t="s">
        <v>368</v>
      </c>
      <c r="P2" s="164" t="s">
        <v>369</v>
      </c>
      <c r="Q2" s="164" t="s">
        <v>370</v>
      </c>
      <c r="R2" s="164" t="s">
        <v>371</v>
      </c>
      <c r="S2" s="306"/>
      <c r="T2" s="343"/>
    </row>
    <row r="3" spans="1:30" ht="15.75" thickBot="1">
      <c r="A3" s="163">
        <f>ELEC!C2</f>
        <v>44012</v>
      </c>
      <c r="B3" s="270">
        <f>'[1]EDl log'!B34</f>
        <v>112190</v>
      </c>
      <c r="C3" s="270">
        <f>'[1]EDl log'!C34</f>
        <v>2832</v>
      </c>
      <c r="D3" s="270">
        <f>'[1]EDl log'!D34</f>
        <v>2827</v>
      </c>
      <c r="E3" s="270">
        <f>'[1]EDl log'!E34</f>
        <v>112185</v>
      </c>
      <c r="F3" s="270">
        <f>'[1]EDl log'!F34</f>
        <v>18455</v>
      </c>
      <c r="G3" s="270">
        <f>'[1]EDl log'!G34</f>
        <v>430</v>
      </c>
      <c r="H3" s="270">
        <f>'[1]EDl log'!H34</f>
        <v>52088</v>
      </c>
      <c r="I3" s="270">
        <f>'[1]EDl log'!I34</f>
        <v>676</v>
      </c>
      <c r="J3" s="270">
        <f>'[1]EDl log'!J34</f>
        <v>41646</v>
      </c>
      <c r="K3" s="270">
        <f>'[1]EDl log'!K34</f>
        <v>1721</v>
      </c>
      <c r="L3" s="270">
        <f>'[1]EDl log'!L34</f>
        <v>91.276948590381423</v>
      </c>
      <c r="M3" s="270">
        <f>'[1]EDl log'!M34</f>
        <v>50.223548922056388</v>
      </c>
      <c r="N3" s="270">
        <f>'[1]EDl log'!N34</f>
        <v>91.330016583747934</v>
      </c>
      <c r="O3" s="270">
        <f>'[1]EDl log'!O34</f>
        <v>159.96313985627418</v>
      </c>
      <c r="P3" s="270">
        <f>'[1]EDl log'!P34</f>
        <v>392.79365395245998</v>
      </c>
      <c r="Q3" s="270">
        <f>'[1]EDl log'!Q34</f>
        <v>967.80012000000283</v>
      </c>
      <c r="R3" s="270">
        <f>'[1]EDl log'!R34</f>
        <v>1360.5937739524629</v>
      </c>
      <c r="S3" s="270">
        <f>'[1]EDl log'!S34</f>
        <v>16470</v>
      </c>
      <c r="T3" s="270">
        <f>'[1]EDl log'!T34</f>
        <v>8.2610429505310445E-2</v>
      </c>
      <c r="Z3" t="s">
        <v>214</v>
      </c>
      <c r="AA3">
        <v>0.1</v>
      </c>
    </row>
    <row r="4" spans="1:30" ht="15.75" thickBot="1">
      <c r="A4" s="163">
        <f>ELEC!C3</f>
        <v>44013</v>
      </c>
      <c r="B4" s="573">
        <v>114130</v>
      </c>
      <c r="C4" s="270">
        <f t="shared" ref="C4:C33" si="0">SUM(B4-B3)</f>
        <v>1940</v>
      </c>
      <c r="D4" s="316">
        <f>SUM(G4+I4+K4)</f>
        <v>1941</v>
      </c>
      <c r="E4" s="316">
        <f>B3+D4</f>
        <v>114131</v>
      </c>
      <c r="F4" s="573">
        <v>19037</v>
      </c>
      <c r="G4" s="160">
        <f t="shared" ref="G4:G32" si="1">F4-F3</f>
        <v>582</v>
      </c>
      <c r="H4" s="573">
        <v>53094</v>
      </c>
      <c r="I4" s="161">
        <f t="shared" ref="I4:I33" si="2">H4-H3</f>
        <v>1006</v>
      </c>
      <c r="J4" s="575">
        <v>41999</v>
      </c>
      <c r="K4" s="162">
        <f t="shared" ref="K4:K33" si="3">J4-J3</f>
        <v>353</v>
      </c>
      <c r="L4" s="304">
        <f t="shared" ref="L4:L13" si="4">SUM(G4*$Y$28)/1507.5</f>
        <v>123.54228855721394</v>
      </c>
      <c r="M4" s="304">
        <f t="shared" ref="M4:M13" si="5">SUM(I4*$Y$27)/1507.5</f>
        <v>74.740961857379773</v>
      </c>
      <c r="N4" s="304">
        <f t="shared" ref="N4:N13" si="6">SUM(K4*$Y$26)/1507.5</f>
        <v>18.733001658374793</v>
      </c>
      <c r="O4" s="304">
        <f>($AC$31/$A$39)/1507.5</f>
        <v>29.96187843301702</v>
      </c>
      <c r="P4" s="305">
        <f>SUM(L4:O4)</f>
        <v>246.97813050598552</v>
      </c>
      <c r="Q4" s="305">
        <f>SUM(-tanks!AX6*tanks!$AU$37)</f>
        <v>1038.4910967741882</v>
      </c>
      <c r="R4" s="305">
        <f>SUM(P4:Q4)</f>
        <v>1285.4692272801738</v>
      </c>
      <c r="S4" s="307">
        <f>SUM(ELEC!N3)</f>
        <v>18028</v>
      </c>
      <c r="T4" s="344">
        <f>IF(S4&gt;0,R4/S4,0)</f>
        <v>7.1304039676069103E-2</v>
      </c>
      <c r="U4" s="255"/>
      <c r="V4" s="256" t="str">
        <f>'[4]EDl log'!V21</f>
        <v xml:space="preserve">EDL </v>
      </c>
      <c r="W4" s="167">
        <v>43983</v>
      </c>
      <c r="X4" s="169"/>
      <c r="Y4" s="169"/>
      <c r="Z4" s="169" t="s">
        <v>202</v>
      </c>
      <c r="AA4" s="169"/>
      <c r="AB4" s="667"/>
      <c r="AC4" s="668"/>
    </row>
    <row r="5" spans="1:30" ht="15.75" thickBot="1">
      <c r="A5" s="163">
        <f>ELEC!C4</f>
        <v>44014</v>
      </c>
      <c r="B5" s="573">
        <v>117402</v>
      </c>
      <c r="C5" s="270">
        <f t="shared" si="0"/>
        <v>3272</v>
      </c>
      <c r="D5" s="316">
        <f t="shared" ref="D5:D34" si="7">SUM(G5+I5+K5)</f>
        <v>3270</v>
      </c>
      <c r="E5" s="316">
        <f>B4+D5</f>
        <v>117400</v>
      </c>
      <c r="F5" s="573">
        <v>19037</v>
      </c>
      <c r="G5" s="160">
        <f t="shared" si="1"/>
        <v>0</v>
      </c>
      <c r="H5" s="573">
        <v>54800</v>
      </c>
      <c r="I5" s="161">
        <f t="shared" si="2"/>
        <v>1706</v>
      </c>
      <c r="J5" s="575">
        <v>43563</v>
      </c>
      <c r="K5" s="162">
        <f t="shared" si="3"/>
        <v>1564</v>
      </c>
      <c r="L5" s="304">
        <f t="shared" si="4"/>
        <v>0</v>
      </c>
      <c r="M5" s="304">
        <f t="shared" si="5"/>
        <v>126.74759535655058</v>
      </c>
      <c r="N5" s="304">
        <f t="shared" si="6"/>
        <v>82.998341625207303</v>
      </c>
      <c r="O5" s="304">
        <f t="shared" ref="O5:O13" si="8">($AC$31/$A$39)/1507.5</f>
        <v>29.96187843301702</v>
      </c>
      <c r="P5" s="305">
        <f t="shared" ref="P5:P32" si="9">SUM(L5:O5)</f>
        <v>239.70781541477493</v>
      </c>
      <c r="Q5" s="305">
        <f>SUM(-tanks!AX7*tanks!$AU$37)</f>
        <v>2317.9477548387135</v>
      </c>
      <c r="R5" s="305">
        <f t="shared" ref="R5:R32" si="10">SUM(P5:Q5)</f>
        <v>2557.6555702534883</v>
      </c>
      <c r="S5" s="307">
        <f>SUM(ELEC!N4)</f>
        <v>18859</v>
      </c>
      <c r="T5" s="344">
        <f>IF(S5&gt;0,R5/S5,0)</f>
        <v>0.13561989343302872</v>
      </c>
      <c r="U5" s="255"/>
      <c r="V5" s="661"/>
      <c r="W5" s="662"/>
      <c r="X5" s="662"/>
      <c r="Y5" s="663"/>
      <c r="Z5" s="26" t="s">
        <v>203</v>
      </c>
      <c r="AA5" s="270">
        <f>'[2]EDl log'!AA22</f>
        <v>5000</v>
      </c>
      <c r="AB5" s="669"/>
      <c r="AC5" s="670"/>
    </row>
    <row r="6" spans="1:30" ht="15.75" thickBot="1">
      <c r="A6" s="163">
        <f>ELEC!C5</f>
        <v>44015</v>
      </c>
      <c r="B6" s="573">
        <v>121082</v>
      </c>
      <c r="C6" s="270">
        <f t="shared" si="0"/>
        <v>3680</v>
      </c>
      <c r="D6" s="316">
        <f t="shared" si="7"/>
        <v>3683</v>
      </c>
      <c r="E6" s="316">
        <f t="shared" ref="E6:E34" si="11">B5+D6</f>
        <v>121085</v>
      </c>
      <c r="F6" s="573">
        <v>19656</v>
      </c>
      <c r="G6" s="160">
        <f t="shared" si="1"/>
        <v>619</v>
      </c>
      <c r="H6" s="573">
        <v>56910</v>
      </c>
      <c r="I6" s="161">
        <f t="shared" si="2"/>
        <v>2110</v>
      </c>
      <c r="J6" s="575">
        <v>44517</v>
      </c>
      <c r="K6" s="162">
        <f t="shared" si="3"/>
        <v>954</v>
      </c>
      <c r="L6" s="304">
        <f t="shared" si="4"/>
        <v>131.39635157545607</v>
      </c>
      <c r="M6" s="304">
        <f t="shared" si="5"/>
        <v>156.76285240464344</v>
      </c>
      <c r="N6" s="304">
        <f t="shared" si="6"/>
        <v>50.626865671641788</v>
      </c>
      <c r="O6" s="304">
        <f t="shared" si="8"/>
        <v>29.96187843301702</v>
      </c>
      <c r="P6" s="305">
        <f t="shared" si="9"/>
        <v>368.74794808475832</v>
      </c>
      <c r="Q6" s="305">
        <f>SUM(-tanks!AX8*tanks!$AU$37)</f>
        <v>2121.1094709677441</v>
      </c>
      <c r="R6" s="305">
        <f t="shared" si="10"/>
        <v>2489.8574190525023</v>
      </c>
      <c r="S6" s="307">
        <f>SUM(ELEC!N5)</f>
        <v>20891</v>
      </c>
      <c r="T6" s="344">
        <f t="shared" ref="T6:T32" si="12">IF(S6&gt;0,R6/S6,0)</f>
        <v>0.11918325685953292</v>
      </c>
      <c r="V6" s="664"/>
      <c r="W6" s="665"/>
      <c r="X6" s="665"/>
      <c r="Y6" s="666"/>
      <c r="Z6" s="3"/>
      <c r="AA6" s="3"/>
      <c r="AB6" s="669"/>
      <c r="AC6" s="670"/>
    </row>
    <row r="7" spans="1:30" ht="15" customHeight="1" thickBot="1">
      <c r="A7" s="163">
        <f>ELEC!C6</f>
        <v>44016</v>
      </c>
      <c r="B7" s="573">
        <v>122052</v>
      </c>
      <c r="C7" s="270">
        <f t="shared" si="0"/>
        <v>970</v>
      </c>
      <c r="D7" s="316">
        <f t="shared" si="7"/>
        <v>968</v>
      </c>
      <c r="E7" s="316">
        <f t="shared" si="11"/>
        <v>122050</v>
      </c>
      <c r="F7" s="573">
        <v>19656</v>
      </c>
      <c r="G7" s="160">
        <f t="shared" si="1"/>
        <v>0</v>
      </c>
      <c r="H7" s="573">
        <v>57839</v>
      </c>
      <c r="I7" s="161">
        <f t="shared" si="2"/>
        <v>929</v>
      </c>
      <c r="J7" s="575">
        <v>44556</v>
      </c>
      <c r="K7" s="162">
        <f t="shared" si="3"/>
        <v>39</v>
      </c>
      <c r="L7" s="304">
        <f t="shared" si="4"/>
        <v>0</v>
      </c>
      <c r="M7" s="304">
        <f t="shared" si="5"/>
        <v>69.020232172470983</v>
      </c>
      <c r="N7" s="304">
        <f t="shared" si="6"/>
        <v>2.0696517412935322</v>
      </c>
      <c r="O7" s="304">
        <f t="shared" si="8"/>
        <v>29.96187843301702</v>
      </c>
      <c r="P7" s="305">
        <f t="shared" si="9"/>
        <v>101.05176234678153</v>
      </c>
      <c r="Q7" s="305">
        <f>SUM(-tanks!AX9*tanks!$AU$37)</f>
        <v>2364.4501548387066</v>
      </c>
      <c r="R7" s="305">
        <f t="shared" si="10"/>
        <v>2465.5019171854883</v>
      </c>
      <c r="S7" s="307">
        <f>SUM(ELEC!N6)</f>
        <v>18152</v>
      </c>
      <c r="T7" s="344">
        <f t="shared" si="12"/>
        <v>0.13582535903401766</v>
      </c>
      <c r="V7" s="657" t="s">
        <v>204</v>
      </c>
      <c r="W7" s="658"/>
      <c r="X7" s="659" t="s">
        <v>205</v>
      </c>
      <c r="Y7" s="660"/>
      <c r="Z7" s="658"/>
      <c r="AA7" s="26"/>
      <c r="AB7" s="671"/>
      <c r="AC7" s="672"/>
    </row>
    <row r="8" spans="1:30" ht="15.75" customHeight="1" thickBot="1">
      <c r="A8" s="163">
        <f>ELEC!C7</f>
        <v>44017</v>
      </c>
      <c r="B8" s="573">
        <v>124168</v>
      </c>
      <c r="C8" s="270">
        <f t="shared" si="0"/>
        <v>2116</v>
      </c>
      <c r="D8" s="316">
        <f t="shared" si="7"/>
        <v>846</v>
      </c>
      <c r="E8" s="316">
        <f t="shared" si="11"/>
        <v>122898</v>
      </c>
      <c r="F8" s="573">
        <v>19656</v>
      </c>
      <c r="G8" s="160">
        <f t="shared" si="1"/>
        <v>0</v>
      </c>
      <c r="H8" s="573">
        <v>57839</v>
      </c>
      <c r="I8" s="161">
        <f t="shared" si="2"/>
        <v>0</v>
      </c>
      <c r="J8" s="575">
        <v>45402</v>
      </c>
      <c r="K8" s="162">
        <f>J8-J7</f>
        <v>846</v>
      </c>
      <c r="L8" s="304">
        <f t="shared" si="4"/>
        <v>0</v>
      </c>
      <c r="M8" s="304">
        <f t="shared" si="5"/>
        <v>0</v>
      </c>
      <c r="N8" s="304">
        <f t="shared" si="6"/>
        <v>44.895522388059703</v>
      </c>
      <c r="O8" s="304">
        <f t="shared" si="8"/>
        <v>29.96187843301702</v>
      </c>
      <c r="P8" s="305">
        <f t="shared" si="9"/>
        <v>74.857400821076723</v>
      </c>
      <c r="Q8" s="305">
        <f>SUM(-tanks!AX10*tanks!$AU$37)</f>
        <v>2459.3925548387065</v>
      </c>
      <c r="R8" s="305">
        <f t="shared" si="10"/>
        <v>2534.2499556597832</v>
      </c>
      <c r="S8" s="307">
        <f>SUM(ELEC!N7)</f>
        <v>18161</v>
      </c>
      <c r="T8" s="344">
        <f>IF(S8&gt;0,R8/S8,0)</f>
        <v>0.13954352489729549</v>
      </c>
      <c r="V8" s="260" t="s">
        <v>206</v>
      </c>
      <c r="W8" s="261" t="s">
        <v>207</v>
      </c>
      <c r="X8" s="261"/>
      <c r="Y8" s="261" t="s">
        <v>208</v>
      </c>
      <c r="Z8" s="26" t="s">
        <v>209</v>
      </c>
      <c r="AA8" s="26" t="s">
        <v>210</v>
      </c>
      <c r="AB8" s="551" t="str">
        <f>'[5]EDl log'!AB25</f>
        <v>Total cost LL</v>
      </c>
      <c r="AC8" s="257" t="s">
        <v>212</v>
      </c>
    </row>
    <row r="9" spans="1:30" ht="15.75" thickBot="1">
      <c r="A9" s="163">
        <f>ELEC!C8</f>
        <v>44018</v>
      </c>
      <c r="B9" s="573">
        <v>125693</v>
      </c>
      <c r="C9" s="270">
        <f t="shared" si="0"/>
        <v>1525</v>
      </c>
      <c r="D9" s="316">
        <f t="shared" si="7"/>
        <v>2794</v>
      </c>
      <c r="E9" s="316">
        <f t="shared" si="11"/>
        <v>126962</v>
      </c>
      <c r="F9" s="573">
        <v>19811</v>
      </c>
      <c r="G9" s="160">
        <f t="shared" si="1"/>
        <v>155</v>
      </c>
      <c r="H9" s="573">
        <v>60218</v>
      </c>
      <c r="I9" s="161">
        <f t="shared" si="2"/>
        <v>2379</v>
      </c>
      <c r="J9" s="575">
        <v>45662</v>
      </c>
      <c r="K9" s="162">
        <f>J9-J8</f>
        <v>260</v>
      </c>
      <c r="L9" s="304">
        <f t="shared" si="4"/>
        <v>32.902155887230514</v>
      </c>
      <c r="M9" s="304">
        <f t="shared" si="5"/>
        <v>176.74825870646765</v>
      </c>
      <c r="N9" s="304">
        <f t="shared" si="6"/>
        <v>13.797678275290215</v>
      </c>
      <c r="O9" s="304">
        <f t="shared" si="8"/>
        <v>29.96187843301702</v>
      </c>
      <c r="P9" s="305">
        <f t="shared" si="9"/>
        <v>253.40997130200543</v>
      </c>
      <c r="Q9" s="305">
        <f>SUM(-tanks!AX11*tanks!$AU$37)</f>
        <v>2036.1363354838718</v>
      </c>
      <c r="R9" s="305">
        <f>SUM(P9:Q9)</f>
        <v>2289.5463067858773</v>
      </c>
      <c r="S9" s="307">
        <f>SUM(ELEC!N8)</f>
        <v>20764</v>
      </c>
      <c r="T9" s="344">
        <f t="shared" si="12"/>
        <v>0.11026518526227497</v>
      </c>
      <c r="V9" s="270">
        <f>'[1]EDl log'!V52</f>
        <v>0</v>
      </c>
      <c r="W9" s="270">
        <f>'[1]EDl log'!W52</f>
        <v>41646</v>
      </c>
      <c r="X9" s="270" t="str">
        <f>'[1]EDl log'!X9</f>
        <v>Night</v>
      </c>
      <c r="Y9" s="270">
        <f>'[1]EDl log'!Y9</f>
        <v>80</v>
      </c>
      <c r="Z9" s="270">
        <f>'[1]EDl log'!Z9</f>
        <v>1</v>
      </c>
      <c r="AA9" s="270">
        <f>'[1]EDl log'!AA27</f>
        <v>22569</v>
      </c>
      <c r="AB9" s="270">
        <f>'[1]EDl log'!AB27</f>
        <v>1805520</v>
      </c>
      <c r="AC9" s="270">
        <f>'[1]EDl log'!AC27</f>
        <v>1033333</v>
      </c>
      <c r="AD9" s="270">
        <f>'[1]EDl log'!AD27</f>
        <v>0.36036971356738795</v>
      </c>
    </row>
    <row r="10" spans="1:30" ht="15.75" thickBot="1">
      <c r="A10" s="163">
        <f>ELEC!C9</f>
        <v>44019</v>
      </c>
      <c r="B10" s="573">
        <v>125693</v>
      </c>
      <c r="C10" s="270">
        <f t="shared" si="0"/>
        <v>0</v>
      </c>
      <c r="D10" s="316">
        <f t="shared" si="7"/>
        <v>0</v>
      </c>
      <c r="E10" s="316">
        <f t="shared" si="11"/>
        <v>125693</v>
      </c>
      <c r="F10" s="573">
        <v>19811</v>
      </c>
      <c r="G10" s="160">
        <f t="shared" si="1"/>
        <v>0</v>
      </c>
      <c r="H10" s="573">
        <v>60218</v>
      </c>
      <c r="I10" s="161">
        <f t="shared" si="2"/>
        <v>0</v>
      </c>
      <c r="J10" s="575">
        <f t="shared" ref="J10:J34" si="13">J9</f>
        <v>45662</v>
      </c>
      <c r="K10" s="162">
        <f t="shared" si="3"/>
        <v>0</v>
      </c>
      <c r="L10" s="304">
        <f t="shared" si="4"/>
        <v>0</v>
      </c>
      <c r="M10" s="304">
        <f t="shared" si="5"/>
        <v>0</v>
      </c>
      <c r="N10" s="304">
        <f t="shared" si="6"/>
        <v>0</v>
      </c>
      <c r="O10" s="304">
        <f t="shared" si="8"/>
        <v>29.96187843301702</v>
      </c>
      <c r="P10" s="305">
        <f t="shared" si="9"/>
        <v>29.96187843301702</v>
      </c>
      <c r="Q10" s="305">
        <f>SUM(-tanks!AX12*tanks!$AU$37)</f>
        <v>2342.1677548387138</v>
      </c>
      <c r="R10" s="305">
        <f t="shared" si="10"/>
        <v>2372.1296332717307</v>
      </c>
      <c r="S10" s="307">
        <f>SUM(ELEC!N9)</f>
        <v>20479</v>
      </c>
      <c r="T10" s="344">
        <f t="shared" si="12"/>
        <v>0.11583229812352804</v>
      </c>
      <c r="V10" s="270">
        <f>'[1]EDl log'!V53</f>
        <v>0</v>
      </c>
      <c r="W10" s="270">
        <f>'[1]EDl log'!W53</f>
        <v>52088</v>
      </c>
      <c r="X10" s="270" t="str">
        <f>'[1]EDl log'!X10</f>
        <v>day</v>
      </c>
      <c r="Y10" s="270">
        <f>'[1]EDl log'!Y10</f>
        <v>112</v>
      </c>
      <c r="Z10" s="270">
        <f>'[1]EDl log'!Z10</f>
        <v>1</v>
      </c>
      <c r="AA10" s="270">
        <f>'[1]EDl log'!AA53</f>
        <v>52088</v>
      </c>
      <c r="AB10" s="270">
        <f>'[1]EDl log'!AB28</f>
        <v>3865120</v>
      </c>
      <c r="AC10" s="270">
        <f>'[1]EDl log'!AC28</f>
        <v>6200000</v>
      </c>
      <c r="AD10" s="270">
        <f>'[1]EDl log'!AD28</f>
        <v>0.48598141330699468</v>
      </c>
    </row>
    <row r="11" spans="1:30" ht="15.75" thickBot="1">
      <c r="A11" s="163">
        <f>ELEC!C10</f>
        <v>44020</v>
      </c>
      <c r="B11" s="573">
        <f t="shared" ref="B11:B34" si="14">B10</f>
        <v>125693</v>
      </c>
      <c r="C11" s="270">
        <f t="shared" si="0"/>
        <v>0</v>
      </c>
      <c r="D11" s="316">
        <f>SUM(G11+I11+K11)</f>
        <v>0</v>
      </c>
      <c r="E11" s="316">
        <f t="shared" si="11"/>
        <v>125693</v>
      </c>
      <c r="F11" s="573">
        <f t="shared" ref="F11:F34" si="15">F10</f>
        <v>19811</v>
      </c>
      <c r="G11" s="160">
        <f t="shared" si="1"/>
        <v>0</v>
      </c>
      <c r="H11" s="573">
        <f t="shared" ref="H11:H34" si="16">H10</f>
        <v>60218</v>
      </c>
      <c r="I11" s="161">
        <f t="shared" si="2"/>
        <v>0</v>
      </c>
      <c r="J11" s="575">
        <f t="shared" si="13"/>
        <v>45662</v>
      </c>
      <c r="K11" s="162">
        <f t="shared" si="3"/>
        <v>0</v>
      </c>
      <c r="L11" s="304">
        <f t="shared" si="4"/>
        <v>0</v>
      </c>
      <c r="M11" s="304">
        <f t="shared" si="5"/>
        <v>0</v>
      </c>
      <c r="N11" s="304">
        <f t="shared" si="6"/>
        <v>0</v>
      </c>
      <c r="O11" s="304">
        <f t="shared" si="8"/>
        <v>29.96187843301702</v>
      </c>
      <c r="P11" s="305">
        <f t="shared" si="9"/>
        <v>29.96187843301702</v>
      </c>
      <c r="Q11" s="305">
        <f>SUM(-tanks!AX13*tanks!$AU$37)</f>
        <v>2223.4522529032283</v>
      </c>
      <c r="R11" s="305">
        <f t="shared" si="10"/>
        <v>2253.4141313362452</v>
      </c>
      <c r="S11" s="307">
        <f>SUM(ELEC!N10)</f>
        <v>23543</v>
      </c>
      <c r="T11" s="344">
        <f t="shared" si="12"/>
        <v>9.5714825270196882E-2</v>
      </c>
      <c r="V11" s="270">
        <f>'[1]EDl log'!V54</f>
        <v>0</v>
      </c>
      <c r="W11" s="270">
        <f>'[1]EDl log'!W54</f>
        <v>18455</v>
      </c>
      <c r="X11" s="270" t="str">
        <f>'[1]EDl log'!X11</f>
        <v>Peak</v>
      </c>
      <c r="Y11" s="270">
        <f>'[1]EDl log'!Y11</f>
        <v>320</v>
      </c>
      <c r="Z11" s="270">
        <f>'[1]EDl log'!Z11</f>
        <v>1</v>
      </c>
      <c r="AA11" s="270">
        <f>'[1]EDl log'!AA54</f>
        <v>18455</v>
      </c>
      <c r="AB11" s="270">
        <f>'[1]EDl log'!AB29</f>
        <v>2856000</v>
      </c>
      <c r="AC11" s="270">
        <f>'[1]EDl log'!AC29</f>
        <v>1000</v>
      </c>
      <c r="AD11" s="270">
        <f>'[1]EDl log'!AD29</f>
        <v>0.15365448504983387</v>
      </c>
    </row>
    <row r="12" spans="1:30" ht="15.75" thickBot="1">
      <c r="A12" s="163">
        <f>ELEC!C11</f>
        <v>44021</v>
      </c>
      <c r="B12" s="573">
        <f t="shared" si="14"/>
        <v>125693</v>
      </c>
      <c r="C12" s="270">
        <f t="shared" si="0"/>
        <v>0</v>
      </c>
      <c r="D12" s="316">
        <f t="shared" si="7"/>
        <v>0</v>
      </c>
      <c r="E12" s="316">
        <f t="shared" si="11"/>
        <v>125693</v>
      </c>
      <c r="F12" s="573">
        <f t="shared" si="15"/>
        <v>19811</v>
      </c>
      <c r="G12" s="160">
        <f t="shared" si="1"/>
        <v>0</v>
      </c>
      <c r="H12" s="573">
        <f t="shared" si="16"/>
        <v>60218</v>
      </c>
      <c r="I12" s="161">
        <f t="shared" si="2"/>
        <v>0</v>
      </c>
      <c r="J12" s="575">
        <f t="shared" si="13"/>
        <v>45662</v>
      </c>
      <c r="K12" s="162">
        <f t="shared" si="3"/>
        <v>0</v>
      </c>
      <c r="L12" s="304">
        <f t="shared" si="4"/>
        <v>0</v>
      </c>
      <c r="M12" s="304">
        <f t="shared" si="5"/>
        <v>0</v>
      </c>
      <c r="N12" s="304">
        <f t="shared" si="6"/>
        <v>0</v>
      </c>
      <c r="O12" s="304">
        <f t="shared" si="8"/>
        <v>29.96187843301702</v>
      </c>
      <c r="P12" s="305">
        <f t="shared" si="9"/>
        <v>29.96187843301702</v>
      </c>
      <c r="Q12" s="305">
        <f>SUM(-tanks!AX14*tanks!$AU$37)</f>
        <v>0</v>
      </c>
      <c r="R12" s="305">
        <f t="shared" si="10"/>
        <v>29.96187843301702</v>
      </c>
      <c r="S12" s="307">
        <f>SUM(ELEC!N11)</f>
        <v>0</v>
      </c>
      <c r="T12" s="344">
        <f t="shared" si="12"/>
        <v>0</v>
      </c>
      <c r="V12" s="270"/>
      <c r="W12" s="270"/>
      <c r="X12" s="3"/>
      <c r="Y12" s="270"/>
      <c r="Z12" s="28"/>
      <c r="AA12" s="270">
        <f>'[1]EDl log'!AA55</f>
        <v>112189</v>
      </c>
      <c r="AB12" s="270">
        <f>'[1]EDl log'!AB30</f>
        <v>0</v>
      </c>
      <c r="AC12" s="270">
        <f>'[1]EDl log'!AC30</f>
        <v>0</v>
      </c>
    </row>
    <row r="13" spans="1:30" ht="15.75" thickBot="1">
      <c r="A13" s="163">
        <f>ELEC!C12</f>
        <v>44022</v>
      </c>
      <c r="B13" s="573">
        <f t="shared" si="14"/>
        <v>125693</v>
      </c>
      <c r="C13" s="270">
        <f t="shared" si="0"/>
        <v>0</v>
      </c>
      <c r="D13" s="316">
        <f t="shared" si="7"/>
        <v>0</v>
      </c>
      <c r="E13" s="316">
        <f t="shared" si="11"/>
        <v>125693</v>
      </c>
      <c r="F13" s="573">
        <f t="shared" si="15"/>
        <v>19811</v>
      </c>
      <c r="G13" s="160">
        <f t="shared" si="1"/>
        <v>0</v>
      </c>
      <c r="H13" s="573">
        <f t="shared" si="16"/>
        <v>60218</v>
      </c>
      <c r="I13" s="161">
        <f t="shared" si="2"/>
        <v>0</v>
      </c>
      <c r="J13" s="575">
        <f t="shared" si="13"/>
        <v>45662</v>
      </c>
      <c r="K13" s="162">
        <f t="shared" si="3"/>
        <v>0</v>
      </c>
      <c r="L13" s="304">
        <f t="shared" si="4"/>
        <v>0</v>
      </c>
      <c r="M13" s="304">
        <f t="shared" si="5"/>
        <v>0</v>
      </c>
      <c r="N13" s="304">
        <f t="shared" si="6"/>
        <v>0</v>
      </c>
      <c r="O13" s="304">
        <f t="shared" si="8"/>
        <v>29.96187843301702</v>
      </c>
      <c r="P13" s="305">
        <f t="shared" si="9"/>
        <v>29.96187843301702</v>
      </c>
      <c r="Q13" s="305">
        <f>SUM(-tanks!AX15*tanks!$AU$37)</f>
        <v>0</v>
      </c>
      <c r="R13" s="305">
        <f t="shared" si="10"/>
        <v>29.96187843301702</v>
      </c>
      <c r="S13" s="307">
        <f>SUM(ELEC!N12)</f>
        <v>0</v>
      </c>
      <c r="T13" s="344">
        <f t="shared" si="12"/>
        <v>0</v>
      </c>
      <c r="V13" s="270" t="str">
        <f>'[2]EDl log'!V30</f>
        <v>Occ %</v>
      </c>
      <c r="W13" s="521">
        <f>'[1]EDl log'!W13</f>
        <v>1.9296774193548385E-2</v>
      </c>
      <c r="X13" s="521">
        <f>'[1]EDl log'!X13</f>
        <v>0</v>
      </c>
      <c r="Y13" s="270" t="str">
        <f>'[2]EDl log'!Y30</f>
        <v>Per G</v>
      </c>
      <c r="Z13" s="3"/>
      <c r="AA13" s="3"/>
      <c r="AB13" s="270">
        <f>'[1]EDl log'!AB31</f>
        <v>8526640</v>
      </c>
      <c r="AC13" s="270">
        <f>'[1]EDl log'!AC31</f>
        <v>7234333</v>
      </c>
    </row>
    <row r="14" spans="1:30" ht="15.75" thickBot="1">
      <c r="A14" s="587">
        <f>ELEC!C13</f>
        <v>44023</v>
      </c>
      <c r="B14" s="573">
        <f t="shared" si="14"/>
        <v>125693</v>
      </c>
      <c r="C14" s="270">
        <f t="shared" si="0"/>
        <v>0</v>
      </c>
      <c r="D14" s="316">
        <f t="shared" si="7"/>
        <v>0</v>
      </c>
      <c r="E14" s="316">
        <f t="shared" si="11"/>
        <v>125693</v>
      </c>
      <c r="F14" s="573">
        <f t="shared" si="15"/>
        <v>19811</v>
      </c>
      <c r="G14" s="160">
        <f t="shared" si="1"/>
        <v>0</v>
      </c>
      <c r="H14" s="573">
        <f t="shared" si="16"/>
        <v>60218</v>
      </c>
      <c r="I14" s="161">
        <f t="shared" si="2"/>
        <v>0</v>
      </c>
      <c r="J14" s="575">
        <f t="shared" si="13"/>
        <v>45662</v>
      </c>
      <c r="K14" s="162">
        <f t="shared" ref="K14:K17" si="17">J14-J13</f>
        <v>0</v>
      </c>
      <c r="L14" s="304">
        <f t="shared" ref="L14:L17" si="18">SUM(G14*$Y$28)/1507.5</f>
        <v>0</v>
      </c>
      <c r="M14" s="304">
        <f t="shared" ref="M14:M17" si="19">SUM(I14*$Y$27)/1507.5</f>
        <v>0</v>
      </c>
      <c r="N14" s="304">
        <f t="shared" ref="N14:N17" si="20">SUM(K14*$Y$26)/1507.5</f>
        <v>0</v>
      </c>
      <c r="O14" s="304">
        <f t="shared" ref="O14:O17" si="21">($AC$31/$A$39)/1507.5</f>
        <v>29.96187843301702</v>
      </c>
      <c r="P14" s="305">
        <f t="shared" ref="P14:P17" si="22">SUM(L14:O14)</f>
        <v>29.96187843301702</v>
      </c>
      <c r="Q14" s="305">
        <f>SUM(-tanks!AX16*tanks!$AU$37)</f>
        <v>0</v>
      </c>
      <c r="R14" s="305">
        <f t="shared" ref="R14:R17" si="23">SUM(P14:Q14)</f>
        <v>29.96187843301702</v>
      </c>
      <c r="S14" s="307">
        <f>SUM(ELEC!N13)</f>
        <v>0</v>
      </c>
      <c r="T14" s="344">
        <f t="shared" ref="T14:T17" si="24">IF(S14&gt;0,R14/S14,0)</f>
        <v>0</v>
      </c>
      <c r="V14" s="270" t="str">
        <f>'[2]EDl log'!V31</f>
        <v>Gen RH</v>
      </c>
      <c r="W14" s="588">
        <f>'[1]EDl log'!W14</f>
        <v>119.48999999999978</v>
      </c>
      <c r="X14" s="589">
        <f>'[1]EDl log'!X14</f>
        <v>3.8545161290322509</v>
      </c>
      <c r="Y14" s="589">
        <f>'[1]EDl log'!Y14</f>
        <v>1.9272580645161255</v>
      </c>
      <c r="Z14" s="3"/>
      <c r="AA14" s="3"/>
      <c r="AB14" s="270">
        <f>'[1]EDl log'!AB32</f>
        <v>30832109</v>
      </c>
      <c r="AC14" s="270">
        <f>'[1]EDl log'!AC32</f>
        <v>7234333</v>
      </c>
    </row>
    <row r="15" spans="1:30" ht="15.75" thickBot="1">
      <c r="A15" s="163">
        <f>ELEC!C14</f>
        <v>44024</v>
      </c>
      <c r="B15" s="573">
        <f t="shared" si="14"/>
        <v>125693</v>
      </c>
      <c r="C15" s="270">
        <f t="shared" si="0"/>
        <v>0</v>
      </c>
      <c r="D15" s="316">
        <f t="shared" si="7"/>
        <v>0</v>
      </c>
      <c r="E15" s="316">
        <f t="shared" si="11"/>
        <v>125693</v>
      </c>
      <c r="F15" s="573">
        <f t="shared" si="15"/>
        <v>19811</v>
      </c>
      <c r="G15" s="160">
        <f t="shared" si="1"/>
        <v>0</v>
      </c>
      <c r="H15" s="573">
        <f t="shared" si="16"/>
        <v>60218</v>
      </c>
      <c r="I15" s="161">
        <f t="shared" si="2"/>
        <v>0</v>
      </c>
      <c r="J15" s="575">
        <f t="shared" si="13"/>
        <v>45662</v>
      </c>
      <c r="K15" s="162">
        <f t="shared" si="17"/>
        <v>0</v>
      </c>
      <c r="L15" s="304">
        <f t="shared" si="18"/>
        <v>0</v>
      </c>
      <c r="M15" s="304">
        <f t="shared" si="19"/>
        <v>0</v>
      </c>
      <c r="N15" s="304">
        <f t="shared" si="20"/>
        <v>0</v>
      </c>
      <c r="O15" s="304">
        <f t="shared" si="21"/>
        <v>29.96187843301702</v>
      </c>
      <c r="P15" s="305">
        <f t="shared" si="22"/>
        <v>29.96187843301702</v>
      </c>
      <c r="Q15" s="305">
        <f>SUM(-tanks!AX17*tanks!$AU$37)</f>
        <v>0</v>
      </c>
      <c r="R15" s="305">
        <f t="shared" si="23"/>
        <v>29.96187843301702</v>
      </c>
      <c r="S15" s="307">
        <f>SUM(ELEC!N14)</f>
        <v>0</v>
      </c>
      <c r="T15" s="344">
        <f t="shared" si="24"/>
        <v>0</v>
      </c>
      <c r="V15" s="270" t="str">
        <f>'[2]EDl log'!V32</f>
        <v>H Deg</v>
      </c>
      <c r="W15" s="588">
        <f>'[1]EDl log'!W16</f>
        <v>-549.00000000000011</v>
      </c>
      <c r="X15" s="588">
        <f>'[1]EDl log'!X15</f>
        <v>0</v>
      </c>
      <c r="Y15" s="588">
        <f>'[2]EDl log'!Y32</f>
        <v>0</v>
      </c>
      <c r="Z15" s="3"/>
      <c r="AA15" s="3"/>
      <c r="AB15" s="270">
        <f>'[1]EDl log'!AB33</f>
        <v>0</v>
      </c>
      <c r="AC15" s="270">
        <f>'[1]EDl log'!AC33</f>
        <v>0</v>
      </c>
    </row>
    <row r="16" spans="1:30" ht="15.75" thickBot="1">
      <c r="A16" s="163">
        <f>ELEC!C15</f>
        <v>44025</v>
      </c>
      <c r="B16" s="573">
        <f t="shared" si="14"/>
        <v>125693</v>
      </c>
      <c r="C16" s="270">
        <f t="shared" si="0"/>
        <v>0</v>
      </c>
      <c r="D16" s="316">
        <f t="shared" si="7"/>
        <v>0</v>
      </c>
      <c r="E16" s="316">
        <f t="shared" si="11"/>
        <v>125693</v>
      </c>
      <c r="F16" s="573">
        <f t="shared" si="15"/>
        <v>19811</v>
      </c>
      <c r="G16" s="160">
        <f t="shared" si="1"/>
        <v>0</v>
      </c>
      <c r="H16" s="573">
        <f t="shared" si="16"/>
        <v>60218</v>
      </c>
      <c r="I16" s="161">
        <f t="shared" si="2"/>
        <v>0</v>
      </c>
      <c r="J16" s="575">
        <f t="shared" si="13"/>
        <v>45662</v>
      </c>
      <c r="K16" s="162">
        <f t="shared" si="17"/>
        <v>0</v>
      </c>
      <c r="L16" s="304">
        <f t="shared" si="18"/>
        <v>0</v>
      </c>
      <c r="M16" s="304">
        <f t="shared" si="19"/>
        <v>0</v>
      </c>
      <c r="N16" s="304">
        <f t="shared" si="20"/>
        <v>0</v>
      </c>
      <c r="O16" s="304">
        <f t="shared" si="21"/>
        <v>29.96187843301702</v>
      </c>
      <c r="P16" s="305">
        <f t="shared" si="22"/>
        <v>29.96187843301702</v>
      </c>
      <c r="Q16" s="305">
        <f>SUM(-tanks!AX18*tanks!$AU$37)</f>
        <v>0</v>
      </c>
      <c r="R16" s="305">
        <f t="shared" si="23"/>
        <v>29.96187843301702</v>
      </c>
      <c r="S16" s="307">
        <f>SUM(ELEC!N15)</f>
        <v>0</v>
      </c>
      <c r="T16" s="344">
        <f t="shared" si="24"/>
        <v>0</v>
      </c>
      <c r="V16" s="270" t="str">
        <f>'[2]EDl log'!V33</f>
        <v>C Deg</v>
      </c>
      <c r="W16" s="590"/>
      <c r="X16" s="588">
        <f>'[1]EDl log'!X16</f>
        <v>0</v>
      </c>
      <c r="Y16" s="588">
        <f>'[2]EDl log'!Y33</f>
        <v>0</v>
      </c>
      <c r="Z16" s="3"/>
      <c r="AA16" s="3"/>
      <c r="AB16" s="270">
        <f>'[1]EDl log'!AB34</f>
        <v>0</v>
      </c>
      <c r="AC16" s="270">
        <f>'[1]EDl log'!AC34</f>
        <v>0</v>
      </c>
    </row>
    <row r="17" spans="1:32" ht="15.75" thickBot="1">
      <c r="A17" s="163">
        <f>ELEC!C16</f>
        <v>44026</v>
      </c>
      <c r="B17" s="573">
        <f t="shared" si="14"/>
        <v>125693</v>
      </c>
      <c r="C17" s="270">
        <f t="shared" si="0"/>
        <v>0</v>
      </c>
      <c r="D17" s="316">
        <f t="shared" si="7"/>
        <v>0</v>
      </c>
      <c r="E17" s="316">
        <f t="shared" si="11"/>
        <v>125693</v>
      </c>
      <c r="F17" s="573">
        <f t="shared" si="15"/>
        <v>19811</v>
      </c>
      <c r="G17" s="160">
        <f t="shared" si="1"/>
        <v>0</v>
      </c>
      <c r="H17" s="573">
        <f t="shared" si="16"/>
        <v>60218</v>
      </c>
      <c r="I17" s="161">
        <f t="shared" si="2"/>
        <v>0</v>
      </c>
      <c r="J17" s="575">
        <f t="shared" si="13"/>
        <v>45662</v>
      </c>
      <c r="K17" s="162">
        <f t="shared" si="17"/>
        <v>0</v>
      </c>
      <c r="L17" s="304">
        <f t="shared" si="18"/>
        <v>0</v>
      </c>
      <c r="M17" s="304">
        <f t="shared" si="19"/>
        <v>0</v>
      </c>
      <c r="N17" s="304">
        <f t="shared" si="20"/>
        <v>0</v>
      </c>
      <c r="O17" s="304">
        <f t="shared" si="21"/>
        <v>29.96187843301702</v>
      </c>
      <c r="P17" s="305">
        <f t="shared" si="22"/>
        <v>29.96187843301702</v>
      </c>
      <c r="Q17" s="305">
        <f>SUM(-tanks!AX19*tanks!$AU$37)</f>
        <v>0</v>
      </c>
      <c r="R17" s="305">
        <f t="shared" si="23"/>
        <v>29.96187843301702</v>
      </c>
      <c r="S17" s="307">
        <f>SUM(ELEC!N16)</f>
        <v>0</v>
      </c>
      <c r="T17" s="344">
        <f t="shared" si="24"/>
        <v>0</v>
      </c>
      <c r="V17" s="258"/>
      <c r="W17" s="521">
        <f>'[1]EDl log'!W17</f>
        <v>0</v>
      </c>
      <c r="X17" s="17"/>
      <c r="Y17" s="443"/>
      <c r="Z17" s="521"/>
      <c r="AA17" s="521"/>
      <c r="AB17" s="270">
        <f>'[1]EDl log'!AB35</f>
        <v>0</v>
      </c>
      <c r="AC17" s="270">
        <f>'[1]EDl log'!AC35</f>
        <v>0</v>
      </c>
    </row>
    <row r="18" spans="1:32" ht="15.75" thickBot="1">
      <c r="A18" s="163">
        <f>ELEC!C17</f>
        <v>44027</v>
      </c>
      <c r="B18" s="573">
        <f t="shared" si="14"/>
        <v>125693</v>
      </c>
      <c r="C18" s="270">
        <f t="shared" si="0"/>
        <v>0</v>
      </c>
      <c r="D18" s="316">
        <f t="shared" si="7"/>
        <v>0</v>
      </c>
      <c r="E18" s="316">
        <f t="shared" si="11"/>
        <v>125693</v>
      </c>
      <c r="F18" s="573">
        <f t="shared" si="15"/>
        <v>19811</v>
      </c>
      <c r="G18" s="160">
        <f t="shared" si="1"/>
        <v>0</v>
      </c>
      <c r="H18" s="573">
        <f t="shared" si="16"/>
        <v>60218</v>
      </c>
      <c r="I18" s="161">
        <f t="shared" si="2"/>
        <v>0</v>
      </c>
      <c r="J18" s="575">
        <f t="shared" si="13"/>
        <v>45662</v>
      </c>
      <c r="K18" s="162">
        <f t="shared" si="3"/>
        <v>0</v>
      </c>
      <c r="L18" s="304">
        <f t="shared" ref="L18:L33" si="25">SUM(G18*$Y$28)/1507.5</f>
        <v>0</v>
      </c>
      <c r="M18" s="304">
        <f t="shared" ref="M18:M33" si="26">SUM(I18*$Y$27)/1507.5</f>
        <v>0</v>
      </c>
      <c r="N18" s="304">
        <f t="shared" ref="N18:N33" si="27">SUM(K18*$Y$26)/1507.5</f>
        <v>0</v>
      </c>
      <c r="O18" s="304">
        <f t="shared" ref="O18:O34" si="28">($AC$31/$A$39)/1507.5</f>
        <v>29.96187843301702</v>
      </c>
      <c r="P18" s="305">
        <f t="shared" si="9"/>
        <v>29.96187843301702</v>
      </c>
      <c r="Q18" s="305">
        <f>SUM(-tanks!AX20*tanks!$AU$37)</f>
        <v>0</v>
      </c>
      <c r="R18" s="305">
        <f t="shared" si="10"/>
        <v>29.96187843301702</v>
      </c>
      <c r="S18" s="307">
        <f>SUM(ELEC!N17)</f>
        <v>0</v>
      </c>
      <c r="T18" s="344">
        <f t="shared" si="12"/>
        <v>0</v>
      </c>
      <c r="V18" s="232"/>
      <c r="W18" s="233"/>
      <c r="X18" s="233"/>
      <c r="Y18" s="443"/>
      <c r="Z18" s="521" t="str">
        <f>'[2]EDl log'!Z35</f>
        <v xml:space="preserve">VAT </v>
      </c>
      <c r="AA18" s="521">
        <f>'[2]EDl log'!AA35</f>
        <v>0.11</v>
      </c>
      <c r="AB18" s="270">
        <f>'[1]EDl log'!AB36</f>
        <v>3391531.99</v>
      </c>
      <c r="AC18" s="270">
        <f>'[1]EDl log'!AC36</f>
        <v>0</v>
      </c>
    </row>
    <row r="19" spans="1:32" ht="15.75" thickBot="1">
      <c r="A19" s="163">
        <f>ELEC!C18</f>
        <v>44028</v>
      </c>
      <c r="B19" s="573">
        <f t="shared" si="14"/>
        <v>125693</v>
      </c>
      <c r="C19" s="270">
        <f t="shared" si="0"/>
        <v>0</v>
      </c>
      <c r="D19" s="316">
        <f t="shared" si="7"/>
        <v>0</v>
      </c>
      <c r="E19" s="316">
        <f t="shared" si="11"/>
        <v>125693</v>
      </c>
      <c r="F19" s="573">
        <f t="shared" si="15"/>
        <v>19811</v>
      </c>
      <c r="G19" s="160">
        <f t="shared" si="1"/>
        <v>0</v>
      </c>
      <c r="H19" s="573">
        <f t="shared" si="16"/>
        <v>60218</v>
      </c>
      <c r="I19" s="161">
        <f t="shared" si="2"/>
        <v>0</v>
      </c>
      <c r="J19" s="575">
        <f t="shared" si="13"/>
        <v>45662</v>
      </c>
      <c r="K19" s="162">
        <f t="shared" si="3"/>
        <v>0</v>
      </c>
      <c r="L19" s="304">
        <f t="shared" si="25"/>
        <v>0</v>
      </c>
      <c r="M19" s="304">
        <f t="shared" si="26"/>
        <v>0</v>
      </c>
      <c r="N19" s="304">
        <f t="shared" si="27"/>
        <v>0</v>
      </c>
      <c r="O19" s="304">
        <f t="shared" si="28"/>
        <v>29.96187843301702</v>
      </c>
      <c r="P19" s="305">
        <f t="shared" si="9"/>
        <v>29.96187843301702</v>
      </c>
      <c r="Q19" s="305">
        <f>SUM(-tanks!AX21*tanks!$AU$37)</f>
        <v>0</v>
      </c>
      <c r="R19" s="305">
        <f t="shared" si="10"/>
        <v>29.96187843301702</v>
      </c>
      <c r="S19" s="307">
        <f>SUM(ELEC!N18)</f>
        <v>0</v>
      </c>
      <c r="T19" s="344">
        <f t="shared" si="12"/>
        <v>0</v>
      </c>
      <c r="V19" s="232"/>
      <c r="W19" s="233"/>
      <c r="X19" s="233"/>
      <c r="Y19" s="443"/>
      <c r="Z19" s="443"/>
      <c r="AA19" s="270"/>
      <c r="AB19" s="270">
        <f>'[1]EDl log'!AB37</f>
        <v>34223640.990000002</v>
      </c>
      <c r="AC19" s="270">
        <f>'[1]EDl log'!AC37</f>
        <v>0</v>
      </c>
    </row>
    <row r="20" spans="1:32" ht="15.75" thickBot="1">
      <c r="A20" s="163">
        <f>ELEC!C19</f>
        <v>44029</v>
      </c>
      <c r="B20" s="573">
        <f t="shared" si="14"/>
        <v>125693</v>
      </c>
      <c r="C20" s="270">
        <f t="shared" si="0"/>
        <v>0</v>
      </c>
      <c r="D20" s="316">
        <f t="shared" si="7"/>
        <v>0</v>
      </c>
      <c r="E20" s="316">
        <f t="shared" si="11"/>
        <v>125693</v>
      </c>
      <c r="F20" s="573">
        <f t="shared" si="15"/>
        <v>19811</v>
      </c>
      <c r="G20" s="160">
        <f t="shared" si="1"/>
        <v>0</v>
      </c>
      <c r="H20" s="573">
        <f t="shared" si="16"/>
        <v>60218</v>
      </c>
      <c r="I20" s="161">
        <f t="shared" si="2"/>
        <v>0</v>
      </c>
      <c r="J20" s="575">
        <f t="shared" si="13"/>
        <v>45662</v>
      </c>
      <c r="K20" s="162">
        <f t="shared" si="3"/>
        <v>0</v>
      </c>
      <c r="L20" s="304">
        <f t="shared" si="25"/>
        <v>0</v>
      </c>
      <c r="M20" s="304">
        <f t="shared" si="26"/>
        <v>0</v>
      </c>
      <c r="N20" s="304">
        <f t="shared" si="27"/>
        <v>0</v>
      </c>
      <c r="O20" s="304">
        <f t="shared" si="28"/>
        <v>29.96187843301702</v>
      </c>
      <c r="P20" s="305">
        <f t="shared" si="9"/>
        <v>29.96187843301702</v>
      </c>
      <c r="Q20" s="305">
        <f>SUM(-tanks!AX22*tanks!$AU$37)</f>
        <v>0</v>
      </c>
      <c r="R20" s="305">
        <f t="shared" si="10"/>
        <v>29.96187843301702</v>
      </c>
      <c r="S20" s="307">
        <f>SUM(ELEC!N19)</f>
        <v>0</v>
      </c>
      <c r="T20" s="344">
        <f t="shared" si="12"/>
        <v>0</v>
      </c>
      <c r="V20" t="s">
        <v>415</v>
      </c>
      <c r="AB20" s="270"/>
    </row>
    <row r="21" spans="1:32" ht="15.75" thickBot="1">
      <c r="A21" s="163">
        <f>ELEC!C20</f>
        <v>44030</v>
      </c>
      <c r="B21" s="573">
        <f t="shared" si="14"/>
        <v>125693</v>
      </c>
      <c r="C21" s="270">
        <f t="shared" si="0"/>
        <v>0</v>
      </c>
      <c r="D21" s="316">
        <f t="shared" si="7"/>
        <v>0</v>
      </c>
      <c r="E21" s="316">
        <f t="shared" si="11"/>
        <v>125693</v>
      </c>
      <c r="F21" s="573">
        <f t="shared" si="15"/>
        <v>19811</v>
      </c>
      <c r="G21" s="160">
        <f t="shared" si="1"/>
        <v>0</v>
      </c>
      <c r="H21" s="573">
        <f t="shared" si="16"/>
        <v>60218</v>
      </c>
      <c r="I21" s="161">
        <f t="shared" si="2"/>
        <v>0</v>
      </c>
      <c r="J21" s="575">
        <f t="shared" si="13"/>
        <v>45662</v>
      </c>
      <c r="K21" s="162">
        <f t="shared" si="3"/>
        <v>0</v>
      </c>
      <c r="L21" s="304">
        <f t="shared" si="25"/>
        <v>0</v>
      </c>
      <c r="M21" s="304">
        <f t="shared" si="26"/>
        <v>0</v>
      </c>
      <c r="N21" s="304">
        <f t="shared" si="27"/>
        <v>0</v>
      </c>
      <c r="O21" s="304">
        <f t="shared" si="28"/>
        <v>29.96187843301702</v>
      </c>
      <c r="P21" s="305">
        <f t="shared" si="9"/>
        <v>29.96187843301702</v>
      </c>
      <c r="Q21" s="305">
        <f>SUM(-tanks!AX23*tanks!$AU$37)</f>
        <v>0</v>
      </c>
      <c r="R21" s="305">
        <f t="shared" si="10"/>
        <v>29.96187843301702</v>
      </c>
      <c r="S21" s="307">
        <f>SUM(ELEC!N20)</f>
        <v>0</v>
      </c>
      <c r="T21" s="344">
        <f t="shared" si="12"/>
        <v>0</v>
      </c>
      <c r="V21" s="166" t="s">
        <v>201</v>
      </c>
      <c r="W21" s="167">
        <v>44013</v>
      </c>
      <c r="X21" s="168"/>
      <c r="Y21" s="168"/>
      <c r="Z21" s="169" t="s">
        <v>202</v>
      </c>
      <c r="AA21" s="168"/>
      <c r="AB21" s="667"/>
      <c r="AC21" s="668"/>
    </row>
    <row r="22" spans="1:32" ht="15.75" thickBot="1">
      <c r="A22" s="163">
        <f>ELEC!C21</f>
        <v>44031</v>
      </c>
      <c r="B22" s="573">
        <f t="shared" si="14"/>
        <v>125693</v>
      </c>
      <c r="C22" s="270">
        <f t="shared" si="0"/>
        <v>0</v>
      </c>
      <c r="D22" s="316">
        <f t="shared" si="7"/>
        <v>0</v>
      </c>
      <c r="E22" s="316">
        <f t="shared" si="11"/>
        <v>125693</v>
      </c>
      <c r="F22" s="573">
        <f t="shared" si="15"/>
        <v>19811</v>
      </c>
      <c r="G22" s="160">
        <f t="shared" si="1"/>
        <v>0</v>
      </c>
      <c r="H22" s="573">
        <f t="shared" si="16"/>
        <v>60218</v>
      </c>
      <c r="I22" s="161">
        <f t="shared" si="2"/>
        <v>0</v>
      </c>
      <c r="J22" s="575">
        <f t="shared" si="13"/>
        <v>45662</v>
      </c>
      <c r="K22" s="162">
        <f t="shared" si="3"/>
        <v>0</v>
      </c>
      <c r="L22" s="304">
        <f t="shared" si="25"/>
        <v>0</v>
      </c>
      <c r="M22" s="304">
        <f t="shared" si="26"/>
        <v>0</v>
      </c>
      <c r="N22" s="304">
        <f t="shared" si="27"/>
        <v>0</v>
      </c>
      <c r="O22" s="304">
        <f t="shared" si="28"/>
        <v>29.96187843301702</v>
      </c>
      <c r="P22" s="305">
        <f t="shared" si="9"/>
        <v>29.96187843301702</v>
      </c>
      <c r="Q22" s="305">
        <f>SUM(-tanks!AX24*tanks!$AU$37)</f>
        <v>0</v>
      </c>
      <c r="R22" s="305">
        <f t="shared" si="10"/>
        <v>29.96187843301702</v>
      </c>
      <c r="S22" s="307">
        <f>SUM(ELEC!N21)</f>
        <v>0</v>
      </c>
      <c r="T22" s="344">
        <f t="shared" si="12"/>
        <v>0</v>
      </c>
      <c r="V22" s="673"/>
      <c r="W22" s="674"/>
      <c r="X22" s="674"/>
      <c r="Y22" s="675"/>
      <c r="Z22" s="26" t="s">
        <v>203</v>
      </c>
      <c r="AA22" s="26">
        <v>5000</v>
      </c>
      <c r="AB22" s="669"/>
      <c r="AC22" s="670"/>
    </row>
    <row r="23" spans="1:32" ht="15.75" thickBot="1">
      <c r="A23" s="163">
        <f>ELEC!C22</f>
        <v>44032</v>
      </c>
      <c r="B23" s="573">
        <f t="shared" si="14"/>
        <v>125693</v>
      </c>
      <c r="C23" s="270">
        <f t="shared" si="0"/>
        <v>0</v>
      </c>
      <c r="D23" s="316">
        <f t="shared" si="7"/>
        <v>0</v>
      </c>
      <c r="E23" s="316">
        <f t="shared" si="11"/>
        <v>125693</v>
      </c>
      <c r="F23" s="573">
        <f t="shared" si="15"/>
        <v>19811</v>
      </c>
      <c r="G23" s="160">
        <f t="shared" si="1"/>
        <v>0</v>
      </c>
      <c r="H23" s="573">
        <f t="shared" si="16"/>
        <v>60218</v>
      </c>
      <c r="I23" s="161">
        <f t="shared" si="2"/>
        <v>0</v>
      </c>
      <c r="J23" s="575">
        <f t="shared" si="13"/>
        <v>45662</v>
      </c>
      <c r="K23" s="162">
        <f t="shared" si="3"/>
        <v>0</v>
      </c>
      <c r="L23" s="304">
        <f t="shared" si="25"/>
        <v>0</v>
      </c>
      <c r="M23" s="304">
        <f t="shared" si="26"/>
        <v>0</v>
      </c>
      <c r="N23" s="304">
        <f t="shared" si="27"/>
        <v>0</v>
      </c>
      <c r="O23" s="304">
        <f t="shared" si="28"/>
        <v>29.96187843301702</v>
      </c>
      <c r="P23" s="305">
        <f t="shared" si="9"/>
        <v>29.96187843301702</v>
      </c>
      <c r="Q23" s="305">
        <f>SUM(-tanks!AX25*tanks!$AU$37)</f>
        <v>0</v>
      </c>
      <c r="R23" s="305">
        <f t="shared" si="10"/>
        <v>29.96187843301702</v>
      </c>
      <c r="S23" s="307">
        <f>SUM(ELEC!N22)</f>
        <v>0</v>
      </c>
      <c r="T23" s="344">
        <f t="shared" si="12"/>
        <v>0</v>
      </c>
      <c r="V23" s="676"/>
      <c r="W23" s="677"/>
      <c r="X23" s="677"/>
      <c r="Y23" s="678"/>
      <c r="Z23" s="679"/>
      <c r="AA23" s="680"/>
      <c r="AB23" s="669"/>
      <c r="AC23" s="670"/>
    </row>
    <row r="24" spans="1:32" ht="15" customHeight="1" thickBot="1">
      <c r="A24" s="163">
        <f>ELEC!C23</f>
        <v>44033</v>
      </c>
      <c r="B24" s="573">
        <f t="shared" si="14"/>
        <v>125693</v>
      </c>
      <c r="C24" s="270">
        <f t="shared" si="0"/>
        <v>0</v>
      </c>
      <c r="D24" s="316">
        <f t="shared" si="7"/>
        <v>0</v>
      </c>
      <c r="E24" s="316">
        <f t="shared" si="11"/>
        <v>125693</v>
      </c>
      <c r="F24" s="573">
        <f t="shared" si="15"/>
        <v>19811</v>
      </c>
      <c r="G24" s="160">
        <f t="shared" si="1"/>
        <v>0</v>
      </c>
      <c r="H24" s="573">
        <f t="shared" si="16"/>
        <v>60218</v>
      </c>
      <c r="I24" s="161">
        <f t="shared" si="2"/>
        <v>0</v>
      </c>
      <c r="J24" s="575">
        <f t="shared" si="13"/>
        <v>45662</v>
      </c>
      <c r="K24" s="162">
        <f t="shared" si="3"/>
        <v>0</v>
      </c>
      <c r="L24" s="304">
        <f t="shared" si="25"/>
        <v>0</v>
      </c>
      <c r="M24" s="304">
        <f t="shared" si="26"/>
        <v>0</v>
      </c>
      <c r="N24" s="304">
        <f t="shared" si="27"/>
        <v>0</v>
      </c>
      <c r="O24" s="304">
        <f t="shared" si="28"/>
        <v>29.96187843301702</v>
      </c>
      <c r="P24" s="305">
        <f t="shared" si="9"/>
        <v>29.96187843301702</v>
      </c>
      <c r="Q24" s="305">
        <f>SUM(-tanks!AX26*tanks!$AU$37)</f>
        <v>0</v>
      </c>
      <c r="R24" s="305">
        <f t="shared" si="10"/>
        <v>29.96187843301702</v>
      </c>
      <c r="S24" s="307">
        <f>SUM(ELEC!N23)</f>
        <v>0</v>
      </c>
      <c r="T24" s="344">
        <f t="shared" si="12"/>
        <v>0</v>
      </c>
      <c r="V24" s="681" t="s">
        <v>204</v>
      </c>
      <c r="W24" s="682"/>
      <c r="X24" s="683" t="s">
        <v>205</v>
      </c>
      <c r="Y24" s="684"/>
      <c r="Z24" s="685"/>
      <c r="AA24" s="170"/>
      <c r="AB24" s="671"/>
      <c r="AC24" s="672"/>
    </row>
    <row r="25" spans="1:32" ht="17.25" customHeight="1" thickBot="1">
      <c r="A25" s="163">
        <f>ELEC!C24</f>
        <v>44034</v>
      </c>
      <c r="B25" s="573">
        <f t="shared" si="14"/>
        <v>125693</v>
      </c>
      <c r="C25" s="270">
        <f t="shared" si="0"/>
        <v>0</v>
      </c>
      <c r="D25" s="316">
        <f t="shared" si="7"/>
        <v>0</v>
      </c>
      <c r="E25" s="316">
        <f t="shared" si="11"/>
        <v>125693</v>
      </c>
      <c r="F25" s="573">
        <f t="shared" si="15"/>
        <v>19811</v>
      </c>
      <c r="G25" s="160">
        <f t="shared" si="1"/>
        <v>0</v>
      </c>
      <c r="H25" s="573">
        <f t="shared" si="16"/>
        <v>60218</v>
      </c>
      <c r="I25" s="161">
        <f t="shared" si="2"/>
        <v>0</v>
      </c>
      <c r="J25" s="575">
        <f t="shared" si="13"/>
        <v>45662</v>
      </c>
      <c r="K25" s="162">
        <f t="shared" si="3"/>
        <v>0</v>
      </c>
      <c r="L25" s="304">
        <f t="shared" si="25"/>
        <v>0</v>
      </c>
      <c r="M25" s="304">
        <f t="shared" si="26"/>
        <v>0</v>
      </c>
      <c r="N25" s="304">
        <f t="shared" si="27"/>
        <v>0</v>
      </c>
      <c r="O25" s="304">
        <f t="shared" si="28"/>
        <v>29.96187843301702</v>
      </c>
      <c r="P25" s="305">
        <f t="shared" si="9"/>
        <v>29.96187843301702</v>
      </c>
      <c r="Q25" s="305">
        <f>SUM(-tanks!AX27*tanks!$AU$37)</f>
        <v>0</v>
      </c>
      <c r="R25" s="305">
        <f t="shared" si="10"/>
        <v>29.96187843301702</v>
      </c>
      <c r="S25" s="307">
        <f>SUM(ELEC!N24)</f>
        <v>0</v>
      </c>
      <c r="T25" s="344">
        <f t="shared" si="12"/>
        <v>0</v>
      </c>
      <c r="V25" s="252" t="s">
        <v>206</v>
      </c>
      <c r="W25" s="253" t="s">
        <v>207</v>
      </c>
      <c r="X25" s="253"/>
      <c r="Y25" s="253" t="s">
        <v>208</v>
      </c>
      <c r="Z25" s="253" t="s">
        <v>209</v>
      </c>
      <c r="AA25" s="253" t="s">
        <v>210</v>
      </c>
      <c r="AB25" s="253" t="s">
        <v>211</v>
      </c>
      <c r="AC25" s="171" t="s">
        <v>212</v>
      </c>
    </row>
    <row r="26" spans="1:32" ht="15.75" thickBot="1">
      <c r="A26" s="163">
        <f>ELEC!C25</f>
        <v>44035</v>
      </c>
      <c r="B26" s="573">
        <f t="shared" si="14"/>
        <v>125693</v>
      </c>
      <c r="C26" s="270">
        <f t="shared" si="0"/>
        <v>0</v>
      </c>
      <c r="D26" s="316">
        <f t="shared" si="7"/>
        <v>0</v>
      </c>
      <c r="E26" s="316">
        <f t="shared" si="11"/>
        <v>125693</v>
      </c>
      <c r="F26" s="573">
        <f t="shared" si="15"/>
        <v>19811</v>
      </c>
      <c r="G26" s="160">
        <f t="shared" si="1"/>
        <v>0</v>
      </c>
      <c r="H26" s="573">
        <f t="shared" si="16"/>
        <v>60218</v>
      </c>
      <c r="I26" s="161">
        <f t="shared" si="2"/>
        <v>0</v>
      </c>
      <c r="J26" s="575">
        <f t="shared" si="13"/>
        <v>45662</v>
      </c>
      <c r="K26" s="162">
        <f t="shared" si="3"/>
        <v>0</v>
      </c>
      <c r="L26" s="304">
        <f t="shared" si="25"/>
        <v>0</v>
      </c>
      <c r="M26" s="304">
        <f t="shared" si="26"/>
        <v>0</v>
      </c>
      <c r="N26" s="304">
        <f t="shared" si="27"/>
        <v>0</v>
      </c>
      <c r="O26" s="304">
        <f t="shared" si="28"/>
        <v>29.96187843301702</v>
      </c>
      <c r="P26" s="305">
        <f t="shared" si="9"/>
        <v>29.96187843301702</v>
      </c>
      <c r="Q26" s="305">
        <f>SUM(-tanks!AX28*tanks!$AU$37)</f>
        <v>0</v>
      </c>
      <c r="R26" s="305">
        <f t="shared" si="10"/>
        <v>29.96187843301702</v>
      </c>
      <c r="S26" s="307">
        <f>SUM(ELEC!N25)</f>
        <v>0</v>
      </c>
      <c r="T26" s="344">
        <f t="shared" si="12"/>
        <v>0</v>
      </c>
      <c r="V26" s="259">
        <f>W9</f>
        <v>41646</v>
      </c>
      <c r="W26" s="170">
        <f>J34</f>
        <v>45662</v>
      </c>
      <c r="X26" s="172" t="s">
        <v>199</v>
      </c>
      <c r="Y26" s="172">
        <v>80</v>
      </c>
      <c r="Z26" s="172">
        <v>1</v>
      </c>
      <c r="AA26" s="199">
        <f>(W26-V26)*Z26</f>
        <v>4016</v>
      </c>
      <c r="AB26" s="199">
        <f>AA26*Y26</f>
        <v>321280</v>
      </c>
      <c r="AC26" s="254">
        <f>AC9</f>
        <v>1033333</v>
      </c>
      <c r="AD26" s="215">
        <f>SUM(K38)</f>
        <v>0.29741538917277643</v>
      </c>
    </row>
    <row r="27" spans="1:32" ht="15.75" thickBot="1">
      <c r="A27" s="163">
        <f>ELEC!C26</f>
        <v>44036</v>
      </c>
      <c r="B27" s="573">
        <f t="shared" si="14"/>
        <v>125693</v>
      </c>
      <c r="C27" s="270">
        <f t="shared" si="0"/>
        <v>0</v>
      </c>
      <c r="D27" s="316">
        <f t="shared" si="7"/>
        <v>0</v>
      </c>
      <c r="E27" s="316">
        <f t="shared" si="11"/>
        <v>125693</v>
      </c>
      <c r="F27" s="573">
        <f t="shared" si="15"/>
        <v>19811</v>
      </c>
      <c r="G27" s="160">
        <f t="shared" si="1"/>
        <v>0</v>
      </c>
      <c r="H27" s="573">
        <f t="shared" si="16"/>
        <v>60218</v>
      </c>
      <c r="I27" s="161">
        <f t="shared" si="2"/>
        <v>0</v>
      </c>
      <c r="J27" s="575">
        <f t="shared" si="13"/>
        <v>45662</v>
      </c>
      <c r="K27" s="162">
        <f t="shared" si="3"/>
        <v>0</v>
      </c>
      <c r="L27" s="304">
        <f t="shared" si="25"/>
        <v>0</v>
      </c>
      <c r="M27" s="304">
        <f t="shared" si="26"/>
        <v>0</v>
      </c>
      <c r="N27" s="304">
        <f t="shared" si="27"/>
        <v>0</v>
      </c>
      <c r="O27" s="304">
        <f t="shared" si="28"/>
        <v>29.96187843301702</v>
      </c>
      <c r="P27" s="305">
        <f t="shared" si="9"/>
        <v>29.96187843301702</v>
      </c>
      <c r="Q27" s="305">
        <f>SUM(-tanks!AX29*tanks!$AU$37)</f>
        <v>0</v>
      </c>
      <c r="R27" s="305">
        <f t="shared" si="10"/>
        <v>29.96187843301702</v>
      </c>
      <c r="S27" s="307">
        <f>SUM(ELEC!N26)</f>
        <v>0</v>
      </c>
      <c r="T27" s="344">
        <f t="shared" si="12"/>
        <v>0</v>
      </c>
      <c r="V27" s="259">
        <f t="shared" ref="V27:V28" si="29">W10</f>
        <v>52088</v>
      </c>
      <c r="W27" s="170">
        <f>H34</f>
        <v>60218</v>
      </c>
      <c r="X27" s="172" t="s">
        <v>213</v>
      </c>
      <c r="Y27" s="172">
        <v>112</v>
      </c>
      <c r="Z27" s="172">
        <v>1</v>
      </c>
      <c r="AA27" s="199">
        <f>(W27-V27)*Z27</f>
        <v>8130</v>
      </c>
      <c r="AB27" s="199">
        <f>SUM(AA27*Y27)</f>
        <v>910560</v>
      </c>
      <c r="AC27" s="254">
        <f>AC10</f>
        <v>6200000</v>
      </c>
      <c r="AD27" s="215">
        <f>SUM(I38)</f>
        <v>0.6020884247944901</v>
      </c>
    </row>
    <row r="28" spans="1:32" ht="15.75" thickBot="1">
      <c r="A28" s="163">
        <f>ELEC!C27</f>
        <v>44037</v>
      </c>
      <c r="B28" s="573">
        <f t="shared" si="14"/>
        <v>125693</v>
      </c>
      <c r="C28" s="270">
        <f t="shared" si="0"/>
        <v>0</v>
      </c>
      <c r="D28" s="316">
        <f t="shared" si="7"/>
        <v>0</v>
      </c>
      <c r="E28" s="316">
        <f t="shared" si="11"/>
        <v>125693</v>
      </c>
      <c r="F28" s="573">
        <f t="shared" si="15"/>
        <v>19811</v>
      </c>
      <c r="G28" s="160">
        <f t="shared" si="1"/>
        <v>0</v>
      </c>
      <c r="H28" s="573">
        <f t="shared" si="16"/>
        <v>60218</v>
      </c>
      <c r="I28" s="161">
        <f t="shared" si="2"/>
        <v>0</v>
      </c>
      <c r="J28" s="575">
        <f t="shared" si="13"/>
        <v>45662</v>
      </c>
      <c r="K28" s="162">
        <f t="shared" si="3"/>
        <v>0</v>
      </c>
      <c r="L28" s="304">
        <f t="shared" si="25"/>
        <v>0</v>
      </c>
      <c r="M28" s="304">
        <f t="shared" si="26"/>
        <v>0</v>
      </c>
      <c r="N28" s="304">
        <f t="shared" si="27"/>
        <v>0</v>
      </c>
      <c r="O28" s="304">
        <f t="shared" si="28"/>
        <v>29.96187843301702</v>
      </c>
      <c r="P28" s="305">
        <f t="shared" si="9"/>
        <v>29.96187843301702</v>
      </c>
      <c r="Q28" s="305">
        <f>SUM(-tanks!AX30*tanks!$AU$37)</f>
        <v>0</v>
      </c>
      <c r="R28" s="305">
        <f t="shared" si="10"/>
        <v>29.96187843301702</v>
      </c>
      <c r="S28" s="307">
        <f>SUM(ELEC!N27)</f>
        <v>0</v>
      </c>
      <c r="T28" s="344">
        <f t="shared" si="12"/>
        <v>0</v>
      </c>
      <c r="V28" s="259">
        <f t="shared" si="29"/>
        <v>18455</v>
      </c>
      <c r="W28" s="170">
        <f>F34</f>
        <v>19811</v>
      </c>
      <c r="X28" s="172" t="s">
        <v>197</v>
      </c>
      <c r="Y28" s="172">
        <v>320</v>
      </c>
      <c r="Z28" s="172">
        <v>1</v>
      </c>
      <c r="AA28" s="199">
        <f>(W28-V28)*Z28</f>
        <v>1356</v>
      </c>
      <c r="AB28" s="199">
        <f>SUM(AA28*Y28)</f>
        <v>433920</v>
      </c>
      <c r="AC28" s="254">
        <f>AC11</f>
        <v>1000</v>
      </c>
      <c r="AD28" s="215">
        <f>SUM(G38)</f>
        <v>0.10042212841590757</v>
      </c>
      <c r="AE28" s="40">
        <f>SUM(AB28*5%)</f>
        <v>21696</v>
      </c>
      <c r="AF28" s="82">
        <f>SUM(AE28/7)*31</f>
        <v>96082.285714285725</v>
      </c>
    </row>
    <row r="29" spans="1:32" ht="15.75" thickBot="1">
      <c r="A29" s="163">
        <f>ELEC!C28</f>
        <v>44038</v>
      </c>
      <c r="B29" s="573">
        <f t="shared" si="14"/>
        <v>125693</v>
      </c>
      <c r="C29" s="270">
        <f t="shared" si="0"/>
        <v>0</v>
      </c>
      <c r="D29" s="316">
        <f t="shared" si="7"/>
        <v>0</v>
      </c>
      <c r="E29" s="316">
        <f t="shared" si="11"/>
        <v>125693</v>
      </c>
      <c r="F29" s="573">
        <f t="shared" si="15"/>
        <v>19811</v>
      </c>
      <c r="G29" s="160">
        <f t="shared" si="1"/>
        <v>0</v>
      </c>
      <c r="H29" s="573">
        <f t="shared" si="16"/>
        <v>60218</v>
      </c>
      <c r="I29" s="161">
        <f t="shared" si="2"/>
        <v>0</v>
      </c>
      <c r="J29" s="575">
        <f t="shared" si="13"/>
        <v>45662</v>
      </c>
      <c r="K29" s="162">
        <f t="shared" si="3"/>
        <v>0</v>
      </c>
      <c r="L29" s="304">
        <f t="shared" si="25"/>
        <v>0</v>
      </c>
      <c r="M29" s="304">
        <f t="shared" si="26"/>
        <v>0</v>
      </c>
      <c r="N29" s="304">
        <f t="shared" si="27"/>
        <v>0</v>
      </c>
      <c r="O29" s="304">
        <f t="shared" si="28"/>
        <v>29.96187843301702</v>
      </c>
      <c r="P29" s="305">
        <f t="shared" si="9"/>
        <v>29.96187843301702</v>
      </c>
      <c r="Q29" s="305">
        <f>SUM(-tanks!AX31*tanks!$AU$37)</f>
        <v>0</v>
      </c>
      <c r="R29" s="305">
        <f t="shared" si="10"/>
        <v>29.96187843301702</v>
      </c>
      <c r="S29" s="307">
        <f>SUM(ELEC!N28)</f>
        <v>0</v>
      </c>
      <c r="T29" s="344">
        <f t="shared" si="12"/>
        <v>0</v>
      </c>
      <c r="V29" s="216"/>
      <c r="W29" s="217"/>
      <c r="X29" s="217"/>
      <c r="Y29" s="218"/>
      <c r="Z29" s="3"/>
      <c r="AA29" s="293">
        <f>SUM(AA26:AA28)</f>
        <v>13502</v>
      </c>
      <c r="AB29" s="199"/>
      <c r="AC29" s="254"/>
    </row>
    <row r="30" spans="1:32" ht="14.25" customHeight="1" thickBot="1">
      <c r="A30" s="163">
        <f>ELEC!C29</f>
        <v>44039</v>
      </c>
      <c r="B30" s="573">
        <f t="shared" si="14"/>
        <v>125693</v>
      </c>
      <c r="C30" s="270">
        <f t="shared" si="0"/>
        <v>0</v>
      </c>
      <c r="D30" s="316">
        <f t="shared" si="7"/>
        <v>0</v>
      </c>
      <c r="E30" s="316">
        <f t="shared" si="11"/>
        <v>125693</v>
      </c>
      <c r="F30" s="573">
        <f t="shared" si="15"/>
        <v>19811</v>
      </c>
      <c r="G30" s="160">
        <f t="shared" si="1"/>
        <v>0</v>
      </c>
      <c r="H30" s="573">
        <f t="shared" si="16"/>
        <v>60218</v>
      </c>
      <c r="I30" s="161">
        <f t="shared" si="2"/>
        <v>0</v>
      </c>
      <c r="J30" s="575">
        <f t="shared" si="13"/>
        <v>45662</v>
      </c>
      <c r="K30" s="162">
        <f t="shared" si="3"/>
        <v>0</v>
      </c>
      <c r="L30" s="304">
        <f t="shared" si="25"/>
        <v>0</v>
      </c>
      <c r="M30" s="304">
        <f t="shared" si="26"/>
        <v>0</v>
      </c>
      <c r="N30" s="304">
        <f t="shared" si="27"/>
        <v>0</v>
      </c>
      <c r="O30" s="304">
        <f t="shared" si="28"/>
        <v>29.96187843301702</v>
      </c>
      <c r="P30" s="305">
        <f t="shared" si="9"/>
        <v>29.96187843301702</v>
      </c>
      <c r="Q30" s="305">
        <f>SUM(-tanks!AX32*tanks!$AU$37)</f>
        <v>0</v>
      </c>
      <c r="R30" s="305">
        <f t="shared" si="10"/>
        <v>29.96187843301702</v>
      </c>
      <c r="S30" s="307">
        <f>SUM(ELEC!N29)</f>
        <v>0</v>
      </c>
      <c r="T30" s="344">
        <f t="shared" si="12"/>
        <v>0</v>
      </c>
      <c r="V30" s="219" t="s">
        <v>317</v>
      </c>
      <c r="W30" s="456">
        <f>'General information '!F37</f>
        <v>7.4462499999999987E-2</v>
      </c>
      <c r="X30" s="220"/>
      <c r="Y30" s="221" t="s">
        <v>333</v>
      </c>
      <c r="Z30" s="3"/>
      <c r="AA30" s="293"/>
      <c r="AB30" s="199">
        <f>SUM(AB26:AB29)</f>
        <v>1665760</v>
      </c>
      <c r="AC30" s="254">
        <f>SUM(AC26:AC29)/A39*A37</f>
        <v>1400193.4838709678</v>
      </c>
    </row>
    <row r="31" spans="1:32" ht="15.75" thickBot="1">
      <c r="A31" s="163">
        <f>ELEC!C30</f>
        <v>44040</v>
      </c>
      <c r="B31" s="573">
        <f t="shared" si="14"/>
        <v>125693</v>
      </c>
      <c r="C31" s="270">
        <f t="shared" si="0"/>
        <v>0</v>
      </c>
      <c r="D31" s="316">
        <f t="shared" si="7"/>
        <v>0</v>
      </c>
      <c r="E31" s="316">
        <f t="shared" si="11"/>
        <v>125693</v>
      </c>
      <c r="F31" s="573">
        <f t="shared" si="15"/>
        <v>19811</v>
      </c>
      <c r="G31" s="160">
        <f t="shared" si="1"/>
        <v>0</v>
      </c>
      <c r="H31" s="573">
        <f t="shared" si="16"/>
        <v>60218</v>
      </c>
      <c r="I31" s="161">
        <f t="shared" si="2"/>
        <v>0</v>
      </c>
      <c r="J31" s="575">
        <f t="shared" si="13"/>
        <v>45662</v>
      </c>
      <c r="K31" s="162">
        <f t="shared" si="3"/>
        <v>0</v>
      </c>
      <c r="L31" s="304">
        <f t="shared" si="25"/>
        <v>0</v>
      </c>
      <c r="M31" s="304">
        <f t="shared" si="26"/>
        <v>0</v>
      </c>
      <c r="N31" s="304">
        <f t="shared" si="27"/>
        <v>0</v>
      </c>
      <c r="O31" s="304">
        <f t="shared" si="28"/>
        <v>29.96187843301702</v>
      </c>
      <c r="P31" s="305">
        <f t="shared" si="9"/>
        <v>29.96187843301702</v>
      </c>
      <c r="Q31" s="305">
        <f>SUM(-tanks!AX33*tanks!$AU$37)</f>
        <v>0</v>
      </c>
      <c r="R31" s="305">
        <f t="shared" si="10"/>
        <v>29.96187843301702</v>
      </c>
      <c r="S31" s="307">
        <f>SUM(ELEC!N30)</f>
        <v>0</v>
      </c>
      <c r="T31" s="344">
        <f t="shared" si="12"/>
        <v>0</v>
      </c>
      <c r="V31" s="219" t="s">
        <v>318</v>
      </c>
      <c r="W31" s="220">
        <f>SUM(GEN!U34)</f>
        <v>156</v>
      </c>
      <c r="X31" s="225">
        <f>SUM(W31/A37)</f>
        <v>26</v>
      </c>
      <c r="Y31" s="266">
        <f>SUM(X31/2)</f>
        <v>13</v>
      </c>
      <c r="Z31" s="3"/>
      <c r="AA31" s="3"/>
      <c r="AB31" s="580">
        <f>SUM(AB30+AC31)</f>
        <v>3065953.4838709678</v>
      </c>
      <c r="AC31" s="254">
        <f>SUM(AC30)</f>
        <v>1400193.4838709678</v>
      </c>
    </row>
    <row r="32" spans="1:32" ht="15.75" thickBot="1">
      <c r="A32" s="163">
        <f>ELEC!C31</f>
        <v>44041</v>
      </c>
      <c r="B32" s="573">
        <f t="shared" si="14"/>
        <v>125693</v>
      </c>
      <c r="C32" s="270">
        <f t="shared" si="0"/>
        <v>0</v>
      </c>
      <c r="D32" s="316">
        <f t="shared" si="7"/>
        <v>0</v>
      </c>
      <c r="E32" s="316">
        <f t="shared" si="11"/>
        <v>125693</v>
      </c>
      <c r="F32" s="573">
        <f t="shared" si="15"/>
        <v>19811</v>
      </c>
      <c r="G32" s="160">
        <f t="shared" si="1"/>
        <v>0</v>
      </c>
      <c r="H32" s="573">
        <f t="shared" si="16"/>
        <v>60218</v>
      </c>
      <c r="I32" s="161">
        <f t="shared" si="2"/>
        <v>0</v>
      </c>
      <c r="J32" s="575">
        <f t="shared" si="13"/>
        <v>45662</v>
      </c>
      <c r="K32" s="162">
        <f t="shared" si="3"/>
        <v>0</v>
      </c>
      <c r="L32" s="304">
        <f t="shared" si="25"/>
        <v>0</v>
      </c>
      <c r="M32" s="304">
        <f t="shared" si="26"/>
        <v>0</v>
      </c>
      <c r="N32" s="304">
        <f t="shared" si="27"/>
        <v>0</v>
      </c>
      <c r="O32" s="304">
        <f t="shared" si="28"/>
        <v>29.96187843301702</v>
      </c>
      <c r="P32" s="305">
        <f t="shared" si="9"/>
        <v>29.96187843301702</v>
      </c>
      <c r="Q32" s="305">
        <f>SUM(-tanks!AX34*tanks!$AU$37)</f>
        <v>0</v>
      </c>
      <c r="R32" s="305">
        <f t="shared" si="10"/>
        <v>29.96187843301702</v>
      </c>
      <c r="S32" s="307">
        <f>SUM(ELEC!N31)</f>
        <v>0</v>
      </c>
      <c r="T32" s="344">
        <f t="shared" si="12"/>
        <v>0</v>
      </c>
      <c r="V32" s="219" t="s">
        <v>319</v>
      </c>
      <c r="W32" s="220">
        <f>SUM('Degree Days 2020'!J81)</f>
        <v>-549.00000000000011</v>
      </c>
      <c r="X32" s="220"/>
      <c r="Y32" s="221"/>
      <c r="Z32" s="3"/>
      <c r="AA32" s="3"/>
      <c r="AB32" s="3"/>
      <c r="AC32" s="173"/>
    </row>
    <row r="33" spans="1:32" ht="15.75" thickBot="1">
      <c r="A33" s="163">
        <f>ELEC!C32</f>
        <v>44042</v>
      </c>
      <c r="B33" s="573">
        <f t="shared" si="14"/>
        <v>125693</v>
      </c>
      <c r="C33" s="270">
        <f t="shared" si="0"/>
        <v>0</v>
      </c>
      <c r="D33" s="316">
        <f t="shared" si="7"/>
        <v>0</v>
      </c>
      <c r="E33" s="316">
        <f t="shared" si="11"/>
        <v>125693</v>
      </c>
      <c r="F33" s="573">
        <f t="shared" si="15"/>
        <v>19811</v>
      </c>
      <c r="G33" s="160">
        <f>F33-F32</f>
        <v>0</v>
      </c>
      <c r="H33" s="573">
        <f t="shared" si="16"/>
        <v>60218</v>
      </c>
      <c r="I33" s="161">
        <f t="shared" si="2"/>
        <v>0</v>
      </c>
      <c r="J33" s="575">
        <f t="shared" si="13"/>
        <v>45662</v>
      </c>
      <c r="K33" s="162">
        <f t="shared" si="3"/>
        <v>0</v>
      </c>
      <c r="L33" s="304">
        <f t="shared" si="25"/>
        <v>0</v>
      </c>
      <c r="M33" s="304">
        <f t="shared" si="26"/>
        <v>0</v>
      </c>
      <c r="N33" s="304">
        <f t="shared" si="27"/>
        <v>0</v>
      </c>
      <c r="O33" s="304">
        <f t="shared" si="28"/>
        <v>29.96187843301702</v>
      </c>
      <c r="P33" s="305">
        <f>SUM(L33:O33)</f>
        <v>29.96187843301702</v>
      </c>
      <c r="Q33" s="305">
        <f>SUM(-tanks!AX35*tanks!$AU$37)</f>
        <v>0</v>
      </c>
      <c r="R33" s="305">
        <f>SUM(P33:Q33)</f>
        <v>29.96187843301702</v>
      </c>
      <c r="S33" s="307">
        <f>SUM(ELEC!N32)</f>
        <v>0</v>
      </c>
      <c r="T33" s="344">
        <f>IF(S33&gt;0,R33/S33,0)</f>
        <v>0</v>
      </c>
      <c r="V33" s="219" t="s">
        <v>320</v>
      </c>
      <c r="W33" s="220">
        <f>SUM('Degree Days 2020'!K81)</f>
        <v>0</v>
      </c>
      <c r="X33" s="220"/>
      <c r="Y33" s="221"/>
      <c r="Z33" s="3"/>
      <c r="AA33" s="3"/>
      <c r="AB33" s="3"/>
      <c r="AC33" s="173"/>
    </row>
    <row r="34" spans="1:32">
      <c r="A34" s="163">
        <f>ELEC!C33</f>
        <v>44043</v>
      </c>
      <c r="B34" s="573">
        <f t="shared" si="14"/>
        <v>125693</v>
      </c>
      <c r="C34" s="270">
        <f t="shared" ref="C34" si="30">SUM(B34-B33)</f>
        <v>0</v>
      </c>
      <c r="D34" s="316">
        <f t="shared" si="7"/>
        <v>0</v>
      </c>
      <c r="E34" s="316">
        <f t="shared" si="11"/>
        <v>125693</v>
      </c>
      <c r="F34" s="573">
        <f t="shared" si="15"/>
        <v>19811</v>
      </c>
      <c r="G34" s="160">
        <f>F34-F33</f>
        <v>0</v>
      </c>
      <c r="H34" s="573">
        <f t="shared" si="16"/>
        <v>60218</v>
      </c>
      <c r="I34" s="161">
        <f t="shared" ref="I34" si="31">H34-H33</f>
        <v>0</v>
      </c>
      <c r="J34" s="575">
        <f t="shared" si="13"/>
        <v>45662</v>
      </c>
      <c r="K34" s="162">
        <f t="shared" ref="K34" si="32">J34-J33</f>
        <v>0</v>
      </c>
      <c r="L34" s="304">
        <f t="shared" ref="L34" si="33">SUM(G34*$Y$28)/1507.5</f>
        <v>0</v>
      </c>
      <c r="M34" s="304">
        <f t="shared" ref="M34" si="34">SUM(I34*$Y$27)/1507.5</f>
        <v>0</v>
      </c>
      <c r="N34" s="304">
        <f t="shared" ref="N34" si="35">SUM(K34*$Y$26)/1507.5</f>
        <v>0</v>
      </c>
      <c r="O34" s="304">
        <f t="shared" si="28"/>
        <v>29.96187843301702</v>
      </c>
      <c r="P34" s="305">
        <f>SUM(L34:O34)</f>
        <v>29.96187843301702</v>
      </c>
      <c r="Q34" s="305">
        <f>SUM(-tanks!AX36*tanks!$AU$37)</f>
        <v>0</v>
      </c>
      <c r="R34" s="305">
        <f>SUM(P34:Q34)</f>
        <v>29.96187843301702</v>
      </c>
      <c r="S34" s="307">
        <f>SUM(ELEC!N33)</f>
        <v>0</v>
      </c>
      <c r="T34" s="344">
        <f>IF(S34&gt;0,R34/S34,0)</f>
        <v>0</v>
      </c>
      <c r="V34" s="219" t="s">
        <v>320</v>
      </c>
      <c r="W34" s="220">
        <f>SUM('Degree Days 2020'!K82)</f>
        <v>0</v>
      </c>
      <c r="X34" s="220"/>
      <c r="Y34" s="221"/>
      <c r="Z34" s="3"/>
      <c r="AA34" s="3"/>
      <c r="AB34" s="3"/>
      <c r="AC34" s="173"/>
    </row>
    <row r="35" spans="1:32">
      <c r="A35" s="563"/>
      <c r="B35" s="564"/>
      <c r="C35" s="565"/>
      <c r="D35" s="564"/>
      <c r="E35" s="564"/>
      <c r="F35" s="564"/>
      <c r="G35" s="564"/>
      <c r="H35" s="564"/>
      <c r="I35" s="564"/>
      <c r="J35" s="564"/>
      <c r="K35" s="564"/>
      <c r="L35" s="566"/>
      <c r="M35" s="566"/>
      <c r="N35" s="566"/>
      <c r="O35" s="566"/>
      <c r="P35" s="567"/>
      <c r="Q35" s="567"/>
      <c r="R35" s="567"/>
      <c r="S35" s="568"/>
      <c r="T35" s="569"/>
      <c r="V35" s="219"/>
      <c r="W35" s="220"/>
      <c r="X35" s="220"/>
      <c r="Y35" s="220"/>
      <c r="Z35" s="3"/>
      <c r="AA35" s="3"/>
      <c r="AB35" s="3"/>
      <c r="AC35" s="246"/>
    </row>
    <row r="36" spans="1:32">
      <c r="A36" s="563"/>
      <c r="B36" s="564"/>
      <c r="C36" s="565"/>
      <c r="D36" s="565"/>
      <c r="E36" s="565"/>
      <c r="F36" s="564"/>
      <c r="G36" s="564"/>
      <c r="H36" s="564"/>
      <c r="I36" s="564"/>
      <c r="J36" s="564"/>
      <c r="K36" s="570"/>
      <c r="L36" s="567"/>
      <c r="M36" s="567"/>
      <c r="N36" s="567"/>
      <c r="O36" s="567"/>
      <c r="P36" s="568"/>
      <c r="Q36" s="568"/>
      <c r="R36" s="568"/>
      <c r="S36" s="568"/>
      <c r="T36" s="569"/>
      <c r="V36" s="258"/>
      <c r="W36" s="17"/>
      <c r="X36" s="17"/>
      <c r="Y36" s="17"/>
      <c r="Z36" s="3" t="s">
        <v>214</v>
      </c>
      <c r="AA36" s="284">
        <v>0.11</v>
      </c>
      <c r="AB36" s="299">
        <f>SUM(AB31*AA36)</f>
        <v>337254.88322580646</v>
      </c>
      <c r="AC36" s="286"/>
    </row>
    <row r="37" spans="1:32" ht="15.75" thickBot="1">
      <c r="A37" s="562">
        <f>A39-COUNTIF(C4:C35,0)</f>
        <v>6</v>
      </c>
      <c r="C37" s="176">
        <f>SUM(C4:C35)/A37</f>
        <v>2250.5</v>
      </c>
      <c r="D37" s="176"/>
      <c r="E37" s="176"/>
      <c r="G37" s="176">
        <f>SUM(G4:G35)/A37</f>
        <v>226</v>
      </c>
      <c r="I37" s="176">
        <f>SUM(I4:I35)/A37</f>
        <v>1355</v>
      </c>
      <c r="K37" s="176">
        <f>SUM(K4:K36)/A37</f>
        <v>669.33333333333337</v>
      </c>
      <c r="L37" s="176">
        <f>SUM(L36*1507.5)</f>
        <v>0</v>
      </c>
      <c r="M37" s="176">
        <f>SUM(M36*1507.5)</f>
        <v>0</v>
      </c>
      <c r="N37" s="176">
        <f>SUM(N36*1507.5)</f>
        <v>0</v>
      </c>
      <c r="O37" s="176">
        <f>SUM(O36*1507.5)</f>
        <v>0</v>
      </c>
      <c r="P37" s="176"/>
      <c r="Q37" s="176"/>
      <c r="R37" s="176"/>
      <c r="S37" s="308"/>
      <c r="V37" s="232"/>
      <c r="W37" s="233"/>
      <c r="X37" s="233"/>
      <c r="Y37" s="233"/>
      <c r="Z37" s="3"/>
      <c r="AA37" s="45"/>
      <c r="AB37" s="299">
        <f>SUM(AB31+AB36)</f>
        <v>3403208.3670967743</v>
      </c>
      <c r="AC37" s="286"/>
    </row>
    <row r="38" spans="1:32" ht="15.75" thickBot="1">
      <c r="A38" s="213"/>
      <c r="C38" s="215">
        <f>SUM(G38:K38)</f>
        <v>0.99992594238317412</v>
      </c>
      <c r="G38" s="228">
        <f>IF(C37&gt;0,G37/C37,0)</f>
        <v>0.10042212841590757</v>
      </c>
      <c r="H38" s="215"/>
      <c r="I38" s="228">
        <f>SUM(I37/C37)</f>
        <v>0.6020884247944901</v>
      </c>
      <c r="J38" s="215"/>
      <c r="K38" s="228">
        <f>SUM(K37/C37)</f>
        <v>0.29741538917277643</v>
      </c>
      <c r="L38" s="228"/>
      <c r="M38" s="228"/>
      <c r="N38" s="228"/>
      <c r="O38" s="228"/>
      <c r="P38" s="228"/>
      <c r="Q38" s="228"/>
      <c r="R38" s="228"/>
      <c r="S38" s="309"/>
      <c r="V38" s="232"/>
      <c r="W38" s="233"/>
      <c r="X38" s="233"/>
      <c r="Y38" s="233"/>
      <c r="Z38" s="233"/>
      <c r="AA38" s="233" t="s">
        <v>215</v>
      </c>
      <c r="AB38" s="299">
        <f>SUM(AB31/1507.5)</f>
        <v>2033.7999893008077</v>
      </c>
      <c r="AC38" s="286"/>
    </row>
    <row r="39" spans="1:32" ht="15.75" thickBot="1">
      <c r="A39">
        <v>31</v>
      </c>
      <c r="G39" s="215"/>
      <c r="H39" s="215"/>
      <c r="I39" s="215"/>
      <c r="J39" s="215"/>
      <c r="K39" s="215"/>
      <c r="L39" s="215"/>
      <c r="M39" s="215"/>
      <c r="N39" s="215"/>
      <c r="O39" s="215"/>
      <c r="P39" s="215"/>
      <c r="Q39" s="215"/>
      <c r="R39" s="215"/>
      <c r="V39" s="281"/>
      <c r="W39" s="222"/>
      <c r="X39" s="222"/>
      <c r="Y39" s="223"/>
      <c r="Z39" s="174"/>
      <c r="AA39" s="174"/>
      <c r="AB39" s="262"/>
      <c r="AC39" s="175"/>
    </row>
    <row r="40" spans="1:32">
      <c r="V40" s="220"/>
      <c r="W40" s="82">
        <f>AC30/1507.5</f>
        <v>928.81823142352755</v>
      </c>
      <c r="Z40" s="40"/>
      <c r="AA40" s="300" t="s">
        <v>215</v>
      </c>
      <c r="AB40" s="301">
        <f>SUM(AB38)</f>
        <v>2033.7999893008077</v>
      </c>
    </row>
    <row r="41" spans="1:32">
      <c r="V41" s="220"/>
      <c r="W41" s="82">
        <f>(AB30+AB56)/1507.5</f>
        <v>1104.9817578772802</v>
      </c>
      <c r="X41" s="581"/>
      <c r="Z41" s="302">
        <f>SUM(AB40)</f>
        <v>2033.7999893008077</v>
      </c>
      <c r="AA41" s="301"/>
      <c r="AB41" s="301"/>
    </row>
    <row r="42" spans="1:32">
      <c r="V42" s="17"/>
      <c r="W42" s="82">
        <f>SUM(W40:W41)</f>
        <v>2033.7999893008077</v>
      </c>
      <c r="X42" s="581"/>
      <c r="Y42" s="82"/>
      <c r="Z42" s="302">
        <f>SUM(-tanks!AX37)*tanks!AU37</f>
        <v>16903.147375483873</v>
      </c>
      <c r="AA42" s="101">
        <f>SUM(AB31/A37)</f>
        <v>510992.24731182796</v>
      </c>
      <c r="AB42" s="358">
        <f>SUM(AA42*A39)</f>
        <v>15840759.666666666</v>
      </c>
    </row>
    <row r="43" spans="1:32" ht="18.75">
      <c r="W43" s="82">
        <f>(AB30+AB56)/1507.5</f>
        <v>1104.9817578772802</v>
      </c>
      <c r="Z43" s="282">
        <f>SUM(Z41:Z42)</f>
        <v>18936.947364784683</v>
      </c>
      <c r="AA43" s="301">
        <f>SUM(AA42/1507.5)</f>
        <v>338.96666488346796</v>
      </c>
      <c r="AB43" s="357">
        <f>SUM(AB42/1507.5)</f>
        <v>10507.966611387506</v>
      </c>
    </row>
    <row r="44" spans="1:32">
      <c r="D44" s="536"/>
      <c r="E44" s="536"/>
      <c r="F44" s="536"/>
      <c r="W44" s="82">
        <f>SUM(W42:W43)</f>
        <v>3138.7817471780882</v>
      </c>
      <c r="Z44" s="303" t="e">
        <f>SUM(ELEC!#REF!)</f>
        <v>#REF!</v>
      </c>
    </row>
    <row r="45" spans="1:32">
      <c r="Z45" s="301" t="e">
        <f>Z43/Z44</f>
        <v>#REF!</v>
      </c>
    </row>
    <row r="46" spans="1:32"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</row>
    <row r="47" spans="1:32">
      <c r="V47" s="591"/>
      <c r="W47" s="592"/>
      <c r="X47" s="17"/>
      <c r="Y47" s="17"/>
      <c r="Z47" s="593"/>
      <c r="AA47" s="17"/>
      <c r="AB47" s="654"/>
      <c r="AC47" s="654"/>
      <c r="AD47" s="17"/>
      <c r="AE47" s="17"/>
      <c r="AF47" s="17"/>
    </row>
    <row r="48" spans="1:32">
      <c r="V48" s="654"/>
      <c r="W48" s="654"/>
      <c r="X48" s="654"/>
      <c r="Y48" s="654"/>
      <c r="Z48" s="593"/>
      <c r="AA48" s="593"/>
      <c r="AB48" s="654"/>
      <c r="AC48" s="654"/>
      <c r="AD48" s="17"/>
      <c r="AE48" s="17"/>
      <c r="AF48" s="17"/>
    </row>
    <row r="49" spans="22:32">
      <c r="V49" s="654"/>
      <c r="W49" s="654"/>
      <c r="X49" s="654"/>
      <c r="Y49" s="654"/>
      <c r="Z49" s="654"/>
      <c r="AA49" s="654"/>
      <c r="AB49" s="654"/>
      <c r="AC49" s="654"/>
      <c r="AD49" s="17"/>
      <c r="AE49" s="17"/>
      <c r="AF49" s="17"/>
    </row>
    <row r="50" spans="22:32">
      <c r="V50" s="655"/>
      <c r="W50" s="655"/>
      <c r="X50" s="656"/>
      <c r="Y50" s="656"/>
      <c r="Z50" s="656"/>
      <c r="AA50" s="594"/>
      <c r="AB50" s="654"/>
      <c r="AC50" s="654"/>
      <c r="AD50" s="17"/>
      <c r="AE50" s="17"/>
      <c r="AF50" s="17"/>
    </row>
    <row r="51" spans="22:32">
      <c r="V51" s="591"/>
      <c r="W51" s="591"/>
      <c r="X51" s="591"/>
      <c r="Y51" s="591"/>
      <c r="Z51" s="591"/>
      <c r="AA51" s="591"/>
      <c r="AB51" s="591"/>
      <c r="AC51" s="595"/>
      <c r="AD51" s="17"/>
      <c r="AE51" s="17"/>
      <c r="AF51" s="17"/>
    </row>
    <row r="52" spans="22:32">
      <c r="V52" s="594"/>
      <c r="W52" s="594"/>
      <c r="X52" s="596"/>
      <c r="Y52" s="596"/>
      <c r="Z52" s="596"/>
      <c r="AA52" s="73"/>
      <c r="AB52" s="73"/>
      <c r="AC52" s="73"/>
      <c r="AD52" s="597"/>
      <c r="AE52" s="17"/>
      <c r="AF52" s="17"/>
    </row>
    <row r="53" spans="22:32">
      <c r="V53" s="594"/>
      <c r="W53" s="594"/>
      <c r="X53" s="596"/>
      <c r="Y53" s="596"/>
      <c r="Z53" s="596"/>
      <c r="AA53" s="73"/>
      <c r="AB53" s="73"/>
      <c r="AC53" s="73"/>
      <c r="AD53" s="597"/>
      <c r="AE53" s="17"/>
      <c r="AF53" s="17"/>
    </row>
    <row r="54" spans="22:32">
      <c r="V54" s="594"/>
      <c r="W54" s="594"/>
      <c r="X54" s="596"/>
      <c r="Y54" s="596"/>
      <c r="Z54" s="596"/>
      <c r="AA54" s="73"/>
      <c r="AB54" s="73"/>
      <c r="AC54" s="73"/>
      <c r="AD54" s="597"/>
      <c r="AE54" s="598"/>
      <c r="AF54" s="599"/>
    </row>
    <row r="55" spans="22:32">
      <c r="V55" s="220"/>
      <c r="W55" s="220"/>
      <c r="X55" s="220"/>
      <c r="Y55" s="220"/>
      <c r="Z55" s="17"/>
      <c r="AA55" s="73"/>
      <c r="AB55" s="73"/>
      <c r="AC55" s="73"/>
      <c r="AD55" s="17"/>
      <c r="AE55" s="17"/>
      <c r="AF55" s="17"/>
    </row>
    <row r="56" spans="22:32">
      <c r="V56" s="220"/>
      <c r="W56" s="600"/>
      <c r="X56" s="220"/>
      <c r="Y56" s="220"/>
      <c r="Z56" s="17"/>
      <c r="AA56" s="73"/>
      <c r="AB56" s="273"/>
      <c r="AC56" s="73"/>
      <c r="AD56" s="17"/>
      <c r="AE56" s="17"/>
      <c r="AF56" s="17"/>
    </row>
    <row r="57" spans="22:32">
      <c r="V57" s="220"/>
      <c r="W57" s="220"/>
      <c r="X57" s="225"/>
      <c r="Y57" s="601"/>
      <c r="Z57" s="17"/>
      <c r="AA57" s="17"/>
      <c r="AB57" s="73"/>
      <c r="AC57" s="73"/>
      <c r="AD57" s="17"/>
      <c r="AE57" s="17"/>
      <c r="AF57" s="17"/>
    </row>
    <row r="58" spans="22:32">
      <c r="V58" s="220"/>
      <c r="W58" s="220"/>
      <c r="X58" s="220"/>
      <c r="Y58" s="220"/>
      <c r="Z58" s="17"/>
      <c r="AA58" s="17"/>
      <c r="AB58" s="17"/>
      <c r="AC58" s="17"/>
      <c r="AD58" s="17"/>
      <c r="AE58" s="17"/>
      <c r="AF58" s="17"/>
    </row>
    <row r="59" spans="22:32">
      <c r="V59" s="220"/>
      <c r="W59" s="220"/>
      <c r="X59" s="220"/>
      <c r="Y59" s="220"/>
      <c r="Z59" s="17"/>
      <c r="AA59" s="17"/>
      <c r="AB59" s="17"/>
      <c r="AC59" s="17"/>
      <c r="AD59" s="17"/>
      <c r="AE59" s="17"/>
      <c r="AF59" s="17"/>
    </row>
    <row r="60" spans="22:32">
      <c r="V60" s="220"/>
      <c r="W60" s="220"/>
      <c r="X60" s="220"/>
      <c r="Y60" s="220"/>
      <c r="Z60" s="17"/>
      <c r="AA60" s="17"/>
      <c r="AB60" s="17"/>
      <c r="AC60" s="17"/>
      <c r="AD60" s="17"/>
      <c r="AE60" s="17"/>
      <c r="AF60" s="17"/>
    </row>
    <row r="61" spans="22:32">
      <c r="V61" s="17"/>
      <c r="W61" s="17"/>
      <c r="X61" s="17"/>
      <c r="Y61" s="17"/>
      <c r="Z61" s="17"/>
      <c r="AA61" s="602"/>
      <c r="AB61" s="603"/>
      <c r="AC61" s="604"/>
      <c r="AD61" s="17"/>
      <c r="AE61" s="17"/>
      <c r="AF61" s="17"/>
    </row>
    <row r="62" spans="22:32">
      <c r="V62" s="17"/>
      <c r="W62" s="17"/>
      <c r="X62" s="17"/>
      <c r="Y62" s="17"/>
      <c r="Z62" s="17"/>
      <c r="AA62" s="605"/>
      <c r="AB62" s="603"/>
      <c r="AC62" s="604"/>
      <c r="AD62" s="17"/>
      <c r="AE62" s="17"/>
      <c r="AF62" s="17"/>
    </row>
    <row r="63" spans="22:32">
      <c r="V63" s="17"/>
      <c r="W63" s="17"/>
      <c r="X63" s="17"/>
      <c r="Y63" s="17"/>
      <c r="Z63" s="17"/>
      <c r="AA63" s="17"/>
      <c r="AB63" s="603"/>
      <c r="AC63" s="604"/>
      <c r="AD63" s="17"/>
      <c r="AE63" s="17"/>
      <c r="AF63" s="17"/>
    </row>
    <row r="64" spans="22:32">
      <c r="V64" s="220"/>
      <c r="W64" s="220"/>
      <c r="X64" s="220"/>
      <c r="Y64" s="220"/>
      <c r="Z64" s="17"/>
      <c r="AA64" s="17"/>
      <c r="AB64" s="606"/>
      <c r="AC64" s="17"/>
      <c r="AD64" s="17"/>
      <c r="AE64" s="17"/>
      <c r="AF64" s="17"/>
    </row>
    <row r="65" spans="22:32">
      <c r="V65" s="220"/>
      <c r="W65" s="599"/>
      <c r="X65" s="17"/>
      <c r="Y65" s="17"/>
      <c r="Z65" s="598"/>
      <c r="AA65" s="607"/>
      <c r="AB65" s="596"/>
      <c r="AC65" s="17"/>
      <c r="AD65" s="17"/>
      <c r="AE65" s="17"/>
      <c r="AF65" s="17"/>
    </row>
    <row r="66" spans="22:32">
      <c r="V66" s="220"/>
      <c r="W66" s="599"/>
      <c r="X66" s="17"/>
      <c r="Y66" s="17"/>
      <c r="Z66" s="433"/>
      <c r="AA66" s="596"/>
      <c r="AB66" s="596"/>
      <c r="AC66" s="17"/>
      <c r="AD66" s="17"/>
      <c r="AE66" s="17"/>
      <c r="AF66" s="17"/>
    </row>
    <row r="67" spans="22:32">
      <c r="V67" s="17"/>
      <c r="W67" s="599"/>
      <c r="X67" s="17"/>
      <c r="Y67" s="599"/>
      <c r="Z67" s="433"/>
      <c r="AA67" s="596"/>
      <c r="AB67" s="608"/>
      <c r="AC67" s="17"/>
      <c r="AD67" s="17"/>
      <c r="AE67" s="17"/>
      <c r="AF67" s="17"/>
    </row>
    <row r="68" spans="22:32" ht="18.75">
      <c r="V68" s="17"/>
      <c r="W68" s="599"/>
      <c r="X68" s="17"/>
      <c r="Y68" s="17"/>
      <c r="Z68" s="609"/>
      <c r="AA68" s="596"/>
      <c r="AB68" s="610"/>
      <c r="AC68" s="17"/>
      <c r="AD68" s="17"/>
      <c r="AE68" s="17"/>
      <c r="AF68" s="17"/>
    </row>
    <row r="69" spans="22:32">
      <c r="V69" s="17"/>
      <c r="W69" s="599"/>
      <c r="X69" s="17"/>
      <c r="Y69" s="17"/>
      <c r="Z69" s="73"/>
      <c r="AA69" s="17"/>
      <c r="AB69" s="17"/>
      <c r="AC69" s="17"/>
      <c r="AD69" s="17"/>
      <c r="AE69" s="17"/>
      <c r="AF69" s="17"/>
    </row>
    <row r="70" spans="22:32">
      <c r="V70" s="17"/>
      <c r="W70" s="17"/>
      <c r="X70" s="17"/>
      <c r="Y70" s="17"/>
      <c r="Z70" s="596"/>
      <c r="AA70" s="17"/>
      <c r="AB70" s="17"/>
      <c r="AC70" s="17"/>
      <c r="AD70" s="17"/>
      <c r="AE70" s="17"/>
      <c r="AF70" s="17"/>
    </row>
    <row r="71" spans="22:32"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</row>
    <row r="72" spans="22:32"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</row>
    <row r="73" spans="22:32"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</row>
    <row r="74" spans="22:32"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</row>
    <row r="75" spans="22:32"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</row>
    <row r="76" spans="22:32"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</row>
    <row r="77" spans="22:32"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</row>
    <row r="78" spans="22:32"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</row>
    <row r="79" spans="22:32"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</row>
    <row r="80" spans="22:32"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</row>
    <row r="81" spans="22:32"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</row>
    <row r="82" spans="22:32"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</row>
  </sheetData>
  <mergeCells count="14">
    <mergeCell ref="V7:W7"/>
    <mergeCell ref="X7:Z7"/>
    <mergeCell ref="V5:Y6"/>
    <mergeCell ref="AB4:AC7"/>
    <mergeCell ref="AB21:AC24"/>
    <mergeCell ref="V22:Y23"/>
    <mergeCell ref="Z23:AA23"/>
    <mergeCell ref="V24:W24"/>
    <mergeCell ref="X24:Z24"/>
    <mergeCell ref="AB47:AC50"/>
    <mergeCell ref="V48:Y49"/>
    <mergeCell ref="Z49:AA49"/>
    <mergeCell ref="V50:W50"/>
    <mergeCell ref="X50:Z50"/>
  </mergeCells>
  <pageMargins left="0.7" right="0.7" top="0.75" bottom="0.75" header="0.3" footer="0.3"/>
  <pageSetup orientation="portrait" r:id="rId1"/>
  <ignoredErrors>
    <ignoredError sqref="I5:I13 G6:G13" formula="1"/>
  </ignoredError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R36"/>
  <sheetViews>
    <sheetView workbookViewId="0">
      <pane ySplit="1" topLeftCell="A6" activePane="bottomLeft" state="frozen"/>
      <selection pane="bottomLeft" activeCell="B21" sqref="B21:B23"/>
    </sheetView>
  </sheetViews>
  <sheetFormatPr defaultRowHeight="15"/>
  <cols>
    <col min="1" max="1" width="12.140625" bestFit="1" customWidth="1"/>
    <col min="2" max="2" width="6.7109375" customWidth="1"/>
    <col min="3" max="3" width="5.28515625" customWidth="1"/>
    <col min="4" max="4" width="5.85546875" customWidth="1"/>
    <col min="5" max="5" width="6.5703125" customWidth="1"/>
    <col min="6" max="6" width="5.28515625" customWidth="1"/>
    <col min="7" max="7" width="6.85546875" customWidth="1"/>
    <col min="8" max="8" width="11.5703125" style="557" customWidth="1"/>
    <col min="9" max="9" width="12.7109375" bestFit="1" customWidth="1"/>
    <col min="10" max="10" width="25.42578125" style="505" customWidth="1"/>
    <col min="12" max="12" width="26.42578125" bestFit="1" customWidth="1"/>
    <col min="14" max="14" width="14.28515625" customWidth="1"/>
  </cols>
  <sheetData>
    <row r="1" spans="1:18" ht="39.75" customHeight="1" thickBot="1">
      <c r="A1" s="686" t="s">
        <v>51</v>
      </c>
      <c r="B1" s="698" t="s">
        <v>321</v>
      </c>
      <c r="C1" s="699"/>
      <c r="D1" s="701"/>
      <c r="E1" s="698" t="s">
        <v>322</v>
      </c>
      <c r="F1" s="699"/>
      <c r="G1" s="700"/>
      <c r="H1" s="695" t="s">
        <v>327</v>
      </c>
      <c r="I1" s="692" t="s">
        <v>328</v>
      </c>
      <c r="J1" s="689" t="s">
        <v>43</v>
      </c>
    </row>
    <row r="2" spans="1:18" ht="38.25" thickBot="1">
      <c r="A2" s="687"/>
      <c r="B2" s="263" t="s">
        <v>323</v>
      </c>
      <c r="C2" s="264" t="s">
        <v>324</v>
      </c>
      <c r="D2" s="238"/>
      <c r="E2" s="239">
        <v>3.5</v>
      </c>
      <c r="F2" s="265" t="s">
        <v>324</v>
      </c>
      <c r="G2" s="240"/>
      <c r="H2" s="696"/>
      <c r="I2" s="693"/>
      <c r="J2" s="690"/>
    </row>
    <row r="3" spans="1:18" ht="24" customHeight="1" thickBot="1">
      <c r="A3" s="688"/>
      <c r="B3" s="241" t="s">
        <v>331</v>
      </c>
      <c r="C3" s="242" t="s">
        <v>325</v>
      </c>
      <c r="D3" s="242" t="s">
        <v>332</v>
      </c>
      <c r="E3" s="243" t="s">
        <v>331</v>
      </c>
      <c r="F3" s="242" t="s">
        <v>325</v>
      </c>
      <c r="G3" s="243" t="s">
        <v>332</v>
      </c>
      <c r="H3" s="697"/>
      <c r="I3" s="694"/>
      <c r="J3" s="691"/>
    </row>
    <row r="4" spans="1:18" ht="19.5" thickBot="1">
      <c r="A4" s="248"/>
      <c r="B4" s="523"/>
      <c r="C4" s="523"/>
      <c r="D4" s="523"/>
      <c r="E4" s="523"/>
      <c r="F4" s="523"/>
      <c r="G4" s="523"/>
      <c r="H4" s="249">
        <v>0</v>
      </c>
      <c r="I4" s="249"/>
      <c r="J4" s="500"/>
      <c r="L4" s="3"/>
      <c r="M4" s="3" t="s">
        <v>392</v>
      </c>
      <c r="N4" s="3" t="s">
        <v>393</v>
      </c>
      <c r="O4" s="3" t="s">
        <v>394</v>
      </c>
    </row>
    <row r="5" spans="1:18" ht="16.5" customHeight="1" thickBot="1">
      <c r="A5" s="522">
        <f>ELEC!C2</f>
        <v>44012</v>
      </c>
      <c r="B5" s="524">
        <f>'[1]Swimming Pool quality check '!B35</f>
        <v>2.5</v>
      </c>
      <c r="C5" s="524">
        <f>'[1]Swimming Pool quality check '!C35</f>
        <v>7.8</v>
      </c>
      <c r="D5" s="524">
        <f>'[1]Swimming Pool quality check '!D35</f>
        <v>29</v>
      </c>
      <c r="E5" s="524">
        <f>'[1]Swimming Pool quality check '!E35</f>
        <v>3</v>
      </c>
      <c r="F5" s="524">
        <f>'[1]Swimming Pool quality check '!F35</f>
        <v>8.1</v>
      </c>
      <c r="G5" s="524">
        <f>'[1]Swimming Pool quality check '!G35</f>
        <v>36</v>
      </c>
      <c r="H5" s="524">
        <f>'[1]Swimming Pool quality check '!H35</f>
        <v>6366</v>
      </c>
      <c r="I5" s="524">
        <f>'[2]Swimming Pool quality check '!I36</f>
        <v>5</v>
      </c>
      <c r="J5" s="534">
        <f>'[6]Swimming Pool quality check '!J36</f>
        <v>0.33333333333333398</v>
      </c>
      <c r="K5" s="417">
        <v>0</v>
      </c>
      <c r="L5" s="552">
        <f>A5</f>
        <v>44012</v>
      </c>
      <c r="M5" s="524">
        <f>'[2]Swimming Pool quality check '!M36</f>
        <v>6194</v>
      </c>
      <c r="N5" s="524">
        <f>'[2]Swimming Pool quality check '!N36</f>
        <v>642</v>
      </c>
      <c r="O5" s="524">
        <f>'[2]Swimming Pool quality check '!O36</f>
        <v>6836</v>
      </c>
    </row>
    <row r="6" spans="1:18" ht="15.75" customHeight="1" thickBot="1">
      <c r="A6" s="244">
        <f>ELEC!C3</f>
        <v>44013</v>
      </c>
      <c r="B6" s="572">
        <v>2.1</v>
      </c>
      <c r="C6" s="573">
        <v>7.8</v>
      </c>
      <c r="D6" s="574">
        <v>29</v>
      </c>
      <c r="E6" s="574">
        <v>2.5</v>
      </c>
      <c r="F6" s="574">
        <v>8.1</v>
      </c>
      <c r="G6" s="574">
        <v>36</v>
      </c>
      <c r="H6" s="574">
        <v>6366</v>
      </c>
      <c r="I6" s="524">
        <f>H6-H5</f>
        <v>0</v>
      </c>
      <c r="J6" s="501">
        <v>0.29166666666666669</v>
      </c>
      <c r="L6" s="99">
        <f t="shared" ref="L6:L35" si="0">A6</f>
        <v>44013</v>
      </c>
      <c r="M6" s="3">
        <f>M5</f>
        <v>6194</v>
      </c>
      <c r="N6" s="524">
        <v>487</v>
      </c>
      <c r="O6" s="524">
        <f t="shared" ref="O6:O35" si="1">M6+N6</f>
        <v>6681</v>
      </c>
    </row>
    <row r="7" spans="1:18" ht="15.75" thickBot="1">
      <c r="A7" s="244">
        <f>ELEC!C4</f>
        <v>44014</v>
      </c>
      <c r="B7" s="556">
        <v>2</v>
      </c>
      <c r="C7" s="571">
        <v>7.8</v>
      </c>
      <c r="D7" s="170">
        <v>27</v>
      </c>
      <c r="E7" s="170">
        <v>2.5</v>
      </c>
      <c r="F7" s="170">
        <v>7.8</v>
      </c>
      <c r="G7" s="170">
        <v>35</v>
      </c>
      <c r="H7" s="574">
        <f t="shared" ref="H7:H36" si="2">H6</f>
        <v>6366</v>
      </c>
      <c r="I7" s="524">
        <f t="shared" ref="I7:I35" si="3">H7-H6</f>
        <v>0</v>
      </c>
      <c r="J7" s="502">
        <v>0.29166666666666669</v>
      </c>
      <c r="L7" s="99">
        <f t="shared" si="0"/>
        <v>44014</v>
      </c>
      <c r="M7" s="3">
        <f t="shared" ref="M7:M36" si="4">M6</f>
        <v>6194</v>
      </c>
      <c r="N7" s="524">
        <v>487</v>
      </c>
      <c r="O7" s="524">
        <f t="shared" si="1"/>
        <v>6681</v>
      </c>
    </row>
    <row r="8" spans="1:18" ht="15.75" thickBot="1">
      <c r="A8" s="244">
        <f>ELEC!C5</f>
        <v>44015</v>
      </c>
      <c r="B8" s="556">
        <v>1.3</v>
      </c>
      <c r="C8" s="555">
        <v>7.7</v>
      </c>
      <c r="D8" s="170">
        <v>29</v>
      </c>
      <c r="E8" s="170">
        <v>3</v>
      </c>
      <c r="F8" s="170">
        <v>8</v>
      </c>
      <c r="G8" s="170">
        <v>36</v>
      </c>
      <c r="H8" s="574">
        <v>6368</v>
      </c>
      <c r="I8" s="524">
        <f t="shared" si="3"/>
        <v>2</v>
      </c>
      <c r="J8" s="502">
        <v>0.29166666666666669</v>
      </c>
      <c r="L8" s="99">
        <f t="shared" si="0"/>
        <v>44015</v>
      </c>
      <c r="M8" s="3">
        <f t="shared" si="4"/>
        <v>6194</v>
      </c>
      <c r="N8" s="524">
        <v>487</v>
      </c>
      <c r="O8" s="524">
        <f t="shared" si="1"/>
        <v>6681</v>
      </c>
    </row>
    <row r="9" spans="1:18" ht="15.75" thickBot="1">
      <c r="A9" s="244">
        <f>ELEC!C6</f>
        <v>44016</v>
      </c>
      <c r="B9" s="556">
        <v>2</v>
      </c>
      <c r="C9" s="578">
        <v>7.8</v>
      </c>
      <c r="D9" s="170">
        <v>29</v>
      </c>
      <c r="E9" s="170">
        <v>2.5</v>
      </c>
      <c r="F9" s="170">
        <v>8.1</v>
      </c>
      <c r="G9" s="170">
        <v>36</v>
      </c>
      <c r="H9" s="574">
        <v>6378</v>
      </c>
      <c r="I9" s="524">
        <f t="shared" si="3"/>
        <v>10</v>
      </c>
      <c r="J9" s="502">
        <v>0.29166666666666669</v>
      </c>
      <c r="L9" s="99">
        <f t="shared" si="0"/>
        <v>44016</v>
      </c>
      <c r="M9" s="3">
        <f t="shared" si="4"/>
        <v>6194</v>
      </c>
      <c r="N9" s="524">
        <v>487</v>
      </c>
      <c r="O9" s="524">
        <f t="shared" si="1"/>
        <v>6681</v>
      </c>
    </row>
    <row r="10" spans="1:18" ht="15.75" thickBot="1">
      <c r="A10" s="244">
        <f>ELEC!C7</f>
        <v>44017</v>
      </c>
      <c r="B10" s="524">
        <v>2</v>
      </c>
      <c r="C10" s="524">
        <v>7.7</v>
      </c>
      <c r="D10" s="524">
        <v>29</v>
      </c>
      <c r="E10" s="170">
        <v>1.5</v>
      </c>
      <c r="F10" s="170">
        <v>7.8</v>
      </c>
      <c r="G10" s="170">
        <v>35</v>
      </c>
      <c r="H10" s="574">
        <v>6386</v>
      </c>
      <c r="I10" s="524">
        <f t="shared" si="3"/>
        <v>8</v>
      </c>
      <c r="J10" s="502">
        <v>0.29166666666666669</v>
      </c>
      <c r="L10" s="99">
        <f t="shared" si="0"/>
        <v>44017</v>
      </c>
      <c r="M10" s="3">
        <f t="shared" si="4"/>
        <v>6194</v>
      </c>
      <c r="N10" s="524">
        <v>487</v>
      </c>
      <c r="O10" s="524">
        <f t="shared" si="1"/>
        <v>6681</v>
      </c>
    </row>
    <row r="11" spans="1:18" ht="15.75" thickBot="1">
      <c r="A11" s="244">
        <f>ELEC!C8</f>
        <v>44018</v>
      </c>
      <c r="B11" s="524">
        <v>2</v>
      </c>
      <c r="C11" s="524">
        <v>7.8</v>
      </c>
      <c r="D11" s="524">
        <v>28</v>
      </c>
      <c r="E11" s="524">
        <v>1.5</v>
      </c>
      <c r="F11" s="524">
        <v>7.8</v>
      </c>
      <c r="G11" s="524">
        <v>35</v>
      </c>
      <c r="H11" s="574">
        <v>6392</v>
      </c>
      <c r="I11" s="524">
        <f t="shared" si="3"/>
        <v>6</v>
      </c>
      <c r="J11" s="502">
        <v>0.29166666666666669</v>
      </c>
      <c r="L11" s="99">
        <f t="shared" si="0"/>
        <v>44018</v>
      </c>
      <c r="M11" s="3">
        <f t="shared" si="4"/>
        <v>6194</v>
      </c>
      <c r="N11" s="524">
        <v>487</v>
      </c>
      <c r="O11" s="524">
        <f t="shared" si="1"/>
        <v>6681</v>
      </c>
    </row>
    <row r="12" spans="1:18" ht="16.5" thickBot="1">
      <c r="A12" s="244">
        <f>ELEC!C9</f>
        <v>44019</v>
      </c>
      <c r="B12" s="524">
        <v>1.5</v>
      </c>
      <c r="C12" s="524">
        <v>7.8</v>
      </c>
      <c r="D12" s="524">
        <v>28</v>
      </c>
      <c r="E12" s="524">
        <v>1.5</v>
      </c>
      <c r="F12" s="524">
        <v>7.8</v>
      </c>
      <c r="G12" s="524">
        <v>35</v>
      </c>
      <c r="H12" s="574">
        <v>6400</v>
      </c>
      <c r="I12" s="524">
        <f t="shared" si="3"/>
        <v>8</v>
      </c>
      <c r="J12" s="502">
        <v>0.29166666666666669</v>
      </c>
      <c r="L12" s="99">
        <f t="shared" si="0"/>
        <v>44019</v>
      </c>
      <c r="M12" s="3">
        <f t="shared" si="4"/>
        <v>6194</v>
      </c>
      <c r="N12" s="524">
        <v>487</v>
      </c>
      <c r="O12" s="524">
        <f t="shared" si="1"/>
        <v>6681</v>
      </c>
      <c r="P12" s="450"/>
      <c r="Q12" s="368"/>
      <c r="R12" s="368"/>
    </row>
    <row r="13" spans="1:18" ht="15.75" thickBot="1">
      <c r="A13" s="244">
        <f>ELEC!C10</f>
        <v>44020</v>
      </c>
      <c r="B13" s="556">
        <v>2</v>
      </c>
      <c r="C13" s="579">
        <v>7.8</v>
      </c>
      <c r="D13" s="170">
        <v>28</v>
      </c>
      <c r="E13" s="170">
        <v>2</v>
      </c>
      <c r="F13" s="170">
        <v>7.8</v>
      </c>
      <c r="G13" s="170"/>
      <c r="H13" s="574">
        <v>6405</v>
      </c>
      <c r="I13" s="524">
        <f t="shared" si="3"/>
        <v>5</v>
      </c>
      <c r="J13" s="502">
        <v>0.29166666666666669</v>
      </c>
      <c r="L13" s="99">
        <f t="shared" si="0"/>
        <v>44020</v>
      </c>
      <c r="M13" s="3">
        <f t="shared" si="4"/>
        <v>6194</v>
      </c>
      <c r="N13" s="524">
        <v>487</v>
      </c>
      <c r="O13" s="524">
        <f t="shared" si="1"/>
        <v>6681</v>
      </c>
    </row>
    <row r="14" spans="1:18" ht="15.75" thickBot="1">
      <c r="A14" s="244">
        <f>ELEC!C11</f>
        <v>44021</v>
      </c>
      <c r="B14" s="259"/>
      <c r="C14" s="558"/>
      <c r="D14" s="170"/>
      <c r="E14" s="170"/>
      <c r="F14" s="170"/>
      <c r="G14" s="170"/>
      <c r="H14" s="574">
        <f t="shared" si="2"/>
        <v>6405</v>
      </c>
      <c r="I14" s="524">
        <f t="shared" si="3"/>
        <v>0</v>
      </c>
      <c r="J14" s="502">
        <v>0.29166666666666669</v>
      </c>
      <c r="L14" s="99">
        <f t="shared" si="0"/>
        <v>44021</v>
      </c>
      <c r="M14" s="3">
        <f t="shared" si="4"/>
        <v>6194</v>
      </c>
      <c r="N14" s="524">
        <v>487</v>
      </c>
      <c r="O14" s="524">
        <f t="shared" si="1"/>
        <v>6681</v>
      </c>
    </row>
    <row r="15" spans="1:18" ht="15.75" thickBot="1">
      <c r="A15" s="244">
        <f>ELEC!C12</f>
        <v>44022</v>
      </c>
      <c r="B15" s="259"/>
      <c r="C15" s="559"/>
      <c r="D15" s="170"/>
      <c r="E15" s="170"/>
      <c r="F15" s="170"/>
      <c r="G15" s="170"/>
      <c r="H15" s="574">
        <f t="shared" si="2"/>
        <v>6405</v>
      </c>
      <c r="I15" s="524">
        <f t="shared" si="3"/>
        <v>0</v>
      </c>
      <c r="J15" s="502">
        <v>0.29166666666666669</v>
      </c>
      <c r="L15" s="99">
        <f t="shared" si="0"/>
        <v>44022</v>
      </c>
      <c r="M15" s="3">
        <f t="shared" si="4"/>
        <v>6194</v>
      </c>
      <c r="N15" s="524">
        <v>487</v>
      </c>
      <c r="O15" s="524">
        <f t="shared" si="1"/>
        <v>6681</v>
      </c>
    </row>
    <row r="16" spans="1:18" ht="15.75" thickBot="1">
      <c r="A16" s="244">
        <f>ELEC!C13</f>
        <v>44023</v>
      </c>
      <c r="B16" s="259"/>
      <c r="C16" s="560"/>
      <c r="D16" s="170"/>
      <c r="E16" s="170"/>
      <c r="F16" s="170"/>
      <c r="G16" s="170"/>
      <c r="H16" s="574">
        <f t="shared" si="2"/>
        <v>6405</v>
      </c>
      <c r="I16" s="524">
        <f t="shared" si="3"/>
        <v>0</v>
      </c>
      <c r="J16" s="502">
        <v>0.29166666666666669</v>
      </c>
      <c r="L16" s="99">
        <f t="shared" si="0"/>
        <v>44023</v>
      </c>
      <c r="M16" s="3">
        <f t="shared" si="4"/>
        <v>6194</v>
      </c>
      <c r="N16" s="524">
        <v>487</v>
      </c>
      <c r="O16" s="524">
        <f t="shared" si="1"/>
        <v>6681</v>
      </c>
    </row>
    <row r="17" spans="1:17" ht="15.75" thickBot="1">
      <c r="A17" s="244">
        <f>ELEC!C14</f>
        <v>44024</v>
      </c>
      <c r="B17" s="524"/>
      <c r="C17" s="582"/>
      <c r="D17" s="524"/>
      <c r="E17" s="524"/>
      <c r="F17" s="524"/>
      <c r="G17" s="524"/>
      <c r="H17" s="574">
        <f t="shared" si="2"/>
        <v>6405</v>
      </c>
      <c r="I17" s="524">
        <f t="shared" si="3"/>
        <v>0</v>
      </c>
      <c r="J17" s="502">
        <v>0.29166666666666669</v>
      </c>
      <c r="L17" s="99">
        <f t="shared" si="0"/>
        <v>44024</v>
      </c>
      <c r="M17" s="3">
        <f t="shared" si="4"/>
        <v>6194</v>
      </c>
      <c r="N17" s="524">
        <v>487</v>
      </c>
      <c r="O17" s="524">
        <f t="shared" si="1"/>
        <v>6681</v>
      </c>
    </row>
    <row r="18" spans="1:17" ht="15.75" thickBot="1">
      <c r="A18" s="244">
        <f>ELEC!C15</f>
        <v>44025</v>
      </c>
      <c r="B18" s="524"/>
      <c r="C18" s="524"/>
      <c r="D18" s="524"/>
      <c r="E18" s="524"/>
      <c r="F18" s="524"/>
      <c r="G18" s="524"/>
      <c r="H18" s="574">
        <f t="shared" si="2"/>
        <v>6405</v>
      </c>
      <c r="I18" s="524">
        <f t="shared" si="3"/>
        <v>0</v>
      </c>
      <c r="J18" s="502">
        <v>0.29166666666666669</v>
      </c>
      <c r="L18" s="99">
        <f t="shared" si="0"/>
        <v>44025</v>
      </c>
      <c r="M18" s="3">
        <f t="shared" si="4"/>
        <v>6194</v>
      </c>
      <c r="N18" s="524">
        <v>487</v>
      </c>
      <c r="O18" s="524">
        <f t="shared" si="1"/>
        <v>6681</v>
      </c>
    </row>
    <row r="19" spans="1:17" ht="15.75" thickBot="1">
      <c r="A19" s="244">
        <f>ELEC!C16</f>
        <v>44026</v>
      </c>
      <c r="B19" s="259"/>
      <c r="C19" s="583"/>
      <c r="D19" s="170"/>
      <c r="E19" s="170"/>
      <c r="F19" s="170"/>
      <c r="G19" s="170"/>
      <c r="H19" s="574">
        <f t="shared" si="2"/>
        <v>6405</v>
      </c>
      <c r="I19" s="524">
        <f t="shared" si="3"/>
        <v>0</v>
      </c>
      <c r="J19" s="502">
        <v>0.29166666666666669</v>
      </c>
      <c r="L19" s="99">
        <f t="shared" si="0"/>
        <v>44026</v>
      </c>
      <c r="M19" s="3">
        <f t="shared" si="4"/>
        <v>6194</v>
      </c>
      <c r="N19" s="524">
        <v>487</v>
      </c>
      <c r="O19" s="524">
        <f t="shared" si="1"/>
        <v>6681</v>
      </c>
    </row>
    <row r="20" spans="1:17" ht="15.75" thickBot="1">
      <c r="A20" s="244">
        <f>ELEC!C17</f>
        <v>44027</v>
      </c>
      <c r="B20" s="524"/>
      <c r="C20" s="524"/>
      <c r="D20" s="524"/>
      <c r="E20" s="524"/>
      <c r="F20" s="524"/>
      <c r="G20" s="524"/>
      <c r="H20" s="574">
        <f t="shared" si="2"/>
        <v>6405</v>
      </c>
      <c r="I20" s="524">
        <f t="shared" si="3"/>
        <v>0</v>
      </c>
      <c r="J20" s="502">
        <v>0.29166666666666669</v>
      </c>
      <c r="L20" s="99">
        <f t="shared" si="0"/>
        <v>44027</v>
      </c>
      <c r="M20" s="3">
        <f t="shared" si="4"/>
        <v>6194</v>
      </c>
      <c r="N20" s="524">
        <v>487</v>
      </c>
      <c r="O20" s="524">
        <f t="shared" si="1"/>
        <v>6681</v>
      </c>
    </row>
    <row r="21" spans="1:17" ht="15.75" thickBot="1">
      <c r="A21" s="244">
        <f>ELEC!C18</f>
        <v>44028</v>
      </c>
      <c r="B21" s="524"/>
      <c r="C21" s="524"/>
      <c r="D21" s="524"/>
      <c r="E21" s="524"/>
      <c r="F21" s="524"/>
      <c r="G21" s="524"/>
      <c r="H21" s="574">
        <f t="shared" si="2"/>
        <v>6405</v>
      </c>
      <c r="I21" s="524">
        <f t="shared" si="3"/>
        <v>0</v>
      </c>
      <c r="J21" s="502">
        <v>0.29166666666666669</v>
      </c>
      <c r="L21" s="99">
        <f t="shared" si="0"/>
        <v>44028</v>
      </c>
      <c r="M21" s="3">
        <f t="shared" si="4"/>
        <v>6194</v>
      </c>
      <c r="N21" s="524">
        <v>487</v>
      </c>
      <c r="O21" s="524">
        <f t="shared" si="1"/>
        <v>6681</v>
      </c>
    </row>
    <row r="22" spans="1:17" ht="15.75" thickBot="1">
      <c r="A22" s="244">
        <f>ELEC!C19</f>
        <v>44029</v>
      </c>
      <c r="B22" s="259"/>
      <c r="C22" s="584"/>
      <c r="D22" s="170"/>
      <c r="E22" s="170"/>
      <c r="F22" s="170"/>
      <c r="G22" s="170"/>
      <c r="H22" s="574">
        <f t="shared" si="2"/>
        <v>6405</v>
      </c>
      <c r="I22" s="524">
        <f t="shared" si="3"/>
        <v>0</v>
      </c>
      <c r="J22" s="502">
        <v>0.29166666666666669</v>
      </c>
      <c r="L22" s="99">
        <f t="shared" si="0"/>
        <v>44029</v>
      </c>
      <c r="M22" s="3">
        <f t="shared" si="4"/>
        <v>6194</v>
      </c>
      <c r="N22" s="524">
        <v>487</v>
      </c>
      <c r="O22" s="524">
        <f t="shared" si="1"/>
        <v>6681</v>
      </c>
    </row>
    <row r="23" spans="1:17" ht="15.75" thickBot="1">
      <c r="A23" s="244">
        <f>ELEC!C20</f>
        <v>44030</v>
      </c>
      <c r="B23" s="170"/>
      <c r="C23" s="170"/>
      <c r="D23" s="170"/>
      <c r="E23" s="170"/>
      <c r="F23" s="170"/>
      <c r="G23" s="170"/>
      <c r="H23" s="574">
        <f t="shared" si="2"/>
        <v>6405</v>
      </c>
      <c r="I23" s="524">
        <f t="shared" si="3"/>
        <v>0</v>
      </c>
      <c r="J23" s="502">
        <v>0.29166666666666669</v>
      </c>
      <c r="L23" s="99">
        <f t="shared" si="0"/>
        <v>44030</v>
      </c>
      <c r="M23" s="3">
        <f t="shared" si="4"/>
        <v>6194</v>
      </c>
      <c r="N23" s="524">
        <v>487</v>
      </c>
      <c r="O23" s="524">
        <f t="shared" si="1"/>
        <v>6681</v>
      </c>
    </row>
    <row r="24" spans="1:17" ht="15.75" thickBot="1">
      <c r="A24" s="244">
        <f>ELEC!C21</f>
        <v>44031</v>
      </c>
      <c r="B24" s="524"/>
      <c r="C24" s="524"/>
      <c r="D24" s="524"/>
      <c r="E24" s="524"/>
      <c r="F24" s="524"/>
      <c r="G24" s="524"/>
      <c r="H24" s="574">
        <f t="shared" si="2"/>
        <v>6405</v>
      </c>
      <c r="I24" s="524">
        <f t="shared" si="3"/>
        <v>0</v>
      </c>
      <c r="J24" s="502">
        <v>0.29166666666666702</v>
      </c>
      <c r="L24" s="99">
        <f t="shared" si="0"/>
        <v>44031</v>
      </c>
      <c r="M24" s="3">
        <f t="shared" si="4"/>
        <v>6194</v>
      </c>
      <c r="N24" s="524">
        <v>487</v>
      </c>
      <c r="O24" s="524">
        <f t="shared" si="1"/>
        <v>6681</v>
      </c>
    </row>
    <row r="25" spans="1:17" ht="15.75" thickBot="1">
      <c r="A25" s="244">
        <f>ELEC!C22</f>
        <v>44032</v>
      </c>
      <c r="B25" s="524"/>
      <c r="C25" s="524"/>
      <c r="D25" s="524"/>
      <c r="E25" s="524"/>
      <c r="F25" s="524"/>
      <c r="G25" s="524"/>
      <c r="H25" s="574">
        <f t="shared" si="2"/>
        <v>6405</v>
      </c>
      <c r="I25" s="524">
        <f t="shared" si="3"/>
        <v>0</v>
      </c>
      <c r="J25" s="502">
        <v>0.29166666666666702</v>
      </c>
      <c r="L25" s="99">
        <f t="shared" si="0"/>
        <v>44032</v>
      </c>
      <c r="M25" s="3">
        <f t="shared" si="4"/>
        <v>6194</v>
      </c>
      <c r="N25" s="524">
        <v>487</v>
      </c>
      <c r="O25" s="524">
        <f t="shared" si="1"/>
        <v>6681</v>
      </c>
    </row>
    <row r="26" spans="1:17" ht="15.75" thickBot="1">
      <c r="A26" s="244">
        <f>ELEC!C23</f>
        <v>44033</v>
      </c>
      <c r="B26" s="524"/>
      <c r="C26" s="524"/>
      <c r="D26" s="524"/>
      <c r="E26" s="524"/>
      <c r="F26" s="524"/>
      <c r="G26" s="524"/>
      <c r="H26" s="574">
        <f t="shared" si="2"/>
        <v>6405</v>
      </c>
      <c r="I26" s="524">
        <f t="shared" si="3"/>
        <v>0</v>
      </c>
      <c r="J26" s="502">
        <v>0.29166666666666702</v>
      </c>
      <c r="L26" s="99">
        <f t="shared" si="0"/>
        <v>44033</v>
      </c>
      <c r="M26" s="3">
        <f t="shared" si="4"/>
        <v>6194</v>
      </c>
      <c r="N26" s="524">
        <v>487</v>
      </c>
      <c r="O26" s="524">
        <f t="shared" si="1"/>
        <v>6681</v>
      </c>
    </row>
    <row r="27" spans="1:17" ht="15.75" thickBot="1">
      <c r="A27" s="244">
        <f>ELEC!C24</f>
        <v>44034</v>
      </c>
      <c r="B27" s="524"/>
      <c r="C27" s="524"/>
      <c r="D27" s="524"/>
      <c r="E27" s="524"/>
      <c r="F27" s="524"/>
      <c r="G27" s="524"/>
      <c r="H27" s="574">
        <f t="shared" si="2"/>
        <v>6405</v>
      </c>
      <c r="I27" s="524">
        <f t="shared" si="3"/>
        <v>0</v>
      </c>
      <c r="J27" s="502">
        <v>0.29166666666666702</v>
      </c>
      <c r="L27" s="99">
        <f t="shared" si="0"/>
        <v>44034</v>
      </c>
      <c r="M27" s="3">
        <f t="shared" si="4"/>
        <v>6194</v>
      </c>
      <c r="N27" s="3">
        <v>642</v>
      </c>
      <c r="O27" s="524">
        <f t="shared" si="1"/>
        <v>6836</v>
      </c>
    </row>
    <row r="28" spans="1:17" ht="15.75" thickBot="1">
      <c r="A28" s="244">
        <f>ELEC!C25</f>
        <v>44035</v>
      </c>
      <c r="B28" s="259"/>
      <c r="C28" s="585"/>
      <c r="D28" s="170"/>
      <c r="E28" s="170"/>
      <c r="F28" s="170"/>
      <c r="G28" s="170"/>
      <c r="H28" s="574">
        <f t="shared" si="2"/>
        <v>6405</v>
      </c>
      <c r="I28" s="524">
        <f t="shared" si="3"/>
        <v>0</v>
      </c>
      <c r="J28" s="503">
        <v>0.29166666666666702</v>
      </c>
      <c r="L28" s="99">
        <f t="shared" si="0"/>
        <v>44035</v>
      </c>
      <c r="M28" s="3">
        <f t="shared" si="4"/>
        <v>6194</v>
      </c>
      <c r="N28" s="3">
        <v>642</v>
      </c>
      <c r="O28" s="524">
        <f t="shared" si="1"/>
        <v>6836</v>
      </c>
    </row>
    <row r="29" spans="1:17" ht="15.75" thickBot="1">
      <c r="A29" s="244">
        <f>ELEC!C26</f>
        <v>44036</v>
      </c>
      <c r="B29" s="524"/>
      <c r="C29" s="524"/>
      <c r="D29" s="524"/>
      <c r="E29" s="524"/>
      <c r="F29" s="524"/>
      <c r="G29" s="524"/>
      <c r="H29" s="574">
        <f t="shared" si="2"/>
        <v>6405</v>
      </c>
      <c r="I29" s="524">
        <f t="shared" si="3"/>
        <v>0</v>
      </c>
      <c r="J29" s="502">
        <v>0.29166666666666702</v>
      </c>
      <c r="L29" s="99">
        <f t="shared" si="0"/>
        <v>44036</v>
      </c>
      <c r="M29" s="3">
        <f t="shared" si="4"/>
        <v>6194</v>
      </c>
      <c r="N29" s="3">
        <v>642</v>
      </c>
      <c r="O29" s="524">
        <f t="shared" si="1"/>
        <v>6836</v>
      </c>
    </row>
    <row r="30" spans="1:17" ht="15.75" thickBot="1">
      <c r="A30" s="244">
        <f>ELEC!C27</f>
        <v>44037</v>
      </c>
      <c r="B30" s="259"/>
      <c r="C30" s="586"/>
      <c r="D30" s="170"/>
      <c r="E30" s="170"/>
      <c r="F30" s="170"/>
      <c r="G30" s="170"/>
      <c r="H30" s="574">
        <f t="shared" si="2"/>
        <v>6405</v>
      </c>
      <c r="I30" s="524">
        <f t="shared" si="3"/>
        <v>0</v>
      </c>
      <c r="J30" s="502">
        <v>0.29166666666666702</v>
      </c>
      <c r="L30" s="99">
        <f t="shared" si="0"/>
        <v>44037</v>
      </c>
      <c r="M30" s="3">
        <f t="shared" si="4"/>
        <v>6194</v>
      </c>
      <c r="N30" s="3">
        <v>642</v>
      </c>
      <c r="O30" s="524">
        <f t="shared" si="1"/>
        <v>6836</v>
      </c>
    </row>
    <row r="31" spans="1:17" ht="15.75" thickBot="1">
      <c r="A31" s="244">
        <f>ELEC!C28</f>
        <v>44038</v>
      </c>
      <c r="B31" s="259"/>
      <c r="C31" s="561"/>
      <c r="D31" s="170"/>
      <c r="E31" s="170"/>
      <c r="F31" s="170"/>
      <c r="G31" s="170"/>
      <c r="H31" s="574">
        <f t="shared" si="2"/>
        <v>6405</v>
      </c>
      <c r="I31" s="524">
        <f t="shared" si="3"/>
        <v>0</v>
      </c>
      <c r="J31" s="502">
        <v>0.29166666666666702</v>
      </c>
      <c r="L31" s="99">
        <f t="shared" si="0"/>
        <v>44038</v>
      </c>
      <c r="M31" s="3">
        <f t="shared" si="4"/>
        <v>6194</v>
      </c>
      <c r="N31" s="3">
        <v>642</v>
      </c>
      <c r="O31" s="524">
        <f t="shared" si="1"/>
        <v>6836</v>
      </c>
    </row>
    <row r="32" spans="1:17" ht="15.75" thickBot="1">
      <c r="A32" s="244">
        <f>ELEC!C29</f>
        <v>44039</v>
      </c>
      <c r="B32" s="524"/>
      <c r="C32" s="524"/>
      <c r="D32" s="524"/>
      <c r="E32" s="524"/>
      <c r="F32" s="524"/>
      <c r="G32" s="524"/>
      <c r="H32" s="574">
        <f t="shared" si="2"/>
        <v>6405</v>
      </c>
      <c r="I32" s="524">
        <f t="shared" si="3"/>
        <v>0</v>
      </c>
      <c r="J32" s="502">
        <v>0.29166666666666702</v>
      </c>
      <c r="L32" s="99">
        <f t="shared" si="0"/>
        <v>44039</v>
      </c>
      <c r="M32" s="3">
        <f t="shared" si="4"/>
        <v>6194</v>
      </c>
      <c r="N32" s="3">
        <v>642</v>
      </c>
      <c r="O32" s="524">
        <f t="shared" si="1"/>
        <v>6836</v>
      </c>
    </row>
    <row r="33" spans="1:15" ht="15.75" thickBot="1">
      <c r="A33" s="244">
        <f>ELEC!C30</f>
        <v>44040</v>
      </c>
      <c r="B33" s="524"/>
      <c r="C33" s="524"/>
      <c r="D33" s="524"/>
      <c r="E33" s="524"/>
      <c r="F33" s="524"/>
      <c r="G33" s="524"/>
      <c r="H33" s="574">
        <f t="shared" si="2"/>
        <v>6405</v>
      </c>
      <c r="I33" s="524">
        <f t="shared" si="3"/>
        <v>0</v>
      </c>
      <c r="J33" s="502">
        <v>0.29166666666666702</v>
      </c>
      <c r="L33" s="99">
        <f t="shared" si="0"/>
        <v>44040</v>
      </c>
      <c r="M33" s="3">
        <f t="shared" si="4"/>
        <v>6194</v>
      </c>
      <c r="N33" s="3">
        <v>642</v>
      </c>
      <c r="O33" s="524">
        <f t="shared" si="1"/>
        <v>6836</v>
      </c>
    </row>
    <row r="34" spans="1:15" ht="15.75" thickBot="1">
      <c r="A34" s="244">
        <f>ELEC!C31</f>
        <v>44041</v>
      </c>
      <c r="B34" s="524"/>
      <c r="C34" s="524"/>
      <c r="D34" s="524"/>
      <c r="E34" s="524"/>
      <c r="F34" s="524"/>
      <c r="G34" s="524"/>
      <c r="H34" s="574">
        <f t="shared" si="2"/>
        <v>6405</v>
      </c>
      <c r="I34" s="524">
        <f t="shared" si="3"/>
        <v>0</v>
      </c>
      <c r="J34" s="502">
        <v>0.29166666666666702</v>
      </c>
      <c r="L34" s="99">
        <f t="shared" si="0"/>
        <v>44041</v>
      </c>
      <c r="M34" s="3">
        <f t="shared" si="4"/>
        <v>6194</v>
      </c>
      <c r="N34" s="3">
        <v>642</v>
      </c>
      <c r="O34" s="524">
        <f t="shared" si="1"/>
        <v>6836</v>
      </c>
    </row>
    <row r="35" spans="1:15" ht="15.75" thickBot="1">
      <c r="A35" s="418">
        <f>ELEC!C32</f>
        <v>44042</v>
      </c>
      <c r="B35" s="524"/>
      <c r="C35" s="524"/>
      <c r="D35" s="524"/>
      <c r="E35" s="524"/>
      <c r="F35" s="524"/>
      <c r="G35" s="524"/>
      <c r="H35" s="574">
        <f t="shared" si="2"/>
        <v>6405</v>
      </c>
      <c r="I35" s="524">
        <f t="shared" si="3"/>
        <v>0</v>
      </c>
      <c r="J35" s="504">
        <v>0.29166666666666702</v>
      </c>
      <c r="L35" s="99">
        <f t="shared" si="0"/>
        <v>44042</v>
      </c>
      <c r="M35" s="3">
        <f t="shared" si="4"/>
        <v>6194</v>
      </c>
      <c r="N35" s="3">
        <v>642</v>
      </c>
      <c r="O35" s="524">
        <f t="shared" si="1"/>
        <v>6836</v>
      </c>
    </row>
    <row r="36" spans="1:15">
      <c r="A36" s="418">
        <f>ELEC!C33</f>
        <v>44043</v>
      </c>
      <c r="B36" s="524"/>
      <c r="C36" s="524"/>
      <c r="D36" s="524"/>
      <c r="E36" s="524"/>
      <c r="F36" s="524"/>
      <c r="G36" s="524"/>
      <c r="H36" s="574">
        <f t="shared" si="2"/>
        <v>6405</v>
      </c>
      <c r="I36" s="524">
        <f t="shared" ref="I36" si="5">H36-H35</f>
        <v>0</v>
      </c>
      <c r="J36" s="504">
        <v>0.29166666666666702</v>
      </c>
      <c r="L36" s="99">
        <f t="shared" ref="L36" si="6">A36</f>
        <v>44043</v>
      </c>
      <c r="M36" s="3">
        <f t="shared" si="4"/>
        <v>6194</v>
      </c>
      <c r="N36" s="3">
        <v>642</v>
      </c>
      <c r="O36" s="524">
        <f t="shared" ref="O36" si="7">M36+N36</f>
        <v>6836</v>
      </c>
    </row>
  </sheetData>
  <mergeCells count="6">
    <mergeCell ref="A1:A3"/>
    <mergeCell ref="J1:J3"/>
    <mergeCell ref="I1:I3"/>
    <mergeCell ref="H1:H3"/>
    <mergeCell ref="E1:G1"/>
    <mergeCell ref="B1:D1"/>
  </mergeCells>
  <pageMargins left="0.7" right="0.7" top="0.75" bottom="0.75" header="0.3" footer="0.3"/>
  <pageSetup paperSize="9" orientation="portrait" r:id="rId1"/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B96"/>
  <sheetViews>
    <sheetView topLeftCell="L4" zoomScale="80" zoomScaleNormal="80" workbookViewId="0">
      <selection activeCell="U26" sqref="U26:U28"/>
    </sheetView>
  </sheetViews>
  <sheetFormatPr defaultRowHeight="15"/>
  <cols>
    <col min="1" max="1" width="9.140625" style="104" customWidth="1"/>
    <col min="4" max="4" width="9.140625" style="10" customWidth="1"/>
    <col min="5" max="5" width="9.140625" style="104" customWidth="1"/>
    <col min="8" max="8" width="9.140625" style="10" customWidth="1"/>
    <col min="9" max="9" width="9.140625" style="104" customWidth="1"/>
    <col min="12" max="12" width="9.140625" style="10" customWidth="1"/>
    <col min="13" max="13" width="9.140625" style="104" customWidth="1"/>
    <col min="16" max="16" width="9.140625" style="10" customWidth="1"/>
    <col min="17" max="17" width="9.140625" style="104" customWidth="1"/>
    <col min="20" max="20" width="9.140625" style="10" customWidth="1"/>
    <col min="21" max="21" width="9.140625" style="104" customWidth="1"/>
    <col min="24" max="24" width="9.140625" style="10" customWidth="1"/>
  </cols>
  <sheetData>
    <row r="1" spans="1:28" ht="18.75">
      <c r="A1" s="702" t="s">
        <v>161</v>
      </c>
      <c r="B1" s="702"/>
      <c r="C1" s="702"/>
      <c r="D1" s="702"/>
      <c r="E1" s="702"/>
      <c r="F1" s="702"/>
      <c r="G1" s="702"/>
      <c r="H1" s="702"/>
      <c r="I1" s="702"/>
      <c r="J1" s="702"/>
      <c r="K1" s="702"/>
      <c r="L1" s="702"/>
      <c r="M1" s="702"/>
      <c r="N1" s="702"/>
      <c r="O1" s="702"/>
      <c r="P1" s="702"/>
      <c r="Q1" s="702"/>
      <c r="R1" s="702"/>
      <c r="S1" s="702"/>
      <c r="T1" s="702"/>
      <c r="U1" s="702"/>
      <c r="V1" s="702"/>
      <c r="W1" s="702"/>
      <c r="X1" s="702"/>
    </row>
    <row r="2" spans="1:28" ht="19.5">
      <c r="A2" s="703"/>
      <c r="B2" s="703"/>
      <c r="C2" s="703"/>
      <c r="D2" s="703"/>
      <c r="E2" s="703"/>
      <c r="F2" s="703"/>
      <c r="G2" s="703"/>
      <c r="H2" s="703"/>
      <c r="I2" s="703"/>
      <c r="J2" s="703"/>
      <c r="K2" s="703"/>
      <c r="L2" s="703"/>
      <c r="M2" s="703"/>
      <c r="N2" s="703"/>
      <c r="O2" s="703"/>
      <c r="P2" s="703"/>
      <c r="Q2" s="703"/>
      <c r="R2" s="703"/>
      <c r="S2" s="703"/>
      <c r="T2" s="703"/>
      <c r="U2" s="703"/>
      <c r="V2" s="703"/>
      <c r="W2" s="703"/>
      <c r="X2" s="703"/>
    </row>
    <row r="3" spans="1:28" ht="19.5">
      <c r="A3" s="703" t="s">
        <v>162</v>
      </c>
      <c r="B3" s="703"/>
      <c r="C3" s="703"/>
      <c r="D3" s="703"/>
      <c r="E3" s="703"/>
      <c r="F3" s="703"/>
      <c r="G3" s="703"/>
      <c r="H3" s="703"/>
      <c r="I3" s="703"/>
      <c r="J3" s="703"/>
      <c r="K3" s="703"/>
      <c r="L3" s="703"/>
      <c r="M3" s="703"/>
      <c r="N3" s="703"/>
      <c r="O3" s="703"/>
      <c r="P3" s="703"/>
      <c r="Q3" s="703"/>
      <c r="R3" s="703"/>
      <c r="S3" s="703"/>
      <c r="T3" s="703"/>
      <c r="U3" s="703"/>
      <c r="V3" s="703"/>
      <c r="W3" s="703"/>
      <c r="X3" s="703"/>
    </row>
    <row r="4" spans="1:28" ht="19.5">
      <c r="A4" s="103"/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</row>
    <row r="5" spans="1:28" ht="19.5">
      <c r="A5" s="703" t="s">
        <v>412</v>
      </c>
      <c r="B5" s="703"/>
      <c r="C5" s="703"/>
      <c r="D5" s="703"/>
      <c r="E5" s="703"/>
      <c r="F5" s="703"/>
      <c r="G5" s="703"/>
      <c r="H5" s="703"/>
      <c r="I5" s="703"/>
      <c r="J5" s="703"/>
      <c r="K5" s="703"/>
      <c r="L5" s="703"/>
      <c r="M5" s="703"/>
      <c r="N5" s="703"/>
      <c r="O5" s="703"/>
      <c r="P5" s="703"/>
      <c r="Q5" s="703"/>
      <c r="R5" s="703"/>
      <c r="S5" s="703"/>
      <c r="T5" s="703"/>
      <c r="U5" s="703"/>
      <c r="V5" s="703"/>
      <c r="W5" s="703"/>
      <c r="X5" s="703"/>
    </row>
    <row r="6" spans="1:28" ht="15.75" thickBot="1">
      <c r="A6" s="704"/>
      <c r="B6" s="704"/>
      <c r="C6" s="704"/>
      <c r="D6" s="704"/>
      <c r="E6" s="704"/>
      <c r="F6" s="704"/>
      <c r="G6" s="704"/>
      <c r="H6" s="704"/>
      <c r="I6" s="704"/>
      <c r="J6" s="704"/>
      <c r="K6" s="704"/>
      <c r="L6" s="704"/>
      <c r="M6" s="704"/>
      <c r="N6" s="704"/>
      <c r="O6" s="704"/>
      <c r="P6" s="704"/>
      <c r="Q6" s="704"/>
      <c r="R6" s="704"/>
      <c r="S6" s="704"/>
      <c r="T6" s="704"/>
      <c r="U6" s="704"/>
      <c r="V6" s="704"/>
      <c r="W6" s="704"/>
      <c r="X6" s="704"/>
    </row>
    <row r="7" spans="1:28" ht="15.75" thickBot="1">
      <c r="A7" s="706" t="s">
        <v>163</v>
      </c>
      <c r="B7" s="707"/>
      <c r="C7" s="708" t="s">
        <v>164</v>
      </c>
      <c r="D7" s="709"/>
      <c r="E7" s="709"/>
      <c r="F7" s="709"/>
      <c r="G7" s="709"/>
      <c r="H7" s="709"/>
      <c r="I7" s="709"/>
      <c r="J7" s="709"/>
      <c r="K7" s="710"/>
    </row>
    <row r="8" spans="1:28" ht="15.75">
      <c r="A8" s="105"/>
      <c r="B8" s="106"/>
      <c r="C8" s="107"/>
      <c r="D8" s="108"/>
      <c r="E8" s="105"/>
      <c r="F8" s="106"/>
      <c r="G8" s="107"/>
      <c r="H8" s="108"/>
      <c r="I8" s="105"/>
      <c r="J8" s="109"/>
      <c r="K8" s="106"/>
      <c r="L8" s="110"/>
      <c r="M8" s="105"/>
      <c r="N8" s="106"/>
      <c r="O8" s="107"/>
      <c r="P8" s="108"/>
      <c r="Q8" s="111"/>
      <c r="R8" s="109"/>
      <c r="S8" s="106"/>
      <c r="T8" s="110"/>
      <c r="U8" s="111"/>
      <c r="V8" s="109"/>
      <c r="W8" s="106"/>
      <c r="X8" s="110"/>
    </row>
    <row r="9" spans="1:28" s="116" customFormat="1" ht="33.75">
      <c r="A9" s="112" t="s">
        <v>300</v>
      </c>
      <c r="B9" s="113" t="s">
        <v>166</v>
      </c>
      <c r="C9" s="113" t="s">
        <v>167</v>
      </c>
      <c r="D9" s="114" t="s">
        <v>168</v>
      </c>
      <c r="E9" s="112" t="s">
        <v>169</v>
      </c>
      <c r="F9" s="113" t="s">
        <v>166</v>
      </c>
      <c r="G9" s="113" t="s">
        <v>167</v>
      </c>
      <c r="H9" s="115" t="s">
        <v>168</v>
      </c>
      <c r="I9" s="112" t="s">
        <v>170</v>
      </c>
      <c r="J9" s="113" t="s">
        <v>166</v>
      </c>
      <c r="K9" s="113" t="s">
        <v>167</v>
      </c>
      <c r="L9" s="115" t="s">
        <v>168</v>
      </c>
      <c r="M9" s="112" t="s">
        <v>171</v>
      </c>
      <c r="N9" s="113" t="s">
        <v>166</v>
      </c>
      <c r="O9" s="113" t="s">
        <v>167</v>
      </c>
      <c r="P9" s="115" t="s">
        <v>168</v>
      </c>
      <c r="Q9" s="112" t="s">
        <v>172</v>
      </c>
      <c r="R9" s="113" t="s">
        <v>166</v>
      </c>
      <c r="S9" s="113" t="s">
        <v>167</v>
      </c>
      <c r="T9" s="115" t="s">
        <v>168</v>
      </c>
      <c r="U9" s="112" t="s">
        <v>173</v>
      </c>
      <c r="V9" s="113" t="s">
        <v>166</v>
      </c>
      <c r="W9" s="113" t="s">
        <v>167</v>
      </c>
      <c r="X9" s="115" t="s">
        <v>168</v>
      </c>
      <c r="AA9" s="158" t="s">
        <v>174</v>
      </c>
      <c r="AB9" s="158" t="s">
        <v>175</v>
      </c>
    </row>
    <row r="10" spans="1:28">
      <c r="A10" s="117">
        <v>1</v>
      </c>
      <c r="B10" s="278">
        <f>'[1]Degree Days 2020'!B10</f>
        <v>16</v>
      </c>
      <c r="C10" s="278">
        <f>'[1]Degree Days 2020'!C10</f>
        <v>11</v>
      </c>
      <c r="D10" s="278">
        <f>(B10+C10)/2-18.3</f>
        <v>-4.8000000000000007</v>
      </c>
      <c r="E10" s="278">
        <f>'[1]Degree Days 2020'!E10</f>
        <v>1</v>
      </c>
      <c r="F10" s="278">
        <f>'[1]Degree Days 2020'!F10</f>
        <v>17</v>
      </c>
      <c r="G10" s="278">
        <f>'[1]Degree Days 2020'!G10</f>
        <v>12</v>
      </c>
      <c r="H10" s="278">
        <f>(F10+G10)/2-18.3</f>
        <v>-3.8000000000000007</v>
      </c>
      <c r="I10" s="278">
        <f>'[5]Degree Days 2018'!I10</f>
        <v>1</v>
      </c>
      <c r="J10" s="278">
        <f>'[1]Degree Days 2020'!J10</f>
        <v>17</v>
      </c>
      <c r="K10" s="278">
        <f>'[1]Degree Days 2020'!K10</f>
        <v>10</v>
      </c>
      <c r="L10" s="278">
        <f>(J10+K10)/2-18.3</f>
        <v>-4.8000000000000007</v>
      </c>
      <c r="M10" s="278">
        <f>'[1]Degree Days 2020'!M10</f>
        <v>1</v>
      </c>
      <c r="N10" s="278">
        <f>'[1]Degree Days 2020'!N10</f>
        <v>19</v>
      </c>
      <c r="O10" s="278">
        <f>'[1]Degree Days 2020'!O10</f>
        <v>14</v>
      </c>
      <c r="P10" s="278">
        <f>(N10+O10)/2-18.3</f>
        <v>-1.8000000000000007</v>
      </c>
      <c r="Q10" s="548">
        <v>1</v>
      </c>
      <c r="R10" s="278">
        <f>'[1]Degree Days 2020'!R10</f>
        <v>22</v>
      </c>
      <c r="S10" s="278">
        <f>'[1]Degree Days 2020'!S10</f>
        <v>16</v>
      </c>
      <c r="T10" s="278">
        <f>(R10+S10)/2-18.3</f>
        <v>0.69999999999999929</v>
      </c>
      <c r="U10" s="548">
        <v>1</v>
      </c>
      <c r="V10" s="278">
        <f>'[1]Degree Days 2020'!V10</f>
        <v>25</v>
      </c>
      <c r="W10" s="278">
        <f>'[1]Degree Days 2020'!W10</f>
        <v>20</v>
      </c>
      <c r="X10" s="278">
        <f>(V10+W10)/2-18.3</f>
        <v>4.1999999999999993</v>
      </c>
      <c r="Z10" t="s">
        <v>165</v>
      </c>
      <c r="AA10" s="278">
        <f>B43</f>
        <v>-148.80000000000001</v>
      </c>
      <c r="AB10" s="278">
        <f>C43</f>
        <v>0</v>
      </c>
    </row>
    <row r="11" spans="1:28">
      <c r="A11" s="117">
        <v>2</v>
      </c>
      <c r="B11" s="278">
        <f>'[1]Degree Days 2020'!B11</f>
        <v>17</v>
      </c>
      <c r="C11" s="278">
        <f>'[1]Degree Days 2020'!C11</f>
        <v>12</v>
      </c>
      <c r="D11" s="278">
        <f t="shared" ref="D11:D40" si="0">(B11+C11)/2-18.3</f>
        <v>-3.8000000000000007</v>
      </c>
      <c r="E11" s="278">
        <f>'[1]Degree Days 2020'!E11</f>
        <v>2</v>
      </c>
      <c r="F11" s="278">
        <f>'[1]Degree Days 2020'!F11</f>
        <v>17</v>
      </c>
      <c r="G11" s="278">
        <f>'[1]Degree Days 2020'!G11</f>
        <v>11</v>
      </c>
      <c r="H11" s="278">
        <f t="shared" ref="H11:H40" si="1">(F11+G11)/2-18.3</f>
        <v>-4.3000000000000007</v>
      </c>
      <c r="I11" s="278">
        <f>'[5]Degree Days 2018'!I11</f>
        <v>2</v>
      </c>
      <c r="J11" s="278">
        <f>'[1]Degree Days 2020'!J11</f>
        <v>18</v>
      </c>
      <c r="K11" s="278">
        <f>'[1]Degree Days 2020'!K11</f>
        <v>11</v>
      </c>
      <c r="L11" s="278">
        <f t="shared" ref="L11:L40" si="2">(J11+K11)/2-18.3</f>
        <v>-3.8000000000000007</v>
      </c>
      <c r="M11" s="278">
        <f>'[1]Degree Days 2020'!M11</f>
        <v>2</v>
      </c>
      <c r="N11" s="278">
        <f>'[1]Degree Days 2020'!N11</f>
        <v>19</v>
      </c>
      <c r="O11" s="278">
        <f>'[1]Degree Days 2020'!O11</f>
        <v>15</v>
      </c>
      <c r="P11" s="278">
        <f t="shared" ref="P11:P40" si="3">(N11+O11)/2-18.3</f>
        <v>-1.3000000000000007</v>
      </c>
      <c r="Q11" s="548">
        <v>2</v>
      </c>
      <c r="R11" s="278">
        <f>'[1]Degree Days 2020'!R11</f>
        <v>21</v>
      </c>
      <c r="S11" s="278">
        <f>'[1]Degree Days 2020'!S11</f>
        <v>14</v>
      </c>
      <c r="T11" s="278">
        <f t="shared" ref="T11:T40" si="4">(R11+S11)/2-18.3</f>
        <v>-0.80000000000000071</v>
      </c>
      <c r="U11" s="548">
        <v>2</v>
      </c>
      <c r="V11" s="278">
        <f>'[1]Degree Days 2020'!V11</f>
        <v>24</v>
      </c>
      <c r="W11" s="278">
        <f>'[1]Degree Days 2020'!W11</f>
        <v>20</v>
      </c>
      <c r="X11" s="278">
        <f t="shared" ref="X11:X40" si="5">(V11+W11)/2-18.3</f>
        <v>3.6999999999999993</v>
      </c>
      <c r="Z11" t="s">
        <v>169</v>
      </c>
      <c r="AA11" s="278">
        <f>F43</f>
        <v>-153.49999999999997</v>
      </c>
      <c r="AB11" s="278">
        <f>G43</f>
        <v>0.69999999999999929</v>
      </c>
    </row>
    <row r="12" spans="1:28">
      <c r="A12" s="117">
        <v>3</v>
      </c>
      <c r="B12" s="278">
        <f>'[1]Degree Days 2020'!B12</f>
        <v>16</v>
      </c>
      <c r="C12" s="278">
        <f>'[1]Degree Days 2020'!C12</f>
        <v>12</v>
      </c>
      <c r="D12" s="278">
        <f t="shared" si="0"/>
        <v>-4.3000000000000007</v>
      </c>
      <c r="E12" s="278">
        <f>'[1]Degree Days 2020'!E12</f>
        <v>3</v>
      </c>
      <c r="F12" s="278">
        <f>'[1]Degree Days 2020'!F12</f>
        <v>16</v>
      </c>
      <c r="G12" s="278">
        <f>'[1]Degree Days 2020'!G12</f>
        <v>10</v>
      </c>
      <c r="H12" s="278">
        <f t="shared" si="1"/>
        <v>-5.3000000000000007</v>
      </c>
      <c r="I12" s="278">
        <f>'[5]Degree Days 2018'!I12</f>
        <v>3</v>
      </c>
      <c r="J12" s="278">
        <f>'[1]Degree Days 2020'!J12</f>
        <v>19</v>
      </c>
      <c r="K12" s="278">
        <f>'[1]Degree Days 2020'!K12</f>
        <v>12</v>
      </c>
      <c r="L12" s="278">
        <f t="shared" si="2"/>
        <v>-2.8000000000000007</v>
      </c>
      <c r="M12" s="278">
        <f>'[1]Degree Days 2020'!M12</f>
        <v>3</v>
      </c>
      <c r="N12" s="278">
        <f>'[1]Degree Days 2020'!N12</f>
        <v>20</v>
      </c>
      <c r="O12" s="278">
        <f>'[1]Degree Days 2020'!O12</f>
        <v>14</v>
      </c>
      <c r="P12" s="278">
        <f t="shared" si="3"/>
        <v>-1.3000000000000007</v>
      </c>
      <c r="Q12" s="548">
        <v>3</v>
      </c>
      <c r="R12" s="278">
        <f>'[1]Degree Days 2020'!R12</f>
        <v>24</v>
      </c>
      <c r="S12" s="278">
        <f>'[1]Degree Days 2020'!S12</f>
        <v>17</v>
      </c>
      <c r="T12" s="278">
        <f t="shared" si="4"/>
        <v>2.1999999999999993</v>
      </c>
      <c r="U12" s="548">
        <v>3</v>
      </c>
      <c r="V12" s="278">
        <f>'[1]Degree Days 2020'!V12</f>
        <v>27</v>
      </c>
      <c r="W12" s="278">
        <f>'[1]Degree Days 2020'!W12</f>
        <v>19</v>
      </c>
      <c r="X12" s="278">
        <f t="shared" si="5"/>
        <v>4.6999999999999993</v>
      </c>
      <c r="Z12" t="s">
        <v>170</v>
      </c>
      <c r="AA12" s="278">
        <f>J43</f>
        <v>-61.799999999999983</v>
      </c>
      <c r="AB12" s="278">
        <f>K43</f>
        <v>11.499999999999996</v>
      </c>
    </row>
    <row r="13" spans="1:28">
      <c r="A13" s="117">
        <v>4</v>
      </c>
      <c r="B13" s="278">
        <f>'[1]Degree Days 2020'!B13</f>
        <v>15</v>
      </c>
      <c r="C13" s="278">
        <f>'[1]Degree Days 2020'!C13</f>
        <v>11</v>
      </c>
      <c r="D13" s="278">
        <f t="shared" si="0"/>
        <v>-5.3000000000000007</v>
      </c>
      <c r="E13" s="278">
        <f>'[1]Degree Days 2020'!E13</f>
        <v>4</v>
      </c>
      <c r="F13" s="278">
        <f>'[1]Degree Days 2020'!F13</f>
        <v>17</v>
      </c>
      <c r="G13" s="278">
        <f>'[1]Degree Days 2020'!G13</f>
        <v>13</v>
      </c>
      <c r="H13" s="278">
        <f t="shared" si="1"/>
        <v>-3.3000000000000007</v>
      </c>
      <c r="I13" s="278">
        <f>'[5]Degree Days 2018'!I13</f>
        <v>4</v>
      </c>
      <c r="J13" s="278">
        <f>'[1]Degree Days 2020'!J13</f>
        <v>19</v>
      </c>
      <c r="K13" s="278">
        <f>'[1]Degree Days 2020'!K13</f>
        <v>12</v>
      </c>
      <c r="L13" s="278">
        <f t="shared" si="2"/>
        <v>-2.8000000000000007</v>
      </c>
      <c r="M13" s="278">
        <f>'[1]Degree Days 2020'!M13</f>
        <v>4</v>
      </c>
      <c r="N13" s="278">
        <f>'[1]Degree Days 2020'!N13</f>
        <v>23</v>
      </c>
      <c r="O13" s="278">
        <f>'[1]Degree Days 2020'!O13</f>
        <v>14</v>
      </c>
      <c r="P13" s="278">
        <f t="shared" si="3"/>
        <v>0.19999999999999929</v>
      </c>
      <c r="Q13" s="548">
        <v>4</v>
      </c>
      <c r="R13" s="278">
        <f>'[1]Degree Days 2020'!R13</f>
        <v>23</v>
      </c>
      <c r="S13" s="278">
        <f>'[1]Degree Days 2020'!S13</f>
        <v>17</v>
      </c>
      <c r="T13" s="278">
        <f t="shared" si="4"/>
        <v>1.6999999999999993</v>
      </c>
      <c r="U13" s="548">
        <v>4</v>
      </c>
      <c r="V13" s="278">
        <f>'[1]Degree Days 2020'!V13</f>
        <v>26</v>
      </c>
      <c r="W13" s="278">
        <f>'[1]Degree Days 2020'!W13</f>
        <v>18</v>
      </c>
      <c r="X13" s="278">
        <f t="shared" si="5"/>
        <v>3.6999999999999993</v>
      </c>
      <c r="Z13" t="s">
        <v>171</v>
      </c>
      <c r="AA13" s="278">
        <f>N43</f>
        <v>-54.600000000000009</v>
      </c>
      <c r="AB13" s="278">
        <f>O43</f>
        <v>25.29999999999999</v>
      </c>
    </row>
    <row r="14" spans="1:28">
      <c r="A14" s="117">
        <v>5</v>
      </c>
      <c r="B14" s="278">
        <f>'[1]Degree Days 2020'!B14</f>
        <v>15</v>
      </c>
      <c r="C14" s="278">
        <f>'[1]Degree Days 2020'!C14</f>
        <v>11</v>
      </c>
      <c r="D14" s="278">
        <f t="shared" si="0"/>
        <v>-5.3000000000000007</v>
      </c>
      <c r="E14" s="278">
        <f>'[1]Degree Days 2020'!E14</f>
        <v>5</v>
      </c>
      <c r="F14" s="278">
        <f>'[1]Degree Days 2020'!F14</f>
        <v>20</v>
      </c>
      <c r="G14" s="278">
        <f>'[1]Degree Days 2020'!G14</f>
        <v>15</v>
      </c>
      <c r="H14" s="278">
        <f t="shared" si="1"/>
        <v>-0.80000000000000071</v>
      </c>
      <c r="I14" s="278">
        <f>'[5]Degree Days 2018'!I14</f>
        <v>5</v>
      </c>
      <c r="J14" s="278">
        <f>'[1]Degree Days 2020'!J14</f>
        <v>19</v>
      </c>
      <c r="K14" s="278">
        <f>'[1]Degree Days 2020'!K14</f>
        <v>14</v>
      </c>
      <c r="L14" s="278">
        <f t="shared" si="2"/>
        <v>-1.8000000000000007</v>
      </c>
      <c r="M14" s="278">
        <f>'[1]Degree Days 2020'!M14</f>
        <v>5</v>
      </c>
      <c r="N14" s="278">
        <f>'[1]Degree Days 2020'!N14</f>
        <v>34</v>
      </c>
      <c r="O14" s="278">
        <f>'[1]Degree Days 2020'!O14</f>
        <v>17</v>
      </c>
      <c r="P14" s="278">
        <f t="shared" si="3"/>
        <v>7.1999999999999993</v>
      </c>
      <c r="Q14" s="548">
        <v>5</v>
      </c>
      <c r="R14" s="278">
        <f>'[1]Degree Days 2020'!R14</f>
        <v>22</v>
      </c>
      <c r="S14" s="278">
        <f>'[1]Degree Days 2020'!S14</f>
        <v>18</v>
      </c>
      <c r="T14" s="278">
        <f t="shared" si="4"/>
        <v>1.6999999999999993</v>
      </c>
      <c r="U14" s="548">
        <v>5</v>
      </c>
      <c r="V14" s="278">
        <f>'[1]Degree Days 2020'!V14</f>
        <v>25</v>
      </c>
      <c r="W14" s="278">
        <f>'[1]Degree Days 2020'!W14</f>
        <v>17</v>
      </c>
      <c r="X14" s="278">
        <f t="shared" si="5"/>
        <v>2.6999999999999993</v>
      </c>
      <c r="Z14" t="s">
        <v>172</v>
      </c>
      <c r="AA14" s="278">
        <f>R43</f>
        <v>-0.80000000000000071</v>
      </c>
      <c r="AB14" s="278">
        <f>S43</f>
        <v>131.50000000000003</v>
      </c>
    </row>
    <row r="15" spans="1:28">
      <c r="A15" s="117">
        <v>6</v>
      </c>
      <c r="B15" s="278">
        <f>'[1]Degree Days 2020'!B15</f>
        <v>16</v>
      </c>
      <c r="C15" s="278">
        <f>'[1]Degree Days 2020'!C15</f>
        <v>12</v>
      </c>
      <c r="D15" s="278">
        <f t="shared" si="0"/>
        <v>-4.3000000000000007</v>
      </c>
      <c r="E15" s="278">
        <f>'[1]Degree Days 2020'!E15</f>
        <v>6</v>
      </c>
      <c r="F15" s="278">
        <f>'[1]Degree Days 2020'!F15</f>
        <v>22</v>
      </c>
      <c r="G15" s="278">
        <f>'[1]Degree Days 2020'!G15</f>
        <v>16</v>
      </c>
      <c r="H15" s="278">
        <f t="shared" si="1"/>
        <v>0.69999999999999929</v>
      </c>
      <c r="I15" s="278">
        <f>'[5]Degree Days 2018'!I15</f>
        <v>6</v>
      </c>
      <c r="J15" s="278">
        <f>'[1]Degree Days 2020'!J15</f>
        <v>18</v>
      </c>
      <c r="K15" s="278">
        <f>'[1]Degree Days 2020'!K15</f>
        <v>12</v>
      </c>
      <c r="L15" s="278">
        <f t="shared" si="2"/>
        <v>-3.3000000000000007</v>
      </c>
      <c r="M15" s="278">
        <f>'[1]Degree Days 2020'!M15</f>
        <v>6</v>
      </c>
      <c r="N15" s="278">
        <f>'[1]Degree Days 2020'!N15</f>
        <v>19</v>
      </c>
      <c r="O15" s="278">
        <f>'[1]Degree Days 2020'!O15</f>
        <v>17</v>
      </c>
      <c r="P15" s="278">
        <f t="shared" si="3"/>
        <v>-0.30000000000000071</v>
      </c>
      <c r="Q15" s="548">
        <v>6</v>
      </c>
      <c r="R15" s="278">
        <f>'[1]Degree Days 2020'!R15</f>
        <v>23</v>
      </c>
      <c r="S15" s="278">
        <f>'[1]Degree Days 2020'!S15</f>
        <v>17</v>
      </c>
      <c r="T15" s="278">
        <f t="shared" si="4"/>
        <v>1.6999999999999993</v>
      </c>
      <c r="U15" s="548">
        <v>6</v>
      </c>
      <c r="V15" s="278">
        <f>'[1]Degree Days 2020'!V15</f>
        <v>26</v>
      </c>
      <c r="W15" s="278">
        <f>'[1]Degree Days 2020'!W15</f>
        <v>18</v>
      </c>
      <c r="X15" s="278">
        <f t="shared" si="5"/>
        <v>3.6999999999999993</v>
      </c>
      <c r="Z15" t="s">
        <v>173</v>
      </c>
      <c r="AA15" s="278">
        <f>V43</f>
        <v>-18.3</v>
      </c>
      <c r="AB15" s="278">
        <f>W43</f>
        <v>182.99999999999997</v>
      </c>
    </row>
    <row r="16" spans="1:28">
      <c r="A16" s="117">
        <v>7</v>
      </c>
      <c r="B16" s="278">
        <f>'[1]Degree Days 2020'!B16</f>
        <v>16</v>
      </c>
      <c r="C16" s="278">
        <f>'[1]Degree Days 2020'!C16</f>
        <v>12</v>
      </c>
      <c r="D16" s="278">
        <f t="shared" si="0"/>
        <v>-4.3000000000000007</v>
      </c>
      <c r="E16" s="278">
        <f>'[1]Degree Days 2020'!E16</f>
        <v>7</v>
      </c>
      <c r="F16" s="278">
        <f>'[1]Degree Days 2020'!F16</f>
        <v>16</v>
      </c>
      <c r="G16" s="278">
        <f>'[1]Degree Days 2020'!G16</f>
        <v>10</v>
      </c>
      <c r="H16" s="278">
        <f t="shared" si="1"/>
        <v>-5.3000000000000007</v>
      </c>
      <c r="I16" s="278">
        <f>'[5]Degree Days 2018'!I16</f>
        <v>7</v>
      </c>
      <c r="J16" s="278">
        <f>'[1]Degree Days 2020'!J16</f>
        <v>18</v>
      </c>
      <c r="K16" s="278">
        <f>'[1]Degree Days 2020'!K16</f>
        <v>12</v>
      </c>
      <c r="L16" s="278">
        <f t="shared" si="2"/>
        <v>-3.3000000000000007</v>
      </c>
      <c r="M16" s="278">
        <f>'[1]Degree Days 2020'!M16</f>
        <v>7</v>
      </c>
      <c r="N16" s="278">
        <f>'[1]Degree Days 2020'!N16</f>
        <v>20</v>
      </c>
      <c r="O16" s="278">
        <f>'[1]Degree Days 2020'!O16</f>
        <v>16</v>
      </c>
      <c r="P16" s="278">
        <f t="shared" si="3"/>
        <v>-0.30000000000000071</v>
      </c>
      <c r="Q16" s="548">
        <v>7</v>
      </c>
      <c r="R16" s="278">
        <f>'[1]Degree Days 2020'!R16</f>
        <v>25</v>
      </c>
      <c r="S16" s="278">
        <f>'[1]Degree Days 2020'!S16</f>
        <v>18</v>
      </c>
      <c r="T16" s="278">
        <f t="shared" si="4"/>
        <v>3.1999999999999993</v>
      </c>
      <c r="U16" s="548">
        <v>7</v>
      </c>
      <c r="V16" s="278">
        <f>'[1]Degree Days 2020'!V16</f>
        <v>27</v>
      </c>
      <c r="W16" s="278">
        <f>'[1]Degree Days 2020'!W16</f>
        <v>21</v>
      </c>
      <c r="X16" s="278">
        <f t="shared" si="5"/>
        <v>5.6999999999999993</v>
      </c>
      <c r="Z16" t="s">
        <v>176</v>
      </c>
      <c r="AA16" s="278">
        <f>B81</f>
        <v>-420.90000000000015</v>
      </c>
      <c r="AB16" s="278">
        <f>C81</f>
        <v>65.100000000000009</v>
      </c>
    </row>
    <row r="17" spans="1:28">
      <c r="A17" s="117">
        <v>8</v>
      </c>
      <c r="B17" s="278">
        <f>'[1]Degree Days 2020'!B17</f>
        <v>14</v>
      </c>
      <c r="C17" s="278">
        <f>'[1]Degree Days 2020'!C17</f>
        <v>11</v>
      </c>
      <c r="D17" s="278">
        <f t="shared" si="0"/>
        <v>-5.8000000000000007</v>
      </c>
      <c r="E17" s="278">
        <f>'[1]Degree Days 2020'!E17</f>
        <v>8</v>
      </c>
      <c r="F17" s="278">
        <f>'[1]Degree Days 2020'!F17</f>
        <v>14</v>
      </c>
      <c r="G17" s="278">
        <f>'[1]Degree Days 2020'!G17</f>
        <v>9</v>
      </c>
      <c r="H17" s="278">
        <f t="shared" si="1"/>
        <v>-6.8000000000000007</v>
      </c>
      <c r="I17" s="278">
        <f>'[5]Degree Days 2018'!I17</f>
        <v>8</v>
      </c>
      <c r="J17" s="278">
        <f>'[1]Degree Days 2020'!J17</f>
        <v>19</v>
      </c>
      <c r="K17" s="278">
        <f>'[1]Degree Days 2020'!K17</f>
        <v>13</v>
      </c>
      <c r="L17" s="278">
        <f t="shared" si="2"/>
        <v>-2.3000000000000007</v>
      </c>
      <c r="M17" s="278">
        <f>'[1]Degree Days 2020'!M17</f>
        <v>8</v>
      </c>
      <c r="N17" s="278">
        <f>'[1]Degree Days 2020'!N17</f>
        <v>19</v>
      </c>
      <c r="O17" s="278">
        <f>'[1]Degree Days 2020'!O17</f>
        <v>15</v>
      </c>
      <c r="P17" s="278">
        <f t="shared" si="3"/>
        <v>-1.3000000000000007</v>
      </c>
      <c r="Q17" s="548">
        <v>8</v>
      </c>
      <c r="R17" s="278">
        <f>'[1]Degree Days 2020'!R17</f>
        <v>23</v>
      </c>
      <c r="S17" s="278">
        <f>'[1]Degree Days 2020'!S17</f>
        <v>17</v>
      </c>
      <c r="T17" s="278">
        <f t="shared" si="4"/>
        <v>1.6999999999999993</v>
      </c>
      <c r="U17" s="548">
        <v>8</v>
      </c>
      <c r="V17" s="278">
        <f>'[1]Degree Days 2020'!V17</f>
        <v>26</v>
      </c>
      <c r="W17" s="278">
        <f>'[1]Degree Days 2020'!W17</f>
        <v>22</v>
      </c>
      <c r="X17" s="278">
        <f t="shared" si="5"/>
        <v>5.6999999999999993</v>
      </c>
      <c r="Z17" t="s">
        <v>177</v>
      </c>
      <c r="AA17" s="278"/>
      <c r="AB17" s="278"/>
    </row>
    <row r="18" spans="1:28">
      <c r="A18" s="117">
        <v>9</v>
      </c>
      <c r="B18" s="278">
        <f>'[1]Degree Days 2020'!B18</f>
        <v>14</v>
      </c>
      <c r="C18" s="278">
        <f>'[1]Degree Days 2020'!C18</f>
        <v>11</v>
      </c>
      <c r="D18" s="278">
        <f t="shared" si="0"/>
        <v>-5.8000000000000007</v>
      </c>
      <c r="E18" s="278">
        <f>'[1]Degree Days 2020'!E18</f>
        <v>9</v>
      </c>
      <c r="F18" s="278">
        <f>'[1]Degree Days 2020'!F18</f>
        <v>9</v>
      </c>
      <c r="G18" s="278">
        <f>'[1]Degree Days 2020'!G18</f>
        <v>8</v>
      </c>
      <c r="H18" s="278">
        <f t="shared" si="1"/>
        <v>-9.8000000000000007</v>
      </c>
      <c r="I18" s="278">
        <f>'[5]Degree Days 2018'!I18</f>
        <v>9</v>
      </c>
      <c r="J18" s="278">
        <f>'[1]Degree Days 2020'!J18</f>
        <v>20</v>
      </c>
      <c r="K18" s="278">
        <f>'[1]Degree Days 2020'!K18</f>
        <v>14</v>
      </c>
      <c r="L18" s="278">
        <f t="shared" si="2"/>
        <v>-1.3000000000000007</v>
      </c>
      <c r="M18" s="278">
        <f>'[1]Degree Days 2020'!M18</f>
        <v>9</v>
      </c>
      <c r="N18" s="278">
        <f>'[1]Degree Days 2020'!N18</f>
        <v>18</v>
      </c>
      <c r="O18" s="278">
        <f>'[1]Degree Days 2020'!O18</f>
        <v>15</v>
      </c>
      <c r="P18" s="278">
        <f t="shared" si="3"/>
        <v>-1.8000000000000007</v>
      </c>
      <c r="Q18" s="548">
        <v>9</v>
      </c>
      <c r="R18" s="278">
        <f>'[1]Degree Days 2020'!R18</f>
        <v>24</v>
      </c>
      <c r="S18" s="278">
        <f>'[1]Degree Days 2020'!S18</f>
        <v>18</v>
      </c>
      <c r="T18" s="278">
        <f t="shared" si="4"/>
        <v>2.6999999999999993</v>
      </c>
      <c r="U18" s="548">
        <v>9</v>
      </c>
      <c r="V18" s="278">
        <f>'[1]Degree Days 2020'!V18</f>
        <v>28</v>
      </c>
      <c r="W18" s="278">
        <f>'[1]Degree Days 2020'!W18</f>
        <v>20</v>
      </c>
      <c r="X18" s="278">
        <f t="shared" si="5"/>
        <v>5.6999999999999993</v>
      </c>
      <c r="Z18" t="s">
        <v>178</v>
      </c>
      <c r="AA18" s="278"/>
      <c r="AB18" s="278"/>
    </row>
    <row r="19" spans="1:28">
      <c r="A19" s="117">
        <v>10</v>
      </c>
      <c r="B19" s="278">
        <f>'[1]Degree Days 2020'!B19</f>
        <v>17</v>
      </c>
      <c r="C19" s="278">
        <f>'[1]Degree Days 2020'!C19</f>
        <v>12</v>
      </c>
      <c r="D19" s="278">
        <f t="shared" si="0"/>
        <v>-3.8000000000000007</v>
      </c>
      <c r="E19" s="278">
        <f>'[1]Degree Days 2020'!E19</f>
        <v>10</v>
      </c>
      <c r="F19" s="278">
        <f>'[1]Degree Days 2020'!F19</f>
        <v>10</v>
      </c>
      <c r="G19" s="278">
        <f>'[1]Degree Days 2020'!G19</f>
        <v>7</v>
      </c>
      <c r="H19" s="278">
        <f t="shared" si="1"/>
        <v>-9.8000000000000007</v>
      </c>
      <c r="I19" s="278">
        <f>'[5]Degree Days 2018'!I19</f>
        <v>10</v>
      </c>
      <c r="J19" s="278">
        <f>'[1]Degree Days 2020'!J19</f>
        <v>19</v>
      </c>
      <c r="K19" s="278">
        <f>'[1]Degree Days 2020'!K19</f>
        <v>16</v>
      </c>
      <c r="L19" s="278">
        <f t="shared" si="2"/>
        <v>-0.80000000000000071</v>
      </c>
      <c r="M19" s="278">
        <f>'[1]Degree Days 2020'!M19</f>
        <v>10</v>
      </c>
      <c r="N19" s="278">
        <f>'[1]Degree Days 2020'!N19</f>
        <v>16</v>
      </c>
      <c r="O19" s="278">
        <f>'[1]Degree Days 2020'!O19</f>
        <v>13</v>
      </c>
      <c r="P19" s="278">
        <f t="shared" si="3"/>
        <v>-3.8000000000000007</v>
      </c>
      <c r="Q19" s="548">
        <v>10</v>
      </c>
      <c r="R19" s="278">
        <f>'[1]Degree Days 2020'!R19</f>
        <v>23</v>
      </c>
      <c r="S19" s="278">
        <f>'[1]Degree Days 2020'!S19</f>
        <v>17</v>
      </c>
      <c r="T19" s="278">
        <f t="shared" si="4"/>
        <v>1.6999999999999993</v>
      </c>
      <c r="U19" s="548">
        <v>10</v>
      </c>
      <c r="V19" s="278">
        <f>'[1]Degree Days 2020'!V19</f>
        <v>28</v>
      </c>
      <c r="W19" s="278">
        <f>'[1]Degree Days 2020'!W19</f>
        <v>20</v>
      </c>
      <c r="X19" s="278">
        <f t="shared" si="5"/>
        <v>5.6999999999999993</v>
      </c>
      <c r="Z19" t="s">
        <v>179</v>
      </c>
      <c r="AA19" s="278"/>
      <c r="AB19" s="278"/>
    </row>
    <row r="20" spans="1:28">
      <c r="A20" s="117">
        <v>11</v>
      </c>
      <c r="B20" s="278">
        <f>'[1]Degree Days 2020'!B20</f>
        <v>17</v>
      </c>
      <c r="C20" s="278">
        <f>'[1]Degree Days 2020'!C20</f>
        <v>13</v>
      </c>
      <c r="D20" s="278">
        <f t="shared" si="0"/>
        <v>-3.3000000000000007</v>
      </c>
      <c r="E20" s="278">
        <f>'[1]Degree Days 2020'!E20</f>
        <v>11</v>
      </c>
      <c r="F20" s="278">
        <f>'[1]Degree Days 2020'!F20</f>
        <v>14</v>
      </c>
      <c r="G20" s="278">
        <f>'[1]Degree Days 2020'!G20</f>
        <v>8</v>
      </c>
      <c r="H20" s="278">
        <f t="shared" si="1"/>
        <v>-7.3000000000000007</v>
      </c>
      <c r="I20" s="278">
        <f>'[5]Degree Days 2018'!I20</f>
        <v>11</v>
      </c>
      <c r="J20" s="278">
        <f>'[1]Degree Days 2020'!J20</f>
        <v>18</v>
      </c>
      <c r="K20" s="278">
        <f>'[1]Degree Days 2020'!K20</f>
        <v>14</v>
      </c>
      <c r="L20" s="278">
        <f t="shared" si="2"/>
        <v>-2.3000000000000007</v>
      </c>
      <c r="M20" s="278">
        <f>'[1]Degree Days 2020'!M20</f>
        <v>11</v>
      </c>
      <c r="N20" s="278">
        <f>'[1]Degree Days 2020'!N20</f>
        <v>17</v>
      </c>
      <c r="O20" s="278">
        <f>'[1]Degree Days 2020'!O20</f>
        <v>14</v>
      </c>
      <c r="P20" s="278">
        <f t="shared" si="3"/>
        <v>-2.8000000000000007</v>
      </c>
      <c r="Q20" s="548">
        <v>11</v>
      </c>
      <c r="R20" s="278">
        <f>'[1]Degree Days 2020'!R20</f>
        <v>23</v>
      </c>
      <c r="S20" s="278">
        <f>'[1]Degree Days 2020'!S20</f>
        <v>18</v>
      </c>
      <c r="T20" s="278">
        <f t="shared" si="4"/>
        <v>2.1999999999999993</v>
      </c>
      <c r="U20" s="548">
        <v>11</v>
      </c>
      <c r="V20" s="278">
        <f>'[1]Degree Days 2020'!V20</f>
        <v>28</v>
      </c>
      <c r="W20" s="278">
        <f>'[1]Degree Days 2020'!W20</f>
        <v>20</v>
      </c>
      <c r="X20" s="278">
        <f t="shared" si="5"/>
        <v>5.6999999999999993</v>
      </c>
      <c r="Z20" t="s">
        <v>180</v>
      </c>
      <c r="AA20" s="278"/>
      <c r="AB20" s="278"/>
    </row>
    <row r="21" spans="1:28">
      <c r="A21" s="117">
        <v>12</v>
      </c>
      <c r="B21" s="278">
        <f>'[1]Degree Days 2020'!B21</f>
        <v>16</v>
      </c>
      <c r="C21" s="278">
        <f>'[1]Degree Days 2020'!C21</f>
        <v>12</v>
      </c>
      <c r="D21" s="278">
        <f t="shared" si="0"/>
        <v>-4.3000000000000007</v>
      </c>
      <c r="E21" s="278">
        <f>'[1]Degree Days 2020'!E21</f>
        <v>12</v>
      </c>
      <c r="F21" s="278">
        <f>'[1]Degree Days 2020'!F21</f>
        <v>16</v>
      </c>
      <c r="G21" s="278">
        <f>'[1]Degree Days 2020'!G21</f>
        <v>13</v>
      </c>
      <c r="H21" s="278">
        <f t="shared" si="1"/>
        <v>-3.8000000000000007</v>
      </c>
      <c r="I21" s="278">
        <f>'[5]Degree Days 2018'!I21</f>
        <v>12</v>
      </c>
      <c r="J21" s="278">
        <f>'[1]Degree Days 2020'!J21</f>
        <v>27</v>
      </c>
      <c r="K21" s="278">
        <f>'[1]Degree Days 2020'!K21</f>
        <v>16</v>
      </c>
      <c r="L21" s="278">
        <f t="shared" si="2"/>
        <v>3.1999999999999993</v>
      </c>
      <c r="M21" s="278">
        <f>'[1]Degree Days 2020'!M21</f>
        <v>12</v>
      </c>
      <c r="N21" s="278">
        <f>'[1]Degree Days 2020'!N21</f>
        <v>20</v>
      </c>
      <c r="O21" s="278">
        <f>'[1]Degree Days 2020'!O21</f>
        <v>14</v>
      </c>
      <c r="P21" s="278">
        <f t="shared" si="3"/>
        <v>-1.3000000000000007</v>
      </c>
      <c r="Q21" s="548">
        <v>12</v>
      </c>
      <c r="R21" s="278">
        <f>'[1]Degree Days 2020'!R21</f>
        <v>24</v>
      </c>
      <c r="S21" s="278">
        <f>'[1]Degree Days 2020'!S21</f>
        <v>18</v>
      </c>
      <c r="T21" s="278">
        <f t="shared" si="4"/>
        <v>2.6999999999999993</v>
      </c>
      <c r="U21" s="548">
        <v>12</v>
      </c>
      <c r="V21" s="278">
        <f>'[1]Degree Days 2020'!V21</f>
        <v>27</v>
      </c>
      <c r="W21" s="278">
        <f>'[1]Degree Days 2020'!W21</f>
        <v>20</v>
      </c>
      <c r="X21" s="278">
        <f t="shared" si="5"/>
        <v>5.1999999999999993</v>
      </c>
      <c r="Z21" t="s">
        <v>181</v>
      </c>
      <c r="AA21" s="134">
        <f t="shared" ref="AA21" si="6">SUM(B54)</f>
        <v>30</v>
      </c>
      <c r="AB21" s="134">
        <f t="shared" ref="AB21" si="7">SUM(C54)</f>
        <v>22</v>
      </c>
    </row>
    <row r="22" spans="1:28">
      <c r="A22" s="117">
        <v>13</v>
      </c>
      <c r="B22" s="278">
        <f>'[1]Degree Days 2020'!B22</f>
        <v>17</v>
      </c>
      <c r="C22" s="278">
        <f>'[1]Degree Days 2020'!C22</f>
        <v>13</v>
      </c>
      <c r="D22" s="278">
        <f t="shared" si="0"/>
        <v>-3.3000000000000007</v>
      </c>
      <c r="E22" s="278">
        <f>'[1]Degree Days 2020'!E22</f>
        <v>13</v>
      </c>
      <c r="F22" s="278">
        <f>'[1]Degree Days 2020'!F22</f>
        <v>17</v>
      </c>
      <c r="G22" s="278">
        <f>'[1]Degree Days 2020'!G22</f>
        <v>14</v>
      </c>
      <c r="H22" s="278">
        <f t="shared" si="1"/>
        <v>-2.8000000000000007</v>
      </c>
      <c r="I22" s="278">
        <f>'[5]Degree Days 2018'!I22</f>
        <v>13</v>
      </c>
      <c r="J22" s="278">
        <f>'[1]Degree Days 2020'!J22</f>
        <v>26</v>
      </c>
      <c r="K22" s="278">
        <f>'[1]Degree Days 2020'!K22</f>
        <v>15</v>
      </c>
      <c r="L22" s="278">
        <f t="shared" si="2"/>
        <v>2.1999999999999993</v>
      </c>
      <c r="M22" s="278">
        <f>'[1]Degree Days 2020'!M22</f>
        <v>13</v>
      </c>
      <c r="N22" s="278">
        <f>'[1]Degree Days 2020'!N22</f>
        <v>21</v>
      </c>
      <c r="O22" s="278">
        <f>'[1]Degree Days 2020'!O22</f>
        <v>15</v>
      </c>
      <c r="P22" s="278">
        <f t="shared" si="3"/>
        <v>-0.30000000000000071</v>
      </c>
      <c r="Q22" s="548">
        <v>13</v>
      </c>
      <c r="R22" s="278">
        <f>'[1]Degree Days 2020'!R22</f>
        <v>27</v>
      </c>
      <c r="S22" s="278">
        <f>'[1]Degree Days 2020'!S22</f>
        <v>21</v>
      </c>
      <c r="T22" s="278">
        <f t="shared" si="4"/>
        <v>5.6999999999999993</v>
      </c>
      <c r="U22" s="548">
        <v>13</v>
      </c>
      <c r="V22" s="278">
        <f>'[1]Degree Days 2020'!V22</f>
        <v>25</v>
      </c>
      <c r="W22" s="278">
        <f>'[1]Degree Days 2020'!W22</f>
        <v>20</v>
      </c>
      <c r="X22" s="278">
        <f t="shared" si="5"/>
        <v>4.1999999999999993</v>
      </c>
    </row>
    <row r="23" spans="1:28">
      <c r="A23" s="117">
        <v>14</v>
      </c>
      <c r="B23" s="278">
        <f>'[1]Degree Days 2020'!B23</f>
        <v>16</v>
      </c>
      <c r="C23" s="278">
        <f>'[1]Degree Days 2020'!C23</f>
        <v>12</v>
      </c>
      <c r="D23" s="278">
        <f t="shared" si="0"/>
        <v>-4.3000000000000007</v>
      </c>
      <c r="E23" s="278">
        <f>'[1]Degree Days 2020'!E23</f>
        <v>14</v>
      </c>
      <c r="F23" s="278">
        <f>'[1]Degree Days 2020'!F23</f>
        <v>17</v>
      </c>
      <c r="G23" s="278">
        <f>'[1]Degree Days 2020'!G23</f>
        <v>11</v>
      </c>
      <c r="H23" s="278">
        <f t="shared" si="1"/>
        <v>-4.3000000000000007</v>
      </c>
      <c r="I23" s="278">
        <f>'[5]Degree Days 2018'!I23</f>
        <v>14</v>
      </c>
      <c r="J23" s="278">
        <f>'[1]Degree Days 2020'!J23</f>
        <v>19</v>
      </c>
      <c r="K23" s="278">
        <f>'[1]Degree Days 2020'!K23</f>
        <v>15</v>
      </c>
      <c r="L23" s="278">
        <f t="shared" si="2"/>
        <v>-1.3000000000000007</v>
      </c>
      <c r="M23" s="278">
        <f>'[1]Degree Days 2020'!M23</f>
        <v>14</v>
      </c>
      <c r="N23" s="278">
        <f>'[1]Degree Days 2020'!N23</f>
        <v>22</v>
      </c>
      <c r="O23" s="278">
        <f>'[1]Degree Days 2020'!O23</f>
        <v>16</v>
      </c>
      <c r="P23" s="278">
        <f t="shared" si="3"/>
        <v>0.69999999999999929</v>
      </c>
      <c r="Q23" s="548">
        <v>14</v>
      </c>
      <c r="R23" s="278">
        <f>'[1]Degree Days 2020'!R23</f>
        <v>29</v>
      </c>
      <c r="S23" s="278">
        <f>'[1]Degree Days 2020'!S23</f>
        <v>22</v>
      </c>
      <c r="T23" s="278">
        <f t="shared" si="4"/>
        <v>7.1999999999999993</v>
      </c>
      <c r="U23" s="548">
        <v>14</v>
      </c>
      <c r="V23" s="278">
        <f>'[1]Degree Days 2020'!V23</f>
        <v>26</v>
      </c>
      <c r="W23" s="278">
        <f>'[1]Degree Days 2020'!W23</f>
        <v>21</v>
      </c>
      <c r="X23" s="278">
        <f t="shared" si="5"/>
        <v>5.1999999999999993</v>
      </c>
      <c r="AA23" s="134">
        <f>SUM(AA10:AA22)</f>
        <v>-828.7</v>
      </c>
      <c r="AB23" s="134">
        <f>SUM(AB10:AB22)</f>
        <v>439.1</v>
      </c>
    </row>
    <row r="24" spans="1:28">
      <c r="A24" s="117">
        <v>15</v>
      </c>
      <c r="B24" s="278">
        <f>'[1]Degree Days 2020'!B24</f>
        <v>17</v>
      </c>
      <c r="C24" s="278">
        <f>'[1]Degree Days 2020'!C24</f>
        <v>13</v>
      </c>
      <c r="D24" s="278">
        <f t="shared" si="0"/>
        <v>-3.3000000000000007</v>
      </c>
      <c r="E24" s="278">
        <f>'[1]Degree Days 2020'!E24</f>
        <v>15</v>
      </c>
      <c r="F24" s="278">
        <f>'[1]Degree Days 2020'!F24</f>
        <v>17</v>
      </c>
      <c r="G24" s="278">
        <f>'[1]Degree Days 2020'!G24</f>
        <v>12</v>
      </c>
      <c r="H24" s="278">
        <f t="shared" si="1"/>
        <v>-3.8000000000000007</v>
      </c>
      <c r="I24" s="278">
        <f>'[5]Degree Days 2018'!I24</f>
        <v>15</v>
      </c>
      <c r="J24" s="278">
        <f>'[1]Degree Days 2020'!J24</f>
        <v>19</v>
      </c>
      <c r="K24" s="278">
        <f>'[1]Degree Days 2020'!K24</f>
        <v>15</v>
      </c>
      <c r="L24" s="278">
        <f t="shared" si="2"/>
        <v>-1.3000000000000007</v>
      </c>
      <c r="M24" s="278">
        <f>'[1]Degree Days 2020'!M24</f>
        <v>15</v>
      </c>
      <c r="N24" s="278">
        <f>'[1]Degree Days 2020'!N24</f>
        <v>20</v>
      </c>
      <c r="O24" s="278">
        <f>'[1]Degree Days 2020'!O24</f>
        <v>16</v>
      </c>
      <c r="P24" s="278">
        <f t="shared" si="3"/>
        <v>-0.30000000000000071</v>
      </c>
      <c r="Q24" s="548">
        <v>15</v>
      </c>
      <c r="R24" s="278">
        <f>'[1]Degree Days 2020'!R24</f>
        <v>30</v>
      </c>
      <c r="S24" s="278">
        <f>'[1]Degree Days 2020'!S24</f>
        <v>23</v>
      </c>
      <c r="T24" s="278">
        <f t="shared" si="4"/>
        <v>8.1999999999999993</v>
      </c>
      <c r="U24" s="548">
        <v>15</v>
      </c>
      <c r="V24" s="278">
        <f>'[1]Degree Days 2020'!V24</f>
        <v>26</v>
      </c>
      <c r="W24" s="278">
        <f>'[1]Degree Days 2020'!W24</f>
        <v>20</v>
      </c>
      <c r="X24" s="278">
        <f t="shared" si="5"/>
        <v>4.6999999999999993</v>
      </c>
    </row>
    <row r="25" spans="1:28">
      <c r="A25" s="117">
        <v>16</v>
      </c>
      <c r="B25" s="278">
        <f>'[1]Degree Days 2020'!B25</f>
        <v>19</v>
      </c>
      <c r="C25" s="278">
        <f>'[1]Degree Days 2020'!C25</f>
        <v>13</v>
      </c>
      <c r="D25" s="278">
        <f t="shared" si="0"/>
        <v>-2.3000000000000007</v>
      </c>
      <c r="E25" s="278">
        <f>'[1]Degree Days 2020'!E25</f>
        <v>16</v>
      </c>
      <c r="F25" s="278">
        <f>'[1]Degree Days 2020'!F25</f>
        <v>17</v>
      </c>
      <c r="G25" s="278">
        <f>'[1]Degree Days 2020'!G25</f>
        <v>11</v>
      </c>
      <c r="H25" s="278">
        <f t="shared" si="1"/>
        <v>-4.3000000000000007</v>
      </c>
      <c r="I25" s="278">
        <f>'[5]Degree Days 2018'!I25</f>
        <v>16</v>
      </c>
      <c r="J25" s="278">
        <f>'[1]Degree Days 2020'!J25</f>
        <v>18</v>
      </c>
      <c r="K25" s="278">
        <f>'[1]Degree Days 2020'!K25</f>
        <v>11</v>
      </c>
      <c r="L25" s="278">
        <f t="shared" si="2"/>
        <v>-3.8000000000000007</v>
      </c>
      <c r="M25" s="278">
        <f>'[1]Degree Days 2020'!M25</f>
        <v>16</v>
      </c>
      <c r="N25" s="278">
        <f>'[1]Degree Days 2020'!N25</f>
        <v>20</v>
      </c>
      <c r="O25" s="278">
        <f>'[1]Degree Days 2020'!O25</f>
        <v>15</v>
      </c>
      <c r="P25" s="278">
        <f t="shared" si="3"/>
        <v>-0.80000000000000071</v>
      </c>
      <c r="Q25" s="548">
        <v>16</v>
      </c>
      <c r="R25" s="278">
        <f>'[1]Degree Days 2020'!R25</f>
        <v>32</v>
      </c>
      <c r="S25" s="278">
        <f>'[1]Degree Days 2020'!S25</f>
        <v>24</v>
      </c>
      <c r="T25" s="278">
        <f t="shared" si="4"/>
        <v>9.6999999999999993</v>
      </c>
      <c r="U25" s="548">
        <v>16</v>
      </c>
      <c r="V25" s="278">
        <f>'[1]Degree Days 2020'!V25</f>
        <v>26</v>
      </c>
      <c r="W25" s="278">
        <f>'[1]Degree Days 2020'!W25</f>
        <v>21</v>
      </c>
      <c r="X25" s="278">
        <f t="shared" si="5"/>
        <v>5.1999999999999993</v>
      </c>
    </row>
    <row r="26" spans="1:28">
      <c r="A26" s="117">
        <v>17</v>
      </c>
      <c r="B26" s="278">
        <f>'[1]Degree Days 2020'!B26</f>
        <v>20</v>
      </c>
      <c r="C26" s="278">
        <f>'[1]Degree Days 2020'!C26</f>
        <v>13</v>
      </c>
      <c r="D26" s="278">
        <f t="shared" si="0"/>
        <v>-1.8000000000000007</v>
      </c>
      <c r="E26" s="278">
        <f>'[1]Degree Days 2020'!E26</f>
        <v>17</v>
      </c>
      <c r="F26" s="278">
        <f>'[1]Degree Days 2020'!F26</f>
        <v>16</v>
      </c>
      <c r="G26" s="278">
        <f>'[1]Degree Days 2020'!G26</f>
        <v>12</v>
      </c>
      <c r="H26" s="278">
        <f t="shared" si="1"/>
        <v>-4.3000000000000007</v>
      </c>
      <c r="I26" s="278">
        <f>'[5]Degree Days 2018'!I26</f>
        <v>17</v>
      </c>
      <c r="J26" s="278">
        <f>'[1]Degree Days 2020'!J26</f>
        <v>19</v>
      </c>
      <c r="K26" s="278">
        <f>'[1]Degree Days 2020'!K26</f>
        <v>12</v>
      </c>
      <c r="L26" s="278">
        <f t="shared" si="2"/>
        <v>-2.8000000000000007</v>
      </c>
      <c r="M26" s="278">
        <f>'[1]Degree Days 2020'!M26</f>
        <v>17</v>
      </c>
      <c r="N26" s="278">
        <f>'[1]Degree Days 2020'!N26</f>
        <v>22</v>
      </c>
      <c r="O26" s="278">
        <f>'[1]Degree Days 2020'!O26</f>
        <v>17</v>
      </c>
      <c r="P26" s="278">
        <f t="shared" si="3"/>
        <v>1.1999999999999993</v>
      </c>
      <c r="Q26" s="548">
        <v>17</v>
      </c>
      <c r="R26" s="278">
        <f>'[1]Degree Days 2020'!R26</f>
        <v>36</v>
      </c>
      <c r="S26" s="278">
        <f>'[1]Degree Days 2020'!S26</f>
        <v>26</v>
      </c>
      <c r="T26" s="278">
        <f t="shared" si="4"/>
        <v>12.7</v>
      </c>
      <c r="U26" s="548">
        <v>17</v>
      </c>
      <c r="V26" s="278">
        <f>'[1]Degree Days 2020'!V26</f>
        <v>27</v>
      </c>
      <c r="W26" s="278">
        <f>'[1]Degree Days 2020'!W26</f>
        <v>22</v>
      </c>
      <c r="X26" s="278">
        <f t="shared" si="5"/>
        <v>6.1999999999999993</v>
      </c>
    </row>
    <row r="27" spans="1:28">
      <c r="A27" s="117">
        <v>18</v>
      </c>
      <c r="B27" s="278">
        <f>'[1]Degree Days 2020'!B27</f>
        <v>14</v>
      </c>
      <c r="C27" s="278">
        <f>'[1]Degree Days 2020'!C27</f>
        <v>13</v>
      </c>
      <c r="D27" s="278">
        <f t="shared" si="0"/>
        <v>-4.8000000000000007</v>
      </c>
      <c r="E27" s="278">
        <f>'[1]Degree Days 2020'!E27</f>
        <v>18</v>
      </c>
      <c r="F27" s="278">
        <f>'[1]Degree Days 2020'!F27</f>
        <v>17</v>
      </c>
      <c r="G27" s="278">
        <f>'[1]Degree Days 2020'!G27</f>
        <v>11</v>
      </c>
      <c r="H27" s="278">
        <f t="shared" si="1"/>
        <v>-4.3000000000000007</v>
      </c>
      <c r="I27" s="278">
        <f>'[5]Degree Days 2018'!I27</f>
        <v>18</v>
      </c>
      <c r="J27" s="278">
        <f>'[1]Degree Days 2020'!J27</f>
        <v>15</v>
      </c>
      <c r="K27" s="278">
        <f>'[1]Degree Days 2020'!K27</f>
        <v>13</v>
      </c>
      <c r="L27" s="278">
        <f t="shared" si="2"/>
        <v>-4.3000000000000007</v>
      </c>
      <c r="M27" s="278">
        <f>'[1]Degree Days 2020'!M27</f>
        <v>18</v>
      </c>
      <c r="N27" s="278">
        <f>'[1]Degree Days 2020'!N27</f>
        <v>24</v>
      </c>
      <c r="O27" s="278">
        <f>'[1]Degree Days 2020'!O27</f>
        <v>17</v>
      </c>
      <c r="P27" s="278">
        <f t="shared" si="3"/>
        <v>2.1999999999999993</v>
      </c>
      <c r="Q27" s="548">
        <v>18</v>
      </c>
      <c r="R27" s="278">
        <f>'[1]Degree Days 2020'!R27</f>
        <v>32</v>
      </c>
      <c r="S27" s="278">
        <f>'[1]Degree Days 2020'!S27</f>
        <v>24</v>
      </c>
      <c r="T27" s="278">
        <f t="shared" si="4"/>
        <v>9.6999999999999993</v>
      </c>
      <c r="U27" s="548">
        <v>18</v>
      </c>
      <c r="V27" s="278">
        <f>'[1]Degree Days 2020'!V27</f>
        <v>27</v>
      </c>
      <c r="W27" s="278">
        <f>'[1]Degree Days 2020'!W27</f>
        <v>24</v>
      </c>
      <c r="X27" s="278">
        <f t="shared" si="5"/>
        <v>7.1999999999999993</v>
      </c>
    </row>
    <row r="28" spans="1:28">
      <c r="A28" s="117">
        <v>19</v>
      </c>
      <c r="B28" s="278">
        <f>'[1]Degree Days 2020'!B28</f>
        <v>15</v>
      </c>
      <c r="C28" s="278">
        <f>'[1]Degree Days 2020'!C28</f>
        <v>13</v>
      </c>
      <c r="D28" s="278">
        <f t="shared" si="0"/>
        <v>-4.3000000000000007</v>
      </c>
      <c r="E28" s="278">
        <f>'[1]Degree Days 2020'!E28</f>
        <v>19</v>
      </c>
      <c r="F28" s="278">
        <f>'[1]Degree Days 2020'!F28</f>
        <v>17</v>
      </c>
      <c r="G28" s="278">
        <f>'[1]Degree Days 2020'!G28</f>
        <v>14</v>
      </c>
      <c r="H28" s="278">
        <f t="shared" si="1"/>
        <v>-2.8000000000000007</v>
      </c>
      <c r="I28" s="278">
        <f>'[5]Degree Days 2018'!I28</f>
        <v>19</v>
      </c>
      <c r="J28" s="278">
        <f>'[1]Degree Days 2020'!J28</f>
        <v>17</v>
      </c>
      <c r="K28" s="278">
        <f>'[1]Degree Days 2020'!K28</f>
        <v>14</v>
      </c>
      <c r="L28" s="278">
        <f t="shared" si="2"/>
        <v>-2.8000000000000007</v>
      </c>
      <c r="M28" s="278">
        <f>'[1]Degree Days 2020'!M28</f>
        <v>19</v>
      </c>
      <c r="N28" s="278">
        <f>'[1]Degree Days 2020'!N28</f>
        <v>24</v>
      </c>
      <c r="O28" s="278">
        <f>'[1]Degree Days 2020'!O28</f>
        <v>17</v>
      </c>
      <c r="P28" s="278">
        <f t="shared" si="3"/>
        <v>2.1999999999999993</v>
      </c>
      <c r="Q28" s="548">
        <v>19</v>
      </c>
      <c r="R28" s="278">
        <f>'[1]Degree Days 2020'!R28</f>
        <v>34</v>
      </c>
      <c r="S28" s="278">
        <f>'[1]Degree Days 2020'!S28</f>
        <v>27</v>
      </c>
      <c r="T28" s="278">
        <f t="shared" si="4"/>
        <v>12.2</v>
      </c>
      <c r="U28" s="548">
        <v>19</v>
      </c>
      <c r="V28" s="278">
        <f>'[1]Degree Days 2020'!V28</f>
        <v>27</v>
      </c>
      <c r="W28" s="278">
        <f>'[1]Degree Days 2020'!W28</f>
        <v>24</v>
      </c>
      <c r="X28" s="278">
        <f t="shared" si="5"/>
        <v>7.1999999999999993</v>
      </c>
    </row>
    <row r="29" spans="1:28">
      <c r="A29" s="117">
        <v>20</v>
      </c>
      <c r="B29" s="278">
        <f>'[1]Degree Days 2020'!B29</f>
        <v>15</v>
      </c>
      <c r="C29" s="278">
        <f>'[1]Degree Days 2020'!C29</f>
        <v>10</v>
      </c>
      <c r="D29" s="278">
        <f t="shared" si="0"/>
        <v>-5.8000000000000007</v>
      </c>
      <c r="E29" s="278">
        <f>'[1]Degree Days 2020'!E29</f>
        <v>20</v>
      </c>
      <c r="F29" s="278">
        <f>'[1]Degree Days 2020'!F29</f>
        <v>17</v>
      </c>
      <c r="G29" s="278">
        <f>'[1]Degree Days 2020'!G29</f>
        <v>14</v>
      </c>
      <c r="H29" s="278">
        <f t="shared" si="1"/>
        <v>-2.8000000000000007</v>
      </c>
      <c r="I29" s="278">
        <f>'[5]Degree Days 2018'!I29</f>
        <v>20</v>
      </c>
      <c r="J29" s="278">
        <f>'[1]Degree Days 2020'!J29</f>
        <v>16</v>
      </c>
      <c r="K29" s="278">
        <f>'[1]Degree Days 2020'!K29</f>
        <v>13</v>
      </c>
      <c r="L29" s="278">
        <f t="shared" si="2"/>
        <v>-3.8000000000000007</v>
      </c>
      <c r="M29" s="278">
        <f>'[1]Degree Days 2020'!M29</f>
        <v>20</v>
      </c>
      <c r="N29" s="278">
        <f>'[1]Degree Days 2020'!N29</f>
        <v>23</v>
      </c>
      <c r="O29" s="278">
        <f>'[1]Degree Days 2020'!O29</f>
        <v>18</v>
      </c>
      <c r="P29" s="278">
        <f t="shared" si="3"/>
        <v>2.1999999999999993</v>
      </c>
      <c r="Q29" s="548">
        <v>20</v>
      </c>
      <c r="R29" s="278">
        <f>'[1]Degree Days 2020'!R29</f>
        <v>30</v>
      </c>
      <c r="S29" s="278">
        <f>'[1]Degree Days 2020'!S29</f>
        <v>22</v>
      </c>
      <c r="T29" s="278">
        <f t="shared" si="4"/>
        <v>7.6999999999999993</v>
      </c>
      <c r="U29" s="548">
        <v>20</v>
      </c>
      <c r="V29" s="278">
        <f>'[1]Degree Days 2020'!V29</f>
        <v>26</v>
      </c>
      <c r="W29" s="278">
        <f>'[1]Degree Days 2020'!W29</f>
        <v>23</v>
      </c>
      <c r="X29" s="278">
        <f t="shared" si="5"/>
        <v>6.1999999999999993</v>
      </c>
    </row>
    <row r="30" spans="1:28">
      <c r="A30" s="117">
        <v>21</v>
      </c>
      <c r="B30" s="278">
        <f>'[1]Degree Days 2020'!B30</f>
        <v>13</v>
      </c>
      <c r="C30" s="278">
        <f>'[1]Degree Days 2020'!C30</f>
        <v>9</v>
      </c>
      <c r="D30" s="278">
        <f t="shared" si="0"/>
        <v>-7.3000000000000007</v>
      </c>
      <c r="E30" s="278">
        <f>'[1]Degree Days 2020'!E30</f>
        <v>21</v>
      </c>
      <c r="F30" s="278">
        <f>'[1]Degree Days 2020'!F30</f>
        <v>16</v>
      </c>
      <c r="G30" s="278">
        <f>'[1]Degree Days 2020'!G30</f>
        <v>12</v>
      </c>
      <c r="H30" s="278">
        <f t="shared" si="1"/>
        <v>-4.3000000000000007</v>
      </c>
      <c r="I30" s="278">
        <f>'[5]Degree Days 2018'!I30</f>
        <v>21</v>
      </c>
      <c r="J30" s="278">
        <f>'[1]Degree Days 2020'!J30</f>
        <v>17</v>
      </c>
      <c r="K30" s="278">
        <f>'[1]Degree Days 2020'!K30</f>
        <v>14</v>
      </c>
      <c r="L30" s="278">
        <f t="shared" si="2"/>
        <v>-2.8000000000000007</v>
      </c>
      <c r="M30" s="278">
        <f>'[1]Degree Days 2020'!M30</f>
        <v>21</v>
      </c>
      <c r="N30" s="278">
        <f>'[1]Degree Days 2020'!N30</f>
        <v>24</v>
      </c>
      <c r="O30" s="278">
        <f>'[1]Degree Days 2020'!O30</f>
        <v>18</v>
      </c>
      <c r="P30" s="278">
        <f t="shared" si="3"/>
        <v>2.6999999999999993</v>
      </c>
      <c r="Q30" s="548">
        <v>21</v>
      </c>
      <c r="R30" s="278">
        <f>'[1]Degree Days 2020'!R30</f>
        <v>31</v>
      </c>
      <c r="S30" s="278">
        <f>'[1]Degree Days 2020'!S30</f>
        <v>23</v>
      </c>
      <c r="T30" s="278">
        <f t="shared" si="4"/>
        <v>8.6999999999999993</v>
      </c>
      <c r="U30" s="548">
        <v>21</v>
      </c>
      <c r="V30" s="278">
        <f>'[1]Degree Days 2020'!V30</f>
        <v>29</v>
      </c>
      <c r="W30" s="278">
        <f>'[1]Degree Days 2020'!W30</f>
        <v>21</v>
      </c>
      <c r="X30" s="278">
        <f t="shared" si="5"/>
        <v>6.6999999999999993</v>
      </c>
    </row>
    <row r="31" spans="1:28">
      <c r="A31" s="117">
        <v>22</v>
      </c>
      <c r="B31" s="278">
        <f>'[1]Degree Days 2020'!B31</f>
        <v>14</v>
      </c>
      <c r="C31" s="278">
        <f>'[1]Degree Days 2020'!C31</f>
        <v>10</v>
      </c>
      <c r="D31" s="278">
        <f t="shared" si="0"/>
        <v>-6.3000000000000007</v>
      </c>
      <c r="E31" s="278">
        <f>'[1]Degree Days 2020'!E31</f>
        <v>22</v>
      </c>
      <c r="F31" s="278">
        <f>'[1]Degree Days 2020'!F31</f>
        <v>17</v>
      </c>
      <c r="G31" s="278">
        <f>'[1]Degree Days 2020'!G31</f>
        <v>12</v>
      </c>
      <c r="H31" s="278">
        <f t="shared" si="1"/>
        <v>-3.8000000000000007</v>
      </c>
      <c r="I31" s="278">
        <f>'[5]Degree Days 2018'!I31</f>
        <v>22</v>
      </c>
      <c r="J31" s="278">
        <f>'[1]Degree Days 2020'!J31</f>
        <v>19</v>
      </c>
      <c r="K31" s="278">
        <f>'[1]Degree Days 2020'!K31</f>
        <v>14</v>
      </c>
      <c r="L31" s="278">
        <f t="shared" si="2"/>
        <v>-1.8000000000000007</v>
      </c>
      <c r="M31" s="278">
        <f>'[1]Degree Days 2020'!M31</f>
        <v>22</v>
      </c>
      <c r="N31" s="278">
        <f>'[1]Degree Days 2020'!N31</f>
        <v>25</v>
      </c>
      <c r="O31" s="278">
        <f>'[1]Degree Days 2020'!O31</f>
        <v>18</v>
      </c>
      <c r="P31" s="278">
        <f t="shared" si="3"/>
        <v>3.1999999999999993</v>
      </c>
      <c r="Q31" s="548">
        <v>22</v>
      </c>
      <c r="R31" s="278">
        <f>'[1]Degree Days 2020'!R31</f>
        <v>25</v>
      </c>
      <c r="S31" s="278">
        <f>'[1]Degree Days 2020'!S31</f>
        <v>16</v>
      </c>
      <c r="T31" s="278">
        <f t="shared" si="4"/>
        <v>2.1999999999999993</v>
      </c>
      <c r="U31" s="548">
        <v>22</v>
      </c>
      <c r="V31" s="278">
        <f>'[1]Degree Days 2020'!V31</f>
        <v>29</v>
      </c>
      <c r="W31" s="278">
        <f>'[1]Degree Days 2020'!W31</f>
        <v>22</v>
      </c>
      <c r="X31" s="278">
        <f t="shared" si="5"/>
        <v>7.1999999999999993</v>
      </c>
    </row>
    <row r="32" spans="1:28">
      <c r="A32" s="117">
        <v>23</v>
      </c>
      <c r="B32" s="278">
        <f>'[1]Degree Days 2020'!B32</f>
        <v>13</v>
      </c>
      <c r="C32" s="278">
        <f>'[1]Degree Days 2020'!C32</f>
        <v>7</v>
      </c>
      <c r="D32" s="278">
        <f t="shared" si="0"/>
        <v>-8.3000000000000007</v>
      </c>
      <c r="E32" s="278">
        <f>'[1]Degree Days 2020'!E32</f>
        <v>23</v>
      </c>
      <c r="F32" s="278">
        <f>'[1]Degree Days 2020'!F32</f>
        <v>16</v>
      </c>
      <c r="G32" s="278">
        <f>'[1]Degree Days 2020'!G32</f>
        <v>14</v>
      </c>
      <c r="H32" s="278">
        <f t="shared" si="1"/>
        <v>-3.3000000000000007</v>
      </c>
      <c r="I32" s="278">
        <f>'[5]Degree Days 2018'!I32</f>
        <v>23</v>
      </c>
      <c r="J32" s="278">
        <f>'[1]Degree Days 2020'!J32</f>
        <v>21</v>
      </c>
      <c r="K32" s="278">
        <f>'[1]Degree Days 2020'!K32</f>
        <v>14</v>
      </c>
      <c r="L32" s="278">
        <f t="shared" si="2"/>
        <v>-0.80000000000000071</v>
      </c>
      <c r="M32" s="278">
        <f>'[1]Degree Days 2020'!M32</f>
        <v>23</v>
      </c>
      <c r="N32" s="278">
        <f>'[1]Degree Days 2020'!N32</f>
        <v>23</v>
      </c>
      <c r="O32" s="278">
        <f>'[1]Degree Days 2020'!O32</f>
        <v>15</v>
      </c>
      <c r="P32" s="278">
        <f t="shared" si="3"/>
        <v>0.69999999999999929</v>
      </c>
      <c r="Q32" s="548">
        <v>23</v>
      </c>
      <c r="R32" s="278">
        <f>'[1]Degree Days 2020'!R32</f>
        <v>22</v>
      </c>
      <c r="S32" s="278">
        <f>'[1]Degree Days 2020'!S32</f>
        <v>19</v>
      </c>
      <c r="T32" s="278">
        <f t="shared" si="4"/>
        <v>2.1999999999999993</v>
      </c>
      <c r="U32" s="548">
        <v>23</v>
      </c>
      <c r="V32" s="278">
        <f>'[1]Degree Days 2020'!V32</f>
        <v>27</v>
      </c>
      <c r="W32" s="278">
        <f>'[1]Degree Days 2020'!W32</f>
        <v>23</v>
      </c>
      <c r="X32" s="278">
        <f t="shared" si="5"/>
        <v>6.6999999999999993</v>
      </c>
    </row>
    <row r="33" spans="1:24">
      <c r="A33" s="117">
        <v>24</v>
      </c>
      <c r="B33" s="278">
        <f>'[1]Degree Days 2020'!B33</f>
        <v>14</v>
      </c>
      <c r="C33" s="278">
        <f>'[1]Degree Days 2020'!C33</f>
        <v>8</v>
      </c>
      <c r="D33" s="278">
        <f t="shared" si="0"/>
        <v>-7.3000000000000007</v>
      </c>
      <c r="E33" s="278">
        <f>'[1]Degree Days 2020'!E33</f>
        <v>24</v>
      </c>
      <c r="F33" s="278">
        <f>'[1]Degree Days 2020'!F33</f>
        <v>17</v>
      </c>
      <c r="G33" s="278">
        <f>'[1]Degree Days 2020'!G33</f>
        <v>13</v>
      </c>
      <c r="H33" s="278">
        <f t="shared" si="1"/>
        <v>-3.3000000000000007</v>
      </c>
      <c r="I33" s="278">
        <f>'[5]Degree Days 2018'!I33</f>
        <v>24</v>
      </c>
      <c r="J33" s="278">
        <f>'[1]Degree Days 2020'!J33</f>
        <v>22</v>
      </c>
      <c r="K33" s="278">
        <f>'[1]Degree Days 2020'!K33</f>
        <v>15</v>
      </c>
      <c r="L33" s="278">
        <f t="shared" si="2"/>
        <v>0.19999999999999929</v>
      </c>
      <c r="M33" s="278">
        <f>'[1]Degree Days 2020'!M33</f>
        <v>24</v>
      </c>
      <c r="N33" s="278">
        <f>'[1]Degree Days 2020'!N33</f>
        <v>23</v>
      </c>
      <c r="O33" s="278">
        <f>'[1]Degree Days 2020'!O33</f>
        <v>16</v>
      </c>
      <c r="P33" s="278">
        <f t="shared" si="3"/>
        <v>1.1999999999999993</v>
      </c>
      <c r="Q33" s="548">
        <v>24</v>
      </c>
      <c r="R33" s="278">
        <f>'[1]Degree Days 2020'!R33</f>
        <v>24</v>
      </c>
      <c r="S33" s="278">
        <f>'[1]Degree Days 2020'!S33</f>
        <v>16</v>
      </c>
      <c r="T33" s="278">
        <f t="shared" si="4"/>
        <v>1.6999999999999993</v>
      </c>
      <c r="U33" s="548">
        <v>24</v>
      </c>
      <c r="V33" s="278">
        <f>'[1]Degree Days 2020'!V33</f>
        <v>27</v>
      </c>
      <c r="W33" s="278">
        <f>'[1]Degree Days 2020'!W33</f>
        <v>23</v>
      </c>
      <c r="X33" s="278">
        <f t="shared" si="5"/>
        <v>6.6999999999999993</v>
      </c>
    </row>
    <row r="34" spans="1:24">
      <c r="A34" s="117">
        <v>25</v>
      </c>
      <c r="B34" s="278">
        <f>'[1]Degree Days 2020'!B34</f>
        <v>16</v>
      </c>
      <c r="C34" s="278">
        <f>'[1]Degree Days 2020'!C34</f>
        <v>10</v>
      </c>
      <c r="D34" s="278">
        <f t="shared" si="0"/>
        <v>-5.3000000000000007</v>
      </c>
      <c r="E34" s="278">
        <f>'[1]Degree Days 2020'!E34</f>
        <v>25</v>
      </c>
      <c r="F34" s="278">
        <f>'[1]Degree Days 2020'!F34</f>
        <v>17</v>
      </c>
      <c r="G34" s="278">
        <f>'[1]Degree Days 2020'!G34</f>
        <v>13</v>
      </c>
      <c r="H34" s="278">
        <f t="shared" si="1"/>
        <v>-3.3000000000000007</v>
      </c>
      <c r="I34" s="278">
        <f>'[5]Degree Days 2018'!I34</f>
        <v>25</v>
      </c>
      <c r="J34" s="278">
        <f>'[1]Degree Days 2020'!J34</f>
        <v>21</v>
      </c>
      <c r="K34" s="278">
        <f>'[1]Degree Days 2020'!K34</f>
        <v>15</v>
      </c>
      <c r="L34" s="278">
        <f t="shared" si="2"/>
        <v>-0.30000000000000071</v>
      </c>
      <c r="M34" s="278">
        <f>'[1]Degree Days 2020'!M34</f>
        <v>25</v>
      </c>
      <c r="N34" s="278">
        <f>'[1]Degree Days 2020'!N34</f>
        <v>22</v>
      </c>
      <c r="O34" s="278">
        <f>'[1]Degree Days 2020'!O34</f>
        <v>14</v>
      </c>
      <c r="P34" s="278">
        <f t="shared" si="3"/>
        <v>-0.30000000000000071</v>
      </c>
      <c r="Q34" s="548">
        <v>25</v>
      </c>
      <c r="R34" s="278">
        <f>'[1]Degree Days 2020'!R34</f>
        <v>24</v>
      </c>
      <c r="S34" s="278">
        <f>'[1]Degree Days 2020'!S34</f>
        <v>18</v>
      </c>
      <c r="T34" s="278">
        <f t="shared" si="4"/>
        <v>2.6999999999999993</v>
      </c>
      <c r="U34" s="548">
        <v>25</v>
      </c>
      <c r="V34" s="278">
        <f>'[1]Degree Days 2020'!V34</f>
        <v>33</v>
      </c>
      <c r="W34" s="278">
        <f>'[1]Degree Days 2020'!W34</f>
        <v>27</v>
      </c>
      <c r="X34" s="278">
        <f t="shared" si="5"/>
        <v>11.7</v>
      </c>
    </row>
    <row r="35" spans="1:24">
      <c r="A35" s="117">
        <v>26</v>
      </c>
      <c r="B35" s="278">
        <f>'[1]Degree Days 2020'!B35</f>
        <v>15</v>
      </c>
      <c r="C35" s="278">
        <f>'[1]Degree Days 2020'!C35</f>
        <v>9</v>
      </c>
      <c r="D35" s="278">
        <f t="shared" si="0"/>
        <v>-6.3000000000000007</v>
      </c>
      <c r="E35" s="278">
        <f>'[1]Degree Days 2020'!E35</f>
        <v>26</v>
      </c>
      <c r="F35" s="278">
        <f>'[1]Degree Days 2020'!F35</f>
        <v>18</v>
      </c>
      <c r="G35" s="278">
        <f>'[1]Degree Days 2020'!G35</f>
        <v>14</v>
      </c>
      <c r="H35" s="278">
        <f t="shared" si="1"/>
        <v>-2.3000000000000007</v>
      </c>
      <c r="I35" s="278">
        <f>'[5]Degree Days 2018'!I35</f>
        <v>26</v>
      </c>
      <c r="J35" s="278">
        <f>'[1]Degree Days 2020'!J35</f>
        <v>21</v>
      </c>
      <c r="K35" s="278">
        <f>'[1]Degree Days 2020'!K35</f>
        <v>15</v>
      </c>
      <c r="L35" s="278">
        <f t="shared" si="2"/>
        <v>-0.30000000000000071</v>
      </c>
      <c r="M35" s="278">
        <f>'[1]Degree Days 2020'!M35</f>
        <v>26</v>
      </c>
      <c r="N35" s="278">
        <f>'[1]Degree Days 2020'!N35</f>
        <v>21</v>
      </c>
      <c r="O35" s="278">
        <f>'[1]Degree Days 2020'!O35</f>
        <v>17</v>
      </c>
      <c r="P35" s="278">
        <f t="shared" si="3"/>
        <v>0.69999999999999929</v>
      </c>
      <c r="Q35" s="548">
        <v>26</v>
      </c>
      <c r="R35" s="278">
        <f>'[1]Degree Days 2020'!R35</f>
        <v>25</v>
      </c>
      <c r="S35" s="278">
        <f>'[1]Degree Days 2020'!S35</f>
        <v>20</v>
      </c>
      <c r="T35" s="278">
        <f t="shared" si="4"/>
        <v>4.1999999999999993</v>
      </c>
      <c r="U35" s="548">
        <v>26</v>
      </c>
      <c r="V35" s="278">
        <f>'[1]Degree Days 2020'!V35</f>
        <v>28</v>
      </c>
      <c r="W35" s="278">
        <f>'[1]Degree Days 2020'!W35</f>
        <v>24</v>
      </c>
      <c r="X35" s="278">
        <f t="shared" si="5"/>
        <v>7.6999999999999993</v>
      </c>
    </row>
    <row r="36" spans="1:24">
      <c r="A36" s="117">
        <v>27</v>
      </c>
      <c r="B36" s="278">
        <f>'[1]Degree Days 2020'!B36</f>
        <v>17</v>
      </c>
      <c r="C36" s="278">
        <f>'[1]Degree Days 2020'!C36</f>
        <v>11</v>
      </c>
      <c r="D36" s="278">
        <f t="shared" si="0"/>
        <v>-4.3000000000000007</v>
      </c>
      <c r="E36" s="278">
        <f>'[1]Degree Days 2020'!E36</f>
        <v>27</v>
      </c>
      <c r="F36" s="278">
        <f>'[1]Degree Days 2020'!F36</f>
        <v>19</v>
      </c>
      <c r="G36" s="278">
        <f>'[1]Degree Days 2020'!G36</f>
        <v>13</v>
      </c>
      <c r="H36" s="278">
        <f t="shared" si="1"/>
        <v>-2.3000000000000007</v>
      </c>
      <c r="I36" s="278">
        <f>'[5]Degree Days 2018'!I36</f>
        <v>27</v>
      </c>
      <c r="J36" s="278">
        <f>'[1]Degree Days 2020'!J36</f>
        <v>18</v>
      </c>
      <c r="K36" s="278">
        <f>'[1]Degree Days 2020'!K36</f>
        <v>13</v>
      </c>
      <c r="L36" s="278">
        <f t="shared" si="2"/>
        <v>-2.8000000000000007</v>
      </c>
      <c r="M36" s="278">
        <f>'[1]Degree Days 2020'!M36</f>
        <v>27</v>
      </c>
      <c r="N36" s="278">
        <f>'[1]Degree Days 2020'!N36</f>
        <v>20</v>
      </c>
      <c r="O36" s="278">
        <f>'[1]Degree Days 2020'!O36</f>
        <v>16</v>
      </c>
      <c r="P36" s="278">
        <f t="shared" si="3"/>
        <v>-0.30000000000000071</v>
      </c>
      <c r="Q36" s="548">
        <v>27</v>
      </c>
      <c r="R36" s="278">
        <f>'[1]Degree Days 2020'!R36</f>
        <v>27</v>
      </c>
      <c r="S36" s="278">
        <f>'[1]Degree Days 2020'!S36</f>
        <v>19</v>
      </c>
      <c r="T36" s="278">
        <f t="shared" si="4"/>
        <v>4.6999999999999993</v>
      </c>
      <c r="U36" s="548">
        <v>27</v>
      </c>
      <c r="V36" s="278">
        <f>'[1]Degree Days 2020'!V36</f>
        <v>29</v>
      </c>
      <c r="W36" s="278">
        <f>'[1]Degree Days 2020'!W36</f>
        <v>25</v>
      </c>
      <c r="X36" s="278">
        <f t="shared" si="5"/>
        <v>8.6999999999999993</v>
      </c>
    </row>
    <row r="37" spans="1:24">
      <c r="A37" s="117">
        <v>28</v>
      </c>
      <c r="B37" s="278">
        <f>'[1]Degree Days 2020'!B37</f>
        <v>16</v>
      </c>
      <c r="C37" s="278">
        <f>'[1]Degree Days 2020'!C37</f>
        <v>10</v>
      </c>
      <c r="D37" s="278">
        <f t="shared" si="0"/>
        <v>-5.3000000000000007</v>
      </c>
      <c r="E37" s="278">
        <f>'[1]Degree Days 2020'!E37</f>
        <v>28</v>
      </c>
      <c r="F37" s="278">
        <f>'[1]Degree Days 2020'!F37</f>
        <v>19</v>
      </c>
      <c r="G37" s="278">
        <f>'[1]Degree Days 2020'!G37</f>
        <v>14</v>
      </c>
      <c r="H37" s="278">
        <f t="shared" si="1"/>
        <v>-1.8000000000000007</v>
      </c>
      <c r="I37" s="278">
        <f>'[5]Degree Days 2018'!I37</f>
        <v>28</v>
      </c>
      <c r="J37" s="278">
        <f>'[1]Degree Days 2020'!J37</f>
        <v>17</v>
      </c>
      <c r="K37" s="278">
        <f>'[1]Degree Days 2020'!K37</f>
        <v>13</v>
      </c>
      <c r="L37" s="278">
        <f t="shared" si="2"/>
        <v>-3.3000000000000007</v>
      </c>
      <c r="M37" s="278">
        <f>'[1]Degree Days 2020'!M37</f>
        <v>28</v>
      </c>
      <c r="N37" s="278">
        <f>'[1]Degree Days 2020'!N37</f>
        <v>21</v>
      </c>
      <c r="O37" s="278">
        <f>'[1]Degree Days 2020'!O37</f>
        <v>16</v>
      </c>
      <c r="P37" s="278">
        <f t="shared" si="3"/>
        <v>0.19999999999999929</v>
      </c>
      <c r="Q37" s="548">
        <v>28</v>
      </c>
      <c r="R37" s="278">
        <f>'[1]Degree Days 2020'!R37</f>
        <v>27</v>
      </c>
      <c r="S37" s="278">
        <f>'[1]Degree Days 2020'!S37</f>
        <v>19</v>
      </c>
      <c r="T37" s="278">
        <f t="shared" si="4"/>
        <v>4.6999999999999993</v>
      </c>
      <c r="U37" s="548">
        <v>28</v>
      </c>
      <c r="V37" s="278">
        <f>'[1]Degree Days 2020'!V37</f>
        <v>30</v>
      </c>
      <c r="W37" s="278">
        <f>'[1]Degree Days 2020'!W37</f>
        <v>26</v>
      </c>
      <c r="X37" s="278">
        <f t="shared" si="5"/>
        <v>9.6999999999999993</v>
      </c>
    </row>
    <row r="38" spans="1:24">
      <c r="A38" s="117">
        <v>29</v>
      </c>
      <c r="B38" s="278">
        <f>'[1]Degree Days 2020'!B38</f>
        <v>16</v>
      </c>
      <c r="C38" s="278">
        <f>'[1]Degree Days 2020'!C38</f>
        <v>10</v>
      </c>
      <c r="D38" s="278">
        <f t="shared" si="0"/>
        <v>-5.3000000000000007</v>
      </c>
      <c r="E38" s="278">
        <f>'[1]Degree Days 2020'!E38</f>
        <v>29</v>
      </c>
      <c r="F38" s="278">
        <f>'[1]Degree Days 2020'!F38</f>
        <v>18</v>
      </c>
      <c r="G38" s="278">
        <f>'[1]Degree Days 2020'!G38</f>
        <v>13</v>
      </c>
      <c r="H38" s="278">
        <f t="shared" si="1"/>
        <v>-2.8000000000000007</v>
      </c>
      <c r="I38" s="278">
        <f>'[5]Degree Days 2018'!I38</f>
        <v>29</v>
      </c>
      <c r="J38" s="278">
        <f>'[1]Degree Days 2020'!J38</f>
        <v>20</v>
      </c>
      <c r="K38" s="278">
        <f>'[1]Degree Days 2020'!K38</f>
        <v>16</v>
      </c>
      <c r="L38" s="278">
        <f t="shared" si="2"/>
        <v>-0.30000000000000071</v>
      </c>
      <c r="M38" s="278">
        <f>'[1]Degree Days 2020'!M38</f>
        <v>29</v>
      </c>
      <c r="N38" s="278">
        <f>'[1]Degree Days 2020'!N38</f>
        <v>21</v>
      </c>
      <c r="O38" s="278">
        <f>'[1]Degree Days 2020'!O38</f>
        <v>17</v>
      </c>
      <c r="P38" s="278">
        <f t="shared" si="3"/>
        <v>0.69999999999999929</v>
      </c>
      <c r="Q38" s="548">
        <v>29</v>
      </c>
      <c r="R38" s="278">
        <f>'[1]Degree Days 2020'!R38</f>
        <v>23</v>
      </c>
      <c r="S38" s="278">
        <f>'[1]Degree Days 2020'!S38</f>
        <v>14</v>
      </c>
      <c r="T38" s="278">
        <f t="shared" si="4"/>
        <v>0.19999999999999929</v>
      </c>
      <c r="U38" s="548">
        <v>29</v>
      </c>
      <c r="V38" s="278">
        <f>'[1]Degree Days 2020'!V38</f>
        <v>28</v>
      </c>
      <c r="W38" s="278">
        <f>'[1]Degree Days 2020'!W38</f>
        <v>24</v>
      </c>
      <c r="X38" s="278">
        <f t="shared" si="5"/>
        <v>7.6999999999999993</v>
      </c>
    </row>
    <row r="39" spans="1:24">
      <c r="A39" s="117">
        <v>30</v>
      </c>
      <c r="B39" s="278">
        <f>'[1]Degree Days 2020'!B39</f>
        <v>16</v>
      </c>
      <c r="C39" s="278">
        <f>'[1]Degree Days 2020'!C39</f>
        <v>11</v>
      </c>
      <c r="D39" s="278">
        <f t="shared" si="0"/>
        <v>-4.8000000000000007</v>
      </c>
      <c r="E39" s="278">
        <f>'[1]Degree Days 2020'!E39</f>
        <v>0</v>
      </c>
      <c r="F39" s="278">
        <f>'[1]Degree Days 2020'!F39</f>
        <v>0</v>
      </c>
      <c r="G39" s="278">
        <f>'[1]Degree Days 2020'!G39</f>
        <v>0</v>
      </c>
      <c r="H39" s="278">
        <f t="shared" si="1"/>
        <v>-18.3</v>
      </c>
      <c r="I39" s="278">
        <f>'[5]Degree Days 2018'!I39</f>
        <v>30</v>
      </c>
      <c r="J39" s="278">
        <f>'[1]Degree Days 2020'!J39</f>
        <v>20</v>
      </c>
      <c r="K39" s="278">
        <f>'[1]Degree Days 2020'!K39</f>
        <v>17</v>
      </c>
      <c r="L39" s="278">
        <f t="shared" si="2"/>
        <v>0.19999999999999929</v>
      </c>
      <c r="M39" s="278">
        <f>'[1]Degree Days 2020'!M39</f>
        <v>30</v>
      </c>
      <c r="N39" s="278">
        <f>'[1]Degree Days 2020'!N39</f>
        <v>0</v>
      </c>
      <c r="O39" s="278">
        <f>'[1]Degree Days 2020'!O39</f>
        <v>0</v>
      </c>
      <c r="P39" s="278">
        <f t="shared" si="3"/>
        <v>-18.3</v>
      </c>
      <c r="Q39" s="548">
        <v>30</v>
      </c>
      <c r="R39" s="278">
        <f>'[1]Degree Days 2020'!R39</f>
        <v>23</v>
      </c>
      <c r="S39" s="278">
        <f>'[1]Degree Days 2020'!S39</f>
        <v>17</v>
      </c>
      <c r="T39" s="278">
        <f t="shared" si="4"/>
        <v>1.6999999999999993</v>
      </c>
      <c r="U39" s="548">
        <v>30</v>
      </c>
      <c r="V39" s="278">
        <f>'[1]Degree Days 2020'!V39</f>
        <v>30</v>
      </c>
      <c r="W39" s="278">
        <f>'[1]Degree Days 2020'!W39</f>
        <v>22</v>
      </c>
      <c r="X39" s="278">
        <f t="shared" si="5"/>
        <v>7.6999999999999993</v>
      </c>
    </row>
    <row r="40" spans="1:24">
      <c r="A40" s="120">
        <v>31</v>
      </c>
      <c r="B40" s="278">
        <f>'[1]Degree Days 2020'!B40</f>
        <v>17</v>
      </c>
      <c r="C40" s="278">
        <f>'[1]Degree Days 2020'!C40</f>
        <v>13</v>
      </c>
      <c r="D40" s="278">
        <f t="shared" si="0"/>
        <v>-3.3000000000000007</v>
      </c>
      <c r="E40" s="278">
        <f>'[1]Degree Days 2020'!E40</f>
        <v>0</v>
      </c>
      <c r="F40" s="278">
        <f>'[1]Degree Days 2020'!F40</f>
        <v>0</v>
      </c>
      <c r="G40" s="278">
        <f>'[1]Degree Days 2020'!G40</f>
        <v>0</v>
      </c>
      <c r="H40" s="278">
        <f t="shared" si="1"/>
        <v>-18.3</v>
      </c>
      <c r="I40" s="278">
        <f>'[5]Degree Days 2018'!I40</f>
        <v>31</v>
      </c>
      <c r="J40" s="278">
        <f>'[1]Degree Days 2020'!J40</f>
        <v>30</v>
      </c>
      <c r="K40" s="278">
        <f>'[1]Degree Days 2020'!K40</f>
        <v>18</v>
      </c>
      <c r="L40" s="278">
        <f t="shared" si="2"/>
        <v>5.6999999999999993</v>
      </c>
      <c r="M40" s="278">
        <f>'[1]Degree Days 2020'!M40</f>
        <v>0</v>
      </c>
      <c r="N40" s="278">
        <f>'[1]Degree Days 2020'!N40</f>
        <v>0</v>
      </c>
      <c r="O40" s="278">
        <f>'[1]Degree Days 2020'!O40</f>
        <v>0</v>
      </c>
      <c r="P40" s="278">
        <f t="shared" si="3"/>
        <v>-18.3</v>
      </c>
      <c r="Q40" s="548">
        <v>31</v>
      </c>
      <c r="R40" s="278">
        <f>'[1]Degree Days 2020'!R40</f>
        <v>24</v>
      </c>
      <c r="S40" s="278">
        <f>'[1]Degree Days 2020'!S40</f>
        <v>19</v>
      </c>
      <c r="T40" s="278">
        <f t="shared" si="4"/>
        <v>3.1999999999999993</v>
      </c>
      <c r="U40" s="278"/>
      <c r="V40" s="278">
        <f>'[1]Degree Days 2020'!V40</f>
        <v>0</v>
      </c>
      <c r="W40" s="278">
        <f>'[1]Degree Days 2020'!W40</f>
        <v>0</v>
      </c>
      <c r="X40" s="278">
        <f t="shared" si="5"/>
        <v>-18.3</v>
      </c>
    </row>
    <row r="41" spans="1:24">
      <c r="A41" s="123"/>
      <c r="B41" s="124"/>
      <c r="C41" s="124"/>
      <c r="D41" s="121"/>
      <c r="E41" s="123"/>
      <c r="F41" s="124"/>
      <c r="G41" s="124"/>
      <c r="H41" s="121"/>
      <c r="I41" s="123"/>
      <c r="J41" s="124"/>
      <c r="K41" s="124"/>
      <c r="L41" s="121"/>
      <c r="M41" s="123"/>
      <c r="N41" s="124"/>
      <c r="O41" s="124"/>
      <c r="P41" s="121"/>
      <c r="Q41" s="123"/>
      <c r="R41" s="124"/>
      <c r="S41" s="124"/>
      <c r="T41" s="121"/>
      <c r="U41" s="123"/>
      <c r="V41" s="124"/>
      <c r="W41" s="124"/>
      <c r="X41" s="121"/>
    </row>
    <row r="42" spans="1:24" s="128" customFormat="1" ht="21">
      <c r="A42" s="125"/>
      <c r="B42" s="126" t="s">
        <v>174</v>
      </c>
      <c r="C42" s="126" t="s">
        <v>175</v>
      </c>
      <c r="D42" s="127"/>
      <c r="E42" s="125"/>
      <c r="F42" s="126" t="s">
        <v>174</v>
      </c>
      <c r="G42" s="126" t="s">
        <v>175</v>
      </c>
      <c r="H42" s="127"/>
      <c r="I42" s="125"/>
      <c r="J42" s="126" t="s">
        <v>174</v>
      </c>
      <c r="K42" s="126" t="s">
        <v>175</v>
      </c>
      <c r="L42" s="127"/>
      <c r="M42" s="125"/>
      <c r="N42" s="126" t="s">
        <v>174</v>
      </c>
      <c r="O42" s="126" t="s">
        <v>175</v>
      </c>
      <c r="P42" s="127"/>
      <c r="Q42" s="125"/>
      <c r="R42" s="126" t="s">
        <v>174</v>
      </c>
      <c r="S42" s="126" t="s">
        <v>175</v>
      </c>
      <c r="T42" s="127"/>
      <c r="U42" s="125"/>
      <c r="V42" s="126" t="s">
        <v>174</v>
      </c>
      <c r="W42" s="126" t="s">
        <v>175</v>
      </c>
      <c r="X42" s="127"/>
    </row>
    <row r="43" spans="1:24">
      <c r="A43" s="129"/>
      <c r="B43" s="119">
        <f>SUMIF(D10:D40,"&lt;0")</f>
        <v>-148.80000000000001</v>
      </c>
      <c r="C43" s="119">
        <f>SUMIF(D10:D40,"&gt;0")</f>
        <v>0</v>
      </c>
      <c r="D43" s="130"/>
      <c r="E43" s="129"/>
      <c r="F43" s="119">
        <f>SUMIF(H10:H40,"&lt;0")</f>
        <v>-153.49999999999997</v>
      </c>
      <c r="G43" s="119">
        <f>SUMIF(H10:H40,"&gt;0")</f>
        <v>0.69999999999999929</v>
      </c>
      <c r="H43" s="130"/>
      <c r="I43" s="129"/>
      <c r="J43" s="119">
        <f>SUMIF(L10:L40,"&lt;0")</f>
        <v>-61.799999999999983</v>
      </c>
      <c r="K43" s="119">
        <f>SUMIF(L10:L40,"&gt;0")</f>
        <v>11.499999999999996</v>
      </c>
      <c r="L43" s="130"/>
      <c r="M43" s="129"/>
      <c r="N43" s="119">
        <f>SUMIF(P10:P40,"&lt;0")</f>
        <v>-54.600000000000009</v>
      </c>
      <c r="O43" s="119">
        <f>SUMIF(P10:P40,"&gt;0")</f>
        <v>25.29999999999999</v>
      </c>
      <c r="P43" s="130"/>
      <c r="Q43" s="129"/>
      <c r="R43" s="119">
        <f>SUMIF(T10:T40,"&lt;0")</f>
        <v>-0.80000000000000071</v>
      </c>
      <c r="S43" s="119">
        <f>SUMIF(T10:T40,"&gt;0")</f>
        <v>131.50000000000003</v>
      </c>
      <c r="T43" s="130"/>
      <c r="U43" s="129"/>
      <c r="V43" s="119">
        <f>SUMIF(X10:X40,"&lt;0")</f>
        <v>-18.3</v>
      </c>
      <c r="W43" s="119">
        <f>SUMIF(X10:X40,"&gt;0")</f>
        <v>182.99999999999997</v>
      </c>
      <c r="X43" s="130"/>
    </row>
    <row r="44" spans="1:24">
      <c r="A44" s="131"/>
      <c r="B44" s="132"/>
      <c r="C44" s="132"/>
      <c r="D44" s="133"/>
      <c r="E44" s="131"/>
      <c r="F44" s="132"/>
      <c r="G44" s="132"/>
      <c r="H44" s="133"/>
      <c r="I44" s="131"/>
      <c r="J44" s="132"/>
      <c r="K44" s="132"/>
      <c r="L44" s="133"/>
      <c r="M44" s="131"/>
      <c r="N44" s="132"/>
      <c r="O44" s="132"/>
      <c r="P44" s="133"/>
      <c r="Q44" s="131"/>
      <c r="R44" s="132"/>
      <c r="S44" s="132"/>
      <c r="T44" s="133"/>
      <c r="U44" s="131"/>
      <c r="V44" s="132"/>
      <c r="W44" s="132"/>
      <c r="X44" s="133"/>
    </row>
    <row r="45" spans="1:24">
      <c r="D45" s="134"/>
      <c r="H45" s="134"/>
      <c r="L45" s="134"/>
      <c r="P45" s="134"/>
      <c r="T45" s="134"/>
      <c r="X45" s="134"/>
    </row>
    <row r="46" spans="1:24" ht="15.75">
      <c r="A46" s="105"/>
      <c r="B46" s="106"/>
      <c r="C46" s="107"/>
      <c r="D46" s="135"/>
      <c r="E46" s="105"/>
      <c r="F46" s="106"/>
      <c r="G46" s="107"/>
      <c r="H46" s="135"/>
      <c r="I46" s="105"/>
      <c r="J46" s="109"/>
      <c r="K46" s="106"/>
      <c r="L46" s="136"/>
      <c r="M46" s="105"/>
      <c r="N46" s="106"/>
      <c r="O46" s="107"/>
      <c r="P46" s="135"/>
      <c r="Q46" s="111"/>
      <c r="R46" s="109"/>
      <c r="S46" s="106"/>
      <c r="T46" s="136"/>
      <c r="U46" s="111"/>
      <c r="V46" s="109"/>
      <c r="W46" s="106"/>
      <c r="X46" s="136"/>
    </row>
    <row r="47" spans="1:24" ht="22.5">
      <c r="A47" s="137" t="s">
        <v>176</v>
      </c>
      <c r="B47" s="113" t="s">
        <v>166</v>
      </c>
      <c r="C47" s="113" t="s">
        <v>167</v>
      </c>
      <c r="D47" s="138" t="s">
        <v>168</v>
      </c>
      <c r="E47" s="137" t="s">
        <v>177</v>
      </c>
      <c r="F47" s="113" t="s">
        <v>166</v>
      </c>
      <c r="G47" s="113" t="s">
        <v>167</v>
      </c>
      <c r="H47" s="138" t="s">
        <v>168</v>
      </c>
      <c r="I47" s="137" t="s">
        <v>178</v>
      </c>
      <c r="J47" s="113" t="s">
        <v>166</v>
      </c>
      <c r="K47" s="113" t="s">
        <v>167</v>
      </c>
      <c r="L47" s="138" t="s">
        <v>168</v>
      </c>
      <c r="M47" s="137" t="s">
        <v>179</v>
      </c>
      <c r="N47" s="113" t="s">
        <v>166</v>
      </c>
      <c r="O47" s="113" t="s">
        <v>167</v>
      </c>
      <c r="P47" s="138" t="s">
        <v>168</v>
      </c>
      <c r="Q47" s="137" t="s">
        <v>180</v>
      </c>
      <c r="R47" s="113" t="s">
        <v>166</v>
      </c>
      <c r="S47" s="113" t="s">
        <v>167</v>
      </c>
      <c r="T47" s="138" t="s">
        <v>168</v>
      </c>
      <c r="U47" s="137" t="s">
        <v>181</v>
      </c>
      <c r="V47" s="113" t="s">
        <v>166</v>
      </c>
      <c r="W47" s="113" t="s">
        <v>167</v>
      </c>
      <c r="X47" s="138" t="s">
        <v>168</v>
      </c>
    </row>
    <row r="48" spans="1:24">
      <c r="A48" s="117">
        <v>1</v>
      </c>
      <c r="B48" s="278">
        <f>'General information '!B6</f>
        <v>28</v>
      </c>
      <c r="C48" s="278">
        <f>'General information '!C6</f>
        <v>24</v>
      </c>
      <c r="D48" s="119">
        <f t="shared" ref="D48:D56" si="8">(B48+C48)/2-18.3</f>
        <v>7.6999999999999993</v>
      </c>
      <c r="E48" s="117">
        <v>1</v>
      </c>
      <c r="F48" s="278"/>
      <c r="G48" s="278"/>
      <c r="H48" s="119">
        <f t="shared" ref="H48:H78" si="9">(F48+G48)/2-18.3</f>
        <v>-18.3</v>
      </c>
      <c r="I48" s="117">
        <v>1</v>
      </c>
      <c r="J48" s="278"/>
      <c r="K48" s="278"/>
      <c r="L48" s="119">
        <f>(J48+K48)/2-18.3</f>
        <v>-18.3</v>
      </c>
      <c r="M48" s="117">
        <v>1</v>
      </c>
      <c r="N48" s="278"/>
      <c r="O48" s="278"/>
      <c r="P48" s="119">
        <f>(N48+O48)/2-18.3</f>
        <v>-18.3</v>
      </c>
      <c r="Q48" s="117">
        <v>1</v>
      </c>
      <c r="R48" s="278"/>
      <c r="S48" s="278"/>
      <c r="T48" s="119">
        <f>(R48+S48)/2-18.3</f>
        <v>-18.3</v>
      </c>
      <c r="U48" s="117">
        <v>1</v>
      </c>
      <c r="V48" s="278"/>
      <c r="W48" s="278"/>
      <c r="X48" s="119">
        <f t="shared" ref="X48:X77" si="10">(V48+W48)/2-18.3</f>
        <v>-18.3</v>
      </c>
    </row>
    <row r="49" spans="1:24">
      <c r="A49" s="117">
        <v>2</v>
      </c>
      <c r="B49" s="278">
        <f>'General information '!B7</f>
        <v>29</v>
      </c>
      <c r="C49" s="278">
        <f>'General information '!C7</f>
        <v>23</v>
      </c>
      <c r="D49" s="119">
        <f t="shared" si="8"/>
        <v>7.6999999999999993</v>
      </c>
      <c r="E49" s="117">
        <v>2</v>
      </c>
      <c r="F49" s="278"/>
      <c r="G49" s="278"/>
      <c r="H49" s="119">
        <f t="shared" si="9"/>
        <v>-18.3</v>
      </c>
      <c r="I49" s="117">
        <v>2</v>
      </c>
      <c r="J49" s="278"/>
      <c r="K49" s="278"/>
      <c r="L49" s="119">
        <f t="shared" ref="L49:L77" si="11">(J49+K49)/2-18.3</f>
        <v>-18.3</v>
      </c>
      <c r="M49" s="117">
        <v>2</v>
      </c>
      <c r="N49" s="278"/>
      <c r="O49" s="278"/>
      <c r="P49" s="119">
        <f t="shared" ref="P49:P78" si="12">(N49+O49)/2-18.3</f>
        <v>-18.3</v>
      </c>
      <c r="Q49" s="117">
        <v>2</v>
      </c>
      <c r="R49" s="278"/>
      <c r="S49" s="278"/>
      <c r="T49" s="119">
        <f t="shared" ref="T49:T77" si="13">(R49+S49)/2-18.3</f>
        <v>-18.3</v>
      </c>
      <c r="U49" s="117">
        <v>2</v>
      </c>
      <c r="V49" s="278"/>
      <c r="W49" s="278"/>
      <c r="X49" s="119">
        <f t="shared" si="10"/>
        <v>-18.3</v>
      </c>
    </row>
    <row r="50" spans="1:24">
      <c r="A50" s="117">
        <v>3</v>
      </c>
      <c r="B50" s="278">
        <f>'General information '!B8</f>
        <v>29</v>
      </c>
      <c r="C50" s="278">
        <f>'General information '!C8</f>
        <v>24</v>
      </c>
      <c r="D50" s="119">
        <f t="shared" si="8"/>
        <v>8.1999999999999993</v>
      </c>
      <c r="E50" s="117">
        <v>3</v>
      </c>
      <c r="F50" s="278"/>
      <c r="G50" s="278"/>
      <c r="H50" s="119">
        <f t="shared" si="9"/>
        <v>-18.3</v>
      </c>
      <c r="I50" s="117">
        <v>3</v>
      </c>
      <c r="J50" s="278"/>
      <c r="K50" s="278"/>
      <c r="L50" s="119">
        <f t="shared" si="11"/>
        <v>-18.3</v>
      </c>
      <c r="M50" s="117">
        <v>3</v>
      </c>
      <c r="N50" s="278"/>
      <c r="O50" s="278"/>
      <c r="P50" s="119">
        <f t="shared" si="12"/>
        <v>-18.3</v>
      </c>
      <c r="Q50" s="117">
        <v>3</v>
      </c>
      <c r="R50" s="278"/>
      <c r="S50" s="278"/>
      <c r="T50" s="119">
        <f t="shared" si="13"/>
        <v>-18.3</v>
      </c>
      <c r="U50" s="117">
        <v>3</v>
      </c>
      <c r="V50" s="278"/>
      <c r="W50" s="278"/>
      <c r="X50" s="119">
        <f t="shared" si="10"/>
        <v>-18.3</v>
      </c>
    </row>
    <row r="51" spans="1:24">
      <c r="A51" s="117">
        <v>4</v>
      </c>
      <c r="B51" s="278">
        <f>'General information '!B9</f>
        <v>28</v>
      </c>
      <c r="C51" s="278">
        <f>'General information '!C9</f>
        <v>24</v>
      </c>
      <c r="D51" s="119">
        <f t="shared" si="8"/>
        <v>7.6999999999999993</v>
      </c>
      <c r="E51" s="117">
        <v>4</v>
      </c>
      <c r="F51" s="278"/>
      <c r="G51" s="278"/>
      <c r="H51" s="119">
        <f t="shared" si="9"/>
        <v>-18.3</v>
      </c>
      <c r="I51" s="117">
        <v>4</v>
      </c>
      <c r="J51" s="278"/>
      <c r="K51" s="278"/>
      <c r="L51" s="119">
        <f t="shared" si="11"/>
        <v>-18.3</v>
      </c>
      <c r="M51" s="117">
        <v>4</v>
      </c>
      <c r="N51" s="278"/>
      <c r="O51" s="278"/>
      <c r="P51" s="119">
        <f t="shared" si="12"/>
        <v>-18.3</v>
      </c>
      <c r="Q51" s="117">
        <v>4</v>
      </c>
      <c r="R51" s="278"/>
      <c r="S51" s="278"/>
      <c r="T51" s="119">
        <f t="shared" si="13"/>
        <v>-18.3</v>
      </c>
      <c r="U51" s="117">
        <v>4</v>
      </c>
      <c r="V51" s="278"/>
      <c r="W51" s="278"/>
      <c r="X51" s="119">
        <f t="shared" si="10"/>
        <v>-18.3</v>
      </c>
    </row>
    <row r="52" spans="1:24">
      <c r="A52" s="117">
        <v>5</v>
      </c>
      <c r="B52" s="278">
        <f>'General information '!B10</f>
        <v>30</v>
      </c>
      <c r="C52" s="278">
        <f>'General information '!C10</f>
        <v>26</v>
      </c>
      <c r="D52" s="119">
        <f t="shared" si="8"/>
        <v>9.6999999999999993</v>
      </c>
      <c r="E52" s="117">
        <v>5</v>
      </c>
      <c r="F52" s="278"/>
      <c r="G52" s="278"/>
      <c r="H52" s="119">
        <f t="shared" si="9"/>
        <v>-18.3</v>
      </c>
      <c r="I52" s="117">
        <v>5</v>
      </c>
      <c r="J52" s="278"/>
      <c r="K52" s="278"/>
      <c r="L52" s="119">
        <f t="shared" si="11"/>
        <v>-18.3</v>
      </c>
      <c r="M52" s="117">
        <v>5</v>
      </c>
      <c r="N52" s="278"/>
      <c r="O52" s="278"/>
      <c r="P52" s="119">
        <f t="shared" si="12"/>
        <v>-18.3</v>
      </c>
      <c r="Q52" s="117">
        <v>5</v>
      </c>
      <c r="R52" s="278"/>
      <c r="S52" s="278"/>
      <c r="T52" s="119">
        <f t="shared" si="13"/>
        <v>-18.3</v>
      </c>
      <c r="U52" s="117">
        <v>5</v>
      </c>
      <c r="V52" s="278"/>
      <c r="W52" s="278"/>
      <c r="X52" s="119">
        <f t="shared" si="10"/>
        <v>-18.3</v>
      </c>
    </row>
    <row r="53" spans="1:24">
      <c r="A53" s="117">
        <v>6</v>
      </c>
      <c r="B53" s="278">
        <f>'General information '!B11</f>
        <v>29</v>
      </c>
      <c r="C53" s="278">
        <f>'General information '!C11</f>
        <v>25</v>
      </c>
      <c r="D53" s="119">
        <f t="shared" si="8"/>
        <v>8.6999999999999993</v>
      </c>
      <c r="E53" s="117">
        <v>6</v>
      </c>
      <c r="F53" s="278"/>
      <c r="G53" s="278"/>
      <c r="H53" s="119">
        <f t="shared" si="9"/>
        <v>-18.3</v>
      </c>
      <c r="I53" s="117">
        <v>6</v>
      </c>
      <c r="J53" s="278"/>
      <c r="K53" s="278"/>
      <c r="L53" s="119">
        <f t="shared" si="11"/>
        <v>-18.3</v>
      </c>
      <c r="M53" s="117">
        <v>6</v>
      </c>
      <c r="N53" s="278"/>
      <c r="O53" s="278"/>
      <c r="P53" s="119">
        <f t="shared" si="12"/>
        <v>-18.3</v>
      </c>
      <c r="Q53" s="117">
        <v>6</v>
      </c>
      <c r="R53" s="278"/>
      <c r="S53" s="278"/>
      <c r="T53" s="119">
        <f t="shared" si="13"/>
        <v>-18.3</v>
      </c>
      <c r="U53" s="117">
        <v>6</v>
      </c>
      <c r="V53" s="278"/>
      <c r="W53" s="278"/>
      <c r="X53" s="119">
        <f t="shared" si="10"/>
        <v>-18.3</v>
      </c>
    </row>
    <row r="54" spans="1:24">
      <c r="A54" s="117">
        <v>7</v>
      </c>
      <c r="B54" s="278">
        <f>'General information '!B12</f>
        <v>30</v>
      </c>
      <c r="C54" s="278">
        <f>'General information '!C12</f>
        <v>22</v>
      </c>
      <c r="D54" s="119">
        <f t="shared" si="8"/>
        <v>7.6999999999999993</v>
      </c>
      <c r="E54" s="117">
        <v>7</v>
      </c>
      <c r="F54" s="278"/>
      <c r="G54" s="278"/>
      <c r="H54" s="119">
        <f t="shared" si="9"/>
        <v>-18.3</v>
      </c>
      <c r="I54" s="117">
        <v>7</v>
      </c>
      <c r="J54" s="278"/>
      <c r="K54" s="278"/>
      <c r="L54" s="119">
        <f t="shared" si="11"/>
        <v>-18.3</v>
      </c>
      <c r="M54" s="117">
        <v>7</v>
      </c>
      <c r="N54" s="278"/>
      <c r="O54" s="278"/>
      <c r="P54" s="119">
        <f t="shared" si="12"/>
        <v>-18.3</v>
      </c>
      <c r="Q54" s="117">
        <v>7</v>
      </c>
      <c r="R54" s="278"/>
      <c r="S54" s="278"/>
      <c r="T54" s="119">
        <f t="shared" si="13"/>
        <v>-18.3</v>
      </c>
      <c r="U54" s="117">
        <v>7</v>
      </c>
      <c r="V54" s="278"/>
      <c r="W54" s="278"/>
      <c r="X54" s="119">
        <f t="shared" si="10"/>
        <v>-18.3</v>
      </c>
    </row>
    <row r="55" spans="1:24">
      <c r="A55" s="117">
        <v>8</v>
      </c>
      <c r="B55" s="278">
        <f>'General information '!B13</f>
        <v>30</v>
      </c>
      <c r="C55" s="278">
        <f>'General information '!C13</f>
        <v>22</v>
      </c>
      <c r="D55" s="119">
        <f t="shared" si="8"/>
        <v>7.6999999999999993</v>
      </c>
      <c r="E55" s="117">
        <v>8</v>
      </c>
      <c r="F55" s="278"/>
      <c r="G55" s="278"/>
      <c r="H55" s="119">
        <f t="shared" si="9"/>
        <v>-18.3</v>
      </c>
      <c r="I55" s="117">
        <v>8</v>
      </c>
      <c r="J55" s="278"/>
      <c r="K55" s="278"/>
      <c r="L55" s="119">
        <f t="shared" si="11"/>
        <v>-18.3</v>
      </c>
      <c r="M55" s="117">
        <v>8</v>
      </c>
      <c r="N55" s="278"/>
      <c r="O55" s="278"/>
      <c r="P55" s="119">
        <f t="shared" si="12"/>
        <v>-18.3</v>
      </c>
      <c r="Q55" s="117">
        <v>8</v>
      </c>
      <c r="R55" s="278"/>
      <c r="S55" s="278"/>
      <c r="T55" s="119">
        <f t="shared" si="13"/>
        <v>-18.3</v>
      </c>
      <c r="U55" s="117">
        <v>8</v>
      </c>
      <c r="V55" s="278"/>
      <c r="W55" s="278"/>
      <c r="X55" s="119">
        <f t="shared" si="10"/>
        <v>-18.3</v>
      </c>
    </row>
    <row r="56" spans="1:24">
      <c r="A56" s="117">
        <v>9</v>
      </c>
      <c r="B56" s="278">
        <f>'General information '!B14</f>
        <v>0</v>
      </c>
      <c r="C56" s="278">
        <f>'General information '!C14</f>
        <v>0</v>
      </c>
      <c r="D56" s="119">
        <f t="shared" si="8"/>
        <v>-18.3</v>
      </c>
      <c r="E56" s="117">
        <v>9</v>
      </c>
      <c r="F56" s="278"/>
      <c r="G56" s="278"/>
      <c r="H56" s="119">
        <f t="shared" si="9"/>
        <v>-18.3</v>
      </c>
      <c r="I56" s="117">
        <v>9</v>
      </c>
      <c r="J56" s="278"/>
      <c r="K56" s="278"/>
      <c r="L56" s="119">
        <f t="shared" si="11"/>
        <v>-18.3</v>
      </c>
      <c r="M56" s="117">
        <v>9</v>
      </c>
      <c r="N56" s="278"/>
      <c r="O56" s="278"/>
      <c r="P56" s="119">
        <f t="shared" si="12"/>
        <v>-18.3</v>
      </c>
      <c r="Q56" s="117">
        <v>9</v>
      </c>
      <c r="R56" s="278"/>
      <c r="S56" s="278"/>
      <c r="T56" s="119">
        <f t="shared" si="13"/>
        <v>-18.3</v>
      </c>
      <c r="U56" s="117">
        <v>9</v>
      </c>
      <c r="V56" s="278"/>
      <c r="W56" s="278"/>
      <c r="X56" s="119">
        <f t="shared" si="10"/>
        <v>-18.3</v>
      </c>
    </row>
    <row r="57" spans="1:24">
      <c r="A57" s="117">
        <v>10</v>
      </c>
      <c r="B57" s="278">
        <f>'General information '!B15</f>
        <v>0</v>
      </c>
      <c r="C57" s="278">
        <f>'General information '!C15</f>
        <v>0</v>
      </c>
      <c r="D57" s="119">
        <f t="shared" ref="D57:D78" si="14">(B57+C57)/2-18.3</f>
        <v>-18.3</v>
      </c>
      <c r="E57" s="117">
        <v>10</v>
      </c>
      <c r="F57" s="278"/>
      <c r="G57" s="278"/>
      <c r="H57" s="119">
        <f t="shared" si="9"/>
        <v>-18.3</v>
      </c>
      <c r="I57" s="117">
        <v>10</v>
      </c>
      <c r="J57" s="278"/>
      <c r="K57" s="278"/>
      <c r="L57" s="119">
        <f t="shared" si="11"/>
        <v>-18.3</v>
      </c>
      <c r="M57" s="117">
        <v>10</v>
      </c>
      <c r="N57" s="278"/>
      <c r="O57" s="278"/>
      <c r="P57" s="119">
        <f t="shared" si="12"/>
        <v>-18.3</v>
      </c>
      <c r="Q57" s="117">
        <v>10</v>
      </c>
      <c r="R57" s="278"/>
      <c r="S57" s="278"/>
      <c r="T57" s="119">
        <f t="shared" si="13"/>
        <v>-18.3</v>
      </c>
      <c r="U57" s="117">
        <v>10</v>
      </c>
      <c r="V57" s="278"/>
      <c r="W57" s="278"/>
      <c r="X57" s="119">
        <f t="shared" si="10"/>
        <v>-18.3</v>
      </c>
    </row>
    <row r="58" spans="1:24">
      <c r="A58" s="117">
        <v>11</v>
      </c>
      <c r="B58" s="278">
        <f>'General information '!B16</f>
        <v>0</v>
      </c>
      <c r="C58" s="278">
        <f>'General information '!C16</f>
        <v>0</v>
      </c>
      <c r="D58" s="119">
        <f t="shared" si="14"/>
        <v>-18.3</v>
      </c>
      <c r="E58" s="117">
        <v>11</v>
      </c>
      <c r="F58" s="278"/>
      <c r="G58" s="278"/>
      <c r="H58" s="119">
        <f t="shared" si="9"/>
        <v>-18.3</v>
      </c>
      <c r="I58" s="117">
        <v>11</v>
      </c>
      <c r="J58" s="278"/>
      <c r="K58" s="278"/>
      <c r="L58" s="119">
        <f t="shared" si="11"/>
        <v>-18.3</v>
      </c>
      <c r="M58" s="117">
        <v>11</v>
      </c>
      <c r="N58" s="278"/>
      <c r="O58" s="278"/>
      <c r="P58" s="119">
        <f t="shared" si="12"/>
        <v>-18.3</v>
      </c>
      <c r="Q58" s="117">
        <v>11</v>
      </c>
      <c r="R58" s="278"/>
      <c r="S58" s="278"/>
      <c r="T58" s="119">
        <f t="shared" si="13"/>
        <v>-18.3</v>
      </c>
      <c r="U58" s="117">
        <v>11</v>
      </c>
      <c r="V58" s="278"/>
      <c r="W58" s="278"/>
      <c r="X58" s="119">
        <f t="shared" si="10"/>
        <v>-18.3</v>
      </c>
    </row>
    <row r="59" spans="1:24">
      <c r="A59" s="117">
        <v>12</v>
      </c>
      <c r="B59" s="278">
        <f>'General information '!B17</f>
        <v>0</v>
      </c>
      <c r="C59" s="278">
        <f>'General information '!C17</f>
        <v>0</v>
      </c>
      <c r="D59" s="119">
        <f t="shared" si="14"/>
        <v>-18.3</v>
      </c>
      <c r="E59" s="117">
        <v>12</v>
      </c>
      <c r="F59" s="278"/>
      <c r="G59" s="278"/>
      <c r="H59" s="119">
        <f t="shared" si="9"/>
        <v>-18.3</v>
      </c>
      <c r="I59" s="117">
        <v>12</v>
      </c>
      <c r="J59" s="278"/>
      <c r="K59" s="278"/>
      <c r="L59" s="119">
        <f t="shared" si="11"/>
        <v>-18.3</v>
      </c>
      <c r="M59" s="117">
        <v>12</v>
      </c>
      <c r="N59" s="278"/>
      <c r="O59" s="278"/>
      <c r="P59" s="119">
        <f t="shared" si="12"/>
        <v>-18.3</v>
      </c>
      <c r="Q59" s="117">
        <v>12</v>
      </c>
      <c r="R59" s="278"/>
      <c r="S59" s="278"/>
      <c r="T59" s="119">
        <f t="shared" si="13"/>
        <v>-18.3</v>
      </c>
      <c r="U59" s="117">
        <v>12</v>
      </c>
      <c r="V59" s="278"/>
      <c r="W59" s="278"/>
      <c r="X59" s="119">
        <f t="shared" si="10"/>
        <v>-18.3</v>
      </c>
    </row>
    <row r="60" spans="1:24">
      <c r="A60" s="117">
        <v>13</v>
      </c>
      <c r="B60" s="278">
        <f>'General information '!B18</f>
        <v>0</v>
      </c>
      <c r="C60" s="278">
        <f>'General information '!C18</f>
        <v>0</v>
      </c>
      <c r="D60" s="119">
        <f t="shared" si="14"/>
        <v>-18.3</v>
      </c>
      <c r="E60" s="117">
        <v>13</v>
      </c>
      <c r="F60" s="278"/>
      <c r="G60" s="278"/>
      <c r="H60" s="119">
        <f t="shared" si="9"/>
        <v>-18.3</v>
      </c>
      <c r="I60" s="117">
        <v>13</v>
      </c>
      <c r="J60" s="278"/>
      <c r="K60" s="278"/>
      <c r="L60" s="119">
        <f t="shared" si="11"/>
        <v>-18.3</v>
      </c>
      <c r="M60" s="117">
        <v>13</v>
      </c>
      <c r="N60" s="278"/>
      <c r="O60" s="278"/>
      <c r="P60" s="119">
        <f t="shared" si="12"/>
        <v>-18.3</v>
      </c>
      <c r="Q60" s="117">
        <v>13</v>
      </c>
      <c r="R60" s="278"/>
      <c r="S60" s="278"/>
      <c r="T60" s="119">
        <f t="shared" si="13"/>
        <v>-18.3</v>
      </c>
      <c r="U60" s="117">
        <v>13</v>
      </c>
      <c r="V60" s="278"/>
      <c r="W60" s="278"/>
      <c r="X60" s="119">
        <f t="shared" si="10"/>
        <v>-18.3</v>
      </c>
    </row>
    <row r="61" spans="1:24">
      <c r="A61" s="117">
        <v>14</v>
      </c>
      <c r="B61" s="278">
        <f>'General information '!B19</f>
        <v>0</v>
      </c>
      <c r="C61" s="278">
        <f>'General information '!C19</f>
        <v>0</v>
      </c>
      <c r="D61" s="119">
        <f t="shared" si="14"/>
        <v>-18.3</v>
      </c>
      <c r="E61" s="117">
        <v>14</v>
      </c>
      <c r="F61" s="278"/>
      <c r="G61" s="278"/>
      <c r="H61" s="119">
        <f t="shared" si="9"/>
        <v>-18.3</v>
      </c>
      <c r="I61" s="117">
        <v>14</v>
      </c>
      <c r="J61" s="278"/>
      <c r="K61" s="278"/>
      <c r="L61" s="119">
        <f t="shared" si="11"/>
        <v>-18.3</v>
      </c>
      <c r="M61" s="117">
        <v>14</v>
      </c>
      <c r="N61" s="278"/>
      <c r="O61" s="278"/>
      <c r="P61" s="119">
        <f t="shared" si="12"/>
        <v>-18.3</v>
      </c>
      <c r="Q61" s="117">
        <v>14</v>
      </c>
      <c r="R61" s="278"/>
      <c r="S61" s="278"/>
      <c r="T61" s="119">
        <f t="shared" si="13"/>
        <v>-18.3</v>
      </c>
      <c r="U61" s="117">
        <v>14</v>
      </c>
      <c r="V61" s="278"/>
      <c r="W61" s="278"/>
      <c r="X61" s="119">
        <f t="shared" si="10"/>
        <v>-18.3</v>
      </c>
    </row>
    <row r="62" spans="1:24">
      <c r="A62" s="117">
        <v>15</v>
      </c>
      <c r="B62" s="278">
        <f>'General information '!B20</f>
        <v>0</v>
      </c>
      <c r="C62" s="278">
        <f>'General information '!C20</f>
        <v>0</v>
      </c>
      <c r="D62" s="119">
        <f t="shared" si="14"/>
        <v>-18.3</v>
      </c>
      <c r="E62" s="117">
        <v>15</v>
      </c>
      <c r="F62" s="278"/>
      <c r="G62" s="278"/>
      <c r="H62" s="119">
        <f t="shared" si="9"/>
        <v>-18.3</v>
      </c>
      <c r="I62" s="117">
        <v>15</v>
      </c>
      <c r="J62" s="278"/>
      <c r="K62" s="278"/>
      <c r="L62" s="119">
        <f t="shared" si="11"/>
        <v>-18.3</v>
      </c>
      <c r="M62" s="117">
        <v>15</v>
      </c>
      <c r="N62" s="278"/>
      <c r="O62" s="278"/>
      <c r="P62" s="119">
        <f t="shared" si="12"/>
        <v>-18.3</v>
      </c>
      <c r="Q62" s="117">
        <v>15</v>
      </c>
      <c r="R62" s="278"/>
      <c r="S62" s="278"/>
      <c r="T62" s="119">
        <f t="shared" si="13"/>
        <v>-18.3</v>
      </c>
      <c r="U62" s="117">
        <v>15</v>
      </c>
      <c r="V62" s="278"/>
      <c r="W62" s="278"/>
      <c r="X62" s="119">
        <f t="shared" si="10"/>
        <v>-18.3</v>
      </c>
    </row>
    <row r="63" spans="1:24">
      <c r="A63" s="117">
        <v>16</v>
      </c>
      <c r="B63" s="278">
        <f>'General information '!B21</f>
        <v>0</v>
      </c>
      <c r="C63" s="278">
        <f>'General information '!C21</f>
        <v>0</v>
      </c>
      <c r="D63" s="119">
        <f t="shared" si="14"/>
        <v>-18.3</v>
      </c>
      <c r="E63" s="117">
        <v>16</v>
      </c>
      <c r="F63" s="278"/>
      <c r="G63" s="278"/>
      <c r="H63" s="119">
        <f t="shared" si="9"/>
        <v>-18.3</v>
      </c>
      <c r="I63" s="117">
        <v>16</v>
      </c>
      <c r="J63" s="278"/>
      <c r="K63" s="278"/>
      <c r="L63" s="119">
        <f t="shared" si="11"/>
        <v>-18.3</v>
      </c>
      <c r="M63" s="117">
        <v>16</v>
      </c>
      <c r="N63" s="278"/>
      <c r="O63" s="278"/>
      <c r="P63" s="119">
        <f t="shared" si="12"/>
        <v>-18.3</v>
      </c>
      <c r="Q63" s="117">
        <v>16</v>
      </c>
      <c r="R63" s="278"/>
      <c r="S63" s="278"/>
      <c r="T63" s="119">
        <f t="shared" si="13"/>
        <v>-18.3</v>
      </c>
      <c r="U63" s="117">
        <v>16</v>
      </c>
      <c r="V63" s="278"/>
      <c r="W63" s="278"/>
      <c r="X63" s="119">
        <f t="shared" si="10"/>
        <v>-18.3</v>
      </c>
    </row>
    <row r="64" spans="1:24">
      <c r="A64" s="117">
        <v>17</v>
      </c>
      <c r="B64" s="278">
        <f>'General information '!B22</f>
        <v>0</v>
      </c>
      <c r="C64" s="278">
        <f>'General information '!C22</f>
        <v>0</v>
      </c>
      <c r="D64" s="119">
        <f t="shared" si="14"/>
        <v>-18.3</v>
      </c>
      <c r="E64" s="117">
        <v>17</v>
      </c>
      <c r="F64" s="278"/>
      <c r="G64" s="278"/>
      <c r="H64" s="119">
        <f t="shared" si="9"/>
        <v>-18.3</v>
      </c>
      <c r="I64" s="117">
        <v>17</v>
      </c>
      <c r="J64" s="278"/>
      <c r="K64" s="278"/>
      <c r="L64" s="119">
        <f t="shared" si="11"/>
        <v>-18.3</v>
      </c>
      <c r="M64" s="117">
        <v>17</v>
      </c>
      <c r="N64" s="278"/>
      <c r="O64" s="278"/>
      <c r="P64" s="119">
        <f t="shared" si="12"/>
        <v>-18.3</v>
      </c>
      <c r="Q64" s="117">
        <v>17</v>
      </c>
      <c r="R64" s="278"/>
      <c r="S64" s="278"/>
      <c r="T64" s="119">
        <f t="shared" si="13"/>
        <v>-18.3</v>
      </c>
      <c r="U64" s="117">
        <v>17</v>
      </c>
      <c r="V64" s="278"/>
      <c r="W64" s="278"/>
      <c r="X64" s="119">
        <f t="shared" si="10"/>
        <v>-18.3</v>
      </c>
    </row>
    <row r="65" spans="1:24">
      <c r="A65" s="117">
        <v>18</v>
      </c>
      <c r="B65" s="278">
        <f>'General information '!B23</f>
        <v>0</v>
      </c>
      <c r="C65" s="278">
        <f>'General information '!C23</f>
        <v>0</v>
      </c>
      <c r="D65" s="119">
        <f t="shared" si="14"/>
        <v>-18.3</v>
      </c>
      <c r="E65" s="117">
        <v>18</v>
      </c>
      <c r="F65" s="278"/>
      <c r="G65" s="278"/>
      <c r="H65" s="119">
        <f t="shared" si="9"/>
        <v>-18.3</v>
      </c>
      <c r="I65" s="117">
        <v>18</v>
      </c>
      <c r="J65" s="278"/>
      <c r="K65" s="278"/>
      <c r="L65" s="119">
        <f t="shared" si="11"/>
        <v>-18.3</v>
      </c>
      <c r="M65" s="117">
        <v>18</v>
      </c>
      <c r="N65" s="278"/>
      <c r="O65" s="278"/>
      <c r="P65" s="119">
        <f t="shared" si="12"/>
        <v>-18.3</v>
      </c>
      <c r="Q65" s="117">
        <v>18</v>
      </c>
      <c r="R65" s="278"/>
      <c r="S65" s="278"/>
      <c r="T65" s="119">
        <f t="shared" si="13"/>
        <v>-18.3</v>
      </c>
      <c r="U65" s="117">
        <v>18</v>
      </c>
      <c r="V65" s="278"/>
      <c r="W65" s="278"/>
      <c r="X65" s="119">
        <f t="shared" si="10"/>
        <v>-18.3</v>
      </c>
    </row>
    <row r="66" spans="1:24">
      <c r="A66" s="117">
        <v>19</v>
      </c>
      <c r="B66" s="278">
        <f>'General information '!B24</f>
        <v>0</v>
      </c>
      <c r="C66" s="278">
        <f>'General information '!C24</f>
        <v>0</v>
      </c>
      <c r="D66" s="119">
        <f t="shared" si="14"/>
        <v>-18.3</v>
      </c>
      <c r="E66" s="117">
        <v>19</v>
      </c>
      <c r="F66" s="278"/>
      <c r="G66" s="278"/>
      <c r="H66" s="119">
        <f t="shared" si="9"/>
        <v>-18.3</v>
      </c>
      <c r="I66" s="117">
        <v>19</v>
      </c>
      <c r="J66" s="278"/>
      <c r="K66" s="278"/>
      <c r="L66" s="119">
        <f t="shared" si="11"/>
        <v>-18.3</v>
      </c>
      <c r="M66" s="117">
        <v>19</v>
      </c>
      <c r="N66" s="278"/>
      <c r="O66" s="278"/>
      <c r="P66" s="119">
        <f t="shared" si="12"/>
        <v>-18.3</v>
      </c>
      <c r="Q66" s="117">
        <v>19</v>
      </c>
      <c r="R66" s="278"/>
      <c r="S66" s="278"/>
      <c r="T66" s="119">
        <f t="shared" si="13"/>
        <v>-18.3</v>
      </c>
      <c r="U66" s="117">
        <v>19</v>
      </c>
      <c r="V66" s="278"/>
      <c r="W66" s="278"/>
      <c r="X66" s="119">
        <f t="shared" si="10"/>
        <v>-18.3</v>
      </c>
    </row>
    <row r="67" spans="1:24">
      <c r="A67" s="117">
        <v>20</v>
      </c>
      <c r="B67" s="278">
        <f>'General information '!B25</f>
        <v>0</v>
      </c>
      <c r="C67" s="278">
        <f>'General information '!C25</f>
        <v>0</v>
      </c>
      <c r="D67" s="119">
        <f t="shared" si="14"/>
        <v>-18.3</v>
      </c>
      <c r="E67" s="117">
        <v>20</v>
      </c>
      <c r="F67" s="278"/>
      <c r="G67" s="278"/>
      <c r="H67" s="119">
        <f t="shared" si="9"/>
        <v>-18.3</v>
      </c>
      <c r="I67" s="117">
        <v>20</v>
      </c>
      <c r="J67" s="278"/>
      <c r="K67" s="278"/>
      <c r="L67" s="119">
        <f t="shared" si="11"/>
        <v>-18.3</v>
      </c>
      <c r="M67" s="117">
        <v>20</v>
      </c>
      <c r="N67" s="278"/>
      <c r="O67" s="278"/>
      <c r="P67" s="119">
        <f t="shared" si="12"/>
        <v>-18.3</v>
      </c>
      <c r="Q67" s="117">
        <v>20</v>
      </c>
      <c r="R67" s="278"/>
      <c r="S67" s="278"/>
      <c r="T67" s="119">
        <f t="shared" si="13"/>
        <v>-18.3</v>
      </c>
      <c r="U67" s="117">
        <v>20</v>
      </c>
      <c r="V67" s="278"/>
      <c r="W67" s="278"/>
      <c r="X67" s="119">
        <f t="shared" si="10"/>
        <v>-18.3</v>
      </c>
    </row>
    <row r="68" spans="1:24">
      <c r="A68" s="117">
        <v>21</v>
      </c>
      <c r="B68" s="278">
        <f>'General information '!B26</f>
        <v>0</v>
      </c>
      <c r="C68" s="278">
        <f>'General information '!C26</f>
        <v>0</v>
      </c>
      <c r="D68" s="119">
        <f t="shared" si="14"/>
        <v>-18.3</v>
      </c>
      <c r="E68" s="117">
        <v>21</v>
      </c>
      <c r="F68" s="278"/>
      <c r="G68" s="278"/>
      <c r="H68" s="119">
        <f t="shared" si="9"/>
        <v>-18.3</v>
      </c>
      <c r="I68" s="117">
        <v>21</v>
      </c>
      <c r="J68" s="278"/>
      <c r="K68" s="278"/>
      <c r="L68" s="119">
        <f t="shared" si="11"/>
        <v>-18.3</v>
      </c>
      <c r="M68" s="117">
        <v>21</v>
      </c>
      <c r="N68" s="278"/>
      <c r="O68" s="278"/>
      <c r="P68" s="119">
        <f t="shared" si="12"/>
        <v>-18.3</v>
      </c>
      <c r="Q68" s="117">
        <v>21</v>
      </c>
      <c r="R68" s="278"/>
      <c r="S68" s="278"/>
      <c r="T68" s="119">
        <f t="shared" si="13"/>
        <v>-18.3</v>
      </c>
      <c r="U68" s="117">
        <v>21</v>
      </c>
      <c r="V68" s="278"/>
      <c r="W68" s="278"/>
      <c r="X68" s="119">
        <f t="shared" si="10"/>
        <v>-18.3</v>
      </c>
    </row>
    <row r="69" spans="1:24">
      <c r="A69" s="117">
        <v>22</v>
      </c>
      <c r="B69" s="278">
        <f>'General information '!B27</f>
        <v>0</v>
      </c>
      <c r="C69" s="278">
        <f>'General information '!C27</f>
        <v>0</v>
      </c>
      <c r="D69" s="119">
        <f t="shared" si="14"/>
        <v>-18.3</v>
      </c>
      <c r="E69" s="117">
        <v>22</v>
      </c>
      <c r="F69" s="278"/>
      <c r="G69" s="278"/>
      <c r="H69" s="119">
        <f t="shared" si="9"/>
        <v>-18.3</v>
      </c>
      <c r="I69" s="117">
        <v>22</v>
      </c>
      <c r="J69" s="278"/>
      <c r="K69" s="278"/>
      <c r="L69" s="119">
        <f t="shared" si="11"/>
        <v>-18.3</v>
      </c>
      <c r="M69" s="117">
        <v>22</v>
      </c>
      <c r="N69" s="278"/>
      <c r="O69" s="278"/>
      <c r="P69" s="119">
        <f t="shared" si="12"/>
        <v>-18.3</v>
      </c>
      <c r="Q69" s="117">
        <v>22</v>
      </c>
      <c r="R69" s="278"/>
      <c r="S69" s="278"/>
      <c r="T69" s="119">
        <f>(R69+S69)/2-18.3</f>
        <v>-18.3</v>
      </c>
      <c r="U69" s="117">
        <v>22</v>
      </c>
      <c r="V69" s="278"/>
      <c r="W69" s="278"/>
      <c r="X69" s="119">
        <f t="shared" si="10"/>
        <v>-18.3</v>
      </c>
    </row>
    <row r="70" spans="1:24">
      <c r="A70" s="117">
        <v>23</v>
      </c>
      <c r="B70" s="278">
        <f>'General information '!B28</f>
        <v>0</v>
      </c>
      <c r="C70" s="278">
        <f>'General information '!C28</f>
        <v>0</v>
      </c>
      <c r="D70" s="119">
        <f t="shared" si="14"/>
        <v>-18.3</v>
      </c>
      <c r="E70" s="117">
        <v>23</v>
      </c>
      <c r="F70" s="278"/>
      <c r="G70" s="278"/>
      <c r="H70" s="119">
        <f t="shared" si="9"/>
        <v>-18.3</v>
      </c>
      <c r="I70" s="117">
        <v>23</v>
      </c>
      <c r="J70" s="278"/>
      <c r="K70" s="278"/>
      <c r="L70" s="119">
        <f t="shared" si="11"/>
        <v>-18.3</v>
      </c>
      <c r="M70" s="117">
        <v>23</v>
      </c>
      <c r="N70" s="278"/>
      <c r="O70" s="278"/>
      <c r="P70" s="119">
        <f t="shared" si="12"/>
        <v>-18.3</v>
      </c>
      <c r="Q70" s="117">
        <v>23</v>
      </c>
      <c r="R70" s="278"/>
      <c r="S70" s="278"/>
      <c r="T70" s="119">
        <f t="shared" si="13"/>
        <v>-18.3</v>
      </c>
      <c r="U70" s="117">
        <v>23</v>
      </c>
      <c r="V70" s="278"/>
      <c r="W70" s="278"/>
      <c r="X70" s="119">
        <f t="shared" si="10"/>
        <v>-18.3</v>
      </c>
    </row>
    <row r="71" spans="1:24">
      <c r="A71" s="117">
        <v>24</v>
      </c>
      <c r="B71" s="278">
        <f>'General information '!B29</f>
        <v>0</v>
      </c>
      <c r="C71" s="278">
        <f>'General information '!C29</f>
        <v>0</v>
      </c>
      <c r="D71" s="119">
        <f t="shared" si="14"/>
        <v>-18.3</v>
      </c>
      <c r="E71" s="117">
        <v>24</v>
      </c>
      <c r="F71" s="278"/>
      <c r="G71" s="278"/>
      <c r="H71" s="119">
        <f t="shared" si="9"/>
        <v>-18.3</v>
      </c>
      <c r="I71" s="117">
        <v>24</v>
      </c>
      <c r="J71" s="278"/>
      <c r="K71" s="278"/>
      <c r="L71" s="119">
        <f t="shared" si="11"/>
        <v>-18.3</v>
      </c>
      <c r="M71" s="117">
        <v>24</v>
      </c>
      <c r="N71" s="278"/>
      <c r="O71" s="278"/>
      <c r="P71" s="119">
        <f t="shared" si="12"/>
        <v>-18.3</v>
      </c>
      <c r="Q71" s="117">
        <v>24</v>
      </c>
      <c r="R71" s="278"/>
      <c r="S71" s="278"/>
      <c r="T71" s="119">
        <f t="shared" si="13"/>
        <v>-18.3</v>
      </c>
      <c r="U71" s="117">
        <v>24</v>
      </c>
      <c r="V71" s="278"/>
      <c r="W71" s="278"/>
      <c r="X71" s="119">
        <f t="shared" si="10"/>
        <v>-18.3</v>
      </c>
    </row>
    <row r="72" spans="1:24">
      <c r="A72" s="117">
        <v>25</v>
      </c>
      <c r="B72" s="278">
        <f>'General information '!B30</f>
        <v>0</v>
      </c>
      <c r="C72" s="278">
        <f>'General information '!C30</f>
        <v>0</v>
      </c>
      <c r="D72" s="119">
        <f t="shared" si="14"/>
        <v>-18.3</v>
      </c>
      <c r="E72" s="117">
        <v>25</v>
      </c>
      <c r="F72" s="278"/>
      <c r="G72" s="278"/>
      <c r="H72" s="119">
        <f t="shared" si="9"/>
        <v>-18.3</v>
      </c>
      <c r="I72" s="117">
        <v>25</v>
      </c>
      <c r="J72" s="278"/>
      <c r="K72" s="278"/>
      <c r="L72" s="119">
        <f t="shared" si="11"/>
        <v>-18.3</v>
      </c>
      <c r="M72" s="117">
        <v>25</v>
      </c>
      <c r="N72" s="278"/>
      <c r="O72" s="278"/>
      <c r="P72" s="119">
        <f t="shared" si="12"/>
        <v>-18.3</v>
      </c>
      <c r="Q72" s="117">
        <v>25</v>
      </c>
      <c r="R72" s="278"/>
      <c r="S72" s="278"/>
      <c r="T72" s="119">
        <f t="shared" si="13"/>
        <v>-18.3</v>
      </c>
      <c r="U72" s="117">
        <v>25</v>
      </c>
      <c r="V72" s="278"/>
      <c r="W72" s="278"/>
      <c r="X72" s="119">
        <f t="shared" si="10"/>
        <v>-18.3</v>
      </c>
    </row>
    <row r="73" spans="1:24">
      <c r="A73" s="117">
        <v>26</v>
      </c>
      <c r="B73" s="278">
        <f>'General information '!B31</f>
        <v>0</v>
      </c>
      <c r="C73" s="278">
        <f>'General information '!C31</f>
        <v>0</v>
      </c>
      <c r="D73" s="119">
        <f t="shared" si="14"/>
        <v>-18.3</v>
      </c>
      <c r="E73" s="117">
        <v>26</v>
      </c>
      <c r="F73" s="278"/>
      <c r="G73" s="278"/>
      <c r="H73" s="119">
        <f t="shared" si="9"/>
        <v>-18.3</v>
      </c>
      <c r="I73" s="117">
        <v>26</v>
      </c>
      <c r="J73" s="278"/>
      <c r="K73" s="278"/>
      <c r="L73" s="119">
        <f t="shared" si="11"/>
        <v>-18.3</v>
      </c>
      <c r="M73" s="117">
        <v>26</v>
      </c>
      <c r="N73" s="278"/>
      <c r="O73" s="278"/>
      <c r="P73" s="119">
        <f t="shared" si="12"/>
        <v>-18.3</v>
      </c>
      <c r="Q73" s="117">
        <v>26</v>
      </c>
      <c r="R73" s="278"/>
      <c r="S73" s="278"/>
      <c r="T73" s="119">
        <f t="shared" si="13"/>
        <v>-18.3</v>
      </c>
      <c r="U73" s="117">
        <v>26</v>
      </c>
      <c r="V73" s="278"/>
      <c r="W73" s="278"/>
      <c r="X73" s="119">
        <f t="shared" si="10"/>
        <v>-18.3</v>
      </c>
    </row>
    <row r="74" spans="1:24">
      <c r="A74" s="117">
        <v>27</v>
      </c>
      <c r="B74" s="278">
        <f>'General information '!B32</f>
        <v>0</v>
      </c>
      <c r="C74" s="278">
        <f>'General information '!C32</f>
        <v>0</v>
      </c>
      <c r="D74" s="119">
        <f t="shared" si="14"/>
        <v>-18.3</v>
      </c>
      <c r="E74" s="117">
        <v>27</v>
      </c>
      <c r="F74" s="278"/>
      <c r="G74" s="278"/>
      <c r="H74" s="119">
        <f t="shared" si="9"/>
        <v>-18.3</v>
      </c>
      <c r="I74" s="117">
        <v>27</v>
      </c>
      <c r="J74" s="278"/>
      <c r="K74" s="278"/>
      <c r="L74" s="119">
        <f t="shared" si="11"/>
        <v>-18.3</v>
      </c>
      <c r="M74" s="117">
        <v>27</v>
      </c>
      <c r="N74" s="278"/>
      <c r="O74" s="278"/>
      <c r="P74" s="119">
        <f t="shared" si="12"/>
        <v>-18.3</v>
      </c>
      <c r="Q74" s="117">
        <v>27</v>
      </c>
      <c r="R74" s="278"/>
      <c r="S74" s="278"/>
      <c r="T74" s="119">
        <f t="shared" si="13"/>
        <v>-18.3</v>
      </c>
      <c r="U74" s="117">
        <v>27</v>
      </c>
      <c r="V74" s="278"/>
      <c r="W74" s="278"/>
      <c r="X74" s="119">
        <f t="shared" si="10"/>
        <v>-18.3</v>
      </c>
    </row>
    <row r="75" spans="1:24">
      <c r="A75" s="117">
        <v>28</v>
      </c>
      <c r="B75" s="278">
        <f>'General information '!B33</f>
        <v>0</v>
      </c>
      <c r="C75" s="278">
        <f>'General information '!C33</f>
        <v>0</v>
      </c>
      <c r="D75" s="119">
        <f t="shared" si="14"/>
        <v>-18.3</v>
      </c>
      <c r="E75" s="117">
        <v>28</v>
      </c>
      <c r="F75" s="278"/>
      <c r="G75" s="278"/>
      <c r="H75" s="119">
        <f t="shared" si="9"/>
        <v>-18.3</v>
      </c>
      <c r="I75" s="117">
        <v>28</v>
      </c>
      <c r="J75" s="278"/>
      <c r="K75" s="278"/>
      <c r="L75" s="119">
        <f t="shared" si="11"/>
        <v>-18.3</v>
      </c>
      <c r="M75" s="117">
        <v>28</v>
      </c>
      <c r="N75" s="278"/>
      <c r="O75" s="278"/>
      <c r="P75" s="119">
        <f t="shared" si="12"/>
        <v>-18.3</v>
      </c>
      <c r="Q75" s="117">
        <v>28</v>
      </c>
      <c r="R75" s="278"/>
      <c r="S75" s="278"/>
      <c r="T75" s="119">
        <f t="shared" si="13"/>
        <v>-18.3</v>
      </c>
      <c r="U75" s="117">
        <v>28</v>
      </c>
      <c r="V75" s="278"/>
      <c r="W75" s="278"/>
      <c r="X75" s="119">
        <f t="shared" si="10"/>
        <v>-18.3</v>
      </c>
    </row>
    <row r="76" spans="1:24">
      <c r="A76" s="117">
        <v>29</v>
      </c>
      <c r="B76" s="278">
        <f>'General information '!B34</f>
        <v>0</v>
      </c>
      <c r="C76" s="278">
        <f>'General information '!C34</f>
        <v>0</v>
      </c>
      <c r="D76" s="119">
        <f t="shared" si="14"/>
        <v>-18.3</v>
      </c>
      <c r="E76" s="117">
        <v>29</v>
      </c>
      <c r="F76" s="278"/>
      <c r="G76" s="278"/>
      <c r="H76" s="119">
        <f t="shared" si="9"/>
        <v>-18.3</v>
      </c>
      <c r="I76" s="117">
        <v>29</v>
      </c>
      <c r="J76" s="278"/>
      <c r="K76" s="278"/>
      <c r="L76" s="119">
        <f t="shared" si="11"/>
        <v>-18.3</v>
      </c>
      <c r="M76" s="117">
        <v>29</v>
      </c>
      <c r="N76" s="278"/>
      <c r="O76" s="278"/>
      <c r="P76" s="119">
        <f t="shared" si="12"/>
        <v>-18.3</v>
      </c>
      <c r="Q76" s="117">
        <v>29</v>
      </c>
      <c r="R76" s="278"/>
      <c r="S76" s="278"/>
      <c r="T76" s="119">
        <f t="shared" si="13"/>
        <v>-18.3</v>
      </c>
      <c r="U76" s="117">
        <v>29</v>
      </c>
      <c r="V76" s="278"/>
      <c r="W76" s="278"/>
      <c r="X76" s="119">
        <f t="shared" si="10"/>
        <v>-18.3</v>
      </c>
    </row>
    <row r="77" spans="1:24">
      <c r="A77" s="117">
        <v>30</v>
      </c>
      <c r="B77" s="278">
        <f>'General information '!B35</f>
        <v>0</v>
      </c>
      <c r="C77" s="278">
        <f>'General information '!C35</f>
        <v>0</v>
      </c>
      <c r="D77" s="119">
        <f t="shared" si="14"/>
        <v>-18.3</v>
      </c>
      <c r="E77" s="117">
        <v>30</v>
      </c>
      <c r="F77" s="278"/>
      <c r="G77" s="278"/>
      <c r="H77" s="119">
        <f t="shared" si="9"/>
        <v>-18.3</v>
      </c>
      <c r="I77" s="117">
        <v>30</v>
      </c>
      <c r="J77" s="278"/>
      <c r="K77" s="278"/>
      <c r="L77" s="119">
        <f t="shared" si="11"/>
        <v>-18.3</v>
      </c>
      <c r="M77" s="117">
        <v>30</v>
      </c>
      <c r="N77" s="278"/>
      <c r="O77" s="278"/>
      <c r="P77" s="119">
        <f t="shared" si="12"/>
        <v>-18.3</v>
      </c>
      <c r="Q77" s="117">
        <v>30</v>
      </c>
      <c r="R77" s="278"/>
      <c r="S77" s="278"/>
      <c r="T77" s="119">
        <f t="shared" si="13"/>
        <v>-18.3</v>
      </c>
      <c r="U77" s="117">
        <v>30</v>
      </c>
      <c r="V77" s="278"/>
      <c r="W77" s="278"/>
      <c r="X77" s="119">
        <f t="shared" si="10"/>
        <v>-18.3</v>
      </c>
    </row>
    <row r="78" spans="1:24">
      <c r="A78" s="120">
        <v>31</v>
      </c>
      <c r="B78" s="278"/>
      <c r="C78" s="278"/>
      <c r="D78" s="119">
        <f t="shared" si="14"/>
        <v>-18.3</v>
      </c>
      <c r="E78" s="120">
        <v>31</v>
      </c>
      <c r="F78" s="278"/>
      <c r="G78" s="278"/>
      <c r="H78" s="119">
        <f t="shared" si="9"/>
        <v>-18.3</v>
      </c>
      <c r="I78" s="120"/>
      <c r="J78" s="278"/>
      <c r="K78" s="278"/>
      <c r="L78" s="122"/>
      <c r="M78" s="120">
        <v>31</v>
      </c>
      <c r="N78" s="278"/>
      <c r="O78" s="278"/>
      <c r="P78" s="122">
        <f t="shared" si="12"/>
        <v>-18.3</v>
      </c>
      <c r="Q78" s="120"/>
      <c r="R78" s="278"/>
      <c r="S78" s="278"/>
      <c r="T78" s="122"/>
      <c r="U78" s="120">
        <v>31</v>
      </c>
      <c r="V78" s="278"/>
      <c r="W78" s="278"/>
      <c r="X78" s="122"/>
    </row>
    <row r="79" spans="1:24" s="17" customFormat="1">
      <c r="A79" s="123"/>
      <c r="B79" s="124"/>
      <c r="C79" s="124"/>
      <c r="D79" s="121"/>
      <c r="E79" s="123"/>
      <c r="F79" s="124"/>
      <c r="G79" s="124"/>
      <c r="H79" s="121"/>
      <c r="I79" s="123"/>
      <c r="J79" s="124"/>
      <c r="K79" s="124"/>
      <c r="L79" s="121"/>
      <c r="M79" s="123"/>
      <c r="N79" s="124"/>
      <c r="O79" s="124"/>
      <c r="P79" s="121"/>
      <c r="Q79" s="123"/>
      <c r="R79" s="124"/>
      <c r="S79" s="124"/>
      <c r="T79" s="121"/>
      <c r="U79" s="123"/>
      <c r="V79" s="124"/>
      <c r="W79" s="124"/>
      <c r="X79" s="121"/>
    </row>
    <row r="80" spans="1:24" s="128" customFormat="1" ht="21">
      <c r="A80" s="125"/>
      <c r="B80" s="126" t="s">
        <v>174</v>
      </c>
      <c r="C80" s="126" t="s">
        <v>175</v>
      </c>
      <c r="D80" s="127"/>
      <c r="E80" s="125"/>
      <c r="F80" s="126" t="s">
        <v>174</v>
      </c>
      <c r="G80" s="126" t="s">
        <v>175</v>
      </c>
      <c r="H80" s="127"/>
      <c r="I80" s="125"/>
      <c r="J80" s="126" t="s">
        <v>174</v>
      </c>
      <c r="K80" s="126" t="s">
        <v>175</v>
      </c>
      <c r="L80" s="127"/>
      <c r="M80" s="125"/>
      <c r="N80" s="126" t="s">
        <v>174</v>
      </c>
      <c r="O80" s="126" t="s">
        <v>175</v>
      </c>
      <c r="P80" s="127"/>
      <c r="Q80" s="125"/>
      <c r="R80" s="126" t="s">
        <v>174</v>
      </c>
      <c r="S80" s="126" t="s">
        <v>175</v>
      </c>
      <c r="T80" s="127"/>
      <c r="U80" s="125"/>
      <c r="V80" s="126" t="s">
        <v>174</v>
      </c>
      <c r="W80" s="126" t="s">
        <v>175</v>
      </c>
      <c r="X80" s="127"/>
    </row>
    <row r="81" spans="1:24">
      <c r="A81" s="129"/>
      <c r="B81" s="119">
        <f>SUMIF(D48:D78,"&lt;0")</f>
        <v>-420.90000000000015</v>
      </c>
      <c r="C81" s="119">
        <f>SUMIF(D48:D78,"&gt;0")</f>
        <v>65.100000000000009</v>
      </c>
      <c r="D81" s="130"/>
      <c r="E81" s="129"/>
      <c r="F81" s="119">
        <f>SUMIF(H48:H78,"&lt;0")</f>
        <v>-567.30000000000007</v>
      </c>
      <c r="G81" s="119">
        <f>SUMIF(H48:H78,"&gt;0")</f>
        <v>0</v>
      </c>
      <c r="H81" s="130"/>
      <c r="I81" s="129"/>
      <c r="J81" s="119">
        <f>SUMIF(L48:L78,"&lt;0")</f>
        <v>-549.00000000000011</v>
      </c>
      <c r="K81" s="119">
        <f>SUMIF(L48:L78,"&gt;0")</f>
        <v>0</v>
      </c>
      <c r="L81" s="130"/>
      <c r="M81" s="129"/>
      <c r="N81" s="119">
        <f>SUMIF(P48:P78,"&lt;0")</f>
        <v>-567.30000000000007</v>
      </c>
      <c r="O81" s="119">
        <f>SUMIF(P48:P78,"&gt;0")</f>
        <v>0</v>
      </c>
      <c r="P81" s="130"/>
      <c r="Q81" s="129"/>
      <c r="R81" s="119">
        <f>SUMIF(T48:T78,"&lt;0")</f>
        <v>-549.00000000000011</v>
      </c>
      <c r="S81" s="119">
        <f>SUMIF(T48:T78,"&gt;0")</f>
        <v>0</v>
      </c>
      <c r="T81" s="130"/>
      <c r="U81" s="129"/>
      <c r="V81" s="119">
        <f>SUMIF(X48:X78,"&lt;0")</f>
        <v>-549.00000000000011</v>
      </c>
      <c r="W81" s="119">
        <f>SUMIF(X48:X78,"&gt;0")</f>
        <v>0</v>
      </c>
      <c r="X81" s="130"/>
    </row>
    <row r="82" spans="1:24">
      <c r="A82" s="131"/>
      <c r="B82" s="132"/>
      <c r="C82" s="132"/>
      <c r="D82" s="133"/>
      <c r="E82" s="131"/>
      <c r="F82" s="132"/>
      <c r="G82" s="132"/>
      <c r="H82" s="139"/>
      <c r="I82" s="131"/>
      <c r="J82" s="132"/>
      <c r="K82" s="132"/>
      <c r="L82" s="133"/>
      <c r="M82" s="131"/>
      <c r="N82" s="132"/>
      <c r="O82" s="132"/>
      <c r="P82" s="133"/>
      <c r="Q82" s="131"/>
      <c r="R82" s="132"/>
      <c r="S82" s="132"/>
      <c r="T82" s="133"/>
      <c r="U82" s="131"/>
      <c r="V82" s="132"/>
      <c r="W82" s="132"/>
      <c r="X82" s="133"/>
    </row>
    <row r="83" spans="1:24" ht="15.75" thickBot="1">
      <c r="D83" s="134"/>
      <c r="L83" s="134"/>
      <c r="P83" s="134"/>
      <c r="T83" s="134"/>
      <c r="X83" s="134"/>
    </row>
    <row r="84" spans="1:24">
      <c r="D84" s="134"/>
      <c r="L84" s="134"/>
      <c r="N84" s="711" t="s">
        <v>174</v>
      </c>
      <c r="O84" s="711" t="s">
        <v>175</v>
      </c>
      <c r="P84" s="134"/>
      <c r="T84" s="134"/>
      <c r="X84" s="134"/>
    </row>
    <row r="85" spans="1:24" ht="20.25" thickBot="1">
      <c r="D85" s="134"/>
      <c r="I85" s="713" t="s">
        <v>182</v>
      </c>
      <c r="J85" s="714"/>
      <c r="K85" s="714"/>
      <c r="L85" s="714"/>
      <c r="N85" s="712"/>
      <c r="O85" s="712"/>
      <c r="P85" s="134"/>
      <c r="R85" s="17"/>
      <c r="S85" s="17"/>
      <c r="T85" s="140"/>
      <c r="U85" s="141"/>
      <c r="X85" s="134"/>
    </row>
    <row r="86" spans="1:24" ht="18.75" thickBot="1">
      <c r="D86" s="134"/>
      <c r="I86" s="715" t="s">
        <v>183</v>
      </c>
      <c r="J86" s="715"/>
      <c r="K86" s="715"/>
      <c r="L86" s="715"/>
      <c r="N86" s="142">
        <f>B43+F43+J43+N43+R43+V43+B81+F81+J81+N81+R81+V81</f>
        <v>-3640.3</v>
      </c>
      <c r="O86" s="142">
        <f>C43+G43+K43+O43+S43+W43+C81+G81+K81+O81+S81+W81</f>
        <v>417.1</v>
      </c>
      <c r="P86" s="134"/>
      <c r="R86" s="143"/>
      <c r="S86" s="143"/>
      <c r="T86" s="144"/>
      <c r="U86" s="145"/>
      <c r="X86" s="134"/>
    </row>
    <row r="87" spans="1:24" ht="18">
      <c r="D87" s="134"/>
      <c r="L87" s="134"/>
      <c r="P87" s="134"/>
      <c r="R87" s="143"/>
      <c r="S87" s="143"/>
      <c r="T87" s="146"/>
      <c r="U87" s="145"/>
      <c r="X87" s="134"/>
    </row>
    <row r="88" spans="1:24" ht="15.75">
      <c r="B88" s="705"/>
      <c r="C88" s="705"/>
      <c r="D88" s="705"/>
      <c r="E88" s="705"/>
      <c r="F88" s="705"/>
      <c r="G88" s="705"/>
      <c r="H88" s="705"/>
      <c r="I88" s="705"/>
      <c r="J88" s="705"/>
      <c r="K88" s="705"/>
      <c r="L88" s="705"/>
      <c r="M88" s="705"/>
      <c r="N88" s="705"/>
      <c r="O88" s="705"/>
      <c r="P88" s="705"/>
      <c r="Q88" s="705"/>
      <c r="R88" s="705"/>
      <c r="S88" s="705"/>
      <c r="T88" s="705"/>
      <c r="U88" s="705"/>
      <c r="V88" s="705"/>
      <c r="W88" s="705"/>
      <c r="X88" s="134"/>
    </row>
    <row r="89" spans="1:24">
      <c r="D89" s="134"/>
      <c r="P89" s="134"/>
      <c r="X89" s="134"/>
    </row>
    <row r="90" spans="1:24">
      <c r="D90" s="134"/>
      <c r="P90" s="134"/>
    </row>
    <row r="91" spans="1:24">
      <c r="D91" s="134"/>
      <c r="P91" s="134"/>
    </row>
    <row r="92" spans="1:24">
      <c r="D92" s="159" t="s">
        <v>195</v>
      </c>
      <c r="P92" s="134"/>
    </row>
    <row r="93" spans="1:24">
      <c r="D93" s="134"/>
      <c r="P93" s="134"/>
    </row>
    <row r="94" spans="1:24">
      <c r="D94" s="134"/>
      <c r="P94" s="134"/>
    </row>
    <row r="95" spans="1:24">
      <c r="D95" s="134"/>
      <c r="P95" s="134"/>
    </row>
    <row r="96" spans="1:24">
      <c r="D96" s="134"/>
    </row>
  </sheetData>
  <mergeCells count="12">
    <mergeCell ref="B88:W88"/>
    <mergeCell ref="A7:B7"/>
    <mergeCell ref="C7:K7"/>
    <mergeCell ref="N84:N85"/>
    <mergeCell ref="O84:O85"/>
    <mergeCell ref="I85:L85"/>
    <mergeCell ref="I86:L86"/>
    <mergeCell ref="A1:X1"/>
    <mergeCell ref="A2:X2"/>
    <mergeCell ref="A3:X3"/>
    <mergeCell ref="A5:X5"/>
    <mergeCell ref="A6:X6"/>
  </mergeCells>
  <hyperlinks>
    <hyperlink ref="D92" r:id="rId1"/>
  </hyperlinks>
  <pageMargins left="0.70866141732283472" right="0.70866141732283472" top="0.74803149606299213" bottom="0.74803149606299213" header="0.31496062992125984" footer="0.31496062992125984"/>
  <pageSetup paperSize="8" orientation="landscape" r:id="rId2"/>
  <drawing r:id="rId3"/>
  <legacyDrawing r:id="rId4"/>
</worksheet>
</file>

<file path=xl/worksheets/sheet16.xml><?xml version="1.0" encoding="utf-8"?>
<worksheet xmlns="http://schemas.openxmlformats.org/spreadsheetml/2006/main" xmlns:r="http://schemas.openxmlformats.org/officeDocument/2006/relationships">
  <dimension ref="A2:K33"/>
  <sheetViews>
    <sheetView topLeftCell="A3" workbookViewId="0">
      <pane xSplit="1" topLeftCell="B1" activePane="topRight" state="frozen"/>
      <selection pane="topRight" activeCell="B9" sqref="B9"/>
    </sheetView>
  </sheetViews>
  <sheetFormatPr defaultRowHeight="15"/>
  <cols>
    <col min="1" max="1" width="14.85546875" customWidth="1"/>
    <col min="2" max="2" width="12.28515625" bestFit="1" customWidth="1"/>
    <col min="3" max="3" width="9" bestFit="1" customWidth="1"/>
    <col min="4" max="4" width="17.7109375" bestFit="1" customWidth="1"/>
    <col min="5" max="5" width="15" bestFit="1" customWidth="1"/>
    <col min="6" max="6" width="14.7109375" style="177" customWidth="1"/>
    <col min="7" max="7" width="16.7109375" bestFit="1" customWidth="1"/>
    <col min="8" max="8" width="16" customWidth="1"/>
    <col min="9" max="9" width="16" bestFit="1" customWidth="1"/>
    <col min="10" max="10" width="15.28515625" bestFit="1" customWidth="1"/>
    <col min="11" max="11" width="16.140625" bestFit="1" customWidth="1"/>
    <col min="12" max="12" width="10.5703125" bestFit="1" customWidth="1"/>
    <col min="14" max="14" width="15.28515625" bestFit="1" customWidth="1"/>
    <col min="15" max="15" width="10.5703125" bestFit="1" customWidth="1"/>
  </cols>
  <sheetData>
    <row r="2" spans="1:11">
      <c r="A2" s="716" t="s">
        <v>216</v>
      </c>
      <c r="B2" s="716"/>
      <c r="C2" s="716"/>
      <c r="D2" s="716"/>
      <c r="E2" s="716"/>
      <c r="F2" s="716"/>
      <c r="G2" s="716"/>
      <c r="H2" s="716"/>
      <c r="I2" s="716"/>
    </row>
    <row r="3" spans="1:11">
      <c r="A3" s="196">
        <v>43971</v>
      </c>
      <c r="B3" s="180"/>
      <c r="C3" s="180"/>
      <c r="D3" s="180"/>
      <c r="E3" s="180"/>
      <c r="F3" s="180"/>
      <c r="G3" s="180"/>
      <c r="H3" s="180"/>
      <c r="I3" s="3"/>
    </row>
    <row r="4" spans="1:11">
      <c r="A4" s="3"/>
      <c r="B4" s="3"/>
      <c r="C4" s="3" t="s">
        <v>223</v>
      </c>
      <c r="D4" s="3">
        <v>1507.5</v>
      </c>
      <c r="E4" s="3"/>
      <c r="F4" s="199">
        <f>'EDl log'!A37</f>
        <v>6</v>
      </c>
      <c r="G4" s="198">
        <v>31</v>
      </c>
      <c r="H4" s="198"/>
      <c r="I4" s="198"/>
    </row>
    <row r="5" spans="1:11">
      <c r="A5" s="250" t="s">
        <v>232</v>
      </c>
      <c r="B5" s="178" t="s">
        <v>231</v>
      </c>
      <c r="C5" s="178" t="s">
        <v>228</v>
      </c>
      <c r="D5" s="178" t="s">
        <v>229</v>
      </c>
      <c r="E5" s="178" t="s">
        <v>230</v>
      </c>
      <c r="F5" s="251" t="s">
        <v>227</v>
      </c>
      <c r="G5" s="253" t="s">
        <v>337</v>
      </c>
      <c r="H5" s="253" t="s">
        <v>336</v>
      </c>
      <c r="I5" s="197" t="s">
        <v>233</v>
      </c>
      <c r="K5" s="442"/>
    </row>
    <row r="6" spans="1:11">
      <c r="A6" s="187" t="s">
        <v>217</v>
      </c>
      <c r="B6" s="360">
        <f>WATER!C37</f>
        <v>0</v>
      </c>
      <c r="C6" s="337">
        <v>1.45</v>
      </c>
      <c r="D6" s="187">
        <f>SUM(C6*B6)*D4</f>
        <v>0</v>
      </c>
      <c r="E6" s="448">
        <f>SUM(D6/D4)/F4</f>
        <v>0</v>
      </c>
      <c r="F6" s="188">
        <f>SUM(E6*F4)</f>
        <v>0</v>
      </c>
      <c r="G6" s="189">
        <f>SUM(B6*C6)</f>
        <v>0</v>
      </c>
      <c r="H6" s="188">
        <f>10066.1-H7</f>
        <v>2566.1000000000004</v>
      </c>
      <c r="I6" s="351">
        <f>10800-I7</f>
        <v>3300</v>
      </c>
      <c r="J6" s="282"/>
    </row>
    <row r="7" spans="1:11">
      <c r="A7" s="187" t="s">
        <v>218</v>
      </c>
      <c r="B7" s="360">
        <f>WATER!H37</f>
        <v>1429</v>
      </c>
      <c r="C7" s="187">
        <v>7500</v>
      </c>
      <c r="D7" s="190">
        <f>SUM(C7)*D4</f>
        <v>11306250</v>
      </c>
      <c r="E7" s="188">
        <f>SUM(I7/G4)</f>
        <v>241.93548387096774</v>
      </c>
      <c r="F7" s="188">
        <f>SUM(E7*F4)</f>
        <v>1451.6129032258063</v>
      </c>
      <c r="G7" s="525">
        <v>7500</v>
      </c>
      <c r="H7" s="192">
        <v>7500</v>
      </c>
      <c r="I7" s="188">
        <v>7500</v>
      </c>
      <c r="J7" s="282"/>
    </row>
    <row r="8" spans="1:11">
      <c r="A8" s="193" t="s">
        <v>219</v>
      </c>
      <c r="B8" s="361">
        <f>tanks!AT37</f>
        <v>38361</v>
      </c>
      <c r="C8" s="508">
        <f>SUM(tanks!AU37)</f>
        <v>0.48439999999999994</v>
      </c>
      <c r="D8" s="194">
        <f>SUM(B8*C8)*D4</f>
        <v>28012468.112999994</v>
      </c>
      <c r="E8" s="195">
        <f>SUM(D8/D4/F4)</f>
        <v>3097.0113999999994</v>
      </c>
      <c r="F8" s="195">
        <f>SUM(E8*F4)</f>
        <v>18582.068399999996</v>
      </c>
      <c r="G8" s="525">
        <f>E8*$F$4</f>
        <v>18582.068399999996</v>
      </c>
      <c r="H8" s="192">
        <v>32047</v>
      </c>
      <c r="I8" s="195">
        <v>40700</v>
      </c>
      <c r="J8" s="282"/>
    </row>
    <row r="9" spans="1:11">
      <c r="A9" s="2" t="s">
        <v>220</v>
      </c>
      <c r="B9" s="362">
        <f>'B5'!AV36</f>
        <v>1000</v>
      </c>
      <c r="C9" s="359">
        <v>0.7</v>
      </c>
      <c r="D9" s="191">
        <f>SUM(B9*C9)*D4</f>
        <v>1055250</v>
      </c>
      <c r="E9" s="192">
        <f>SUM(C9*B9)/F4</f>
        <v>116.66666666666667</v>
      </c>
      <c r="F9" s="192">
        <f>SUM(E9*F4)</f>
        <v>700</v>
      </c>
      <c r="G9" s="525">
        <f>E9*$G$4</f>
        <v>3616.666666666667</v>
      </c>
      <c r="H9" s="192">
        <v>4743.6000000000004</v>
      </c>
      <c r="I9" s="192">
        <v>6000</v>
      </c>
      <c r="J9" s="282"/>
    </row>
    <row r="10" spans="1:11">
      <c r="A10" s="184" t="s">
        <v>221</v>
      </c>
      <c r="B10" s="363"/>
      <c r="C10" s="184"/>
      <c r="D10" s="186">
        <f>SUM('EDl log'!AB31)</f>
        <v>3065953.4838709678</v>
      </c>
      <c r="E10" s="185">
        <f>SUM(D10/D4/F4)</f>
        <v>338.96666488346796</v>
      </c>
      <c r="F10" s="185">
        <f>SUM(E10*F4)</f>
        <v>2033.7999893008077</v>
      </c>
      <c r="G10" s="525">
        <f>E10*$G$4</f>
        <v>10507.966611387506</v>
      </c>
      <c r="H10" s="192">
        <v>26645</v>
      </c>
      <c r="I10" s="285">
        <v>36300</v>
      </c>
      <c r="J10" s="282"/>
      <c r="K10" s="282"/>
    </row>
    <row r="11" spans="1:11">
      <c r="I11" s="282"/>
      <c r="J11" s="282"/>
      <c r="K11" s="282"/>
    </row>
    <row r="12" spans="1:11" ht="42.75" customHeight="1">
      <c r="E12" s="441">
        <f>SUM(E6:E11)</f>
        <v>3794.5802154211015</v>
      </c>
      <c r="F12" s="183">
        <f>SUM(F6:F10)</f>
        <v>22767.481292526612</v>
      </c>
      <c r="G12" s="182">
        <f>SUM(G6:G10)</f>
        <v>40206.701678054174</v>
      </c>
      <c r="H12" s="182">
        <f>SUM(H6:H11)</f>
        <v>73501.7</v>
      </c>
      <c r="I12" s="224">
        <f>SUM(I6:I11)</f>
        <v>93800</v>
      </c>
      <c r="J12" s="282"/>
    </row>
    <row r="13" spans="1:11" ht="30">
      <c r="A13" s="3"/>
      <c r="B13" s="178" t="s">
        <v>227</v>
      </c>
      <c r="C13" s="431" t="s">
        <v>387</v>
      </c>
      <c r="D13" s="431" t="s">
        <v>391</v>
      </c>
      <c r="E13" s="431" t="s">
        <v>388</v>
      </c>
      <c r="F13" s="431" t="s">
        <v>413</v>
      </c>
      <c r="G13" s="433"/>
      <c r="H13" s="17"/>
      <c r="I13" s="17"/>
      <c r="J13" s="17"/>
    </row>
    <row r="14" spans="1:11">
      <c r="A14" s="462" t="s">
        <v>303</v>
      </c>
      <c r="B14" s="97">
        <f>'Degree Days 2020'!AA16</f>
        <v>-420.90000000000015</v>
      </c>
      <c r="C14" s="445">
        <f>'[7]Utility Cost '!C14</f>
        <v>151</v>
      </c>
      <c r="D14" s="170"/>
      <c r="E14" s="170">
        <f t="shared" ref="E14:E18" si="0">B14-C14</f>
        <v>-571.90000000000009</v>
      </c>
      <c r="F14" s="524">
        <v>0</v>
      </c>
      <c r="G14" s="433"/>
      <c r="H14" s="434">
        <f>SUM(G12-H12)</f>
        <v>-33294.998321945823</v>
      </c>
      <c r="I14" s="434">
        <f>SUM(G12-I12)</f>
        <v>-53593.298321945826</v>
      </c>
    </row>
    <row r="15" spans="1:11">
      <c r="A15" s="462" t="s">
        <v>304</v>
      </c>
      <c r="B15" s="97">
        <f>'Degree Days 2020'!AB16</f>
        <v>65.100000000000009</v>
      </c>
      <c r="C15" s="445">
        <f>'[7]Utility Cost '!C15</f>
        <v>-18.3</v>
      </c>
      <c r="D15" s="170"/>
      <c r="E15" s="170">
        <f t="shared" si="0"/>
        <v>83.4</v>
      </c>
      <c r="F15" s="524">
        <v>0</v>
      </c>
      <c r="G15" s="433"/>
      <c r="H15" s="17"/>
      <c r="I15" s="17"/>
      <c r="J15" s="17"/>
    </row>
    <row r="16" spans="1:11">
      <c r="A16" s="462" t="s">
        <v>305</v>
      </c>
      <c r="B16" s="97">
        <f>'General information '!D38</f>
        <v>35.25</v>
      </c>
      <c r="C16" s="445">
        <f>'[7]Utility Cost '!C16</f>
        <v>27.967741935483872</v>
      </c>
      <c r="D16" s="445"/>
      <c r="E16" s="446">
        <f t="shared" si="0"/>
        <v>7.2822580645161281</v>
      </c>
      <c r="F16" s="546">
        <v>0</v>
      </c>
      <c r="G16" s="433"/>
      <c r="H16" s="17"/>
      <c r="I16" s="17"/>
      <c r="J16" s="17"/>
    </row>
    <row r="17" spans="1:10">
      <c r="A17" s="538" t="s">
        <v>317</v>
      </c>
      <c r="B17" s="541">
        <f>'General information '!F37</f>
        <v>7.4462499999999987E-2</v>
      </c>
      <c r="C17" s="540">
        <f>'[7]Utility Cost '!C17</f>
        <v>0.83235161290322568</v>
      </c>
      <c r="D17" s="491">
        <f>'[8]Other Fuel Calculation 2020'!$H$62</f>
        <v>0.68010000000000004</v>
      </c>
      <c r="E17" s="540">
        <f t="shared" si="0"/>
        <v>-0.75788911290322569</v>
      </c>
      <c r="F17" s="544">
        <f>B17-D17</f>
        <v>-0.60563750000000005</v>
      </c>
      <c r="G17" s="17"/>
      <c r="H17" s="17"/>
      <c r="I17" s="17"/>
      <c r="J17" s="17"/>
    </row>
    <row r="18" spans="1:10">
      <c r="A18" s="539" t="s">
        <v>389</v>
      </c>
      <c r="B18" s="543">
        <f>GEN!Z34</f>
        <v>156</v>
      </c>
      <c r="C18" s="445">
        <f>'[7]Utility Cost '!C18</f>
        <v>243</v>
      </c>
      <c r="D18" s="443">
        <f>'[8]Other Fuel Calculation 2020'!$H$60</f>
        <v>220</v>
      </c>
      <c r="E18" s="542">
        <f t="shared" si="0"/>
        <v>-87</v>
      </c>
      <c r="F18" s="545">
        <f>B18-D18</f>
        <v>-64</v>
      </c>
    </row>
    <row r="19" spans="1:10">
      <c r="A19" s="539" t="s">
        <v>414</v>
      </c>
      <c r="B19" s="537">
        <f>SUM(B18/$F$4)</f>
        <v>26</v>
      </c>
      <c r="C19" s="445">
        <f>'[7]Utility Cost '!C19</f>
        <v>7.838709677419355</v>
      </c>
      <c r="D19" s="444"/>
      <c r="E19" s="444"/>
      <c r="F19" s="524"/>
    </row>
    <row r="20" spans="1:10">
      <c r="F20"/>
    </row>
    <row r="21" spans="1:10" ht="27" customHeight="1">
      <c r="F21"/>
    </row>
    <row r="22" spans="1:10">
      <c r="F22"/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</sheetData>
  <mergeCells count="1">
    <mergeCell ref="A2:I2"/>
  </mergeCells>
  <conditionalFormatting sqref="E14:E18">
    <cfRule type="cellIs" dxfId="1" priority="2" stopIfTrue="1" operator="lessThan">
      <formula>0</formula>
    </cfRule>
  </conditionalFormatting>
  <conditionalFormatting sqref="F14:F18">
    <cfRule type="cellIs" dxfId="0" priority="1" stopIfTrue="1" operator="lessThan">
      <formula>0</formula>
    </cfRule>
  </conditionalFormatting>
  <pageMargins left="0.7" right="0.7" top="0.75" bottom="0.75" header="0.3" footer="0.3"/>
  <pageSetup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I37"/>
  <sheetViews>
    <sheetView workbookViewId="0">
      <selection activeCell="J32" sqref="J32"/>
    </sheetView>
  </sheetViews>
  <sheetFormatPr defaultRowHeight="15"/>
  <cols>
    <col min="6" max="6" width="15.140625" bestFit="1" customWidth="1"/>
    <col min="7" max="7" width="35.140625" bestFit="1" customWidth="1"/>
  </cols>
  <sheetData>
    <row r="1" spans="1:9" ht="15.75" thickBot="1">
      <c r="A1" s="201" t="s">
        <v>235</v>
      </c>
      <c r="B1" s="202" t="s">
        <v>236</v>
      </c>
      <c r="C1" s="202" t="s">
        <v>237</v>
      </c>
      <c r="D1" s="202" t="s">
        <v>238</v>
      </c>
      <c r="E1" s="202" t="s">
        <v>308</v>
      </c>
      <c r="F1" s="202" t="s">
        <v>239</v>
      </c>
      <c r="G1" s="202" t="s">
        <v>240</v>
      </c>
      <c r="H1" s="202" t="s">
        <v>241</v>
      </c>
      <c r="I1" s="202" t="s">
        <v>51</v>
      </c>
    </row>
    <row r="2" spans="1:9">
      <c r="A2" s="203" t="s">
        <v>242</v>
      </c>
      <c r="B2" s="203" t="s">
        <v>243</v>
      </c>
      <c r="C2" s="203"/>
      <c r="D2" s="203"/>
      <c r="E2" s="203"/>
      <c r="F2" s="203"/>
      <c r="G2" s="203" t="s">
        <v>244</v>
      </c>
      <c r="H2" s="203"/>
      <c r="I2" s="203"/>
    </row>
    <row r="3" spans="1:9">
      <c r="A3" s="204" t="s">
        <v>245</v>
      </c>
      <c r="B3" s="204" t="s">
        <v>246</v>
      </c>
      <c r="C3" s="204"/>
      <c r="D3" s="204"/>
      <c r="E3" s="204"/>
      <c r="F3" s="204"/>
      <c r="G3" s="204" t="s">
        <v>306</v>
      </c>
      <c r="H3" s="204"/>
      <c r="I3" s="204"/>
    </row>
    <row r="4" spans="1:9">
      <c r="A4" s="204" t="s">
        <v>247</v>
      </c>
      <c r="B4" s="204" t="s">
        <v>248</v>
      </c>
      <c r="C4" s="204"/>
      <c r="D4" s="204"/>
      <c r="E4" s="204"/>
      <c r="F4" s="204"/>
      <c r="G4" s="204" t="s">
        <v>307</v>
      </c>
      <c r="H4" s="204"/>
      <c r="I4" s="204"/>
    </row>
    <row r="5" spans="1:9">
      <c r="A5" s="204" t="s">
        <v>249</v>
      </c>
      <c r="B5" s="204" t="s">
        <v>248</v>
      </c>
      <c r="C5" s="204"/>
      <c r="D5" s="204"/>
      <c r="E5" s="204"/>
      <c r="F5" s="204"/>
      <c r="G5" s="204" t="s">
        <v>249</v>
      </c>
      <c r="H5" s="204"/>
      <c r="I5" s="204"/>
    </row>
    <row r="6" spans="1:9" ht="15.75" thickBot="1">
      <c r="A6" s="205" t="s">
        <v>250</v>
      </c>
      <c r="B6" s="205" t="s">
        <v>248</v>
      </c>
      <c r="C6" s="205"/>
      <c r="D6" s="205"/>
      <c r="E6" s="205"/>
      <c r="F6" s="205"/>
      <c r="G6" s="205" t="s">
        <v>307</v>
      </c>
      <c r="H6" s="205"/>
      <c r="I6" s="205"/>
    </row>
    <row r="7" spans="1:9" ht="15.75" thickBot="1">
      <c r="A7" s="201" t="s">
        <v>251</v>
      </c>
      <c r="B7" s="202" t="s">
        <v>236</v>
      </c>
      <c r="C7" s="202" t="s">
        <v>237</v>
      </c>
      <c r="D7" s="202" t="s">
        <v>252</v>
      </c>
      <c r="E7" s="202" t="s">
        <v>308</v>
      </c>
      <c r="F7" s="202" t="s">
        <v>253</v>
      </c>
      <c r="G7" s="202"/>
      <c r="H7" s="202"/>
      <c r="I7" s="202"/>
    </row>
    <row r="8" spans="1:9">
      <c r="A8" s="203" t="s">
        <v>254</v>
      </c>
      <c r="B8" s="203" t="s">
        <v>243</v>
      </c>
      <c r="C8" s="203"/>
      <c r="D8" s="203"/>
      <c r="E8" s="203"/>
      <c r="F8" s="203"/>
      <c r="G8" s="208" t="s">
        <v>309</v>
      </c>
      <c r="H8" s="203"/>
      <c r="I8" s="203"/>
    </row>
    <row r="9" spans="1:9">
      <c r="A9" s="204" t="s">
        <v>255</v>
      </c>
      <c r="B9" s="204" t="s">
        <v>256</v>
      </c>
      <c r="C9" s="204"/>
      <c r="D9" s="204"/>
      <c r="E9" s="204"/>
      <c r="F9" s="204"/>
      <c r="G9" s="204" t="s">
        <v>310</v>
      </c>
      <c r="H9" s="204"/>
      <c r="I9" s="204"/>
    </row>
    <row r="10" spans="1:9">
      <c r="A10" s="204" t="s">
        <v>257</v>
      </c>
      <c r="B10" s="204" t="s">
        <v>256</v>
      </c>
      <c r="C10" s="204"/>
      <c r="D10" s="204"/>
      <c r="E10" s="204"/>
      <c r="F10" s="204"/>
      <c r="G10" s="204" t="s">
        <v>311</v>
      </c>
      <c r="H10" s="204"/>
      <c r="I10" s="204"/>
    </row>
    <row r="11" spans="1:9">
      <c r="A11" s="204" t="s">
        <v>258</v>
      </c>
      <c r="B11" s="204" t="s">
        <v>256</v>
      </c>
      <c r="C11" s="204"/>
      <c r="D11" s="204"/>
      <c r="E11" s="204"/>
      <c r="F11" s="204"/>
      <c r="G11" s="204" t="s">
        <v>312</v>
      </c>
      <c r="H11" s="204"/>
      <c r="I11" s="204"/>
    </row>
    <row r="12" spans="1:9">
      <c r="A12" s="204" t="s">
        <v>259</v>
      </c>
      <c r="B12" s="204" t="s">
        <v>260</v>
      </c>
      <c r="C12" s="204"/>
      <c r="D12" s="204"/>
      <c r="E12" s="204"/>
      <c r="F12" s="204"/>
      <c r="G12" s="204" t="s">
        <v>310</v>
      </c>
      <c r="H12" s="204"/>
      <c r="I12" s="204"/>
    </row>
    <row r="13" spans="1:9" ht="15.75" thickBot="1">
      <c r="A13" s="205" t="s">
        <v>261</v>
      </c>
      <c r="B13" s="205" t="s">
        <v>243</v>
      </c>
      <c r="C13" s="205"/>
      <c r="D13" s="205"/>
      <c r="E13" s="205"/>
      <c r="F13" s="205"/>
      <c r="G13" s="205" t="s">
        <v>262</v>
      </c>
      <c r="H13" s="205"/>
      <c r="I13" s="205"/>
    </row>
    <row r="14" spans="1:9" ht="15.75" thickBot="1">
      <c r="A14" s="201" t="s">
        <v>263</v>
      </c>
      <c r="B14" s="202" t="s">
        <v>264</v>
      </c>
      <c r="C14" s="202" t="s">
        <v>265</v>
      </c>
      <c r="D14" s="202" t="s">
        <v>266</v>
      </c>
      <c r="E14" s="202" t="s">
        <v>308</v>
      </c>
      <c r="F14" s="202" t="s">
        <v>267</v>
      </c>
      <c r="G14" s="202"/>
      <c r="H14" s="202"/>
      <c r="I14" s="202"/>
    </row>
    <row r="15" spans="1:9">
      <c r="A15" s="203" t="s">
        <v>268</v>
      </c>
      <c r="B15" s="203" t="s">
        <v>243</v>
      </c>
      <c r="C15" s="203"/>
      <c r="D15" s="203"/>
      <c r="E15" s="203"/>
      <c r="F15" s="203"/>
      <c r="G15" s="208" t="s">
        <v>313</v>
      </c>
      <c r="H15" s="203"/>
      <c r="I15" s="203"/>
    </row>
    <row r="16" spans="1:9">
      <c r="A16" s="204" t="s">
        <v>269</v>
      </c>
      <c r="B16" s="204">
        <v>400</v>
      </c>
      <c r="C16" s="204"/>
      <c r="D16" s="204"/>
      <c r="E16" s="204"/>
      <c r="F16" s="204"/>
      <c r="G16" s="204" t="s">
        <v>270</v>
      </c>
      <c r="H16" s="204"/>
      <c r="I16" s="204"/>
    </row>
    <row r="17" spans="1:9">
      <c r="A17" s="204" t="s">
        <v>271</v>
      </c>
      <c r="B17" s="204">
        <v>400</v>
      </c>
      <c r="C17" s="204"/>
      <c r="D17" s="204"/>
      <c r="E17" s="204"/>
      <c r="F17" s="204"/>
      <c r="G17" s="204" t="s">
        <v>272</v>
      </c>
      <c r="H17" s="204"/>
      <c r="I17" s="204"/>
    </row>
    <row r="18" spans="1:9">
      <c r="A18" s="204" t="s">
        <v>273</v>
      </c>
      <c r="B18" s="204">
        <v>400</v>
      </c>
      <c r="C18" s="204"/>
      <c r="D18" s="204"/>
      <c r="E18" s="204"/>
      <c r="F18" s="204"/>
      <c r="G18" s="204" t="s">
        <v>274</v>
      </c>
      <c r="H18" s="204"/>
      <c r="I18" s="204"/>
    </row>
    <row r="19" spans="1:9">
      <c r="A19" s="204" t="s">
        <v>275</v>
      </c>
      <c r="B19" s="204">
        <v>400</v>
      </c>
      <c r="C19" s="204"/>
      <c r="D19" s="204"/>
      <c r="E19" s="204"/>
      <c r="F19" s="204"/>
      <c r="G19" s="181" t="s">
        <v>276</v>
      </c>
      <c r="H19" s="204"/>
      <c r="I19" s="204"/>
    </row>
    <row r="20" spans="1:9">
      <c r="A20" s="204" t="s">
        <v>277</v>
      </c>
      <c r="B20" s="204">
        <v>400</v>
      </c>
      <c r="C20" s="204"/>
      <c r="D20" s="204"/>
      <c r="E20" s="204"/>
      <c r="F20" s="204"/>
      <c r="G20" s="204" t="s">
        <v>278</v>
      </c>
      <c r="H20" s="204"/>
      <c r="I20" s="204"/>
    </row>
    <row r="21" spans="1:9">
      <c r="A21" s="204" t="s">
        <v>279</v>
      </c>
      <c r="B21" s="204">
        <v>800</v>
      </c>
      <c r="C21" s="204"/>
      <c r="D21" s="204"/>
      <c r="E21" s="204"/>
      <c r="F21" s="204"/>
      <c r="G21" s="204" t="s">
        <v>280</v>
      </c>
      <c r="H21" s="204"/>
      <c r="I21" s="204"/>
    </row>
    <row r="22" spans="1:9" ht="15.75" thickBot="1">
      <c r="A22" s="205" t="s">
        <v>281</v>
      </c>
      <c r="B22" s="205" t="s">
        <v>243</v>
      </c>
      <c r="C22" s="205"/>
      <c r="D22" s="205"/>
      <c r="E22" s="205"/>
      <c r="F22" s="205"/>
      <c r="G22" s="205" t="s">
        <v>262</v>
      </c>
      <c r="H22" s="205"/>
      <c r="I22" s="205"/>
    </row>
    <row r="23" spans="1:9" ht="15.75" thickBot="1">
      <c r="A23" s="201" t="s">
        <v>282</v>
      </c>
      <c r="B23" s="202" t="s">
        <v>264</v>
      </c>
      <c r="C23" s="202" t="s">
        <v>265</v>
      </c>
      <c r="D23" s="202" t="s">
        <v>266</v>
      </c>
      <c r="E23" s="202" t="s">
        <v>308</v>
      </c>
      <c r="F23" s="202" t="s">
        <v>267</v>
      </c>
      <c r="G23" s="202"/>
      <c r="H23" s="202"/>
      <c r="I23" s="202"/>
    </row>
    <row r="24" spans="1:9">
      <c r="A24" s="203" t="s">
        <v>283</v>
      </c>
      <c r="B24" s="203" t="s">
        <v>243</v>
      </c>
      <c r="C24" s="203"/>
      <c r="D24" s="203"/>
      <c r="E24" s="203"/>
      <c r="F24" s="203"/>
      <c r="G24" s="181" t="s">
        <v>244</v>
      </c>
      <c r="H24" s="203"/>
      <c r="I24" s="203"/>
    </row>
    <row r="25" spans="1:9">
      <c r="A25" s="204" t="s">
        <v>284</v>
      </c>
      <c r="B25" s="204">
        <v>400</v>
      </c>
      <c r="C25" s="204" t="s">
        <v>285</v>
      </c>
      <c r="D25" s="204"/>
      <c r="E25" s="204"/>
      <c r="F25" s="204"/>
      <c r="G25" s="204" t="s">
        <v>131</v>
      </c>
      <c r="H25" s="204"/>
      <c r="I25" s="204"/>
    </row>
    <row r="26" spans="1:9">
      <c r="A26" s="204" t="s">
        <v>286</v>
      </c>
      <c r="B26" s="204">
        <v>400</v>
      </c>
      <c r="C26" s="204" t="s">
        <v>285</v>
      </c>
      <c r="D26" s="204"/>
      <c r="E26" s="204"/>
      <c r="F26" s="204"/>
      <c r="G26" s="204" t="s">
        <v>314</v>
      </c>
      <c r="H26" s="204"/>
      <c r="I26" s="204"/>
    </row>
    <row r="27" spans="1:9">
      <c r="A27" s="204" t="s">
        <v>287</v>
      </c>
      <c r="B27" s="204">
        <v>400</v>
      </c>
      <c r="C27" s="204"/>
      <c r="D27" s="204"/>
      <c r="E27" s="204"/>
      <c r="F27" s="204"/>
      <c r="G27" s="204" t="s">
        <v>315</v>
      </c>
      <c r="H27" s="204"/>
      <c r="I27" s="204"/>
    </row>
    <row r="28" spans="1:9">
      <c r="A28" s="204" t="s">
        <v>288</v>
      </c>
      <c r="B28" s="204">
        <v>1000</v>
      </c>
      <c r="C28" s="204"/>
      <c r="D28" s="204"/>
      <c r="E28" s="204"/>
      <c r="F28" s="204"/>
      <c r="G28" s="204" t="s">
        <v>288</v>
      </c>
      <c r="H28" s="204"/>
      <c r="I28" s="204"/>
    </row>
    <row r="29" spans="1:9" ht="15.75" thickBot="1">
      <c r="A29" s="415" t="s">
        <v>382</v>
      </c>
      <c r="B29" s="205">
        <v>1000</v>
      </c>
      <c r="C29" s="205"/>
      <c r="D29" s="205"/>
      <c r="E29" s="205"/>
      <c r="F29" s="205"/>
      <c r="G29" s="205"/>
      <c r="H29" s="205"/>
      <c r="I29" s="205"/>
    </row>
    <row r="30" spans="1:9" ht="15.75" thickBot="1">
      <c r="A30" s="201" t="s">
        <v>290</v>
      </c>
      <c r="B30" s="202" t="s">
        <v>264</v>
      </c>
      <c r="C30" s="202" t="s">
        <v>265</v>
      </c>
      <c r="D30" s="202" t="s">
        <v>266</v>
      </c>
      <c r="E30" s="202" t="s">
        <v>308</v>
      </c>
      <c r="F30" s="202" t="s">
        <v>267</v>
      </c>
      <c r="G30" s="202"/>
      <c r="H30" s="202"/>
      <c r="I30" s="202"/>
    </row>
    <row r="31" spans="1:9">
      <c r="A31" s="203" t="s">
        <v>28</v>
      </c>
      <c r="B31" s="203" t="s">
        <v>243</v>
      </c>
      <c r="C31" s="203"/>
      <c r="D31" s="203"/>
      <c r="E31" s="203"/>
      <c r="F31" s="203"/>
      <c r="G31" s="181" t="s">
        <v>244</v>
      </c>
      <c r="H31" s="203"/>
      <c r="I31" s="203"/>
    </row>
    <row r="32" spans="1:9">
      <c r="A32" s="204" t="s">
        <v>291</v>
      </c>
      <c r="B32" s="204">
        <v>1000</v>
      </c>
      <c r="C32" s="204"/>
      <c r="D32" s="204"/>
      <c r="E32" s="204"/>
      <c r="F32" s="204"/>
      <c r="G32" s="204" t="s">
        <v>292</v>
      </c>
      <c r="H32" s="204"/>
      <c r="I32" s="204"/>
    </row>
    <row r="33" spans="1:9">
      <c r="A33" s="204" t="s">
        <v>293</v>
      </c>
      <c r="B33" s="204">
        <v>630</v>
      </c>
      <c r="C33" s="204"/>
      <c r="D33" s="204"/>
      <c r="E33" s="204"/>
      <c r="F33" s="204"/>
      <c r="G33" s="204" t="s">
        <v>294</v>
      </c>
      <c r="H33" s="204"/>
      <c r="I33" s="204"/>
    </row>
    <row r="34" spans="1:9">
      <c r="A34" s="204" t="s">
        <v>295</v>
      </c>
      <c r="B34" s="204">
        <v>630</v>
      </c>
      <c r="C34" s="204"/>
      <c r="D34" s="204"/>
      <c r="E34" s="204"/>
      <c r="F34" s="204"/>
      <c r="G34" s="204" t="s">
        <v>296</v>
      </c>
      <c r="H34" s="204"/>
      <c r="I34" s="204"/>
    </row>
    <row r="35" spans="1:9">
      <c r="A35" s="204" t="s">
        <v>297</v>
      </c>
      <c r="B35" s="204">
        <v>630</v>
      </c>
      <c r="C35" s="204"/>
      <c r="D35" s="204"/>
      <c r="E35" s="204"/>
      <c r="F35" s="204"/>
      <c r="G35" s="204" t="s">
        <v>298</v>
      </c>
      <c r="H35" s="204"/>
      <c r="I35" s="204"/>
    </row>
    <row r="36" spans="1:9">
      <c r="A36" s="204" t="s">
        <v>299</v>
      </c>
      <c r="B36" s="204">
        <v>400</v>
      </c>
      <c r="C36" s="204"/>
      <c r="D36" s="204"/>
      <c r="E36" s="204"/>
      <c r="F36" s="204"/>
      <c r="G36" s="204" t="s">
        <v>274</v>
      </c>
      <c r="H36" s="204"/>
      <c r="I36" s="204"/>
    </row>
    <row r="37" spans="1:9">
      <c r="A37" s="205" t="s">
        <v>289</v>
      </c>
      <c r="B37" s="205">
        <v>1000</v>
      </c>
      <c r="C37" s="205"/>
      <c r="D37" s="205"/>
      <c r="E37" s="205"/>
      <c r="F37" s="205"/>
      <c r="G37" s="205" t="s">
        <v>289</v>
      </c>
      <c r="H37" s="205"/>
      <c r="I37" s="205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topLeftCell="A7"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H23" sqref="H23"/>
    </sheetView>
  </sheetViews>
  <sheetFormatPr defaultRowHeight="15"/>
  <sheetData/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topLeftCell="A3" workbookViewId="0">
      <selection activeCell="A34" sqref="A34"/>
    </sheetView>
  </sheetViews>
  <sheetFormatPr defaultRowHeight="1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</vt:i4>
      </vt:variant>
    </vt:vector>
  </HeadingPairs>
  <TitlesOfParts>
    <vt:vector size="24" baseType="lpstr">
      <vt:lpstr>Total</vt:lpstr>
      <vt:lpstr>Submetering</vt:lpstr>
      <vt:lpstr>ELEC</vt:lpstr>
      <vt:lpstr>B5</vt:lpstr>
      <vt:lpstr>WATER</vt:lpstr>
      <vt:lpstr>graphic</vt:lpstr>
      <vt:lpstr>General information </vt:lpstr>
      <vt:lpstr>tanks</vt:lpstr>
      <vt:lpstr>GEN</vt:lpstr>
      <vt:lpstr>Sheet1</vt:lpstr>
      <vt:lpstr>Report</vt:lpstr>
      <vt:lpstr>Sheet5</vt:lpstr>
      <vt:lpstr>EDl log</vt:lpstr>
      <vt:lpstr>Swimming Pool quality check </vt:lpstr>
      <vt:lpstr>Degree Days 2020</vt:lpstr>
      <vt:lpstr>Utility Cost </vt:lpstr>
      <vt:lpstr>MDB</vt:lpstr>
      <vt:lpstr>Sheet7</vt:lpstr>
      <vt:lpstr>Sheet6</vt:lpstr>
      <vt:lpstr>Sheet2</vt:lpstr>
      <vt:lpstr>Sheet3</vt:lpstr>
      <vt:lpstr>Sheet4</vt:lpstr>
      <vt:lpstr>'Degree Days 2020'!Print_Area</vt:lpstr>
      <vt:lpstr>WATER!Print_Area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bei.eng</dc:creator>
  <cp:lastModifiedBy>suzan.abousleiman</cp:lastModifiedBy>
  <cp:lastPrinted>2020-02-18T09:36:23Z</cp:lastPrinted>
  <dcterms:created xsi:type="dcterms:W3CDTF">2015-01-02T09:20:21Z</dcterms:created>
  <dcterms:modified xsi:type="dcterms:W3CDTF">2020-07-09T08:19:16Z</dcterms:modified>
</cp:coreProperties>
</file>