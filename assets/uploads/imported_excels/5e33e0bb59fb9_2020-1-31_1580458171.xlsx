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Cairo at Nile Plaza\2019\"/>
    </mc:Choice>
  </mc:AlternateContent>
  <bookViews>
    <workbookView xWindow="0" yWindow="0" windowWidth="28800" windowHeight="12435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ment" sheetId="6" r:id="rId8"/>
    <sheet name="Plaza and Residential" sheetId="7" r:id="rId9"/>
  </sheets>
  <definedNames>
    <definedName name="_xlnm.Print_Area" localSheetId="5">Gas!$A$1:$C$35</definedName>
  </definedNames>
  <calcPr calcId="152511"/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2" i="9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2" i="8"/>
  <c r="AD30" i="8"/>
  <c r="Y29" i="8"/>
  <c r="AD27" i="8"/>
  <c r="AE27" i="8"/>
  <c r="AD18" i="8"/>
  <c r="AD12" i="8"/>
  <c r="AD6" i="8"/>
  <c r="AD3" i="8"/>
  <c r="AE3" i="8"/>
  <c r="N62" i="7"/>
  <c r="N61" i="7"/>
  <c r="N60" i="7"/>
  <c r="N59" i="7"/>
  <c r="N58" i="7"/>
  <c r="N57" i="7"/>
  <c r="N56" i="7"/>
  <c r="N55" i="7"/>
  <c r="N54" i="7"/>
  <c r="N52" i="7"/>
  <c r="N51" i="7"/>
  <c r="N50" i="7"/>
  <c r="N49" i="7"/>
  <c r="N48" i="7"/>
  <c r="N47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66" i="7"/>
  <c r="M80" i="7"/>
  <c r="G62" i="7"/>
  <c r="G61" i="7"/>
  <c r="G60" i="7"/>
  <c r="G59" i="7"/>
  <c r="G58" i="7"/>
  <c r="G57" i="7"/>
  <c r="G56" i="7"/>
  <c r="G55" i="7"/>
  <c r="G54" i="7"/>
  <c r="G52" i="7"/>
  <c r="G51" i="7"/>
  <c r="G50" i="7"/>
  <c r="G49" i="7"/>
  <c r="G48" i="7"/>
  <c r="G47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66" i="7"/>
  <c r="I25" i="6"/>
  <c r="O35" i="2"/>
  <c r="J25" i="6"/>
  <c r="J24" i="6"/>
  <c r="K25" i="6"/>
  <c r="C9" i="6"/>
  <c r="I14" i="1"/>
  <c r="S32" i="2"/>
  <c r="M73" i="7"/>
  <c r="N73" i="7"/>
  <c r="O73" i="7"/>
  <c r="M74" i="7"/>
  <c r="N74" i="7"/>
  <c r="O74" i="7"/>
  <c r="M75" i="7"/>
  <c r="N75" i="7"/>
  <c r="O75" i="7"/>
  <c r="M76" i="7"/>
  <c r="N76" i="7"/>
  <c r="O76" i="7"/>
  <c r="M77" i="7"/>
  <c r="N77" i="7"/>
  <c r="O77" i="7"/>
  <c r="M78" i="7"/>
  <c r="N78" i="7"/>
  <c r="O78" i="7"/>
  <c r="M79" i="7"/>
  <c r="N79" i="7"/>
  <c r="O79" i="7"/>
  <c r="N80" i="7"/>
  <c r="O80" i="7"/>
  <c r="M81" i="7"/>
  <c r="N81" i="7"/>
  <c r="O81" i="7"/>
  <c r="M82" i="7"/>
  <c r="N82" i="7"/>
  <c r="O82" i="7"/>
  <c r="M83" i="7"/>
  <c r="N83" i="7"/>
  <c r="O83" i="7"/>
  <c r="M84" i="7"/>
  <c r="N84" i="7"/>
  <c r="O84" i="7"/>
  <c r="M85" i="7"/>
  <c r="N85" i="7"/>
  <c r="O85" i="7"/>
  <c r="M86" i="7"/>
  <c r="N86" i="7"/>
  <c r="O86" i="7"/>
  <c r="M87" i="7"/>
  <c r="N87" i="7"/>
  <c r="O87" i="7"/>
  <c r="M88" i="7"/>
  <c r="N88" i="7"/>
  <c r="O88" i="7"/>
  <c r="M89" i="7"/>
  <c r="N89" i="7"/>
  <c r="O89" i="7"/>
  <c r="M90" i="7"/>
  <c r="N90" i="7"/>
  <c r="O90" i="7"/>
  <c r="M91" i="7"/>
  <c r="N91" i="7"/>
  <c r="O91" i="7"/>
  <c r="M92" i="7"/>
  <c r="N92" i="7"/>
  <c r="O92" i="7"/>
  <c r="M93" i="7"/>
  <c r="N93" i="7"/>
  <c r="O93" i="7"/>
  <c r="M94" i="7"/>
  <c r="N94" i="7"/>
  <c r="O94" i="7"/>
  <c r="M95" i="7"/>
  <c r="N95" i="7"/>
  <c r="M96" i="7"/>
  <c r="I3" i="6"/>
  <c r="J3" i="6"/>
  <c r="I4" i="6"/>
  <c r="J4" i="6"/>
  <c r="K4" i="6"/>
  <c r="K5" i="6"/>
  <c r="I6" i="6"/>
  <c r="J6" i="6"/>
  <c r="K6" i="6"/>
  <c r="I7" i="6"/>
  <c r="J7" i="6"/>
  <c r="I8" i="6"/>
  <c r="J8" i="6"/>
  <c r="K8" i="6"/>
  <c r="I9" i="6"/>
  <c r="J9" i="6"/>
  <c r="K9" i="6"/>
  <c r="I10" i="6"/>
  <c r="J10" i="6"/>
  <c r="K10" i="6"/>
  <c r="K11" i="6"/>
  <c r="I12" i="6"/>
  <c r="J12" i="6"/>
  <c r="K12" i="6"/>
  <c r="D17" i="6"/>
  <c r="I17" i="6"/>
  <c r="J17" i="6"/>
  <c r="D18" i="6"/>
  <c r="I18" i="6"/>
  <c r="J18" i="6"/>
  <c r="D19" i="6"/>
  <c r="I19" i="6"/>
  <c r="J19" i="6"/>
  <c r="K19" i="6"/>
  <c r="C11" i="6"/>
  <c r="D11" i="6"/>
  <c r="D20" i="6"/>
  <c r="I20" i="6"/>
  <c r="J20" i="6"/>
  <c r="K20" i="6"/>
  <c r="D21" i="6"/>
  <c r="I21" i="6"/>
  <c r="J21" i="6"/>
  <c r="I22" i="6"/>
  <c r="J22" i="6"/>
  <c r="I23" i="6"/>
  <c r="J23" i="6"/>
  <c r="K23" i="6"/>
  <c r="I24" i="6"/>
  <c r="K24" i="6"/>
  <c r="K26" i="6"/>
  <c r="C6" i="6"/>
  <c r="D6" i="6"/>
  <c r="I29" i="6"/>
  <c r="J29" i="6"/>
  <c r="K29" i="6"/>
  <c r="C14" i="6"/>
  <c r="I30" i="6"/>
  <c r="J30" i="6"/>
  <c r="K30" i="6"/>
  <c r="C15" i="6"/>
  <c r="D15" i="6"/>
  <c r="I31" i="6"/>
  <c r="J31" i="6"/>
  <c r="I32" i="6"/>
  <c r="J32" i="6"/>
  <c r="K32" i="6"/>
  <c r="I35" i="6"/>
  <c r="J35" i="6"/>
  <c r="K35" i="6"/>
  <c r="C26" i="6"/>
  <c r="D2" i="1"/>
  <c r="G2" i="1"/>
  <c r="J2" i="1"/>
  <c r="M2" i="1"/>
  <c r="P2" i="1"/>
  <c r="T2" i="1"/>
  <c r="C3" i="1"/>
  <c r="D3" i="1"/>
  <c r="F3" i="1"/>
  <c r="S2" i="8"/>
  <c r="I3" i="1"/>
  <c r="T2" i="8"/>
  <c r="J3" i="1"/>
  <c r="L3" i="1"/>
  <c r="M3" i="1"/>
  <c r="O3" i="1"/>
  <c r="U2" i="8"/>
  <c r="R3" i="1"/>
  <c r="S3" i="1"/>
  <c r="C4" i="1"/>
  <c r="R3" i="8"/>
  <c r="F4" i="1"/>
  <c r="G4" i="1"/>
  <c r="I4" i="1"/>
  <c r="T3" i="8"/>
  <c r="L4" i="1"/>
  <c r="M4" i="1"/>
  <c r="O4" i="1"/>
  <c r="P4" i="1"/>
  <c r="R4" i="1"/>
  <c r="W3" i="8"/>
  <c r="S4" i="1"/>
  <c r="C5" i="1"/>
  <c r="R4" i="8"/>
  <c r="F5" i="1"/>
  <c r="G5" i="1"/>
  <c r="I5" i="1"/>
  <c r="J5" i="1"/>
  <c r="T4" i="8"/>
  <c r="L5" i="1"/>
  <c r="M5" i="1"/>
  <c r="O5" i="1"/>
  <c r="P5" i="1"/>
  <c r="R5" i="1"/>
  <c r="W4" i="8"/>
  <c r="S5" i="1"/>
  <c r="C6" i="1"/>
  <c r="F6" i="1"/>
  <c r="G6" i="1"/>
  <c r="I6" i="1"/>
  <c r="J6" i="1"/>
  <c r="L6" i="1"/>
  <c r="M6" i="1"/>
  <c r="O6" i="1"/>
  <c r="P6" i="1"/>
  <c r="R6" i="1"/>
  <c r="S6" i="1"/>
  <c r="C7" i="1"/>
  <c r="R6" i="8"/>
  <c r="D7" i="1"/>
  <c r="F7" i="1"/>
  <c r="S6" i="8"/>
  <c r="G7" i="1"/>
  <c r="I7" i="1"/>
  <c r="J7" i="1"/>
  <c r="L7" i="1"/>
  <c r="M7" i="1"/>
  <c r="O7" i="1"/>
  <c r="U6" i="8"/>
  <c r="R7" i="1"/>
  <c r="S7" i="1"/>
  <c r="C8" i="1"/>
  <c r="R7" i="8"/>
  <c r="F8" i="1"/>
  <c r="G8" i="1"/>
  <c r="I8" i="1"/>
  <c r="J8" i="1"/>
  <c r="L8" i="1"/>
  <c r="M8" i="1"/>
  <c r="O8" i="1"/>
  <c r="U7" i="8"/>
  <c r="P8" i="1"/>
  <c r="R8" i="1"/>
  <c r="W7" i="8"/>
  <c r="C9" i="1"/>
  <c r="D9" i="1"/>
  <c r="F9" i="1"/>
  <c r="G9" i="1"/>
  <c r="I9" i="1"/>
  <c r="T8" i="8"/>
  <c r="L9" i="1"/>
  <c r="V8" i="8"/>
  <c r="M9" i="1"/>
  <c r="O9" i="1"/>
  <c r="P9" i="1"/>
  <c r="R9" i="1"/>
  <c r="S9" i="1"/>
  <c r="W8" i="8"/>
  <c r="C10" i="1"/>
  <c r="D10" i="1"/>
  <c r="F10" i="1"/>
  <c r="G10" i="1"/>
  <c r="I10" i="1"/>
  <c r="J10" i="1"/>
  <c r="L10" i="1"/>
  <c r="M10" i="1"/>
  <c r="V9" i="8"/>
  <c r="O10" i="1"/>
  <c r="P10" i="1"/>
  <c r="R10" i="1"/>
  <c r="W9" i="8"/>
  <c r="C11" i="1"/>
  <c r="R10" i="8"/>
  <c r="D11" i="1"/>
  <c r="F11" i="1"/>
  <c r="S10" i="8"/>
  <c r="I11" i="1"/>
  <c r="J11" i="1"/>
  <c r="L11" i="1"/>
  <c r="M11" i="1"/>
  <c r="O11" i="1"/>
  <c r="P11" i="1"/>
  <c r="R11" i="1"/>
  <c r="W10" i="8"/>
  <c r="S11" i="1"/>
  <c r="C12" i="1"/>
  <c r="D12" i="1"/>
  <c r="F12" i="1"/>
  <c r="G12" i="1"/>
  <c r="I12" i="1"/>
  <c r="T11" i="8"/>
  <c r="L12" i="1"/>
  <c r="M12" i="1"/>
  <c r="O12" i="1"/>
  <c r="R12" i="1"/>
  <c r="W11" i="8"/>
  <c r="S12" i="1"/>
  <c r="C13" i="1"/>
  <c r="D13" i="1"/>
  <c r="F13" i="1"/>
  <c r="S12" i="8"/>
  <c r="G13" i="1"/>
  <c r="I13" i="1"/>
  <c r="J13" i="1"/>
  <c r="L13" i="1"/>
  <c r="V12" i="8"/>
  <c r="M13" i="1"/>
  <c r="O13" i="1"/>
  <c r="U12" i="8"/>
  <c r="R13" i="1"/>
  <c r="S13" i="1"/>
  <c r="C14" i="1"/>
  <c r="R13" i="8"/>
  <c r="D14" i="1"/>
  <c r="F14" i="1"/>
  <c r="S13" i="8"/>
  <c r="L14" i="1"/>
  <c r="M14" i="1"/>
  <c r="O14" i="1"/>
  <c r="U13" i="8"/>
  <c r="R14" i="1"/>
  <c r="W13" i="8"/>
  <c r="S14" i="1"/>
  <c r="C15" i="1"/>
  <c r="D15" i="1"/>
  <c r="R14" i="8"/>
  <c r="F15" i="1"/>
  <c r="S14" i="8"/>
  <c r="I15" i="1"/>
  <c r="J15" i="1"/>
  <c r="L15" i="1"/>
  <c r="O15" i="1"/>
  <c r="R15" i="1"/>
  <c r="W14" i="8"/>
  <c r="C16" i="1"/>
  <c r="R15" i="8"/>
  <c r="D16" i="1"/>
  <c r="F16" i="1"/>
  <c r="G16" i="1"/>
  <c r="I16" i="1"/>
  <c r="L16" i="1"/>
  <c r="M16" i="1"/>
  <c r="O16" i="1"/>
  <c r="R16" i="1"/>
  <c r="S16" i="1"/>
  <c r="C17" i="1"/>
  <c r="R16" i="8"/>
  <c r="F17" i="1"/>
  <c r="G17" i="1"/>
  <c r="I17" i="1"/>
  <c r="J17" i="1"/>
  <c r="T16" i="8"/>
  <c r="L17" i="1"/>
  <c r="V16" i="8"/>
  <c r="M17" i="1"/>
  <c r="O17" i="1"/>
  <c r="P17" i="1"/>
  <c r="R17" i="1"/>
  <c r="W16" i="8"/>
  <c r="S17" i="1"/>
  <c r="C18" i="1"/>
  <c r="R17" i="8"/>
  <c r="F18" i="1"/>
  <c r="G18" i="1"/>
  <c r="I18" i="1"/>
  <c r="J18" i="1"/>
  <c r="T17" i="8"/>
  <c r="L18" i="1"/>
  <c r="M18" i="1"/>
  <c r="O18" i="1"/>
  <c r="P18" i="1"/>
  <c r="R18" i="1"/>
  <c r="S18" i="1"/>
  <c r="C19" i="1"/>
  <c r="R18" i="8"/>
  <c r="F19" i="1"/>
  <c r="G19" i="1"/>
  <c r="I19" i="1"/>
  <c r="J19" i="1"/>
  <c r="L19" i="1"/>
  <c r="O19" i="1"/>
  <c r="U18" i="8"/>
  <c r="R19" i="1"/>
  <c r="S19" i="1"/>
  <c r="W18" i="8"/>
  <c r="C20" i="1"/>
  <c r="R19" i="8"/>
  <c r="F20" i="1"/>
  <c r="G20" i="1"/>
  <c r="I20" i="1"/>
  <c r="T19" i="8"/>
  <c r="L20" i="1"/>
  <c r="M20" i="1"/>
  <c r="O20" i="1"/>
  <c r="U19" i="8"/>
  <c r="R20" i="1"/>
  <c r="W19" i="8"/>
  <c r="S20" i="1"/>
  <c r="C21" i="1"/>
  <c r="R20" i="8"/>
  <c r="F21" i="1"/>
  <c r="G21" i="1"/>
  <c r="I21" i="1"/>
  <c r="J21" i="1"/>
  <c r="L21" i="1"/>
  <c r="V20" i="8"/>
  <c r="O21" i="1"/>
  <c r="U20" i="8"/>
  <c r="R21" i="1"/>
  <c r="W20" i="8"/>
  <c r="C22" i="1"/>
  <c r="R21" i="8"/>
  <c r="F22" i="1"/>
  <c r="S21" i="8"/>
  <c r="I22" i="1"/>
  <c r="J22" i="1"/>
  <c r="L22" i="1"/>
  <c r="M22" i="1"/>
  <c r="V21" i="8"/>
  <c r="O22" i="1"/>
  <c r="U21" i="8"/>
  <c r="P22" i="1"/>
  <c r="R22" i="1"/>
  <c r="W21" i="8"/>
  <c r="S22" i="1"/>
  <c r="C23" i="1"/>
  <c r="D23" i="1"/>
  <c r="F23" i="1"/>
  <c r="G23" i="1"/>
  <c r="S22" i="8"/>
  <c r="I23" i="1"/>
  <c r="T22" i="8"/>
  <c r="L23" i="1"/>
  <c r="M23" i="1"/>
  <c r="V22" i="8"/>
  <c r="O23" i="1"/>
  <c r="R23" i="1"/>
  <c r="S23" i="1"/>
  <c r="C24" i="1"/>
  <c r="D24" i="1"/>
  <c r="F24" i="1"/>
  <c r="S23" i="8"/>
  <c r="I24" i="1"/>
  <c r="J24" i="1"/>
  <c r="L24" i="1"/>
  <c r="M24" i="1"/>
  <c r="O24" i="1"/>
  <c r="P24" i="1"/>
  <c r="R24" i="1"/>
  <c r="S24" i="1"/>
  <c r="C25" i="1"/>
  <c r="D25" i="1"/>
  <c r="F25" i="1"/>
  <c r="G25" i="1"/>
  <c r="I25" i="1"/>
  <c r="T24" i="8"/>
  <c r="L25" i="1"/>
  <c r="V24" i="8"/>
  <c r="O25" i="1"/>
  <c r="R25" i="1"/>
  <c r="W24" i="8"/>
  <c r="S25" i="1"/>
  <c r="C26" i="1"/>
  <c r="R25" i="8"/>
  <c r="D26" i="1"/>
  <c r="F26" i="1"/>
  <c r="S25" i="8"/>
  <c r="I26" i="1"/>
  <c r="J26" i="1"/>
  <c r="L26" i="1"/>
  <c r="V25" i="8"/>
  <c r="M26" i="1"/>
  <c r="O26" i="1"/>
  <c r="P26" i="1"/>
  <c r="R26" i="1"/>
  <c r="W25" i="8"/>
  <c r="C27" i="1"/>
  <c r="D27" i="1"/>
  <c r="F27" i="1"/>
  <c r="S26" i="8"/>
  <c r="G27" i="1"/>
  <c r="I27" i="1"/>
  <c r="T26" i="8"/>
  <c r="J27" i="1"/>
  <c r="L27" i="1"/>
  <c r="M27" i="1"/>
  <c r="O27" i="1"/>
  <c r="P27" i="1"/>
  <c r="R27" i="1"/>
  <c r="W26" i="8"/>
  <c r="C28" i="1"/>
  <c r="R27" i="8"/>
  <c r="D28" i="1"/>
  <c r="F28" i="1"/>
  <c r="S27" i="8"/>
  <c r="I28" i="1"/>
  <c r="J28" i="1"/>
  <c r="L28" i="1"/>
  <c r="M28" i="1"/>
  <c r="O28" i="1"/>
  <c r="P28" i="1"/>
  <c r="U27" i="8"/>
  <c r="R28" i="1"/>
  <c r="S28" i="1"/>
  <c r="C29" i="1"/>
  <c r="D29" i="1"/>
  <c r="F29" i="1"/>
  <c r="S28" i="8"/>
  <c r="G29" i="1"/>
  <c r="I29" i="1"/>
  <c r="J29" i="1"/>
  <c r="L29" i="1"/>
  <c r="V28" i="8"/>
  <c r="M29" i="1"/>
  <c r="O29" i="1"/>
  <c r="U28" i="8"/>
  <c r="R29" i="1"/>
  <c r="S29" i="1"/>
  <c r="C30" i="1"/>
  <c r="R29" i="8"/>
  <c r="D30" i="1"/>
  <c r="F30" i="1"/>
  <c r="I30" i="1"/>
  <c r="T29" i="8"/>
  <c r="L30" i="1"/>
  <c r="V29" i="8"/>
  <c r="O30" i="1"/>
  <c r="U29" i="8"/>
  <c r="R30" i="1"/>
  <c r="S30" i="1"/>
  <c r="W29" i="8"/>
  <c r="C31" i="1"/>
  <c r="R30" i="8"/>
  <c r="D31" i="1"/>
  <c r="F31" i="1"/>
  <c r="G31" i="1"/>
  <c r="S30" i="8"/>
  <c r="I31" i="1"/>
  <c r="J31" i="1"/>
  <c r="T30" i="8"/>
  <c r="L31" i="1"/>
  <c r="M31" i="1"/>
  <c r="O31" i="1"/>
  <c r="U30" i="8"/>
  <c r="R31" i="1"/>
  <c r="S31" i="1"/>
  <c r="W30" i="8"/>
  <c r="C32" i="1"/>
  <c r="R31" i="8"/>
  <c r="F32" i="1"/>
  <c r="S31" i="8"/>
  <c r="G32" i="1"/>
  <c r="G34" i="1"/>
  <c r="I32" i="1"/>
  <c r="J32" i="1"/>
  <c r="L32" i="1"/>
  <c r="L34" i="1"/>
  <c r="M32" i="1"/>
  <c r="M34" i="1"/>
  <c r="O32" i="1"/>
  <c r="U31" i="8"/>
  <c r="R32" i="1"/>
  <c r="W31" i="8"/>
  <c r="C33" i="1"/>
  <c r="D33" i="1"/>
  <c r="D34" i="1"/>
  <c r="F33" i="1"/>
  <c r="G33" i="1"/>
  <c r="I33" i="1"/>
  <c r="L33" i="1"/>
  <c r="M33" i="1"/>
  <c r="O33" i="1"/>
  <c r="P33" i="1"/>
  <c r="R33" i="1"/>
  <c r="S33" i="1"/>
  <c r="S34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D4" i="4"/>
  <c r="Q2" i="8"/>
  <c r="F4" i="4"/>
  <c r="I4" i="4"/>
  <c r="H4" i="4"/>
  <c r="K4" i="4"/>
  <c r="M4" i="4"/>
  <c r="O4" i="4"/>
  <c r="M2" i="8"/>
  <c r="Q4" i="4"/>
  <c r="N2" i="8"/>
  <c r="S4" i="4"/>
  <c r="O2" i="8"/>
  <c r="W4" i="4"/>
  <c r="P2" i="8"/>
  <c r="D5" i="4"/>
  <c r="Q3" i="8"/>
  <c r="F5" i="4"/>
  <c r="I3" i="8"/>
  <c r="Y3" i="8"/>
  <c r="H5" i="4"/>
  <c r="I5" i="4"/>
  <c r="K5" i="4"/>
  <c r="M5" i="4"/>
  <c r="L3" i="8"/>
  <c r="O5" i="4"/>
  <c r="M3" i="8"/>
  <c r="Q5" i="4"/>
  <c r="N3" i="8"/>
  <c r="S5" i="4"/>
  <c r="W5" i="4"/>
  <c r="P3" i="8"/>
  <c r="D6" i="4"/>
  <c r="F6" i="4"/>
  <c r="H6" i="4"/>
  <c r="J4" i="8"/>
  <c r="Y4" i="8"/>
  <c r="K6" i="4"/>
  <c r="M6" i="4"/>
  <c r="L4" i="8"/>
  <c r="O6" i="4"/>
  <c r="M4" i="8"/>
  <c r="Q6" i="4"/>
  <c r="N4" i="8"/>
  <c r="S6" i="4"/>
  <c r="O4" i="8"/>
  <c r="W6" i="4"/>
  <c r="D7" i="4"/>
  <c r="Q5" i="8"/>
  <c r="F7" i="4"/>
  <c r="H7" i="4"/>
  <c r="J5" i="8"/>
  <c r="K7" i="4"/>
  <c r="K5" i="8"/>
  <c r="Y5" i="8"/>
  <c r="M7" i="4"/>
  <c r="L5" i="8"/>
  <c r="O7" i="4"/>
  <c r="Q7" i="4"/>
  <c r="N5" i="8"/>
  <c r="S7" i="4"/>
  <c r="O5" i="8"/>
  <c r="W7" i="4"/>
  <c r="P5" i="8"/>
  <c r="D8" i="4"/>
  <c r="Q6" i="8"/>
  <c r="F8" i="4"/>
  <c r="I6" i="8"/>
  <c r="Y6" i="8"/>
  <c r="H8" i="4"/>
  <c r="K8" i="4"/>
  <c r="M8" i="4"/>
  <c r="O8" i="4"/>
  <c r="Q8" i="4"/>
  <c r="S8" i="4"/>
  <c r="O6" i="8"/>
  <c r="W8" i="4"/>
  <c r="D9" i="4"/>
  <c r="Q7" i="8"/>
  <c r="F9" i="4"/>
  <c r="H9" i="4"/>
  <c r="I9" i="4"/>
  <c r="K9" i="4"/>
  <c r="M9" i="4"/>
  <c r="O9" i="4"/>
  <c r="Q9" i="4"/>
  <c r="S9" i="4"/>
  <c r="O7" i="8"/>
  <c r="W9" i="4"/>
  <c r="P7" i="8"/>
  <c r="D10" i="4"/>
  <c r="F10" i="4"/>
  <c r="H10" i="4"/>
  <c r="J8" i="8"/>
  <c r="I10" i="4"/>
  <c r="K10" i="4"/>
  <c r="K8" i="8"/>
  <c r="M10" i="4"/>
  <c r="O10" i="4"/>
  <c r="M8" i="8"/>
  <c r="Q10" i="4"/>
  <c r="S10" i="4"/>
  <c r="O8" i="8"/>
  <c r="W10" i="4"/>
  <c r="P8" i="8"/>
  <c r="D11" i="4"/>
  <c r="Q9" i="8"/>
  <c r="F11" i="4"/>
  <c r="H11" i="4"/>
  <c r="J9" i="8"/>
  <c r="K11" i="4"/>
  <c r="M11" i="4"/>
  <c r="L9" i="8"/>
  <c r="O11" i="4"/>
  <c r="Q11" i="4"/>
  <c r="N9" i="8"/>
  <c r="S11" i="4"/>
  <c r="O9" i="8"/>
  <c r="W11" i="4"/>
  <c r="P9" i="8"/>
  <c r="D12" i="4"/>
  <c r="F12" i="4"/>
  <c r="I10" i="8"/>
  <c r="Y10" i="8"/>
  <c r="H12" i="4"/>
  <c r="J10" i="8"/>
  <c r="I12" i="4"/>
  <c r="K12" i="4"/>
  <c r="M12" i="4"/>
  <c r="L10" i="8"/>
  <c r="O12" i="4"/>
  <c r="M10" i="8"/>
  <c r="Q12" i="4"/>
  <c r="N10" i="8"/>
  <c r="S12" i="4"/>
  <c r="O10" i="8"/>
  <c r="W12" i="4"/>
  <c r="P10" i="8"/>
  <c r="D13" i="4"/>
  <c r="Q11" i="8"/>
  <c r="F13" i="4"/>
  <c r="I11" i="8"/>
  <c r="H13" i="4"/>
  <c r="K13" i="4"/>
  <c r="K11" i="8"/>
  <c r="Y11" i="8"/>
  <c r="M13" i="4"/>
  <c r="O13" i="4"/>
  <c r="M11" i="8"/>
  <c r="Q13" i="4"/>
  <c r="S13" i="4"/>
  <c r="W13" i="4"/>
  <c r="D14" i="4"/>
  <c r="Q12" i="8"/>
  <c r="F14" i="4"/>
  <c r="H14" i="4"/>
  <c r="K14" i="4"/>
  <c r="M14" i="4"/>
  <c r="L12" i="8"/>
  <c r="O14" i="4"/>
  <c r="M12" i="8"/>
  <c r="Q14" i="4"/>
  <c r="N12" i="8"/>
  <c r="S14" i="4"/>
  <c r="W14" i="4"/>
  <c r="P12" i="8"/>
  <c r="D15" i="4"/>
  <c r="Q13" i="8"/>
  <c r="F15" i="4"/>
  <c r="I13" i="8"/>
  <c r="Y13" i="8"/>
  <c r="H15" i="4"/>
  <c r="J13" i="8"/>
  <c r="K15" i="4"/>
  <c r="K13" i="8"/>
  <c r="M15" i="4"/>
  <c r="L13" i="8"/>
  <c r="O15" i="4"/>
  <c r="M13" i="8"/>
  <c r="Q15" i="4"/>
  <c r="S15" i="4"/>
  <c r="W15" i="4"/>
  <c r="P13" i="8"/>
  <c r="D16" i="4"/>
  <c r="Q14" i="8"/>
  <c r="F16" i="4"/>
  <c r="I14" i="8"/>
  <c r="H16" i="4"/>
  <c r="I16" i="4"/>
  <c r="J14" i="8"/>
  <c r="Y14" i="8"/>
  <c r="K16" i="4"/>
  <c r="K14" i="8"/>
  <c r="M16" i="4"/>
  <c r="O16" i="4"/>
  <c r="Q16" i="4"/>
  <c r="N14" i="8"/>
  <c r="S16" i="4"/>
  <c r="O14" i="8"/>
  <c r="W16" i="4"/>
  <c r="P14" i="8"/>
  <c r="D17" i="4"/>
  <c r="Q15" i="8"/>
  <c r="F17" i="4"/>
  <c r="I15" i="8"/>
  <c r="H17" i="4"/>
  <c r="J15" i="8"/>
  <c r="Y15" i="8"/>
  <c r="K17" i="4"/>
  <c r="K15" i="8"/>
  <c r="M17" i="4"/>
  <c r="O17" i="4"/>
  <c r="Q17" i="4"/>
  <c r="N15" i="8"/>
  <c r="S17" i="4"/>
  <c r="W17" i="4"/>
  <c r="P15" i="8"/>
  <c r="D18" i="4"/>
  <c r="Q16" i="8"/>
  <c r="F18" i="4"/>
  <c r="H18" i="4"/>
  <c r="J16" i="8"/>
  <c r="K18" i="4"/>
  <c r="K16" i="8"/>
  <c r="M18" i="4"/>
  <c r="L16" i="8"/>
  <c r="O18" i="4"/>
  <c r="M16" i="8"/>
  <c r="Q18" i="4"/>
  <c r="N16" i="8"/>
  <c r="S18" i="4"/>
  <c r="O16" i="8"/>
  <c r="W18" i="4"/>
  <c r="P16" i="8"/>
  <c r="D19" i="4"/>
  <c r="Q17" i="8"/>
  <c r="F19" i="4"/>
  <c r="H19" i="4"/>
  <c r="J17" i="8"/>
  <c r="Y17" i="8"/>
  <c r="K19" i="4"/>
  <c r="K17" i="8"/>
  <c r="M19" i="4"/>
  <c r="L17" i="8"/>
  <c r="O19" i="4"/>
  <c r="M17" i="8"/>
  <c r="Q19" i="4"/>
  <c r="N17" i="8"/>
  <c r="S19" i="4"/>
  <c r="W19" i="4"/>
  <c r="P17" i="8"/>
  <c r="D20" i="4"/>
  <c r="Q18" i="8"/>
  <c r="F20" i="4"/>
  <c r="I18" i="8"/>
  <c r="Y18" i="8"/>
  <c r="H20" i="4"/>
  <c r="J18" i="8"/>
  <c r="K20" i="4"/>
  <c r="K18" i="8"/>
  <c r="M20" i="4"/>
  <c r="O20" i="4"/>
  <c r="M18" i="8"/>
  <c r="Q20" i="4"/>
  <c r="N18" i="8"/>
  <c r="S20" i="4"/>
  <c r="O18" i="8"/>
  <c r="W20" i="4"/>
  <c r="P18" i="8"/>
  <c r="D21" i="4"/>
  <c r="Q19" i="8"/>
  <c r="F21" i="4"/>
  <c r="I19" i="8"/>
  <c r="Y19" i="8"/>
  <c r="H21" i="4"/>
  <c r="K21" i="4"/>
  <c r="K19" i="8"/>
  <c r="M21" i="4"/>
  <c r="L19" i="8"/>
  <c r="O21" i="4"/>
  <c r="M19" i="8"/>
  <c r="Q21" i="4"/>
  <c r="N19" i="8"/>
  <c r="S21" i="4"/>
  <c r="O19" i="8"/>
  <c r="W21" i="4"/>
  <c r="P19" i="8"/>
  <c r="D22" i="4"/>
  <c r="Q20" i="8"/>
  <c r="F22" i="4"/>
  <c r="H22" i="4"/>
  <c r="J20" i="8"/>
  <c r="K22" i="4"/>
  <c r="K20" i="8"/>
  <c r="M22" i="4"/>
  <c r="O22" i="4"/>
  <c r="M20" i="8"/>
  <c r="Q22" i="4"/>
  <c r="S22" i="4"/>
  <c r="O20" i="8"/>
  <c r="W22" i="4"/>
  <c r="P20" i="8"/>
  <c r="D23" i="4"/>
  <c r="Q21" i="8"/>
  <c r="F23" i="4"/>
  <c r="H23" i="4"/>
  <c r="I23" i="4"/>
  <c r="J21" i="8"/>
  <c r="K23" i="4"/>
  <c r="K21" i="8"/>
  <c r="M23" i="4"/>
  <c r="O23" i="4"/>
  <c r="M21" i="8"/>
  <c r="Q23" i="4"/>
  <c r="S23" i="4"/>
  <c r="O21" i="8"/>
  <c r="W23" i="4"/>
  <c r="P21" i="8"/>
  <c r="D24" i="4"/>
  <c r="Q22" i="8"/>
  <c r="F24" i="4"/>
  <c r="I22" i="8"/>
  <c r="Y22" i="8"/>
  <c r="H24" i="4"/>
  <c r="J22" i="8"/>
  <c r="K24" i="4"/>
  <c r="K22" i="8"/>
  <c r="M24" i="4"/>
  <c r="L22" i="8"/>
  <c r="O24" i="4"/>
  <c r="X24" i="4"/>
  <c r="Q24" i="4"/>
  <c r="N22" i="8"/>
  <c r="S24" i="4"/>
  <c r="O22" i="8"/>
  <c r="W24" i="4"/>
  <c r="P22" i="8"/>
  <c r="D25" i="4"/>
  <c r="Q23" i="8"/>
  <c r="F25" i="4"/>
  <c r="I23" i="8"/>
  <c r="H25" i="4"/>
  <c r="J23" i="8"/>
  <c r="K25" i="4"/>
  <c r="K23" i="8"/>
  <c r="M25" i="4"/>
  <c r="O25" i="4"/>
  <c r="M23" i="8"/>
  <c r="Y23" i="8"/>
  <c r="Q25" i="4"/>
  <c r="N23" i="8"/>
  <c r="S25" i="4"/>
  <c r="W25" i="4"/>
  <c r="P23" i="8"/>
  <c r="D26" i="4"/>
  <c r="Q24" i="8"/>
  <c r="F26" i="4"/>
  <c r="I24" i="8"/>
  <c r="Y24" i="8"/>
  <c r="H26" i="4"/>
  <c r="I26" i="4"/>
  <c r="K26" i="4"/>
  <c r="K24" i="8"/>
  <c r="M26" i="4"/>
  <c r="L24" i="8"/>
  <c r="O26" i="4"/>
  <c r="Q26" i="4"/>
  <c r="N24" i="8"/>
  <c r="S26" i="4"/>
  <c r="O24" i="8"/>
  <c r="W26" i="4"/>
  <c r="P24" i="8"/>
  <c r="D27" i="4"/>
  <c r="Q25" i="8"/>
  <c r="F27" i="4"/>
  <c r="I25" i="8"/>
  <c r="H27" i="4"/>
  <c r="J25" i="8"/>
  <c r="Y25" i="8"/>
  <c r="K27" i="4"/>
  <c r="K25" i="8"/>
  <c r="M27" i="4"/>
  <c r="L25" i="8"/>
  <c r="O27" i="4"/>
  <c r="Q27" i="4"/>
  <c r="N25" i="8"/>
  <c r="S27" i="4"/>
  <c r="O25" i="8"/>
  <c r="W27" i="4"/>
  <c r="P25" i="8"/>
  <c r="D28" i="4"/>
  <c r="Q26" i="8"/>
  <c r="F28" i="4"/>
  <c r="I26" i="8"/>
  <c r="H28" i="4"/>
  <c r="J26" i="8"/>
  <c r="K28" i="4"/>
  <c r="K26" i="8"/>
  <c r="M28" i="4"/>
  <c r="L26" i="8"/>
  <c r="O28" i="4"/>
  <c r="M26" i="8"/>
  <c r="Q28" i="4"/>
  <c r="N26" i="8"/>
  <c r="S28" i="4"/>
  <c r="O26" i="8"/>
  <c r="W28" i="4"/>
  <c r="D29" i="4"/>
  <c r="Q27" i="8"/>
  <c r="F29" i="4"/>
  <c r="H29" i="4"/>
  <c r="J27" i="8"/>
  <c r="K29" i="4"/>
  <c r="K27" i="8"/>
  <c r="M29" i="4"/>
  <c r="L27" i="8"/>
  <c r="O29" i="4"/>
  <c r="M27" i="8"/>
  <c r="Q29" i="4"/>
  <c r="N27" i="8"/>
  <c r="S29" i="4"/>
  <c r="W29" i="4"/>
  <c r="D30" i="4"/>
  <c r="Q28" i="8"/>
  <c r="F30" i="4"/>
  <c r="H30" i="4"/>
  <c r="J28" i="8"/>
  <c r="Y28" i="8"/>
  <c r="K30" i="4"/>
  <c r="M30" i="4"/>
  <c r="L28" i="8"/>
  <c r="O30" i="4"/>
  <c r="M28" i="8"/>
  <c r="Q30" i="4"/>
  <c r="S30" i="4"/>
  <c r="O28" i="8"/>
  <c r="W30" i="4"/>
  <c r="D31" i="4"/>
  <c r="Q29" i="8"/>
  <c r="F31" i="4"/>
  <c r="I29" i="8"/>
  <c r="H31" i="4"/>
  <c r="J29" i="8"/>
  <c r="K31" i="4"/>
  <c r="K29" i="8"/>
  <c r="M31" i="4"/>
  <c r="L29" i="8"/>
  <c r="O31" i="4"/>
  <c r="M29" i="8"/>
  <c r="Q31" i="4"/>
  <c r="N29" i="8"/>
  <c r="S31" i="4"/>
  <c r="O29" i="8"/>
  <c r="W31" i="4"/>
  <c r="P29" i="8"/>
  <c r="D32" i="4"/>
  <c r="Q30" i="8"/>
  <c r="F32" i="4"/>
  <c r="H32" i="4"/>
  <c r="J30" i="8"/>
  <c r="K32" i="4"/>
  <c r="K30" i="8"/>
  <c r="M32" i="4"/>
  <c r="L30" i="8"/>
  <c r="O32" i="4"/>
  <c r="Q32" i="4"/>
  <c r="N30" i="8"/>
  <c r="S32" i="4"/>
  <c r="O30" i="8"/>
  <c r="W32" i="4"/>
  <c r="P30" i="8"/>
  <c r="D33" i="4"/>
  <c r="Q31" i="8"/>
  <c r="F33" i="4"/>
  <c r="H33" i="4"/>
  <c r="J31" i="8"/>
  <c r="K33" i="4"/>
  <c r="K31" i="8"/>
  <c r="M33" i="4"/>
  <c r="O33" i="4"/>
  <c r="M31" i="8"/>
  <c r="Q33" i="4"/>
  <c r="N31" i="8"/>
  <c r="S33" i="4"/>
  <c r="O31" i="8"/>
  <c r="W33" i="4"/>
  <c r="P31" i="8"/>
  <c r="D34" i="4"/>
  <c r="F34" i="4"/>
  <c r="H34" i="4"/>
  <c r="K34" i="4"/>
  <c r="M34" i="4"/>
  <c r="O34" i="4"/>
  <c r="Q34" i="4"/>
  <c r="S34" i="4"/>
  <c r="S35" i="4"/>
  <c r="W34" i="4"/>
  <c r="J3" i="3"/>
  <c r="K3" i="3"/>
  <c r="C4" i="3"/>
  <c r="E4" i="3"/>
  <c r="G4" i="3"/>
  <c r="G2" i="8"/>
  <c r="I4" i="3"/>
  <c r="C5" i="3"/>
  <c r="E3" i="8"/>
  <c r="E5" i="3"/>
  <c r="F3" i="8"/>
  <c r="G5" i="3"/>
  <c r="I5" i="3"/>
  <c r="H3" i="8"/>
  <c r="C6" i="3"/>
  <c r="E6" i="3"/>
  <c r="G6" i="3"/>
  <c r="G4" i="8"/>
  <c r="I6" i="3"/>
  <c r="H4" i="8"/>
  <c r="C7" i="3"/>
  <c r="E5" i="8"/>
  <c r="E7" i="3"/>
  <c r="G7" i="3"/>
  <c r="G5" i="8"/>
  <c r="I7" i="3"/>
  <c r="H5" i="8"/>
  <c r="C8" i="3"/>
  <c r="E6" i="8"/>
  <c r="AE6" i="8"/>
  <c r="E8" i="3"/>
  <c r="G8" i="3"/>
  <c r="I8" i="3"/>
  <c r="C9" i="3"/>
  <c r="E7" i="8"/>
  <c r="AD7" i="8"/>
  <c r="AE7" i="8"/>
  <c r="E9" i="3"/>
  <c r="G9" i="3"/>
  <c r="I9" i="3"/>
  <c r="H7" i="8"/>
  <c r="C10" i="3"/>
  <c r="E8" i="8"/>
  <c r="E10" i="3"/>
  <c r="G10" i="3"/>
  <c r="G8" i="8"/>
  <c r="I10" i="3"/>
  <c r="H8" i="8"/>
  <c r="AD8" i="8"/>
  <c r="C11" i="3"/>
  <c r="J11" i="3"/>
  <c r="E11" i="3"/>
  <c r="G11" i="3"/>
  <c r="G9" i="8"/>
  <c r="I11" i="3"/>
  <c r="C12" i="3"/>
  <c r="E10" i="8"/>
  <c r="AD10" i="8"/>
  <c r="E12" i="3"/>
  <c r="F10" i="8"/>
  <c r="G12" i="3"/>
  <c r="G10" i="8"/>
  <c r="I12" i="3"/>
  <c r="C13" i="3"/>
  <c r="E11" i="8"/>
  <c r="AD11" i="8"/>
  <c r="AE11" i="8"/>
  <c r="E13" i="3"/>
  <c r="F11" i="8"/>
  <c r="G13" i="3"/>
  <c r="G11" i="8"/>
  <c r="I13" i="3"/>
  <c r="C14" i="3"/>
  <c r="E12" i="8"/>
  <c r="AE12" i="8"/>
  <c r="E14" i="3"/>
  <c r="F12" i="8"/>
  <c r="G14" i="3"/>
  <c r="G12" i="8"/>
  <c r="I14" i="3"/>
  <c r="H12" i="8"/>
  <c r="C15" i="3"/>
  <c r="E13" i="8"/>
  <c r="AD13" i="8"/>
  <c r="E15" i="3"/>
  <c r="G15" i="3"/>
  <c r="G13" i="8"/>
  <c r="I15" i="3"/>
  <c r="C16" i="3"/>
  <c r="E16" i="3"/>
  <c r="F14" i="8"/>
  <c r="G16" i="3"/>
  <c r="G14" i="8"/>
  <c r="I16" i="3"/>
  <c r="H14" i="8"/>
  <c r="C17" i="3"/>
  <c r="E17" i="3"/>
  <c r="G17" i="3"/>
  <c r="G15" i="8"/>
  <c r="I17" i="3"/>
  <c r="H15" i="8"/>
  <c r="C18" i="3"/>
  <c r="E16" i="8"/>
  <c r="AD16" i="8"/>
  <c r="AE16" i="8"/>
  <c r="E18" i="3"/>
  <c r="F16" i="8"/>
  <c r="G18" i="3"/>
  <c r="I18" i="3"/>
  <c r="H16" i="8"/>
  <c r="C19" i="3"/>
  <c r="E19" i="3"/>
  <c r="G19" i="3"/>
  <c r="G17" i="8"/>
  <c r="I19" i="3"/>
  <c r="H17" i="8"/>
  <c r="C20" i="3"/>
  <c r="E18" i="8"/>
  <c r="AE18" i="8"/>
  <c r="E20" i="3"/>
  <c r="F18" i="8"/>
  <c r="G20" i="3"/>
  <c r="G18" i="8"/>
  <c r="I20" i="3"/>
  <c r="H18" i="8"/>
  <c r="C21" i="3"/>
  <c r="E21" i="3"/>
  <c r="F19" i="8"/>
  <c r="G21" i="3"/>
  <c r="G19" i="8"/>
  <c r="I21" i="3"/>
  <c r="H19" i="8"/>
  <c r="C22" i="3"/>
  <c r="E20" i="8"/>
  <c r="E22" i="3"/>
  <c r="F20" i="8"/>
  <c r="G22" i="3"/>
  <c r="G20" i="8"/>
  <c r="I22" i="3"/>
  <c r="H20" i="8"/>
  <c r="C23" i="3"/>
  <c r="E21" i="8"/>
  <c r="E23" i="3"/>
  <c r="G23" i="3"/>
  <c r="G21" i="8"/>
  <c r="I23" i="3"/>
  <c r="H21" i="8"/>
  <c r="AD21" i="8"/>
  <c r="AE21" i="8"/>
  <c r="C24" i="3"/>
  <c r="E24" i="3"/>
  <c r="F22" i="8"/>
  <c r="G24" i="3"/>
  <c r="I24" i="3"/>
  <c r="C25" i="3"/>
  <c r="E23" i="8"/>
  <c r="AD23" i="8"/>
  <c r="AE23" i="8"/>
  <c r="E25" i="3"/>
  <c r="F23" i="8"/>
  <c r="G25" i="3"/>
  <c r="G23" i="8"/>
  <c r="I25" i="3"/>
  <c r="H23" i="8"/>
  <c r="C26" i="3"/>
  <c r="E24" i="8"/>
  <c r="AD24" i="8"/>
  <c r="AE24" i="8"/>
  <c r="E26" i="3"/>
  <c r="F24" i="8"/>
  <c r="G26" i="3"/>
  <c r="J26" i="3"/>
  <c r="K26" i="3"/>
  <c r="G24" i="8"/>
  <c r="I26" i="3"/>
  <c r="H24" i="8"/>
  <c r="C27" i="3"/>
  <c r="E27" i="3"/>
  <c r="F25" i="8"/>
  <c r="G27" i="3"/>
  <c r="G25" i="8"/>
  <c r="I27" i="3"/>
  <c r="C28" i="3"/>
  <c r="E26" i="8"/>
  <c r="E28" i="3"/>
  <c r="F26" i="8"/>
  <c r="G28" i="3"/>
  <c r="G26" i="8"/>
  <c r="I28" i="3"/>
  <c r="H26" i="8"/>
  <c r="C29" i="3"/>
  <c r="E27" i="8"/>
  <c r="E29" i="3"/>
  <c r="F27" i="8"/>
  <c r="G29" i="3"/>
  <c r="G27" i="8"/>
  <c r="I29" i="3"/>
  <c r="H27" i="8"/>
  <c r="C30" i="3"/>
  <c r="E28" i="8"/>
  <c r="E30" i="3"/>
  <c r="F28" i="8"/>
  <c r="G30" i="3"/>
  <c r="I30" i="3"/>
  <c r="H28" i="8"/>
  <c r="C31" i="3"/>
  <c r="E31" i="3"/>
  <c r="F29" i="8"/>
  <c r="G31" i="3"/>
  <c r="G29" i="8"/>
  <c r="I31" i="3"/>
  <c r="I35" i="3"/>
  <c r="H29" i="8"/>
  <c r="C32" i="3"/>
  <c r="E32" i="3"/>
  <c r="G32" i="3"/>
  <c r="G30" i="8"/>
  <c r="I32" i="3"/>
  <c r="H30" i="8"/>
  <c r="AE30" i="8"/>
  <c r="C33" i="3"/>
  <c r="E31" i="8"/>
  <c r="AD31" i="8"/>
  <c r="AE31" i="8"/>
  <c r="E33" i="3"/>
  <c r="G33" i="3"/>
  <c r="G31" i="8"/>
  <c r="I33" i="3"/>
  <c r="C34" i="3"/>
  <c r="E34" i="3"/>
  <c r="G34" i="3"/>
  <c r="I34" i="3"/>
  <c r="C4" i="2"/>
  <c r="E4" i="2"/>
  <c r="G4" i="2"/>
  <c r="I4" i="2"/>
  <c r="K4" i="2"/>
  <c r="M4" i="2"/>
  <c r="O4" i="2"/>
  <c r="Q4" i="2"/>
  <c r="S4" i="2"/>
  <c r="C5" i="2"/>
  <c r="E5" i="2"/>
  <c r="G5" i="2"/>
  <c r="I5" i="2"/>
  <c r="K5" i="2"/>
  <c r="M5" i="2"/>
  <c r="O5" i="2"/>
  <c r="Q5" i="2"/>
  <c r="S5" i="2"/>
  <c r="C6" i="2"/>
  <c r="E6" i="2"/>
  <c r="G6" i="2"/>
  <c r="I6" i="2"/>
  <c r="K6" i="2"/>
  <c r="M6" i="2"/>
  <c r="O6" i="2"/>
  <c r="Q6" i="2"/>
  <c r="S6" i="2"/>
  <c r="C7" i="2"/>
  <c r="E7" i="2"/>
  <c r="G7" i="2"/>
  <c r="I7" i="2"/>
  <c r="K7" i="2"/>
  <c r="M7" i="2"/>
  <c r="O7" i="2"/>
  <c r="Q7" i="2"/>
  <c r="S7" i="2"/>
  <c r="C8" i="2"/>
  <c r="E8" i="2"/>
  <c r="G8" i="2"/>
  <c r="I8" i="2"/>
  <c r="K8" i="2"/>
  <c r="M8" i="2"/>
  <c r="O8" i="2"/>
  <c r="Q8" i="2"/>
  <c r="S8" i="2"/>
  <c r="C9" i="2"/>
  <c r="E9" i="2"/>
  <c r="G9" i="2"/>
  <c r="I9" i="2"/>
  <c r="K9" i="2"/>
  <c r="M9" i="2"/>
  <c r="O9" i="2"/>
  <c r="Q9" i="2"/>
  <c r="S9" i="2"/>
  <c r="C10" i="2"/>
  <c r="E10" i="2"/>
  <c r="G10" i="2"/>
  <c r="I10" i="2"/>
  <c r="K10" i="2"/>
  <c r="M10" i="2"/>
  <c r="O10" i="2"/>
  <c r="Q10" i="2"/>
  <c r="S10" i="2"/>
  <c r="C11" i="2"/>
  <c r="E11" i="2"/>
  <c r="G11" i="2"/>
  <c r="I11" i="2"/>
  <c r="K11" i="2"/>
  <c r="M11" i="2"/>
  <c r="O11" i="2"/>
  <c r="Q11" i="2"/>
  <c r="S11" i="2"/>
  <c r="C12" i="2"/>
  <c r="E12" i="2"/>
  <c r="G12" i="2"/>
  <c r="I12" i="2"/>
  <c r="K12" i="2"/>
  <c r="M12" i="2"/>
  <c r="O12" i="2"/>
  <c r="Q12" i="2"/>
  <c r="S12" i="2"/>
  <c r="C13" i="2"/>
  <c r="E13" i="2"/>
  <c r="G13" i="2"/>
  <c r="I13" i="2"/>
  <c r="K13" i="2"/>
  <c r="M13" i="2"/>
  <c r="O13" i="2"/>
  <c r="Q13" i="2"/>
  <c r="S13" i="2"/>
  <c r="C14" i="2"/>
  <c r="E14" i="2"/>
  <c r="G14" i="2"/>
  <c r="I14" i="2"/>
  <c r="K14" i="2"/>
  <c r="M14" i="2"/>
  <c r="O14" i="2"/>
  <c r="Q14" i="2"/>
  <c r="S14" i="2"/>
  <c r="C15" i="2"/>
  <c r="E15" i="2"/>
  <c r="G15" i="2"/>
  <c r="I15" i="2"/>
  <c r="K15" i="2"/>
  <c r="M15" i="2"/>
  <c r="O15" i="2"/>
  <c r="Q15" i="2"/>
  <c r="S15" i="2"/>
  <c r="C16" i="2"/>
  <c r="E16" i="2"/>
  <c r="G16" i="2"/>
  <c r="I16" i="2"/>
  <c r="K16" i="2"/>
  <c r="M16" i="2"/>
  <c r="O16" i="2"/>
  <c r="Q16" i="2"/>
  <c r="S16" i="2"/>
  <c r="C17" i="2"/>
  <c r="E17" i="2"/>
  <c r="G17" i="2"/>
  <c r="I17" i="2"/>
  <c r="K17" i="2"/>
  <c r="M17" i="2"/>
  <c r="O17" i="2"/>
  <c r="Q17" i="2"/>
  <c r="S17" i="2"/>
  <c r="C18" i="2"/>
  <c r="E18" i="2"/>
  <c r="G18" i="2"/>
  <c r="I18" i="2"/>
  <c r="K18" i="2"/>
  <c r="M18" i="2"/>
  <c r="O18" i="2"/>
  <c r="Q18" i="2"/>
  <c r="S18" i="2"/>
  <c r="C19" i="2"/>
  <c r="E19" i="2"/>
  <c r="G19" i="2"/>
  <c r="I19" i="2"/>
  <c r="K19" i="2"/>
  <c r="M19" i="2"/>
  <c r="O19" i="2"/>
  <c r="Q19" i="2"/>
  <c r="S19" i="2"/>
  <c r="C20" i="2"/>
  <c r="E20" i="2"/>
  <c r="G20" i="2"/>
  <c r="I20" i="2"/>
  <c r="K20" i="2"/>
  <c r="M20" i="2"/>
  <c r="O20" i="2"/>
  <c r="Q20" i="2"/>
  <c r="S20" i="2"/>
  <c r="C21" i="2"/>
  <c r="E21" i="2"/>
  <c r="G21" i="2"/>
  <c r="I21" i="2"/>
  <c r="K21" i="2"/>
  <c r="M21" i="2"/>
  <c r="O21" i="2"/>
  <c r="Q21" i="2"/>
  <c r="S21" i="2"/>
  <c r="C22" i="2"/>
  <c r="E22" i="2"/>
  <c r="G22" i="2"/>
  <c r="I22" i="2"/>
  <c r="K22" i="2"/>
  <c r="M22" i="2"/>
  <c r="O22" i="2"/>
  <c r="Q22" i="2"/>
  <c r="S22" i="2"/>
  <c r="C23" i="2"/>
  <c r="E23" i="2"/>
  <c r="G23" i="2"/>
  <c r="I23" i="2"/>
  <c r="K23" i="2"/>
  <c r="M23" i="2"/>
  <c r="O23" i="2"/>
  <c r="Q23" i="2"/>
  <c r="S23" i="2"/>
  <c r="C24" i="2"/>
  <c r="E24" i="2"/>
  <c r="G24" i="2"/>
  <c r="I24" i="2"/>
  <c r="K24" i="2"/>
  <c r="M24" i="2"/>
  <c r="O24" i="2"/>
  <c r="Q24" i="2"/>
  <c r="S24" i="2"/>
  <c r="C25" i="2"/>
  <c r="E25" i="2"/>
  <c r="G25" i="2"/>
  <c r="I25" i="2"/>
  <c r="K25" i="2"/>
  <c r="M25" i="2"/>
  <c r="O25" i="2"/>
  <c r="Q25" i="2"/>
  <c r="S25" i="2"/>
  <c r="C26" i="2"/>
  <c r="E26" i="2"/>
  <c r="G26" i="2"/>
  <c r="I26" i="2"/>
  <c r="K26" i="2"/>
  <c r="M26" i="2"/>
  <c r="O26" i="2"/>
  <c r="Q26" i="2"/>
  <c r="S26" i="2"/>
  <c r="C27" i="2"/>
  <c r="E27" i="2"/>
  <c r="G27" i="2"/>
  <c r="I27" i="2"/>
  <c r="K27" i="2"/>
  <c r="M27" i="2"/>
  <c r="O27" i="2"/>
  <c r="Q27" i="2"/>
  <c r="S27" i="2"/>
  <c r="C28" i="2"/>
  <c r="E28" i="2"/>
  <c r="G28" i="2"/>
  <c r="I28" i="2"/>
  <c r="K28" i="2"/>
  <c r="M28" i="2"/>
  <c r="O28" i="2"/>
  <c r="Q28" i="2"/>
  <c r="S28" i="2"/>
  <c r="C29" i="2"/>
  <c r="E29" i="2"/>
  <c r="G29" i="2"/>
  <c r="I29" i="2"/>
  <c r="K29" i="2"/>
  <c r="M29" i="2"/>
  <c r="O29" i="2"/>
  <c r="Q29" i="2"/>
  <c r="S29" i="2"/>
  <c r="C30" i="2"/>
  <c r="E30" i="2"/>
  <c r="G30" i="2"/>
  <c r="I30" i="2"/>
  <c r="K30" i="2"/>
  <c r="M30" i="2"/>
  <c r="O30" i="2"/>
  <c r="Q30" i="2"/>
  <c r="S30" i="2"/>
  <c r="C31" i="2"/>
  <c r="E31" i="2"/>
  <c r="G31" i="2"/>
  <c r="I31" i="2"/>
  <c r="K31" i="2"/>
  <c r="M31" i="2"/>
  <c r="O31" i="2"/>
  <c r="Q31" i="2"/>
  <c r="S31" i="2"/>
  <c r="C32" i="2"/>
  <c r="E32" i="2"/>
  <c r="G32" i="2"/>
  <c r="I32" i="2"/>
  <c r="K32" i="2"/>
  <c r="M32" i="2"/>
  <c r="O32" i="2"/>
  <c r="C33" i="2"/>
  <c r="E33" i="2"/>
  <c r="G33" i="2"/>
  <c r="G35" i="2"/>
  <c r="I33" i="2"/>
  <c r="I35" i="2"/>
  <c r="K33" i="2"/>
  <c r="M33" i="2"/>
  <c r="O33" i="2"/>
  <c r="Q33" i="2"/>
  <c r="S33" i="2"/>
  <c r="C34" i="2"/>
  <c r="C35" i="2"/>
  <c r="E34" i="2"/>
  <c r="G34" i="2"/>
  <c r="I34" i="2"/>
  <c r="K34" i="2"/>
  <c r="K35" i="2"/>
  <c r="M34" i="2"/>
  <c r="M35" i="2"/>
  <c r="O34" i="2"/>
  <c r="Q34" i="2"/>
  <c r="S34" i="2"/>
  <c r="S35" i="2"/>
  <c r="J2" i="8"/>
  <c r="K2" i="8"/>
  <c r="L2" i="8"/>
  <c r="X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G3" i="8"/>
  <c r="V3" i="8"/>
  <c r="X3" i="8"/>
  <c r="F4" i="8"/>
  <c r="K4" i="8"/>
  <c r="P4" i="8"/>
  <c r="Q4" i="8"/>
  <c r="S4" i="8"/>
  <c r="V4" i="8"/>
  <c r="X4" i="8"/>
  <c r="F5" i="8"/>
  <c r="I5" i="8"/>
  <c r="M5" i="8"/>
  <c r="X5" i="8"/>
  <c r="F6" i="8"/>
  <c r="H6" i="8"/>
  <c r="J6" i="8"/>
  <c r="K6" i="8"/>
  <c r="L6" i="8"/>
  <c r="N6" i="8"/>
  <c r="X6" i="8"/>
  <c r="G7" i="8"/>
  <c r="I7" i="8"/>
  <c r="Y7" i="8"/>
  <c r="K7" i="8"/>
  <c r="X7" i="8"/>
  <c r="F8" i="8"/>
  <c r="N8" i="8"/>
  <c r="Q8" i="8"/>
  <c r="R8" i="8"/>
  <c r="S8" i="8"/>
  <c r="U8" i="8"/>
  <c r="X8" i="8"/>
  <c r="F9" i="8"/>
  <c r="H9" i="8"/>
  <c r="AD9" i="8"/>
  <c r="M9" i="8"/>
  <c r="T9" i="8"/>
  <c r="U9" i="8"/>
  <c r="X9" i="8"/>
  <c r="Q10" i="8"/>
  <c r="T10" i="8"/>
  <c r="V10" i="8"/>
  <c r="X10" i="8"/>
  <c r="L11" i="8"/>
  <c r="O11" i="8"/>
  <c r="P11" i="8"/>
  <c r="X11" i="8"/>
  <c r="J12" i="8"/>
  <c r="O12" i="8"/>
  <c r="X12" i="8"/>
  <c r="O13" i="8"/>
  <c r="X13" i="8"/>
  <c r="L14" i="8"/>
  <c r="V14" i="8"/>
  <c r="X14" i="8"/>
  <c r="L15" i="8"/>
  <c r="O15" i="8"/>
  <c r="X15" i="8"/>
  <c r="I16" i="8"/>
  <c r="Y16" i="8"/>
  <c r="X16" i="8"/>
  <c r="E17" i="8"/>
  <c r="AD17" i="8"/>
  <c r="AE17" i="8"/>
  <c r="F17" i="8"/>
  <c r="O17" i="8"/>
  <c r="X17" i="8"/>
  <c r="T18" i="8"/>
  <c r="V18" i="8"/>
  <c r="X18" i="8"/>
  <c r="J19" i="8"/>
  <c r="X19" i="8"/>
  <c r="N20" i="8"/>
  <c r="X20" i="8"/>
  <c r="F21" i="8"/>
  <c r="I21" i="8"/>
  <c r="Y21" i="8"/>
  <c r="X21" i="8"/>
  <c r="E22" i="8"/>
  <c r="H22" i="8"/>
  <c r="M22" i="8"/>
  <c r="X22" i="8"/>
  <c r="L23" i="8"/>
  <c r="X23" i="8"/>
  <c r="X24" i="8"/>
  <c r="X25" i="8"/>
  <c r="X26" i="8"/>
  <c r="O27" i="8"/>
  <c r="X27" i="8"/>
  <c r="P28" i="8"/>
  <c r="X28" i="8"/>
  <c r="X29" i="8"/>
  <c r="F30" i="8"/>
  <c r="X30" i="8"/>
  <c r="F31" i="8"/>
  <c r="H31" i="8"/>
  <c r="L31" i="8"/>
  <c r="X31" i="8"/>
  <c r="K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N11" i="8"/>
  <c r="T12" i="8"/>
  <c r="F13" i="8"/>
  <c r="K12" i="8"/>
  <c r="N13" i="8"/>
  <c r="P31" i="1"/>
  <c r="U17" i="8"/>
  <c r="D4" i="1"/>
  <c r="V15" i="8"/>
  <c r="G30" i="1"/>
  <c r="S29" i="8"/>
  <c r="S26" i="1"/>
  <c r="G22" i="1"/>
  <c r="M15" i="1"/>
  <c r="R11" i="8"/>
  <c r="J33" i="1"/>
  <c r="J34" i="1"/>
  <c r="P30" i="1"/>
  <c r="J25" i="1"/>
  <c r="U22" i="8"/>
  <c r="P23" i="1"/>
  <c r="P19" i="1"/>
  <c r="S16" i="8"/>
  <c r="P15" i="1"/>
  <c r="U14" i="8"/>
  <c r="S3" i="8"/>
  <c r="G15" i="1"/>
  <c r="D17" i="1"/>
  <c r="M19" i="1"/>
  <c r="S19" i="8"/>
  <c r="L20" i="8"/>
  <c r="Y20" i="8"/>
  <c r="Z24" i="4"/>
  <c r="AA24" i="4"/>
  <c r="N21" i="8"/>
  <c r="T21" i="8"/>
  <c r="R22" i="8"/>
  <c r="U24" i="8"/>
  <c r="S24" i="8"/>
  <c r="P26" i="8"/>
  <c r="T27" i="8"/>
  <c r="R28" i="8"/>
  <c r="M30" i="8"/>
  <c r="I31" i="8"/>
  <c r="Y31" i="8"/>
  <c r="J4" i="1"/>
  <c r="W2" i="8"/>
  <c r="U3" i="8"/>
  <c r="P3" i="1"/>
  <c r="G3" i="1"/>
  <c r="Z5" i="4"/>
  <c r="J3" i="8"/>
  <c r="I2" i="8"/>
  <c r="Y2" i="8"/>
  <c r="W5" i="8"/>
  <c r="P21" i="1"/>
  <c r="U5" i="8"/>
  <c r="U10" i="8"/>
  <c r="U4" i="8"/>
  <c r="V2" i="8"/>
  <c r="V11" i="8"/>
  <c r="J20" i="1"/>
  <c r="T5" i="8"/>
  <c r="T28" i="8"/>
  <c r="T6" i="8"/>
  <c r="J30" i="1"/>
  <c r="S15" i="8"/>
  <c r="S5" i="8"/>
  <c r="G28" i="1"/>
  <c r="G11" i="1"/>
  <c r="R23" i="8"/>
  <c r="T4" i="1"/>
  <c r="U4" i="1"/>
  <c r="R9" i="8"/>
  <c r="D32" i="1"/>
  <c r="D8" i="1"/>
  <c r="D18" i="1"/>
  <c r="R26" i="8"/>
  <c r="T3" i="1"/>
  <c r="R2" i="8"/>
  <c r="X5" i="4"/>
  <c r="Y5" i="4"/>
  <c r="O3" i="8"/>
  <c r="N7" i="8"/>
  <c r="Z4" i="4"/>
  <c r="AA4" i="4"/>
  <c r="M6" i="8"/>
  <c r="X4" i="4"/>
  <c r="Y4" i="4"/>
  <c r="K7" i="6"/>
  <c r="K3" i="8"/>
  <c r="I15" i="4"/>
  <c r="I28" i="8"/>
  <c r="I4" i="8"/>
  <c r="I8" i="8"/>
  <c r="K3" i="6"/>
  <c r="H2" i="8"/>
  <c r="J29" i="3"/>
  <c r="K29" i="3"/>
  <c r="J4" i="3"/>
  <c r="K4" i="3"/>
  <c r="F2" i="8"/>
  <c r="J5" i="3"/>
  <c r="K5" i="3"/>
  <c r="K31" i="6"/>
  <c r="E2" i="8"/>
  <c r="AD2" i="8"/>
  <c r="K18" i="6"/>
  <c r="K17" i="6"/>
  <c r="C10" i="6"/>
  <c r="D10" i="6"/>
  <c r="K22" i="6"/>
  <c r="K21" i="6"/>
  <c r="U3" i="1"/>
  <c r="AA5" i="4"/>
  <c r="Z6" i="4"/>
  <c r="X6" i="4"/>
  <c r="I7" i="4"/>
  <c r="I6" i="4"/>
  <c r="J6" i="3"/>
  <c r="K6" i="3"/>
  <c r="E4" i="8"/>
  <c r="V5" i="8"/>
  <c r="D6" i="1"/>
  <c r="D5" i="1"/>
  <c r="T5" i="1"/>
  <c r="Y6" i="4"/>
  <c r="AA6" i="4"/>
  <c r="U5" i="1"/>
  <c r="T6" i="1"/>
  <c r="U6" i="1"/>
  <c r="R5" i="8"/>
  <c r="P6" i="8"/>
  <c r="X7" i="4"/>
  <c r="Y7" i="4"/>
  <c r="Z7" i="4"/>
  <c r="I8" i="4"/>
  <c r="J7" i="3"/>
  <c r="K7" i="3"/>
  <c r="J8" i="3"/>
  <c r="K8" i="3"/>
  <c r="AA7" i="4"/>
  <c r="Z8" i="4"/>
  <c r="X8" i="4"/>
  <c r="G6" i="8"/>
  <c r="F7" i="8"/>
  <c r="W6" i="8"/>
  <c r="P7" i="1"/>
  <c r="V6" i="8"/>
  <c r="V7" i="8"/>
  <c r="T7" i="1"/>
  <c r="U7" i="1"/>
  <c r="AA8" i="4"/>
  <c r="Y8" i="4"/>
  <c r="Z9" i="4"/>
  <c r="Z10" i="4"/>
  <c r="AA10" i="4"/>
  <c r="M7" i="8"/>
  <c r="X9" i="4"/>
  <c r="Y9" i="4"/>
  <c r="L7" i="8"/>
  <c r="J7" i="8"/>
  <c r="S8" i="1"/>
  <c r="T7" i="8"/>
  <c r="S7" i="8"/>
  <c r="T8" i="1"/>
  <c r="J9" i="3"/>
  <c r="K9" i="3"/>
  <c r="AA9" i="4"/>
  <c r="U8" i="1"/>
  <c r="Z11" i="4"/>
  <c r="AA11" i="4"/>
  <c r="X10" i="4"/>
  <c r="L8" i="8"/>
  <c r="Y8" i="8"/>
  <c r="I9" i="8"/>
  <c r="Y9" i="8"/>
  <c r="J10" i="3"/>
  <c r="Y10" i="4"/>
  <c r="K10" i="3"/>
  <c r="X11" i="4"/>
  <c r="K9" i="8"/>
  <c r="I11" i="4"/>
  <c r="K11" i="3"/>
  <c r="E9" i="8"/>
  <c r="AE9" i="8"/>
  <c r="S10" i="1"/>
  <c r="T11" i="1"/>
  <c r="U11" i="1"/>
  <c r="T10" i="1"/>
  <c r="U10" i="1"/>
  <c r="T9" i="1"/>
  <c r="U9" i="1"/>
  <c r="J9" i="1"/>
  <c r="S9" i="8"/>
  <c r="Y11" i="4"/>
  <c r="X12" i="4"/>
  <c r="Z12" i="4"/>
  <c r="Y12" i="4"/>
  <c r="K10" i="8"/>
  <c r="H10" i="8"/>
  <c r="J12" i="3"/>
  <c r="K12" i="3"/>
  <c r="AA12" i="4"/>
  <c r="W12" i="8"/>
  <c r="U11" i="8"/>
  <c r="P12" i="1"/>
  <c r="J12" i="1"/>
  <c r="S11" i="8"/>
  <c r="T12" i="1"/>
  <c r="Z13" i="4"/>
  <c r="AA13" i="4"/>
  <c r="X13" i="4"/>
  <c r="J11" i="8"/>
  <c r="I14" i="4"/>
  <c r="I12" i="8"/>
  <c r="Y12" i="8"/>
  <c r="I13" i="4"/>
  <c r="Y13" i="4"/>
  <c r="H11" i="8"/>
  <c r="J13" i="3"/>
  <c r="U12" i="1"/>
  <c r="K13" i="3"/>
  <c r="P13" i="1"/>
  <c r="P14" i="1"/>
  <c r="V13" i="8"/>
  <c r="T13" i="1"/>
  <c r="U13" i="1"/>
  <c r="G14" i="1"/>
  <c r="R12" i="8"/>
  <c r="Z14" i="4"/>
  <c r="AA14" i="4"/>
  <c r="X14" i="4"/>
  <c r="Y14" i="4"/>
  <c r="X15" i="4"/>
  <c r="H13" i="8"/>
  <c r="AE13" i="8"/>
  <c r="J14" i="3"/>
  <c r="K14" i="3"/>
  <c r="J15" i="3"/>
  <c r="K15" i="3"/>
  <c r="Z15" i="4"/>
  <c r="AA15" i="4"/>
  <c r="Y15" i="4"/>
  <c r="S15" i="1"/>
  <c r="T14" i="1"/>
  <c r="U14" i="1"/>
  <c r="T15" i="1"/>
  <c r="U15" i="1"/>
  <c r="T14" i="8"/>
  <c r="T13" i="8"/>
  <c r="J14" i="1"/>
  <c r="M15" i="8"/>
  <c r="X16" i="4"/>
  <c r="Z16" i="4"/>
  <c r="M14" i="8"/>
  <c r="J16" i="3"/>
  <c r="E14" i="8"/>
  <c r="Y16" i="4"/>
  <c r="AA16" i="4"/>
  <c r="K16" i="3"/>
  <c r="W15" i="8"/>
  <c r="T15" i="8"/>
  <c r="J16" i="1"/>
  <c r="P16" i="1"/>
  <c r="U15" i="8"/>
  <c r="T16" i="1"/>
  <c r="Z17" i="4"/>
  <c r="X17" i="4"/>
  <c r="I18" i="4"/>
  <c r="I17" i="4"/>
  <c r="F15" i="8"/>
  <c r="E15" i="8"/>
  <c r="AD15" i="8"/>
  <c r="AE15" i="8"/>
  <c r="J17" i="3"/>
  <c r="U16" i="1"/>
  <c r="AA17" i="4"/>
  <c r="Y17" i="4"/>
  <c r="K17" i="3"/>
  <c r="U16" i="8"/>
  <c r="T17" i="1"/>
  <c r="U17" i="1"/>
  <c r="S17" i="8"/>
  <c r="Z18" i="4"/>
  <c r="AA18" i="4"/>
  <c r="X18" i="4"/>
  <c r="I19" i="4"/>
  <c r="I17" i="8"/>
  <c r="J18" i="3"/>
  <c r="K18" i="3"/>
  <c r="G16" i="8"/>
  <c r="Y18" i="4"/>
  <c r="W17" i="8"/>
  <c r="T18" i="1"/>
  <c r="U18" i="1"/>
  <c r="V17" i="8"/>
  <c r="X19" i="4"/>
  <c r="Y19" i="4"/>
  <c r="Z19" i="4"/>
  <c r="L18" i="8"/>
  <c r="J19" i="3"/>
  <c r="K19" i="3"/>
  <c r="AA19" i="4"/>
  <c r="P20" i="1"/>
  <c r="V19" i="8"/>
  <c r="S18" i="8"/>
  <c r="T19" i="1"/>
  <c r="U19" i="1"/>
  <c r="D19" i="1"/>
  <c r="D20" i="1"/>
  <c r="Z20" i="4"/>
  <c r="X20" i="4"/>
  <c r="I21" i="4"/>
  <c r="I20" i="4"/>
  <c r="J20" i="3"/>
  <c r="K20" i="3"/>
  <c r="AA20" i="4"/>
  <c r="Y20" i="4"/>
  <c r="J21" i="3"/>
  <c r="K21" i="3"/>
  <c r="E19" i="8"/>
  <c r="AD19" i="8"/>
  <c r="AE19" i="8"/>
  <c r="J22" i="3"/>
  <c r="K22" i="3"/>
  <c r="Z21" i="4"/>
  <c r="AA21" i="4"/>
  <c r="X22" i="4"/>
  <c r="Z22" i="4"/>
  <c r="X21" i="4"/>
  <c r="Y21" i="4"/>
  <c r="I22" i="4"/>
  <c r="I20" i="8"/>
  <c r="M21" i="1"/>
  <c r="T20" i="8"/>
  <c r="D22" i="1"/>
  <c r="S21" i="1"/>
  <c r="T20" i="1"/>
  <c r="U20" i="1"/>
  <c r="S20" i="8"/>
  <c r="T21" i="1"/>
  <c r="D21" i="1"/>
  <c r="Y22" i="4"/>
  <c r="AA22" i="4"/>
  <c r="U21" i="1"/>
  <c r="Z23" i="4"/>
  <c r="L21" i="8"/>
  <c r="X23" i="4"/>
  <c r="J23" i="3"/>
  <c r="J23" i="1"/>
  <c r="T22" i="1"/>
  <c r="U22" i="1"/>
  <c r="AA23" i="4"/>
  <c r="Y23" i="4"/>
  <c r="K23" i="3"/>
  <c r="W22" i="8"/>
  <c r="U23" i="8"/>
  <c r="T23" i="1"/>
  <c r="I24" i="4"/>
  <c r="Y24" i="4"/>
  <c r="G22" i="8"/>
  <c r="J24" i="3"/>
  <c r="K24" i="3"/>
  <c r="U23" i="1"/>
  <c r="Z25" i="4"/>
  <c r="AA25" i="4"/>
  <c r="O23" i="8"/>
  <c r="X25" i="4"/>
  <c r="M24" i="8"/>
  <c r="I25" i="4"/>
  <c r="J25" i="3"/>
  <c r="W23" i="8"/>
  <c r="P25" i="1"/>
  <c r="V23" i="8"/>
  <c r="T23" i="8"/>
  <c r="G24" i="1"/>
  <c r="T24" i="1"/>
  <c r="R24" i="8"/>
  <c r="Y25" i="4"/>
  <c r="K25" i="3"/>
  <c r="U24" i="1"/>
  <c r="Z26" i="4"/>
  <c r="X26" i="4"/>
  <c r="J24" i="8"/>
  <c r="M25" i="1"/>
  <c r="T25" i="8"/>
  <c r="T25" i="1"/>
  <c r="U25" i="1"/>
  <c r="AA26" i="4"/>
  <c r="Y26" i="4"/>
  <c r="S27" i="1"/>
  <c r="U25" i="8"/>
  <c r="U26" i="8"/>
  <c r="V26" i="8"/>
  <c r="G26" i="1"/>
  <c r="T26" i="1"/>
  <c r="Z27" i="4"/>
  <c r="AA27" i="4"/>
  <c r="M25" i="8"/>
  <c r="X27" i="4"/>
  <c r="X28" i="4"/>
  <c r="I27" i="4"/>
  <c r="H25" i="8"/>
  <c r="J28" i="3"/>
  <c r="K28" i="3"/>
  <c r="J27" i="3"/>
  <c r="E25" i="8"/>
  <c r="U26" i="1"/>
  <c r="Y27" i="4"/>
  <c r="K27" i="3"/>
  <c r="Z28" i="4"/>
  <c r="I28" i="4"/>
  <c r="Y28" i="4"/>
  <c r="W27" i="8"/>
  <c r="T27" i="1"/>
  <c r="U27" i="1"/>
  <c r="AA28" i="4"/>
  <c r="P27" i="8"/>
  <c r="Z29" i="4"/>
  <c r="AA29" i="4"/>
  <c r="X29" i="4"/>
  <c r="M35" i="4"/>
  <c r="I29" i="4"/>
  <c r="I27" i="8"/>
  <c r="Y27" i="8"/>
  <c r="J30" i="3"/>
  <c r="K30" i="3"/>
  <c r="T28" i="1"/>
  <c r="U28" i="1"/>
  <c r="V27" i="8"/>
  <c r="Y29" i="4"/>
  <c r="X30" i="4"/>
  <c r="Z30" i="4"/>
  <c r="N28" i="8"/>
  <c r="K28" i="8"/>
  <c r="I30" i="4"/>
  <c r="Y30" i="4"/>
  <c r="G28" i="8"/>
  <c r="E29" i="8"/>
  <c r="AD29" i="8"/>
  <c r="W28" i="8"/>
  <c r="P29" i="1"/>
  <c r="T29" i="1"/>
  <c r="U29" i="1"/>
  <c r="M30" i="1"/>
  <c r="AA30" i="4"/>
  <c r="T30" i="1"/>
  <c r="U30" i="1"/>
  <c r="I34" i="1"/>
  <c r="Z31" i="4"/>
  <c r="X31" i="4"/>
  <c r="X35" i="4"/>
  <c r="I31" i="4"/>
  <c r="Y31" i="4"/>
  <c r="Y35" i="4"/>
  <c r="G35" i="3"/>
  <c r="E35" i="3"/>
  <c r="J31" i="3"/>
  <c r="AA31" i="4"/>
  <c r="Z35" i="4"/>
  <c r="J35" i="3"/>
  <c r="K31" i="3"/>
  <c r="K35" i="3"/>
  <c r="S32" i="1"/>
  <c r="V30" i="8"/>
  <c r="T31" i="8"/>
  <c r="F34" i="1"/>
  <c r="T31" i="1"/>
  <c r="U31" i="1"/>
  <c r="Z32" i="4"/>
  <c r="AA32" i="4"/>
  <c r="X32" i="4"/>
  <c r="K35" i="4"/>
  <c r="H35" i="4"/>
  <c r="I32" i="4"/>
  <c r="I30" i="8"/>
  <c r="Y30" i="8"/>
  <c r="J32" i="3"/>
  <c r="K32" i="3"/>
  <c r="J33" i="3"/>
  <c r="K33" i="3"/>
  <c r="E30" i="8"/>
  <c r="Y32" i="4"/>
  <c r="C16" i="6"/>
  <c r="D16" i="6"/>
  <c r="D14" i="6"/>
  <c r="C35" i="3"/>
  <c r="Q35" i="2"/>
  <c r="C8" i="6"/>
  <c r="D8" i="6"/>
  <c r="E35" i="2"/>
  <c r="C35" i="5"/>
  <c r="W35" i="4"/>
  <c r="Z33" i="4"/>
  <c r="AA33" i="4"/>
  <c r="O35" i="4"/>
  <c r="X33" i="4"/>
  <c r="I33" i="4"/>
  <c r="F35" i="4"/>
  <c r="R34" i="1"/>
  <c r="P32" i="1"/>
  <c r="P34" i="1"/>
  <c r="T32" i="1"/>
  <c r="U32" i="1"/>
  <c r="U34" i="1"/>
  <c r="O34" i="1"/>
  <c r="V31" i="8"/>
  <c r="T33" i="1"/>
  <c r="U33" i="1"/>
  <c r="C34" i="1"/>
  <c r="C22" i="6"/>
  <c r="D22" i="6"/>
  <c r="Y33" i="4"/>
  <c r="T34" i="1"/>
  <c r="D26" i="6"/>
  <c r="C27" i="6"/>
  <c r="D27" i="6"/>
  <c r="D9" i="6"/>
  <c r="X34" i="4"/>
  <c r="Z34" i="4"/>
  <c r="AA34" i="4"/>
  <c r="K13" i="6"/>
  <c r="K14" i="6"/>
  <c r="C2" i="6"/>
  <c r="D2" i="6"/>
  <c r="Q35" i="4"/>
  <c r="I35" i="4"/>
  <c r="I34" i="4"/>
  <c r="Y34" i="4"/>
  <c r="C7" i="6"/>
  <c r="D7" i="6"/>
  <c r="C5" i="6"/>
  <c r="D5" i="6"/>
  <c r="AE8" i="8"/>
  <c r="AE4" i="8"/>
  <c r="AE26" i="8"/>
  <c r="AE10" i="8"/>
  <c r="AD5" i="8"/>
  <c r="AE5" i="8"/>
  <c r="AD20" i="8"/>
  <c r="AE20" i="8"/>
  <c r="AD26" i="8"/>
  <c r="AE2" i="8"/>
  <c r="AD4" i="8"/>
  <c r="AD14" i="8"/>
  <c r="AE14" i="8"/>
  <c r="AD22" i="8"/>
  <c r="AE22" i="8"/>
  <c r="AD25" i="8"/>
  <c r="AE25" i="8"/>
  <c r="AD28" i="8"/>
  <c r="AE28" i="8"/>
  <c r="AE29" i="8"/>
  <c r="Y26" i="8"/>
</calcChain>
</file>

<file path=xl/comments1.xml><?xml version="1.0" encoding="utf-8"?>
<comments xmlns="http://schemas.openxmlformats.org/spreadsheetml/2006/main">
  <authors>
    <author>Mohamed Amin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
</t>
        </r>
      </text>
    </comment>
  </commentList>
</comments>
</file>

<file path=xl/sharedStrings.xml><?xml version="1.0" encoding="utf-8"?>
<sst xmlns="http://schemas.openxmlformats.org/spreadsheetml/2006/main" count="463" uniqueCount="155">
  <si>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</si>
  <si>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</si>
  <si>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</si>
  <si>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</si>
  <si>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</si>
  <si>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</si>
  <si>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</si>
  <si>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</si>
  <si>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</si>
  <si>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</si>
  <si>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</si>
  <si>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</si>
  <si>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</si>
  <si>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</si>
  <si>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</si>
  <si>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</si>
  <si>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</si>
  <si>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</si>
  <si>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</si>
  <si>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</si>
  <si>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</si>
  <si>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</si>
  <si>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</si>
  <si>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</si>
  <si>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 xml:space="preserve">Last </t>
  </si>
  <si>
    <t xml:space="preserve">                                     </t>
  </si>
  <si>
    <t xml:space="preserve">        </t>
  </si>
  <si>
    <t xml:space="preserve">         </t>
  </si>
  <si>
    <t>Total</t>
  </si>
  <si>
    <t xml:space="preserve">                            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</si>
  <si>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</si>
  <si>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</si>
  <si>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</si>
  <si>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</si>
  <si>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</si>
  <si>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</si>
  <si>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</si>
  <si>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</si>
  <si>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</si>
  <si>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</si>
  <si>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</si>
  <si>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</si>
  <si>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</si>
  <si>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</si>
  <si>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</si>
  <si>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</si>
  <si>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</si>
  <si>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</si>
  <si>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</si>
  <si>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</si>
  <si>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</si>
  <si>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</si>
  <si>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</si>
  <si>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</si>
  <si>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</si>
  <si>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</si>
  <si>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</si>
  <si>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</si>
  <si>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</si>
  <si>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</si>
  <si>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</si>
  <si>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</si>
  <si>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Rotana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</si>
  <si>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</si>
  <si>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</si>
  <si>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</si>
  <si>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</si>
  <si>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</si>
  <si>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</si>
  <si>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</si>
  <si>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</si>
  <si>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</si>
  <si>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</si>
  <si>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</si>
  <si>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</si>
  <si>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</si>
  <si>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</si>
  <si>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</si>
  <si>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</si>
  <si>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</si>
  <si>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</si>
  <si>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</si>
  <si>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</si>
  <si>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</si>
  <si>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</si>
  <si>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Four Season Nile Plaza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</si>
  <si>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</si>
  <si>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</si>
  <si>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</si>
  <si>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</si>
  <si>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</si>
  <si>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</si>
  <si>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</si>
  <si>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</si>
  <si>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</si>
  <si>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</si>
  <si>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</si>
  <si>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</si>
  <si>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</si>
  <si>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</si>
  <si>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`</t>
  </si>
  <si>
    <t xml:space="preserve">Estimated value as there is no water Flow meter 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</si>
  <si>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</si>
  <si>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</si>
  <si>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</si>
  <si>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</si>
  <si>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</si>
  <si>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</si>
  <si>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</si>
  <si>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</si>
  <si>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</si>
  <si>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</si>
  <si>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</si>
  <si>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</si>
  <si>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</si>
  <si>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</si>
  <si>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</si>
  <si>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</si>
  <si>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</si>
  <si>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</si>
  <si>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</si>
  <si>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</si>
  <si>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</si>
  <si>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</si>
  <si>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</si>
  <si>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</si>
  <si>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</si>
  <si>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</si>
  <si>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</si>
  <si>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</si>
  <si>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</si>
  <si>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</si>
  <si>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</si>
  <si>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</si>
  <si>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</si>
  <si>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.</t>
  </si>
  <si>
    <t>Acutal till Feb. 2019</t>
  </si>
  <si>
    <t>Mall, Citadel and Rotana readings and cons.  Apr 2019</t>
  </si>
  <si>
    <t>Main Building, Podium, Hotel and Large cons.  Apr 2019</t>
  </si>
  <si>
    <t>Feeders and transformers Electrity cons.  Apr  2019</t>
  </si>
  <si>
    <t>Gas Con. Apr  2019</t>
  </si>
  <si>
    <t>Quantity for
Apr. 2016</t>
  </si>
  <si>
    <t>March . 2019</t>
  </si>
  <si>
    <t>April . 2018</t>
  </si>
  <si>
    <t>Energy Monthly Statement  April . 2019</t>
  </si>
  <si>
    <t>Acutal till March. 2019</t>
  </si>
  <si>
    <t>Acutal tillAprill. 2019</t>
  </si>
  <si>
    <t>Quantity for
May . 2016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</si>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</sst>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.0"/>
    <numFmt numFmtId="166" formatCode="[$-409]d\-mmm\-yyyy;@"/>
    <numFmt numFmtId="167" formatCode="[$-409]mmm\-yy;@"/>
    <numFmt numFmtId="168" formatCode="0.000"/>
    <numFmt numFmtId="170" formatCode="0.00;[Red]0.00"/>
  </numFmts>
  <fonts count="5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Calibri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color indexed="12"/>
      <name val="Arial"/>
      <family val="2"/>
    </font>
    <font>
      <b/>
      <sz val="12"/>
      <color indexed="30"/>
      <name val="Arial"/>
      <family val="2"/>
    </font>
    <font>
      <b/>
      <sz val="12"/>
      <color indexed="12"/>
      <name val="Arial"/>
      <family val="2"/>
    </font>
    <font>
      <b/>
      <sz val="18"/>
      <name val="Arial"/>
      <family val="2"/>
    </font>
    <font>
      <b/>
      <sz val="12"/>
      <name val="Trebuchet MS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8"/>
      <name val="Trebuchet MS"/>
      <family val="2"/>
    </font>
    <font>
      <sz val="11"/>
      <color indexed="20"/>
      <name val="Calibri"/>
      <family val="2"/>
    </font>
    <font>
      <sz val="10"/>
      <color indexed="30"/>
      <name val="Trebuchet MS"/>
      <family val="2"/>
    </font>
    <font>
      <b/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i/>
      <sz val="12"/>
      <name val="Arial"/>
      <family val="2"/>
    </font>
    <font>
      <u/>
      <sz val="12"/>
      <color indexed="10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10"/>
      <color indexed="12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name val="Arial"/>
      <family val="2"/>
    </font>
    <font>
      <sz val="11"/>
      <name val="Calibri"/>
      <family val="2"/>
    </font>
    <font>
      <b/>
      <u/>
      <sz val="18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</cellStyleXfs>
  <cellXfs count="210">
    <xf numFmtId="0" fontId="0" fillId="0" borderId="0" xfId="0"/>
    <xf numFmtId="0" fontId="4" fillId="0" borderId="1" xfId="0" applyFont="1" applyBorder="1" applyAlignment="1">
      <alignment horizontal="center"/>
    </xf>
    <xf numFmtId="0" fontId="3" fillId="0" borderId="0" xfId="0" applyFont="1"/>
    <xf numFmtId="16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6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4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3" fillId="0" borderId="0" xfId="4" applyFont="1"/>
    <xf numFmtId="0" fontId="3" fillId="0" borderId="0" xfId="4"/>
    <xf numFmtId="0" fontId="3" fillId="3" borderId="0" xfId="4" applyFill="1"/>
    <xf numFmtId="0" fontId="3" fillId="0" borderId="0" xfId="3"/>
    <xf numFmtId="17" fontId="2" fillId="0" borderId="0" xfId="3" applyNumberFormat="1" applyFont="1"/>
    <xf numFmtId="0" fontId="4" fillId="0" borderId="1" xfId="3" applyFont="1" applyBorder="1" applyAlignment="1">
      <alignment horizontal="center"/>
    </xf>
    <xf numFmtId="0" fontId="4" fillId="5" borderId="1" xfId="3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10" borderId="1" xfId="3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9" fillId="0" borderId="0" xfId="0" applyFont="1"/>
    <xf numFmtId="0" fontId="29" fillId="0" borderId="1" xfId="0" applyFont="1" applyBorder="1" applyAlignment="1">
      <alignment horizontal="center"/>
    </xf>
    <xf numFmtId="0" fontId="30" fillId="4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9" fillId="0" borderId="1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29" fillId="0" borderId="1" xfId="0" applyFont="1" applyBorder="1"/>
    <xf numFmtId="0" fontId="31" fillId="4" borderId="1" xfId="0" applyFont="1" applyFill="1" applyBorder="1" applyAlignment="1">
      <alignment horizontal="center"/>
    </xf>
    <xf numFmtId="0" fontId="32" fillId="0" borderId="1" xfId="0" applyFont="1" applyBorder="1"/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4" fillId="0" borderId="0" xfId="6" applyFont="1" applyFill="1" applyBorder="1" applyAlignment="1">
      <alignment horizontal="center"/>
    </xf>
    <xf numFmtId="0" fontId="34" fillId="10" borderId="4" xfId="6" applyFont="1" applyFill="1" applyBorder="1"/>
    <xf numFmtId="0" fontId="3" fillId="6" borderId="4" xfId="0" applyFont="1" applyFill="1" applyBorder="1" applyAlignment="1">
      <alignment horizontal="center" vertical="center"/>
    </xf>
    <xf numFmtId="0" fontId="3" fillId="0" borderId="4" xfId="0" applyFont="1" applyBorder="1"/>
    <xf numFmtId="0" fontId="3" fillId="6" borderId="4" xfId="0" applyFont="1" applyFill="1" applyBorder="1"/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37" fillId="4" borderId="1" xfId="0" applyFont="1" applyFill="1" applyBorder="1" applyAlignment="1">
      <alignment horizontal="center"/>
    </xf>
    <xf numFmtId="170" fontId="29" fillId="3" borderId="1" xfId="0" applyNumberFormat="1" applyFont="1" applyFill="1" applyBorder="1" applyAlignment="1">
      <alignment horizontal="center"/>
    </xf>
    <xf numFmtId="170" fontId="31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0" fillId="13" borderId="4" xfId="0" applyFill="1" applyBorder="1"/>
    <xf numFmtId="0" fontId="0" fillId="13" borderId="4" xfId="0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0" fontId="34" fillId="0" borderId="0" xfId="6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4" fillId="10" borderId="1" xfId="6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6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/>
    </xf>
    <xf numFmtId="0" fontId="3" fillId="6" borderId="1" xfId="6" applyFont="1" applyFill="1" applyBorder="1" applyAlignment="1">
      <alignment horizontal="center" vertical="center"/>
    </xf>
    <xf numFmtId="43" fontId="34" fillId="0" borderId="1" xfId="2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4" fillId="0" borderId="0" xfId="6" applyFont="1" applyFill="1" applyBorder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4" fillId="0" borderId="1" xfId="6" applyFont="1" applyFill="1" applyBorder="1" applyAlignment="1">
      <alignment horizontal="center" vertical="center"/>
    </xf>
    <xf numFmtId="164" fontId="34" fillId="0" borderId="1" xfId="6" applyNumberFormat="1" applyFont="1" applyFill="1" applyBorder="1" applyAlignment="1">
      <alignment horizontal="center" vertical="center"/>
    </xf>
    <xf numFmtId="43" fontId="3" fillId="0" borderId="1" xfId="6" applyNumberFormat="1" applyFont="1" applyFill="1" applyBorder="1" applyAlignment="1">
      <alignment horizontal="center" vertical="center"/>
    </xf>
    <xf numFmtId="164" fontId="34" fillId="0" borderId="1" xfId="2" applyNumberFormat="1" applyFont="1" applyFill="1" applyBorder="1" applyAlignment="1">
      <alignment horizontal="center" vertical="center"/>
    </xf>
    <xf numFmtId="0" fontId="34" fillId="10" borderId="4" xfId="6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0" fontId="3" fillId="0" borderId="0" xfId="2" applyNumberFormat="1" applyFont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164" fontId="34" fillId="0" borderId="0" xfId="0" applyNumberFormat="1" applyFont="1" applyBorder="1" applyAlignment="1">
      <alignment horizontal="center" vertical="center"/>
    </xf>
    <xf numFmtId="164" fontId="34" fillId="0" borderId="0" xfId="6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164" fontId="34" fillId="0" borderId="5" xfId="6" applyNumberFormat="1" applyFont="1" applyFill="1" applyBorder="1" applyAlignment="1">
      <alignment horizontal="center" vertical="center"/>
    </xf>
    <xf numFmtId="0" fontId="3" fillId="0" borderId="0" xfId="3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14" borderId="0" xfId="0" applyFont="1" applyFill="1" applyAlignment="1">
      <alignment horizontal="center"/>
    </xf>
    <xf numFmtId="0" fontId="46" fillId="14" borderId="1" xfId="0" applyFont="1" applyFill="1" applyBorder="1" applyAlignment="1">
      <alignment horizontal="center"/>
    </xf>
    <xf numFmtId="0" fontId="47" fillId="14" borderId="1" xfId="0" applyFont="1" applyFill="1" applyBorder="1" applyAlignment="1">
      <alignment horizontal="center"/>
    </xf>
    <xf numFmtId="0" fontId="3" fillId="0" borderId="6" xfId="4" applyFont="1" applyFill="1" applyBorder="1" applyAlignment="1"/>
    <xf numFmtId="0" fontId="45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48" fillId="0" borderId="1" xfId="0" applyNumberFormat="1" applyFont="1" applyBorder="1" applyAlignment="1">
      <alignment horizontal="center" vertical="center"/>
    </xf>
    <xf numFmtId="1" fontId="49" fillId="0" borderId="0" xfId="0" applyNumberFormat="1" applyFont="1"/>
    <xf numFmtId="1" fontId="48" fillId="0" borderId="0" xfId="0" applyNumberFormat="1" applyFont="1" applyAlignment="1">
      <alignment horizontal="center" vertical="center"/>
    </xf>
    <xf numFmtId="1" fontId="50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2" fontId="48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/>
    </xf>
    <xf numFmtId="1" fontId="51" fillId="0" borderId="1" xfId="0" applyNumberFormat="1" applyFont="1" applyBorder="1" applyAlignment="1">
      <alignment horizontal="center" vertical="center"/>
    </xf>
    <xf numFmtId="0" fontId="39" fillId="0" borderId="0" xfId="0" applyFont="1"/>
    <xf numFmtId="2" fontId="5" fillId="4" borderId="1" xfId="0" applyNumberFormat="1" applyFont="1" applyFill="1" applyBorder="1" applyAlignment="1">
      <alignment horizontal="center"/>
    </xf>
    <xf numFmtId="0" fontId="52" fillId="0" borderId="7" xfId="0" applyFont="1" applyBorder="1"/>
    <xf numFmtId="0" fontId="53" fillId="0" borderId="0" xfId="0" applyFont="1"/>
    <xf numFmtId="1" fontId="45" fillId="0" borderId="7" xfId="0" applyNumberFormat="1" applyFont="1" applyBorder="1" applyAlignment="1">
      <alignment wrapText="1"/>
    </xf>
    <xf numFmtId="0" fontId="45" fillId="0" borderId="7" xfId="0" applyFont="1" applyBorder="1" applyAlignment="1">
      <alignment horizontal="center" wrapText="1"/>
    </xf>
    <xf numFmtId="0" fontId="54" fillId="0" borderId="7" xfId="0" applyFont="1" applyBorder="1" applyAlignment="1">
      <alignment horizontal="center"/>
    </xf>
    <xf numFmtId="1" fontId="45" fillId="0" borderId="7" xfId="0" applyNumberFormat="1" applyFont="1" applyBorder="1" applyAlignment="1">
      <alignment horizontal="center" wrapText="1"/>
    </xf>
    <xf numFmtId="0" fontId="53" fillId="0" borderId="0" xfId="0" applyFont="1" applyAlignment="1">
      <alignment horizontal="center"/>
    </xf>
    <xf numFmtId="2" fontId="45" fillId="0" borderId="7" xfId="0" applyNumberFormat="1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0" fontId="29" fillId="14" borderId="1" xfId="0" applyFont="1" applyFill="1" applyBorder="1" applyAlignment="1">
      <alignment horizontal="center"/>
    </xf>
    <xf numFmtId="168" fontId="42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5" applyFont="1"/>
    <xf numFmtId="0" fontId="18" fillId="4" borderId="4" xfId="5" applyFont="1" applyFill="1" applyBorder="1" applyAlignment="1">
      <alignment horizontal="center" vertical="center" wrapText="1"/>
    </xf>
    <xf numFmtId="0" fontId="18" fillId="4" borderId="4" xfId="5" applyFont="1" applyFill="1" applyBorder="1" applyAlignment="1">
      <alignment horizontal="left" vertical="center" wrapText="1"/>
    </xf>
    <xf numFmtId="0" fontId="19" fillId="4" borderId="4" xfId="5" applyFont="1" applyFill="1" applyBorder="1" applyAlignment="1">
      <alignment horizontal="center" vertical="center" wrapText="1"/>
    </xf>
    <xf numFmtId="0" fontId="20" fillId="0" borderId="4" xfId="5" applyFont="1" applyBorder="1" applyAlignment="1">
      <alignment horizontal="left" vertical="center" wrapText="1"/>
    </xf>
    <xf numFmtId="3" fontId="20" fillId="9" borderId="4" xfId="5" applyNumberFormat="1" applyFont="1" applyFill="1" applyBorder="1" applyAlignment="1">
      <alignment horizontal="left" vertical="center" wrapText="1"/>
    </xf>
    <xf numFmtId="3" fontId="18" fillId="0" borderId="4" xfId="5" applyNumberFormat="1" applyFont="1" applyBorder="1" applyAlignment="1">
      <alignment horizontal="left" vertical="center" wrapText="1"/>
    </xf>
    <xf numFmtId="0" fontId="21" fillId="0" borderId="4" xfId="5" applyFont="1" applyBorder="1" applyAlignment="1">
      <alignment horizontal="center" vertical="center" wrapText="1"/>
    </xf>
    <xf numFmtId="3" fontId="22" fillId="0" borderId="4" xfId="5" applyNumberFormat="1" applyFont="1" applyFill="1" applyBorder="1" applyAlignment="1">
      <alignment horizontal="left" vertical="center" wrapText="1"/>
    </xf>
    <xf numFmtId="3" fontId="18" fillId="0" borderId="4" xfId="5" applyNumberFormat="1" applyFont="1" applyFill="1" applyBorder="1" applyAlignment="1">
      <alignment horizontal="left" vertical="center" wrapText="1"/>
    </xf>
    <xf numFmtId="3" fontId="43" fillId="3" borderId="4" xfId="1" applyNumberFormat="1" applyFont="1" applyFill="1" applyBorder="1" applyAlignment="1">
      <alignment horizontal="left" vertical="center" wrapText="1"/>
    </xf>
    <xf numFmtId="0" fontId="19" fillId="0" borderId="4" xfId="5" applyFont="1" applyBorder="1" applyAlignment="1">
      <alignment horizontal="left" vertical="center" wrapText="1"/>
    </xf>
    <xf numFmtId="3" fontId="20" fillId="0" borderId="4" xfId="5" applyNumberFormat="1" applyFont="1" applyFill="1" applyBorder="1" applyAlignment="1">
      <alignment horizontal="left" vertical="center" wrapText="1"/>
    </xf>
    <xf numFmtId="3" fontId="24" fillId="9" borderId="4" xfId="5" applyNumberFormat="1" applyFont="1" applyFill="1" applyBorder="1" applyAlignment="1">
      <alignment horizontal="left" vertical="center" wrapText="1"/>
    </xf>
    <xf numFmtId="0" fontId="21" fillId="3" borderId="4" xfId="5" applyFont="1" applyFill="1" applyBorder="1" applyAlignment="1">
      <alignment horizontal="center" vertical="center" wrapText="1"/>
    </xf>
    <xf numFmtId="3" fontId="25" fillId="0" borderId="4" xfId="5" applyNumberFormat="1" applyFont="1" applyFill="1" applyBorder="1" applyAlignment="1">
      <alignment horizontal="left" vertical="center" wrapText="1"/>
    </xf>
    <xf numFmtId="0" fontId="18" fillId="11" borderId="8" xfId="5" applyFont="1" applyFill="1" applyBorder="1" applyAlignment="1">
      <alignment horizontal="center" vertical="center" wrapText="1"/>
    </xf>
    <xf numFmtId="0" fontId="20" fillId="11" borderId="4" xfId="5" applyFont="1" applyFill="1" applyBorder="1" applyAlignment="1">
      <alignment horizontal="left" vertical="center" wrapText="1"/>
    </xf>
    <xf numFmtId="3" fontId="20" fillId="11" borderId="4" xfId="5" applyNumberFormat="1" applyFont="1" applyFill="1" applyBorder="1" applyAlignment="1">
      <alignment horizontal="left" vertical="center" wrapText="1"/>
    </xf>
    <xf numFmtId="0" fontId="21" fillId="11" borderId="4" xfId="5" applyFont="1" applyFill="1" applyBorder="1" applyAlignment="1">
      <alignment horizontal="center" vertical="center" wrapText="1"/>
    </xf>
    <xf numFmtId="0" fontId="20" fillId="0" borderId="4" xfId="5" applyFont="1" applyFill="1" applyBorder="1" applyAlignment="1">
      <alignment horizontal="left" vertical="center" wrapText="1"/>
    </xf>
    <xf numFmtId="3" fontId="21" fillId="9" borderId="4" xfId="5" applyNumberFormat="1" applyFont="1" applyFill="1" applyBorder="1" applyAlignment="1">
      <alignment horizontal="left" vertical="center" wrapText="1"/>
    </xf>
    <xf numFmtId="0" fontId="18" fillId="11" borderId="4" xfId="5" applyFont="1" applyFill="1" applyBorder="1" applyAlignment="1">
      <alignment horizontal="center" vertical="center" wrapText="1"/>
    </xf>
    <xf numFmtId="0" fontId="21" fillId="0" borderId="4" xfId="5" applyFont="1" applyFill="1" applyBorder="1" applyAlignment="1">
      <alignment horizontal="center" vertical="center" wrapText="1"/>
    </xf>
    <xf numFmtId="0" fontId="26" fillId="0" borderId="4" xfId="5" applyFont="1" applyFill="1" applyBorder="1" applyAlignment="1">
      <alignment horizontal="left" vertical="center" wrapText="1"/>
    </xf>
    <xf numFmtId="3" fontId="25" fillId="0" borderId="4" xfId="5" applyNumberFormat="1" applyFont="1" applyBorder="1" applyAlignment="1">
      <alignment horizontal="left" vertical="center" wrapText="1"/>
    </xf>
    <xf numFmtId="3" fontId="18" fillId="11" borderId="4" xfId="5" applyNumberFormat="1" applyFont="1" applyFill="1" applyBorder="1" applyAlignment="1">
      <alignment horizontal="left" vertical="center" wrapText="1"/>
    </xf>
    <xf numFmtId="3" fontId="27" fillId="4" borderId="4" xfId="5" applyNumberFormat="1" applyFont="1" applyFill="1" applyBorder="1" applyAlignment="1">
      <alignment horizontal="left" vertical="center"/>
    </xf>
    <xf numFmtId="0" fontId="28" fillId="0" borderId="0" xfId="5" applyFont="1" applyAlignment="1">
      <alignment vertical="center"/>
    </xf>
    <xf numFmtId="0" fontId="6" fillId="15" borderId="1" xfId="0" applyFont="1" applyFill="1" applyBorder="1" applyAlignment="1">
      <alignment horizontal="center" vertical="center"/>
    </xf>
    <xf numFmtId="3" fontId="18" fillId="16" borderId="4" xfId="5" applyNumberFormat="1" applyFont="1" applyFill="1" applyBorder="1" applyAlignment="1">
      <alignment horizontal="left" vertical="center" wrapText="1"/>
    </xf>
    <xf numFmtId="1" fontId="45" fillId="0" borderId="0" xfId="0" applyNumberFormat="1" applyFont="1"/>
    <xf numFmtId="166" fontId="4" fillId="0" borderId="9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66" fontId="16" fillId="0" borderId="10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9" fillId="12" borderId="11" xfId="0" applyFont="1" applyFill="1" applyBorder="1" applyAlignment="1">
      <alignment horizontal="left" vertical="center"/>
    </xf>
    <xf numFmtId="0" fontId="29" fillId="12" borderId="0" xfId="0" applyFont="1" applyFill="1" applyAlignment="1">
      <alignment horizontal="left" vertical="center"/>
    </xf>
    <xf numFmtId="0" fontId="27" fillId="4" borderId="4" xfId="5" applyFont="1" applyFill="1" applyBorder="1" applyAlignment="1">
      <alignment horizontal="center" vertical="center"/>
    </xf>
    <xf numFmtId="0" fontId="18" fillId="0" borderId="12" xfId="5" applyFont="1" applyBorder="1" applyAlignment="1">
      <alignment horizontal="center" vertical="center" wrapText="1"/>
    </xf>
    <xf numFmtId="0" fontId="18" fillId="0" borderId="8" xfId="5" applyFont="1" applyBorder="1" applyAlignment="1">
      <alignment horizontal="center" vertical="center" wrapText="1"/>
    </xf>
    <xf numFmtId="0" fontId="18" fillId="0" borderId="12" xfId="5" applyFont="1" applyFill="1" applyBorder="1" applyAlignment="1">
      <alignment horizontal="center" vertical="center" wrapText="1"/>
    </xf>
    <xf numFmtId="0" fontId="18" fillId="0" borderId="8" xfId="5" applyFont="1" applyFill="1" applyBorder="1" applyAlignment="1">
      <alignment horizontal="center" vertical="center" wrapText="1"/>
    </xf>
    <xf numFmtId="0" fontId="18" fillId="0" borderId="13" xfId="5" applyFont="1" applyFill="1" applyBorder="1" applyAlignment="1">
      <alignment horizontal="center" vertical="center" wrapText="1"/>
    </xf>
    <xf numFmtId="0" fontId="18" fillId="0" borderId="13" xfId="5" applyFont="1" applyBorder="1" applyAlignment="1">
      <alignment horizontal="center" vertical="center" wrapText="1"/>
    </xf>
    <xf numFmtId="167" fontId="5" fillId="0" borderId="7" xfId="4" applyNumberFormat="1" applyFont="1" applyBorder="1" applyAlignment="1">
      <alignment horizontal="center"/>
    </xf>
    <xf numFmtId="168" fontId="17" fillId="12" borderId="15" xfId="5" applyNumberFormat="1" applyFont="1" applyFill="1" applyBorder="1" applyAlignment="1">
      <alignment horizontal="center" vertical="center"/>
    </xf>
    <xf numFmtId="168" fontId="17" fillId="12" borderId="16" xfId="5" applyNumberFormat="1" applyFont="1" applyFill="1" applyBorder="1" applyAlignment="1">
      <alignment horizontal="center" vertical="center"/>
    </xf>
    <xf numFmtId="168" fontId="17" fillId="12" borderId="17" xfId="5" applyNumberFormat="1" applyFont="1" applyFill="1" applyBorder="1" applyAlignment="1">
      <alignment horizontal="center" vertical="center"/>
    </xf>
    <xf numFmtId="167" fontId="5" fillId="0" borderId="7" xfId="5" applyNumberFormat="1" applyFont="1" applyBorder="1" applyAlignment="1">
      <alignment horizontal="center"/>
    </xf>
    <xf numFmtId="0" fontId="2" fillId="0" borderId="2" xfId="3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17" fontId="2" fillId="0" borderId="2" xfId="3" applyNumberFormat="1" applyFont="1" applyBorder="1" applyAlignment="1">
      <alignment horizontal="center" vertical="center"/>
    </xf>
    <xf numFmtId="17" fontId="2" fillId="0" borderId="14" xfId="3" applyNumberFormat="1" applyFont="1" applyBorder="1" applyAlignment="1">
      <alignment horizontal="center" vertical="center"/>
    </xf>
    <xf numFmtId="17" fontId="2" fillId="0" borderId="10" xfId="3" applyNumberFormat="1" applyFont="1" applyBorder="1" applyAlignment="1">
      <alignment horizontal="center" vertical="center"/>
    </xf>
    <xf numFmtId="0" fontId="20" fillId="0" borderId="12" xfId="5" applyFont="1" applyBorder="1" applyAlignment="1">
      <alignment horizontal="left" vertical="center" wrapText="1"/>
    </xf>
    <xf numFmtId="0" fontId="20" fillId="0" borderId="13" xfId="5" applyFont="1" applyBorder="1" applyAlignment="1">
      <alignment horizontal="left" vertical="center" wrapText="1"/>
    </xf>
    <xf numFmtId="0" fontId="19" fillId="0" borderId="12" xfId="5" applyFont="1" applyBorder="1" applyAlignment="1">
      <alignment horizontal="left" vertical="center" wrapText="1"/>
    </xf>
    <xf numFmtId="0" fontId="19" fillId="0" borderId="13" xfId="5" applyFont="1" applyBorder="1" applyAlignment="1">
      <alignment horizontal="left" vertical="center" wrapText="1"/>
    </xf>
  </cellXfs>
  <cellStyles count="7">
    <cellStyle name="Bad" xfId="1" builtinId="27" customBuiltin="1"/>
    <cellStyle name="Comma" xfId="2" builtinId="3"/>
    <cellStyle name="Normal" xfId="0" builtinId="0"/>
    <cellStyle name="Normal 12" xfId="3"/>
    <cellStyle name="Normal 14" xfId="4"/>
    <cellStyle name="Normal 14 2" xfId="5"/>
    <cellStyle name="Normal_~031337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32"/>
  <sheetViews>
    <sheetView tabSelected="1" zoomScale="85" zoomScaleNormal="85" workbookViewId="0">
      <selection activeCell="N1" sqref="N1"/>
    </sheetView>
  </sheetViews>
  <sheetFormatPr defaultColWidth="11.5703125" defaultRowHeight="12.75" x14ac:dyDescent="0.2"/>
  <cols>
    <col min="1" max="1" width="15.85546875" style="135" bestFit="1" customWidth="1"/>
    <col min="2" max="3" width="11.5703125" style="140"/>
    <col min="4" max="4" width="13.42578125" style="140" customWidth="1"/>
    <col min="5" max="6" width="12.5703125" style="17" customWidth="1"/>
    <col min="7" max="11" width="11.5703125" style="17"/>
  </cols>
  <sheetData>
    <row r="1" spans="1:11" s="118" customFormat="1" ht="60" x14ac:dyDescent="0.25">
      <c r="A1" s="134" t="s">
        <v>103</v>
      </c>
      <c r="B1" s="138" t="s">
        <v>0</v>
      </c>
      <c r="C1" s="138" t="s">
        <v>104</v>
      </c>
      <c r="D1" s="138" t="s">
        <v>105</v>
      </c>
      <c r="E1" s="137" t="s">
        <v>106</v>
      </c>
      <c r="F1" s="137" t="s">
        <v>107</v>
      </c>
      <c r="G1" s="137" t="s">
        <v>132</v>
      </c>
      <c r="H1" s="137" t="s">
        <v>133</v>
      </c>
      <c r="I1" s="137" t="s">
        <v>108</v>
      </c>
      <c r="J1" s="137" t="s">
        <v>109</v>
      </c>
      <c r="K1" s="137" t="s">
        <v>110</v>
      </c>
    </row>
    <row r="2" spans="1:11" x14ac:dyDescent="0.2">
      <c r="A2" s="135" t="s">
        <v>111</v>
      </c>
      <c r="B2" s="140">
        <v>1</v>
      </c>
      <c r="C2" s="140">
        <v>4</v>
      </c>
      <c r="D2" s="140">
        <v>2019</v>
      </c>
      <c r="E2" s="12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53239.055816</v>
      </c>
      <c r="F2" s="17">
        <v>1.1499999999999999</v>
      </c>
      <c r="G2" s="121">
        <f>Gas!C4*0.9147</f>
        <v>3610.3208999999997</v>
      </c>
      <c r="H2" s="17">
        <v>2.25</v>
      </c>
      <c r="I2" s="121">
        <f>Submetering!AE2+Submetering!AD2+Submetering!H2</f>
        <v>716</v>
      </c>
      <c r="J2" s="122">
        <v>9.1199999999999992</v>
      </c>
      <c r="K2" s="121">
        <f>ELECT.!B4</f>
        <v>330</v>
      </c>
    </row>
    <row r="3" spans="1:11" x14ac:dyDescent="0.2">
      <c r="A3" s="135" t="s">
        <v>111</v>
      </c>
      <c r="B3" s="140">
        <f>B2+1</f>
        <v>2</v>
      </c>
      <c r="C3" s="140">
        <v>4</v>
      </c>
      <c r="D3" s="140">
        <v>2019</v>
      </c>
      <c r="E3" s="12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52142.872059999994</v>
      </c>
      <c r="F3" s="17">
        <v>1.1499999999999999</v>
      </c>
      <c r="G3" s="121">
        <f>Gas!C5*0.9147</f>
        <v>3808.8107999999997</v>
      </c>
      <c r="H3" s="17">
        <v>2.25</v>
      </c>
      <c r="I3" s="121">
        <f>Submetering!AE3+Submetering!AD3+Submetering!H3</f>
        <v>856</v>
      </c>
      <c r="J3" s="122">
        <v>9.1199999999999992</v>
      </c>
      <c r="K3" s="121">
        <f>ELECT.!B5</f>
        <v>341</v>
      </c>
    </row>
    <row r="4" spans="1:11" x14ac:dyDescent="0.2">
      <c r="A4" s="135" t="s">
        <v>111</v>
      </c>
      <c r="B4" s="140">
        <f t="shared" ref="B4:B31" si="0">B3+1</f>
        <v>3</v>
      </c>
      <c r="C4" s="140">
        <v>4</v>
      </c>
      <c r="D4" s="140">
        <v>2019</v>
      </c>
      <c r="E4" s="12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53841.704912000008</v>
      </c>
      <c r="F4" s="17">
        <v>1.1499999999999999</v>
      </c>
      <c r="G4" s="121">
        <f>Gas!C6*0.9147</f>
        <v>3292.92</v>
      </c>
      <c r="H4" s="17">
        <v>2.25</v>
      </c>
      <c r="I4" s="121">
        <f>Submetering!AE4+Submetering!AD4+Submetering!H4</f>
        <v>906.00000000000011</v>
      </c>
      <c r="J4" s="122">
        <v>9.1199999999999992</v>
      </c>
      <c r="K4" s="121">
        <f>ELECT.!B6</f>
        <v>338</v>
      </c>
    </row>
    <row r="5" spans="1:11" x14ac:dyDescent="0.2">
      <c r="A5" s="135" t="s">
        <v>111</v>
      </c>
      <c r="B5" s="140">
        <f t="shared" si="0"/>
        <v>4</v>
      </c>
      <c r="C5" s="140">
        <v>4</v>
      </c>
      <c r="D5" s="140">
        <v>2019</v>
      </c>
      <c r="E5" s="12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38769.761219999993</v>
      </c>
      <c r="F5" s="17">
        <v>1.1499999999999999</v>
      </c>
      <c r="G5" s="121">
        <f>Gas!C7*0.9147</f>
        <v>3388.0488</v>
      </c>
      <c r="H5" s="17">
        <v>2.25</v>
      </c>
      <c r="I5" s="121">
        <f>Submetering!AE5+Submetering!AD5+Submetering!H5</f>
        <v>1096</v>
      </c>
      <c r="J5" s="122">
        <v>9.1199999999999992</v>
      </c>
      <c r="K5" s="121">
        <f>ELECT.!B7</f>
        <v>344</v>
      </c>
    </row>
    <row r="6" spans="1:11" x14ac:dyDescent="0.2">
      <c r="A6" s="135" t="s">
        <v>111</v>
      </c>
      <c r="B6" s="140">
        <f t="shared" si="0"/>
        <v>5</v>
      </c>
      <c r="C6" s="140">
        <v>4</v>
      </c>
      <c r="D6" s="140">
        <v>2019</v>
      </c>
      <c r="E6" s="12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79409.590592000008</v>
      </c>
      <c r="F6" s="17">
        <v>1.1499999999999999</v>
      </c>
      <c r="G6" s="121">
        <f>Gas!C8*0.9147</f>
        <v>3446.5895999999998</v>
      </c>
      <c r="H6" s="17">
        <v>2.25</v>
      </c>
      <c r="I6" s="121">
        <f>Submetering!AE6+Submetering!AD6+Submetering!H6</f>
        <v>686</v>
      </c>
      <c r="J6" s="122">
        <v>9.1199999999999992</v>
      </c>
      <c r="K6" s="121">
        <f>ELECT.!B8</f>
        <v>365</v>
      </c>
    </row>
    <row r="7" spans="1:11" x14ac:dyDescent="0.2">
      <c r="A7" s="135" t="s">
        <v>111</v>
      </c>
      <c r="B7" s="140">
        <f t="shared" si="0"/>
        <v>6</v>
      </c>
      <c r="C7" s="140">
        <v>4</v>
      </c>
      <c r="D7" s="140">
        <v>2019</v>
      </c>
      <c r="E7" s="12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39990.706284000007</v>
      </c>
      <c r="F7" s="17">
        <v>1.1499999999999999</v>
      </c>
      <c r="G7" s="121">
        <f>Gas!C9*0.9147</f>
        <v>3452.0778</v>
      </c>
      <c r="H7" s="17">
        <v>2.25</v>
      </c>
      <c r="I7" s="121">
        <f>Submetering!AE7+Submetering!AD7+Submetering!H7</f>
        <v>526</v>
      </c>
      <c r="J7" s="122">
        <v>9.1199999999999992</v>
      </c>
      <c r="K7" s="121">
        <f>ELECT.!B9</f>
        <v>332</v>
      </c>
    </row>
    <row r="8" spans="1:11" x14ac:dyDescent="0.2">
      <c r="A8" s="135" t="s">
        <v>111</v>
      </c>
      <c r="B8" s="140">
        <f t="shared" si="0"/>
        <v>7</v>
      </c>
      <c r="C8" s="140">
        <v>4</v>
      </c>
      <c r="D8" s="140">
        <v>2019</v>
      </c>
      <c r="E8" s="12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60281.630775999991</v>
      </c>
      <c r="F8" s="17">
        <v>1.1499999999999999</v>
      </c>
      <c r="G8" s="121">
        <f>Gas!C10*0.9147</f>
        <v>3122.7857999999997</v>
      </c>
      <c r="H8" s="17">
        <v>2.25</v>
      </c>
      <c r="I8" s="121">
        <f>Submetering!AE8+Submetering!AD8+Submetering!H8</f>
        <v>845.99999999999989</v>
      </c>
      <c r="J8" s="122">
        <v>9.1199999999999992</v>
      </c>
      <c r="K8" s="121">
        <f>ELECT.!B10</f>
        <v>322</v>
      </c>
    </row>
    <row r="9" spans="1:11" x14ac:dyDescent="0.2">
      <c r="A9" s="135" t="s">
        <v>111</v>
      </c>
      <c r="B9" s="140">
        <f t="shared" si="0"/>
        <v>8</v>
      </c>
      <c r="C9" s="140">
        <v>4</v>
      </c>
      <c r="D9" s="140">
        <v>2019</v>
      </c>
      <c r="E9" s="12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47376.187780000007</v>
      </c>
      <c r="F9" s="17">
        <v>1.1499999999999999</v>
      </c>
      <c r="G9" s="121">
        <f>Gas!C11*0.9147</f>
        <v>3024.9128999999998</v>
      </c>
      <c r="H9" s="17">
        <v>2.25</v>
      </c>
      <c r="I9" s="121">
        <f>Submetering!AE9+Submetering!AD9+Submetering!H9</f>
        <v>976.00000000000023</v>
      </c>
      <c r="J9" s="122">
        <v>9.1199999999999992</v>
      </c>
      <c r="K9" s="121">
        <f>ELECT.!B11</f>
        <v>330</v>
      </c>
    </row>
    <row r="10" spans="1:11" x14ac:dyDescent="0.2">
      <c r="A10" s="135" t="s">
        <v>111</v>
      </c>
      <c r="B10" s="140">
        <f t="shared" si="0"/>
        <v>9</v>
      </c>
      <c r="C10" s="140">
        <v>4</v>
      </c>
      <c r="D10" s="140">
        <v>2019</v>
      </c>
      <c r="E10" s="12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60061.158751999996</v>
      </c>
      <c r="F10" s="17">
        <v>1.1499999999999999</v>
      </c>
      <c r="G10" s="121">
        <f>Gas!C12*0.9147</f>
        <v>3190.4735999999998</v>
      </c>
      <c r="H10" s="17">
        <v>2.25</v>
      </c>
      <c r="I10" s="121">
        <f>Submetering!AE10+Submetering!AD10+Submetering!H10</f>
        <v>766</v>
      </c>
      <c r="J10" s="122">
        <v>9.1199999999999992</v>
      </c>
      <c r="K10" s="121">
        <f>ELECT.!B12</f>
        <v>320</v>
      </c>
    </row>
    <row r="11" spans="1:11" x14ac:dyDescent="0.2">
      <c r="A11" s="135" t="s">
        <v>111</v>
      </c>
      <c r="B11" s="140">
        <f t="shared" si="0"/>
        <v>10</v>
      </c>
      <c r="C11" s="140">
        <v>4</v>
      </c>
      <c r="D11" s="140">
        <v>2019</v>
      </c>
      <c r="E11" s="12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49482.863603999998</v>
      </c>
      <c r="F11" s="17">
        <v>1.1499999999999999</v>
      </c>
      <c r="G11" s="121">
        <f>Gas!C13*0.9147</f>
        <v>3396.2810999999997</v>
      </c>
      <c r="H11" s="17">
        <v>2.25</v>
      </c>
      <c r="I11" s="121">
        <f>Submetering!AE11+Submetering!AD11+Submetering!H11</f>
        <v>766</v>
      </c>
      <c r="J11" s="122">
        <v>9.1199999999999992</v>
      </c>
      <c r="K11" s="121">
        <f>ELECT.!B13</f>
        <v>344</v>
      </c>
    </row>
    <row r="12" spans="1:11" x14ac:dyDescent="0.2">
      <c r="A12" s="135" t="s">
        <v>111</v>
      </c>
      <c r="B12" s="140">
        <f t="shared" si="0"/>
        <v>11</v>
      </c>
      <c r="C12" s="140">
        <v>4</v>
      </c>
      <c r="D12" s="140">
        <v>2019</v>
      </c>
      <c r="E12" s="12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64468.293772000005</v>
      </c>
      <c r="F12" s="17">
        <v>1.1499999999999999</v>
      </c>
      <c r="G12" s="121">
        <f>Gas!C14*0.9147</f>
        <v>3468.5423999999998</v>
      </c>
      <c r="H12" s="17">
        <v>2.25</v>
      </c>
      <c r="I12" s="121">
        <f>Submetering!AE12+Submetering!AD12+Submetering!H12</f>
        <v>826</v>
      </c>
      <c r="J12" s="122">
        <v>9.1199999999999992</v>
      </c>
      <c r="K12" s="121">
        <f>ELECT.!B14</f>
        <v>351</v>
      </c>
    </row>
    <row r="13" spans="1:11" x14ac:dyDescent="0.2">
      <c r="A13" s="135" t="s">
        <v>111</v>
      </c>
      <c r="B13" s="140">
        <f t="shared" si="0"/>
        <v>12</v>
      </c>
      <c r="C13" s="140">
        <v>4</v>
      </c>
      <c r="D13" s="140">
        <v>2019</v>
      </c>
      <c r="E13" s="12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38742.060040000004</v>
      </c>
      <c r="F13" s="17">
        <v>1.1499999999999999</v>
      </c>
      <c r="G13" s="121">
        <f>Gas!C15*0.9147</f>
        <v>3392.6223</v>
      </c>
      <c r="H13" s="17">
        <v>2.25</v>
      </c>
      <c r="I13" s="121">
        <f>Submetering!AE13+Submetering!AD13+Submetering!H13</f>
        <v>865.99999999999989</v>
      </c>
      <c r="J13" s="122">
        <v>9.1199999999999992</v>
      </c>
      <c r="K13" s="121">
        <f>ELECT.!B15</f>
        <v>358</v>
      </c>
    </row>
    <row r="14" spans="1:11" x14ac:dyDescent="0.2">
      <c r="A14" s="135" t="s">
        <v>111</v>
      </c>
      <c r="B14" s="140">
        <f t="shared" si="0"/>
        <v>13</v>
      </c>
      <c r="C14" s="140">
        <v>4</v>
      </c>
      <c r="D14" s="140">
        <v>2019</v>
      </c>
      <c r="E14" s="12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66719.475132000007</v>
      </c>
      <c r="F14" s="17">
        <v>1.1499999999999999</v>
      </c>
      <c r="G14" s="121">
        <f>Gas!C16*0.9147</f>
        <v>3230.7203999999997</v>
      </c>
      <c r="H14" s="17">
        <v>2.25</v>
      </c>
      <c r="I14" s="121">
        <f>Submetering!AE14+Submetering!AD14+Submetering!H14</f>
        <v>946.00000000000011</v>
      </c>
      <c r="J14" s="122">
        <v>9.1199999999999992</v>
      </c>
      <c r="K14" s="121">
        <f>ELECT.!B16</f>
        <v>340</v>
      </c>
    </row>
    <row r="15" spans="1:11" x14ac:dyDescent="0.2">
      <c r="A15" s="135" t="s">
        <v>111</v>
      </c>
      <c r="B15" s="140">
        <f t="shared" si="0"/>
        <v>14</v>
      </c>
      <c r="C15" s="140">
        <v>4</v>
      </c>
      <c r="D15" s="140">
        <v>2019</v>
      </c>
      <c r="E15" s="12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73100.458812000012</v>
      </c>
      <c r="F15" s="17">
        <v>1.1499999999999999</v>
      </c>
      <c r="G15" s="121">
        <f>Gas!C17*0.9147</f>
        <v>3034.0598999999997</v>
      </c>
      <c r="H15" s="17">
        <v>2.25</v>
      </c>
      <c r="I15" s="121">
        <f>Submetering!AE15+Submetering!AD15+Submetering!H15</f>
        <v>886</v>
      </c>
      <c r="J15" s="122">
        <v>9.1199999999999992</v>
      </c>
      <c r="K15" s="121">
        <f>ELECT.!B17</f>
        <v>337</v>
      </c>
    </row>
    <row r="16" spans="1:11" x14ac:dyDescent="0.2">
      <c r="A16" s="135" t="s">
        <v>111</v>
      </c>
      <c r="B16" s="140">
        <f t="shared" si="0"/>
        <v>15</v>
      </c>
      <c r="C16" s="140">
        <v>4</v>
      </c>
      <c r="D16" s="140">
        <v>2019</v>
      </c>
      <c r="E16" s="12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44176.035355999993</v>
      </c>
      <c r="F16" s="17">
        <v>1.1499999999999999</v>
      </c>
      <c r="G16" s="121">
        <f>Gas!C18*0.9147</f>
        <v>3252.6731999999997</v>
      </c>
      <c r="H16" s="17">
        <v>2.25</v>
      </c>
      <c r="I16" s="121">
        <f>Submetering!AE16+Submetering!AD16+Submetering!H16</f>
        <v>796</v>
      </c>
      <c r="J16" s="122">
        <v>9.1199999999999992</v>
      </c>
      <c r="K16" s="121">
        <f>ELECT.!B18</f>
        <v>352</v>
      </c>
    </row>
    <row r="17" spans="1:11" x14ac:dyDescent="0.2">
      <c r="A17" s="135" t="s">
        <v>111</v>
      </c>
      <c r="B17" s="140">
        <f t="shared" si="0"/>
        <v>16</v>
      </c>
      <c r="C17" s="140">
        <v>4</v>
      </c>
      <c r="D17" s="140">
        <v>2019</v>
      </c>
      <c r="E17" s="12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44659.882992000006</v>
      </c>
      <c r="F17" s="17">
        <v>1.1499999999999999</v>
      </c>
      <c r="G17" s="121">
        <f>Gas!C19*0.9147</f>
        <v>3497.8127999999997</v>
      </c>
      <c r="H17" s="17">
        <v>2.25</v>
      </c>
      <c r="I17" s="121">
        <f>Submetering!AE17+Submetering!AD17+Submetering!H17</f>
        <v>846.00000000000011</v>
      </c>
      <c r="J17" s="122">
        <v>9.1199999999999992</v>
      </c>
      <c r="K17" s="121">
        <f>ELECT.!B19</f>
        <v>299</v>
      </c>
    </row>
    <row r="18" spans="1:11" x14ac:dyDescent="0.2">
      <c r="A18" s="135" t="s">
        <v>111</v>
      </c>
      <c r="B18" s="140">
        <f t="shared" si="0"/>
        <v>17</v>
      </c>
      <c r="C18" s="140">
        <v>4</v>
      </c>
      <c r="D18" s="140">
        <v>2019</v>
      </c>
      <c r="E18" s="12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71552.228252000001</v>
      </c>
      <c r="F18" s="17">
        <v>1.1499999999999999</v>
      </c>
      <c r="G18" s="121">
        <f>Gas!C20*0.9147</f>
        <v>3541.7183999999997</v>
      </c>
      <c r="H18" s="17">
        <v>2.25</v>
      </c>
      <c r="I18" s="121">
        <f>Submetering!AE18+Submetering!AD18+Submetering!H18</f>
        <v>786</v>
      </c>
      <c r="J18" s="122">
        <v>9.1199999999999992</v>
      </c>
      <c r="K18" s="121">
        <f>ELECT.!B20</f>
        <v>356</v>
      </c>
    </row>
    <row r="19" spans="1:11" x14ac:dyDescent="0.2">
      <c r="A19" s="135" t="s">
        <v>111</v>
      </c>
      <c r="B19" s="140">
        <f t="shared" si="0"/>
        <v>18</v>
      </c>
      <c r="C19" s="140">
        <v>4</v>
      </c>
      <c r="D19" s="140">
        <v>2019</v>
      </c>
      <c r="E19" s="12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64318.758804000005</v>
      </c>
      <c r="F19" s="17">
        <v>1.1499999999999999</v>
      </c>
      <c r="G19" s="121">
        <f>Gas!C21*0.9147</f>
        <v>3474.9452999999999</v>
      </c>
      <c r="H19" s="17">
        <v>2.25</v>
      </c>
      <c r="I19" s="121">
        <f>Submetering!AE19+Submetering!AD19+Submetering!H19</f>
        <v>985.99999999999989</v>
      </c>
      <c r="J19" s="122">
        <v>9.1199999999999992</v>
      </c>
      <c r="K19" s="121">
        <f>ELECT.!B21</f>
        <v>359</v>
      </c>
    </row>
    <row r="20" spans="1:11" x14ac:dyDescent="0.2">
      <c r="A20" s="135" t="s">
        <v>111</v>
      </c>
      <c r="B20" s="140">
        <f t="shared" si="0"/>
        <v>19</v>
      </c>
      <c r="C20" s="140">
        <v>4</v>
      </c>
      <c r="D20" s="140">
        <v>2019</v>
      </c>
      <c r="E20" s="12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70692.094639999996</v>
      </c>
      <c r="F20" s="17">
        <v>1.1499999999999999</v>
      </c>
      <c r="G20" s="121">
        <f>Gas!C22*0.9147</f>
        <v>3313.9580999999998</v>
      </c>
      <c r="H20" s="17">
        <v>2.25</v>
      </c>
      <c r="I20" s="121">
        <f>Submetering!AE20+Submetering!AD20+Submetering!H20</f>
        <v>1096</v>
      </c>
      <c r="J20" s="122">
        <v>9.1199999999999992</v>
      </c>
      <c r="K20" s="121">
        <f>ELECT.!B22</f>
        <v>365</v>
      </c>
    </row>
    <row r="21" spans="1:11" x14ac:dyDescent="0.2">
      <c r="A21" s="135" t="s">
        <v>111</v>
      </c>
      <c r="B21" s="140">
        <f t="shared" si="0"/>
        <v>20</v>
      </c>
      <c r="C21" s="140">
        <v>4</v>
      </c>
      <c r="D21" s="140">
        <v>2019</v>
      </c>
      <c r="E21" s="12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41997.092900000003</v>
      </c>
      <c r="F21" s="17">
        <v>1.1499999999999999</v>
      </c>
      <c r="G21" s="121">
        <f>Gas!C23*0.9147</f>
        <v>3549.0360000000001</v>
      </c>
      <c r="H21" s="17">
        <v>2.25</v>
      </c>
      <c r="I21" s="121">
        <f>Submetering!AE21+Submetering!AD21+Submetering!H21</f>
        <v>636</v>
      </c>
      <c r="J21" s="122">
        <v>9.1199999999999992</v>
      </c>
      <c r="K21" s="121">
        <f>ELECT.!B23</f>
        <v>364</v>
      </c>
    </row>
    <row r="22" spans="1:11" x14ac:dyDescent="0.2">
      <c r="A22" s="135" t="s">
        <v>111</v>
      </c>
      <c r="B22" s="140">
        <f t="shared" si="0"/>
        <v>21</v>
      </c>
      <c r="C22" s="140">
        <v>4</v>
      </c>
      <c r="D22" s="140">
        <v>2019</v>
      </c>
      <c r="E22" s="12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61573.452835999997</v>
      </c>
      <c r="F22" s="17">
        <v>1.1499999999999999</v>
      </c>
      <c r="G22" s="121">
        <f>Gas!C24*0.9147</f>
        <v>3368.8400999999999</v>
      </c>
      <c r="H22" s="17">
        <v>2.25</v>
      </c>
      <c r="I22" s="121">
        <f>Submetering!AE22+Submetering!AD22+Submetering!H22</f>
        <v>846.00000000000011</v>
      </c>
      <c r="J22" s="122">
        <v>9.1199999999999992</v>
      </c>
      <c r="K22" s="121">
        <f>ELECT.!B24</f>
        <v>306</v>
      </c>
    </row>
    <row r="23" spans="1:11" x14ac:dyDescent="0.2">
      <c r="A23" s="135" t="s">
        <v>111</v>
      </c>
      <c r="B23" s="140">
        <f t="shared" si="0"/>
        <v>22</v>
      </c>
      <c r="C23" s="140">
        <v>4</v>
      </c>
      <c r="D23" s="140">
        <v>2019</v>
      </c>
      <c r="E23" s="12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50057.799268000002</v>
      </c>
      <c r="F23" s="17">
        <v>1.1499999999999999</v>
      </c>
      <c r="G23" s="121">
        <f>Gas!C25*0.9147</f>
        <v>3420.0632999999998</v>
      </c>
      <c r="H23" s="17">
        <v>2.25</v>
      </c>
      <c r="I23" s="121">
        <f>Submetering!AE23+Submetering!AD23+Submetering!H23</f>
        <v>1016</v>
      </c>
      <c r="J23" s="122">
        <v>9.1199999999999992</v>
      </c>
      <c r="K23" s="121">
        <f>ELECT.!B25</f>
        <v>308</v>
      </c>
    </row>
    <row r="24" spans="1:11" x14ac:dyDescent="0.2">
      <c r="A24" s="135" t="s">
        <v>111</v>
      </c>
      <c r="B24" s="140">
        <f t="shared" si="0"/>
        <v>23</v>
      </c>
      <c r="C24" s="140">
        <v>4</v>
      </c>
      <c r="D24" s="140">
        <v>2019</v>
      </c>
      <c r="E24" s="12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64291.129659999999</v>
      </c>
      <c r="F24" s="17">
        <v>1.1499999999999999</v>
      </c>
      <c r="G24" s="121">
        <f>Gas!C26*0.9147</f>
        <v>3231.6351</v>
      </c>
      <c r="H24" s="17">
        <v>2.25</v>
      </c>
      <c r="I24" s="121">
        <f>Submetering!AE24+Submetering!AD24+Submetering!H24</f>
        <v>726</v>
      </c>
      <c r="J24" s="122">
        <v>9.1199999999999992</v>
      </c>
      <c r="K24" s="121">
        <f>ELECT.!B26</f>
        <v>293</v>
      </c>
    </row>
    <row r="25" spans="1:11" x14ac:dyDescent="0.2">
      <c r="A25" s="135" t="s">
        <v>111</v>
      </c>
      <c r="B25" s="140">
        <f t="shared" si="0"/>
        <v>24</v>
      </c>
      <c r="C25" s="140">
        <v>4</v>
      </c>
      <c r="D25" s="140">
        <v>2019</v>
      </c>
      <c r="E25" s="12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51384.372076</v>
      </c>
      <c r="F25" s="17">
        <v>1.1499999999999999</v>
      </c>
      <c r="G25" s="121">
        <f>Gas!C27*0.9147</f>
        <v>3012.1070999999997</v>
      </c>
      <c r="H25" s="17">
        <v>2.25</v>
      </c>
      <c r="I25" s="121">
        <f>Submetering!AE25+Submetering!AD25+Submetering!H25</f>
        <v>826</v>
      </c>
      <c r="J25" s="122">
        <v>9.1199999999999992</v>
      </c>
      <c r="K25" s="121">
        <f>ELECT.!B27</f>
        <v>357</v>
      </c>
    </row>
    <row r="26" spans="1:11" x14ac:dyDescent="0.2">
      <c r="A26" s="135" t="s">
        <v>111</v>
      </c>
      <c r="B26" s="140">
        <f>B25+1</f>
        <v>25</v>
      </c>
      <c r="C26" s="140">
        <v>4</v>
      </c>
      <c r="D26" s="140">
        <v>2019</v>
      </c>
      <c r="E26" s="12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65038.719964000004</v>
      </c>
      <c r="F26" s="17">
        <v>1.1499999999999999</v>
      </c>
      <c r="G26" s="121">
        <f>Gas!C28*0.9147</f>
        <v>3828.9341999999997</v>
      </c>
      <c r="H26" s="17">
        <v>2.25</v>
      </c>
      <c r="I26" s="121">
        <f>Submetering!AE26+Submetering!AD26+Submetering!H26</f>
        <v>766</v>
      </c>
      <c r="J26" s="122">
        <v>9.1199999999999992</v>
      </c>
      <c r="K26" s="121">
        <f>ELECT.!B28</f>
        <v>356</v>
      </c>
    </row>
    <row r="27" spans="1:11" x14ac:dyDescent="0.2">
      <c r="A27" s="135" t="s">
        <v>111</v>
      </c>
      <c r="B27" s="140">
        <f t="shared" si="0"/>
        <v>26</v>
      </c>
      <c r="C27" s="140">
        <v>4</v>
      </c>
      <c r="D27" s="140">
        <v>2019</v>
      </c>
      <c r="E27" s="12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57517.957323999995</v>
      </c>
      <c r="F27" s="17">
        <v>1.1499999999999999</v>
      </c>
      <c r="G27" s="121">
        <f>Gas!C29*0.9147</f>
        <v>3296.5787999999998</v>
      </c>
      <c r="H27" s="17">
        <v>2.25</v>
      </c>
      <c r="I27" s="121">
        <f>Submetering!AE27+Submetering!AD27+Submetering!H27</f>
        <v>826</v>
      </c>
      <c r="J27" s="122">
        <v>9.1199999999999992</v>
      </c>
      <c r="K27" s="121">
        <f>ELECT.!B29</f>
        <v>327</v>
      </c>
    </row>
    <row r="28" spans="1:11" x14ac:dyDescent="0.2">
      <c r="A28" s="135" t="s">
        <v>111</v>
      </c>
      <c r="B28" s="140">
        <f t="shared" si="0"/>
        <v>27</v>
      </c>
      <c r="C28" s="140">
        <v>4</v>
      </c>
      <c r="D28" s="140">
        <v>2019</v>
      </c>
      <c r="E28" s="12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52375.167752000008</v>
      </c>
      <c r="F28" s="17">
        <v>1.1499999999999999</v>
      </c>
      <c r="G28" s="121">
        <f>Gas!C30*0.9147</f>
        <v>3279.1994999999997</v>
      </c>
      <c r="H28" s="17">
        <v>2.25</v>
      </c>
      <c r="I28" s="121">
        <f>Submetering!AE28+Submetering!AD28+Submetering!H28</f>
        <v>776</v>
      </c>
      <c r="J28" s="122">
        <v>9.1199999999999992</v>
      </c>
      <c r="K28" s="121">
        <f>ELECT.!B30</f>
        <v>314</v>
      </c>
    </row>
    <row r="29" spans="1:11" x14ac:dyDescent="0.2">
      <c r="A29" s="135" t="s">
        <v>111</v>
      </c>
      <c r="B29" s="140">
        <f t="shared" si="0"/>
        <v>28</v>
      </c>
      <c r="C29" s="140">
        <v>4</v>
      </c>
      <c r="D29" s="140">
        <v>2019</v>
      </c>
      <c r="E29" s="12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49734.325652</v>
      </c>
      <c r="F29" s="17">
        <v>1.1499999999999999</v>
      </c>
      <c r="G29" s="121">
        <f>Gas!C31*0.9147</f>
        <v>2959.9692</v>
      </c>
      <c r="H29" s="17">
        <v>2.25</v>
      </c>
      <c r="I29" s="121">
        <f>Submetering!AE29+Submetering!AD29+Submetering!H29</f>
        <v>856.00000000000011</v>
      </c>
      <c r="J29" s="122">
        <v>9.1199999999999992</v>
      </c>
      <c r="K29" s="121">
        <f>ELECT.!B31</f>
        <v>287</v>
      </c>
    </row>
    <row r="30" spans="1:11" x14ac:dyDescent="0.2">
      <c r="A30" s="135" t="s">
        <v>111</v>
      </c>
      <c r="B30" s="140">
        <f t="shared" si="0"/>
        <v>29</v>
      </c>
      <c r="C30" s="140">
        <v>4</v>
      </c>
      <c r="D30" s="140">
        <v>2019</v>
      </c>
      <c r="E30" s="12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86658.54386000002</v>
      </c>
      <c r="F30" s="17">
        <v>1.1499999999999999</v>
      </c>
      <c r="G30" s="121">
        <f>Gas!C32*0.9147</f>
        <v>3023.0834999999997</v>
      </c>
      <c r="H30" s="17">
        <v>2.25</v>
      </c>
      <c r="I30" s="121">
        <f>Submetering!AE30+Submetering!AD30+Submetering!H30</f>
        <v>896</v>
      </c>
      <c r="J30" s="122">
        <v>9.1199999999999992</v>
      </c>
      <c r="K30" s="121">
        <f>ELECT.!B32</f>
        <v>294</v>
      </c>
    </row>
    <row r="31" spans="1:11" x14ac:dyDescent="0.2">
      <c r="A31" s="135" t="s">
        <v>111</v>
      </c>
      <c r="B31" s="140">
        <f t="shared" si="0"/>
        <v>30</v>
      </c>
      <c r="C31" s="140">
        <v>4</v>
      </c>
      <c r="D31" s="140">
        <v>2019</v>
      </c>
      <c r="E31" s="12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65981.515048000001</v>
      </c>
      <c r="F31" s="17">
        <v>1.1499999999999999</v>
      </c>
      <c r="G31" s="121">
        <f>Gas!C33*0.9147</f>
        <v>2681.9004</v>
      </c>
      <c r="H31" s="17">
        <v>2.25</v>
      </c>
      <c r="I31" s="121">
        <f>Submetering!AE31+Submetering!AD31+Submetering!H31</f>
        <v>895.99999999999989</v>
      </c>
      <c r="J31" s="122">
        <v>9.1199999999999992</v>
      </c>
      <c r="K31" s="121">
        <f>ELECT.!B33</f>
        <v>298</v>
      </c>
    </row>
    <row r="32" spans="1:11" x14ac:dyDescent="0.2">
      <c r="K32" s="14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31"/>
  <sheetViews>
    <sheetView topLeftCell="L1" zoomScale="85" zoomScaleNormal="85" workbookViewId="0">
      <selection activeCell="AG11" sqref="AG11"/>
    </sheetView>
  </sheetViews>
  <sheetFormatPr defaultColWidth="11.5703125" defaultRowHeight="12.75" x14ac:dyDescent="0.2"/>
  <cols>
    <col min="1" max="1" width="15.85546875" style="135" bestFit="1" customWidth="1"/>
    <col min="2" max="3" width="11.5703125" style="140"/>
    <col min="4" max="4" width="13.42578125" style="140" customWidth="1"/>
    <col min="5" max="17" width="12.5703125" style="121" customWidth="1"/>
    <col min="18" max="23" width="12.5703125" style="122" customWidth="1"/>
    <col min="24" max="24" width="11.5703125" style="119"/>
  </cols>
  <sheetData>
    <row r="1" spans="1:32" s="118" customFormat="1" ht="60" x14ac:dyDescent="0.25">
      <c r="A1" s="134" t="s">
        <v>103</v>
      </c>
      <c r="B1" s="138" t="s">
        <v>0</v>
      </c>
      <c r="C1" s="138" t="s">
        <v>104</v>
      </c>
      <c r="D1" s="138" t="s">
        <v>105</v>
      </c>
      <c r="E1" s="139" t="s">
        <v>122</v>
      </c>
      <c r="F1" s="139" t="s">
        <v>123</v>
      </c>
      <c r="G1" s="139" t="s">
        <v>124</v>
      </c>
      <c r="H1" s="139" t="s">
        <v>125</v>
      </c>
      <c r="I1" s="139" t="s">
        <v>115</v>
      </c>
      <c r="J1" s="139" t="s">
        <v>114</v>
      </c>
      <c r="K1" s="139" t="s">
        <v>113</v>
      </c>
      <c r="L1" s="139" t="s">
        <v>116</v>
      </c>
      <c r="M1" s="139" t="s">
        <v>117</v>
      </c>
      <c r="N1" s="139" t="s">
        <v>118</v>
      </c>
      <c r="O1" s="139" t="s">
        <v>119</v>
      </c>
      <c r="P1" s="139" t="s">
        <v>120</v>
      </c>
      <c r="Q1" s="139" t="s">
        <v>134</v>
      </c>
      <c r="R1" s="141" t="s">
        <v>126</v>
      </c>
      <c r="S1" s="141" t="s">
        <v>127</v>
      </c>
      <c r="T1" s="141" t="s">
        <v>128</v>
      </c>
      <c r="U1" s="141" t="s">
        <v>129</v>
      </c>
      <c r="V1" s="141" t="s">
        <v>130</v>
      </c>
      <c r="W1" s="141" t="s">
        <v>131</v>
      </c>
      <c r="X1" s="136" t="s">
        <v>110</v>
      </c>
      <c r="Y1" s="178" t="s">
        <v>148</v>
      </c>
      <c r="Z1" s="118" t="s">
        <v>149</v>
      </c>
      <c r="AA1" s="118" t="s">
        <v>150</v>
      </c>
      <c r="AB1" s="118" t="s">
        <v>151</v>
      </c>
      <c r="AC1" s="118" t="s">
        <v>152</v>
      </c>
      <c r="AD1" s="141" t="s">
        <v>153</v>
      </c>
      <c r="AE1" s="141" t="s">
        <v>154</v>
      </c>
      <c r="AF1" s="141"/>
    </row>
    <row r="2" spans="1:32" x14ac:dyDescent="0.2">
      <c r="A2" s="135" t="s">
        <v>111</v>
      </c>
      <c r="B2" s="140">
        <v>1</v>
      </c>
      <c r="C2" s="140">
        <v>4</v>
      </c>
      <c r="D2" s="140">
        <v>2019</v>
      </c>
      <c r="E2" s="121">
        <f>Water!C4</f>
        <v>910</v>
      </c>
      <c r="F2" s="121">
        <f>Water!E4</f>
        <v>550.79999999999995</v>
      </c>
      <c r="G2" s="121">
        <f>Water!G4</f>
        <v>356.4</v>
      </c>
      <c r="H2" s="121">
        <f>Water!I4</f>
        <v>4.6979999999999995</v>
      </c>
      <c r="I2" s="121">
        <f>ELECT.!F4</f>
        <v>6187</v>
      </c>
      <c r="J2" s="121">
        <f>ELECT.!H4</f>
        <v>49845</v>
      </c>
      <c r="K2" s="121">
        <f>ELECT.!K4</f>
        <v>4765</v>
      </c>
      <c r="L2" s="121">
        <f>ELECT.!M4</f>
        <v>4732</v>
      </c>
      <c r="M2" s="121">
        <f>ELECT.!O4</f>
        <v>1384</v>
      </c>
      <c r="N2" s="121">
        <f>ELECT.!Q4</f>
        <v>8852</v>
      </c>
      <c r="O2" s="121">
        <f>ELECT.!S4</f>
        <v>10918</v>
      </c>
      <c r="P2" s="121">
        <f>ELECT.!W4*2</f>
        <v>24356</v>
      </c>
      <c r="Q2" s="121">
        <f>ELECT.!D4</f>
        <v>480</v>
      </c>
      <c r="R2" s="122">
        <f>BTU!C3</f>
        <v>12.505000000001019</v>
      </c>
      <c r="S2" s="122">
        <f>BTU!F3</f>
        <v>0.80199999999967986</v>
      </c>
      <c r="T2" s="122">
        <f>BTU!I3</f>
        <v>0.125</v>
      </c>
      <c r="U2" s="122">
        <f>BTU!O3</f>
        <v>2.7709999999999582</v>
      </c>
      <c r="V2" s="122">
        <f>BTU!L3</f>
        <v>1.8899999999994179</v>
      </c>
      <c r="W2" s="122">
        <f>BTU!R3</f>
        <v>0</v>
      </c>
      <c r="X2" s="119">
        <f>ELECT.!B4</f>
        <v>330</v>
      </c>
      <c r="Y2" s="119">
        <f>I2+J2-(K2+L2+M2+N2+O2+P2)</f>
        <v>1025</v>
      </c>
      <c r="Z2">
        <f>'Mall, Citadel, Rotana'!C4+'Mall, Citadel, Rotana'!E4+'Mall, Citadel, Rotana'!G4+'Mall, Citadel, Rotana'!I4</f>
        <v>1334</v>
      </c>
      <c r="AA2">
        <f>'Mall, Citadel, Rotana'!K4+'Mall, Citadel, Rotana'!M4</f>
        <v>640</v>
      </c>
      <c r="AB2">
        <f>'Mall, Citadel, Rotana'!O4</f>
        <v>3</v>
      </c>
      <c r="AC2">
        <f>'Mall, Citadel, Rotana'!Q4+'Mall, Citadel, Rotana'!S4</f>
        <v>199</v>
      </c>
      <c r="AD2" s="119">
        <f>(E2-H2-194)*0.1318</f>
        <v>93.7496036</v>
      </c>
      <c r="AE2" s="119">
        <f>E2-H2-AD2-194</f>
        <v>617.55239640000002</v>
      </c>
    </row>
    <row r="3" spans="1:32" x14ac:dyDescent="0.2">
      <c r="A3" s="135" t="s">
        <v>111</v>
      </c>
      <c r="B3" s="140">
        <f>B2+1</f>
        <v>2</v>
      </c>
      <c r="C3" s="140">
        <v>4</v>
      </c>
      <c r="D3" s="140">
        <v>2019</v>
      </c>
      <c r="E3" s="121">
        <f>Water!C5</f>
        <v>1050</v>
      </c>
      <c r="F3" s="121">
        <f>Water!E5</f>
        <v>421.2</v>
      </c>
      <c r="G3" s="121">
        <f>Water!G5</f>
        <v>321.3</v>
      </c>
      <c r="H3" s="121">
        <f>Water!I5</f>
        <v>2.673</v>
      </c>
      <c r="I3" s="121">
        <f>ELECT.!F5</f>
        <v>6211</v>
      </c>
      <c r="J3" s="121">
        <f>ELECT.!H5</f>
        <v>48810</v>
      </c>
      <c r="K3" s="121">
        <f>ELECT.!K5</f>
        <v>4587</v>
      </c>
      <c r="L3" s="121">
        <f>ELECT.!M5</f>
        <v>4633</v>
      </c>
      <c r="M3" s="121">
        <f>ELECT.!O5</f>
        <v>1426</v>
      </c>
      <c r="N3" s="121">
        <f>ELECT.!Q5</f>
        <v>8443</v>
      </c>
      <c r="O3" s="121">
        <f>ELECT.!S5</f>
        <v>10689</v>
      </c>
      <c r="P3" s="121">
        <f>ELECT.!W5*2</f>
        <v>24076</v>
      </c>
      <c r="Q3" s="121">
        <f>ELECT.!D5</f>
        <v>640</v>
      </c>
      <c r="R3" s="122">
        <f>BTU!C4</f>
        <v>4.8909999999996217</v>
      </c>
      <c r="S3" s="122">
        <f>BTU!F4</f>
        <v>1.2600000000002183</v>
      </c>
      <c r="T3" s="122">
        <f>BTU!I4</f>
        <v>0.24500000000000455</v>
      </c>
      <c r="U3" s="122">
        <f>BTU!O4</f>
        <v>1.2190000000000509</v>
      </c>
      <c r="V3" s="122">
        <f>BTU!L4</f>
        <v>1.0599999999994907</v>
      </c>
      <c r="W3" s="122">
        <f>BTU!R4</f>
        <v>0</v>
      </c>
      <c r="X3" s="119">
        <f>ELECT.!B5</f>
        <v>341</v>
      </c>
      <c r="Y3" s="119">
        <f t="shared" ref="Y3:Y31" si="0">I3+J3-(K3+L3+M3+N3+O3+P3)</f>
        <v>1167</v>
      </c>
      <c r="Z3">
        <f>'Mall, Citadel, Rotana'!C5+'Mall, Citadel, Rotana'!E5+'Mall, Citadel, Rotana'!G5+'Mall, Citadel, Rotana'!I5</f>
        <v>1315</v>
      </c>
      <c r="AA3">
        <f>'Mall, Citadel, Rotana'!K5+'Mall, Citadel, Rotana'!M5</f>
        <v>800</v>
      </c>
      <c r="AB3">
        <f>'Mall, Citadel, Rotana'!O5</f>
        <v>3</v>
      </c>
      <c r="AC3">
        <f>'Mall, Citadel, Rotana'!Q5+'Mall, Citadel, Rotana'!S5</f>
        <v>179</v>
      </c>
      <c r="AD3" s="119">
        <f t="shared" ref="AD3:AD31" si="1">(E3-H3-194)*0.1318</f>
        <v>112.4684986</v>
      </c>
      <c r="AE3" s="119">
        <f t="shared" ref="AE3:AE31" si="2">E3-H3-AD3-194</f>
        <v>740.85850140000002</v>
      </c>
    </row>
    <row r="4" spans="1:32" x14ac:dyDescent="0.2">
      <c r="A4" s="135" t="s">
        <v>111</v>
      </c>
      <c r="B4" s="140">
        <f t="shared" ref="B4:B31" si="3">B3+1</f>
        <v>3</v>
      </c>
      <c r="C4" s="140">
        <v>4</v>
      </c>
      <c r="D4" s="140">
        <v>2019</v>
      </c>
      <c r="E4" s="121">
        <f>Water!C6</f>
        <v>1100</v>
      </c>
      <c r="F4" s="121">
        <f>Water!E6</f>
        <v>680.4</v>
      </c>
      <c r="G4" s="121">
        <f>Water!G6</f>
        <v>531.9</v>
      </c>
      <c r="H4" s="121">
        <f>Water!I6</f>
        <v>5.6970000000000001</v>
      </c>
      <c r="I4" s="121">
        <f>ELECT.!F6</f>
        <v>6436</v>
      </c>
      <c r="J4" s="121">
        <f>ELECT.!H6</f>
        <v>50506</v>
      </c>
      <c r="K4" s="121">
        <f>ELECT.!K6</f>
        <v>4598</v>
      </c>
      <c r="L4" s="121">
        <f>ELECT.!M6</f>
        <v>4829</v>
      </c>
      <c r="M4" s="121">
        <f>ELECT.!O6</f>
        <v>1464</v>
      </c>
      <c r="N4" s="121">
        <f>ELECT.!Q6</f>
        <v>9750</v>
      </c>
      <c r="O4" s="121">
        <f>ELECT.!S6</f>
        <v>10598</v>
      </c>
      <c r="P4" s="121">
        <f>ELECT.!W6*2</f>
        <v>24370</v>
      </c>
      <c r="Q4" s="121">
        <f>ELECT.!D6</f>
        <v>800</v>
      </c>
      <c r="R4" s="122">
        <f>BTU!C5</f>
        <v>5.7759999999998399</v>
      </c>
      <c r="S4" s="122">
        <f>BTU!F5</f>
        <v>1.3980000000001382</v>
      </c>
      <c r="T4" s="122">
        <f>BTU!I5</f>
        <v>5.2000000000020918E-2</v>
      </c>
      <c r="U4" s="122">
        <f>BTU!O5</f>
        <v>1.2580000000000382</v>
      </c>
      <c r="V4" s="122">
        <f>BTU!L5</f>
        <v>0.15000000000145519</v>
      </c>
      <c r="W4" s="122">
        <f>BTU!R5</f>
        <v>0</v>
      </c>
      <c r="X4" s="119">
        <f>ELECT.!B6</f>
        <v>338</v>
      </c>
      <c r="Y4" s="119">
        <f t="shared" si="0"/>
        <v>1333</v>
      </c>
      <c r="Z4">
        <f>'Mall, Citadel, Rotana'!C6+'Mall, Citadel, Rotana'!E6+'Mall, Citadel, Rotana'!G6+'Mall, Citadel, Rotana'!I6</f>
        <v>1320</v>
      </c>
      <c r="AA4">
        <f>'Mall, Citadel, Rotana'!K6+'Mall, Citadel, Rotana'!M6</f>
        <v>960</v>
      </c>
      <c r="AB4">
        <f>'Mall, Citadel, Rotana'!O6</f>
        <v>3</v>
      </c>
      <c r="AC4">
        <f>'Mall, Citadel, Rotana'!Q6+'Mall, Citadel, Rotana'!S6</f>
        <v>208</v>
      </c>
      <c r="AD4" s="119">
        <f t="shared" si="1"/>
        <v>118.65993540000001</v>
      </c>
      <c r="AE4" s="119">
        <f t="shared" si="2"/>
        <v>781.64306460000012</v>
      </c>
    </row>
    <row r="5" spans="1:32" x14ac:dyDescent="0.2">
      <c r="A5" s="135" t="s">
        <v>111</v>
      </c>
      <c r="B5" s="140">
        <f t="shared" si="3"/>
        <v>4</v>
      </c>
      <c r="C5" s="140">
        <v>4</v>
      </c>
      <c r="D5" s="140">
        <v>2019</v>
      </c>
      <c r="E5" s="121">
        <f>Water!C7</f>
        <v>1290</v>
      </c>
      <c r="F5" s="121">
        <f>Water!E7</f>
        <v>486</v>
      </c>
      <c r="G5" s="121">
        <f>Water!G7</f>
        <v>278.10000000000002</v>
      </c>
      <c r="H5" s="121">
        <f>Water!I7</f>
        <v>3.294</v>
      </c>
      <c r="I5" s="121">
        <f>ELECT.!F7</f>
        <v>8231</v>
      </c>
      <c r="J5" s="121">
        <f>ELECT.!H7</f>
        <v>33694</v>
      </c>
      <c r="K5" s="121">
        <f>ELECT.!K7</f>
        <v>3478</v>
      </c>
      <c r="L5" s="121">
        <f>ELECT.!M7</f>
        <v>3546</v>
      </c>
      <c r="M5" s="121">
        <f>ELECT.!O7</f>
        <v>4632</v>
      </c>
      <c r="N5" s="121">
        <f>ELECT.!Q7</f>
        <v>2655</v>
      </c>
      <c r="O5" s="121">
        <f>ELECT.!S7</f>
        <v>8089</v>
      </c>
      <c r="P5" s="121">
        <f>ELECT.!W7*2</f>
        <v>17666</v>
      </c>
      <c r="Q5" s="121">
        <f>ELECT.!D7</f>
        <v>800</v>
      </c>
      <c r="R5" s="122">
        <f>BTU!C6</f>
        <v>6.7770000000000437</v>
      </c>
      <c r="S5" s="122">
        <f>BTU!F6</f>
        <v>1.3710000000000946</v>
      </c>
      <c r="T5" s="122">
        <f>BTU!I6</f>
        <v>4.3000000000006366E-2</v>
      </c>
      <c r="U5" s="122">
        <f>BTU!O6</f>
        <v>1.6639999999999873</v>
      </c>
      <c r="V5" s="122">
        <f>BTU!L6</f>
        <v>2.1599999999998545</v>
      </c>
      <c r="W5" s="122">
        <f>BTU!R6</f>
        <v>0</v>
      </c>
      <c r="X5" s="119">
        <f>ELECT.!B7</f>
        <v>344</v>
      </c>
      <c r="Y5" s="119">
        <f t="shared" si="0"/>
        <v>1859</v>
      </c>
      <c r="Z5">
        <f>'Mall, Citadel, Rotana'!C7+'Mall, Citadel, Rotana'!E7+'Mall, Citadel, Rotana'!G7+'Mall, Citadel, Rotana'!I7</f>
        <v>1485</v>
      </c>
      <c r="AA5">
        <f>'Mall, Citadel, Rotana'!K7+'Mall, Citadel, Rotana'!M7</f>
        <v>1120</v>
      </c>
      <c r="AB5">
        <f>'Mall, Citadel, Rotana'!O7</f>
        <v>3</v>
      </c>
      <c r="AC5">
        <f>'Mall, Citadel, Rotana'!Q7+'Mall, Citadel, Rotana'!S7</f>
        <v>133</v>
      </c>
      <c r="AD5" s="119">
        <f t="shared" si="1"/>
        <v>144.01865079999999</v>
      </c>
      <c r="AE5" s="119">
        <f t="shared" si="2"/>
        <v>948.68734919999997</v>
      </c>
    </row>
    <row r="6" spans="1:32" x14ac:dyDescent="0.2">
      <c r="A6" s="135" t="s">
        <v>111</v>
      </c>
      <c r="B6" s="140">
        <f t="shared" si="3"/>
        <v>5</v>
      </c>
      <c r="C6" s="140">
        <v>4</v>
      </c>
      <c r="D6" s="140">
        <v>2019</v>
      </c>
      <c r="E6" s="121">
        <f>Water!C8</f>
        <v>880</v>
      </c>
      <c r="F6" s="121">
        <f>Water!E8</f>
        <v>515.70000000000005</v>
      </c>
      <c r="G6" s="121">
        <f>Water!G8</f>
        <v>540</v>
      </c>
      <c r="H6" s="121">
        <f>Water!I8</f>
        <v>6.6689999999999996</v>
      </c>
      <c r="I6" s="121">
        <f>ELECT.!F8</f>
        <v>17222</v>
      </c>
      <c r="J6" s="121">
        <f>ELECT.!H8</f>
        <v>65636</v>
      </c>
      <c r="K6" s="121">
        <f>ELECT.!K8</f>
        <v>6152</v>
      </c>
      <c r="L6" s="121">
        <f>ELECT.!M8</f>
        <v>6902</v>
      </c>
      <c r="M6" s="121">
        <f>ELECT.!O8</f>
        <v>10000</v>
      </c>
      <c r="N6" s="121">
        <f>ELECT.!Q8</f>
        <v>4104</v>
      </c>
      <c r="O6" s="121">
        <f>ELECT.!S8</f>
        <v>16784</v>
      </c>
      <c r="P6" s="121">
        <f>ELECT.!W8*2</f>
        <v>37904</v>
      </c>
      <c r="Q6" s="121">
        <f>ELECT.!D8</f>
        <v>800</v>
      </c>
      <c r="R6" s="122">
        <f>BTU!C7</f>
        <v>6.2360000000007858</v>
      </c>
      <c r="S6" s="122">
        <f>BTU!F7</f>
        <v>0.60199999999986176</v>
      </c>
      <c r="T6" s="122">
        <f>BTU!I7</f>
        <v>1.1999999999943611E-2</v>
      </c>
      <c r="U6" s="122">
        <f>BTU!O7</f>
        <v>1.5930000000000746</v>
      </c>
      <c r="V6" s="122">
        <f>BTU!L7</f>
        <v>1.1399999999994179</v>
      </c>
      <c r="W6" s="122">
        <f>BTU!R7</f>
        <v>0</v>
      </c>
      <c r="X6" s="119">
        <f>ELECT.!B8</f>
        <v>365</v>
      </c>
      <c r="Y6" s="119">
        <f t="shared" si="0"/>
        <v>1012</v>
      </c>
      <c r="Z6">
        <f>'Mall, Citadel, Rotana'!C8+'Mall, Citadel, Rotana'!E8+'Mall, Citadel, Rotana'!G8+'Mall, Citadel, Rotana'!I8</f>
        <v>1684</v>
      </c>
      <c r="AA6">
        <f>'Mall, Citadel, Rotana'!K8+'Mall, Citadel, Rotana'!M8</f>
        <v>800</v>
      </c>
      <c r="AB6">
        <f>'Mall, Citadel, Rotana'!O8</f>
        <v>5</v>
      </c>
      <c r="AC6">
        <f>'Mall, Citadel, Rotana'!Q8+'Mall, Citadel, Rotana'!S8</f>
        <v>89</v>
      </c>
      <c r="AD6" s="119">
        <f t="shared" si="1"/>
        <v>89.535825799999998</v>
      </c>
      <c r="AE6" s="119">
        <f t="shared" si="2"/>
        <v>589.79517420000002</v>
      </c>
    </row>
    <row r="7" spans="1:32" x14ac:dyDescent="0.2">
      <c r="A7" s="135" t="s">
        <v>111</v>
      </c>
      <c r="B7" s="140">
        <f t="shared" si="3"/>
        <v>6</v>
      </c>
      <c r="C7" s="140">
        <v>4</v>
      </c>
      <c r="D7" s="140">
        <v>2019</v>
      </c>
      <c r="E7" s="121">
        <f>Water!C9</f>
        <v>720</v>
      </c>
      <c r="F7" s="121">
        <f>Water!E9</f>
        <v>531.9</v>
      </c>
      <c r="G7" s="121">
        <f>Water!G9</f>
        <v>434.7</v>
      </c>
      <c r="H7" s="121">
        <f>Water!I9</f>
        <v>4.05</v>
      </c>
      <c r="I7" s="121">
        <f>ELECT.!F9</f>
        <v>8885</v>
      </c>
      <c r="J7" s="121">
        <f>ELECT.!H9</f>
        <v>32978</v>
      </c>
      <c r="K7" s="121">
        <f>ELECT.!K9</f>
        <v>3382</v>
      </c>
      <c r="L7" s="121">
        <f>ELECT.!M9</f>
        <v>3866</v>
      </c>
      <c r="M7" s="121">
        <f>ELECT.!O9</f>
        <v>4926</v>
      </c>
      <c r="N7" s="121">
        <f>ELECT.!Q9</f>
        <v>2014</v>
      </c>
      <c r="O7" s="121">
        <f>ELECT.!S9</f>
        <v>8465</v>
      </c>
      <c r="P7" s="121">
        <f>ELECT.!W9*2</f>
        <v>18536</v>
      </c>
      <c r="Q7" s="121">
        <f>ELECT.!D9</f>
        <v>640</v>
      </c>
      <c r="R7" s="122">
        <f>BTU!C8</f>
        <v>6.3809999999994034</v>
      </c>
      <c r="S7" s="122">
        <f>BTU!F8</f>
        <v>0.66800000000012005</v>
      </c>
      <c r="T7" s="122">
        <f>BTU!I8</f>
        <v>4.2000000000030013E-2</v>
      </c>
      <c r="U7" s="122">
        <f>BTU!O8</f>
        <v>1.7999999999999545</v>
      </c>
      <c r="V7" s="122">
        <f>BTU!L8</f>
        <v>1.1000000000003638</v>
      </c>
      <c r="W7" s="122">
        <f>BTU!R8</f>
        <v>0</v>
      </c>
      <c r="X7" s="119">
        <f>ELECT.!B9</f>
        <v>332</v>
      </c>
      <c r="Y7" s="119">
        <f t="shared" si="0"/>
        <v>674</v>
      </c>
      <c r="Z7">
        <f>'Mall, Citadel, Rotana'!C9+'Mall, Citadel, Rotana'!E9+'Mall, Citadel, Rotana'!G9+'Mall, Citadel, Rotana'!I9</f>
        <v>783</v>
      </c>
      <c r="AA7">
        <f>'Mall, Citadel, Rotana'!K9+'Mall, Citadel, Rotana'!M9</f>
        <v>640</v>
      </c>
      <c r="AB7">
        <f>'Mall, Citadel, Rotana'!O9</f>
        <v>2</v>
      </c>
      <c r="AC7">
        <f>'Mall, Citadel, Rotana'!Q9+'Mall, Citadel, Rotana'!S9</f>
        <v>49</v>
      </c>
      <c r="AD7" s="119">
        <f t="shared" si="1"/>
        <v>68.79301000000001</v>
      </c>
      <c r="AE7" s="119">
        <f t="shared" si="2"/>
        <v>453.15699000000006</v>
      </c>
    </row>
    <row r="8" spans="1:32" x14ac:dyDescent="0.2">
      <c r="A8" s="135" t="s">
        <v>111</v>
      </c>
      <c r="B8" s="140">
        <f t="shared" si="3"/>
        <v>7</v>
      </c>
      <c r="C8" s="140">
        <v>4</v>
      </c>
      <c r="D8" s="140">
        <v>2019</v>
      </c>
      <c r="E8" s="121">
        <f>Water!C10</f>
        <v>1040</v>
      </c>
      <c r="F8" s="121">
        <f>Water!E10</f>
        <v>564.29999999999995</v>
      </c>
      <c r="G8" s="121">
        <f>Water!G10</f>
        <v>456.3</v>
      </c>
      <c r="H8" s="121">
        <f>Water!I10</f>
        <v>4.968</v>
      </c>
      <c r="I8" s="121">
        <f>ELECT.!F10</f>
        <v>14463</v>
      </c>
      <c r="J8" s="121">
        <f>ELECT.!H10</f>
        <v>48697</v>
      </c>
      <c r="K8" s="121">
        <f>ELECT.!K10</f>
        <v>4963</v>
      </c>
      <c r="L8" s="121">
        <f>ELECT.!M10</f>
        <v>5599</v>
      </c>
      <c r="M8" s="121">
        <f>ELECT.!O10</f>
        <v>8670</v>
      </c>
      <c r="N8" s="121">
        <f>ELECT.!Q10</f>
        <v>3258</v>
      </c>
      <c r="O8" s="121">
        <f>ELECT.!S10</f>
        <v>12190</v>
      </c>
      <c r="P8" s="121">
        <f>ELECT.!W10*2</f>
        <v>26924</v>
      </c>
      <c r="Q8" s="121">
        <f>ELECT.!D10</f>
        <v>800</v>
      </c>
      <c r="R8" s="122">
        <f>BTU!C9</f>
        <v>8.4809999999997672</v>
      </c>
      <c r="S8" s="122">
        <f>BTU!F9</f>
        <v>2.0799999999999272</v>
      </c>
      <c r="T8" s="122">
        <f>BTU!I9</f>
        <v>0</v>
      </c>
      <c r="U8" s="122">
        <f>BTU!O9</f>
        <v>1.6859999999999218</v>
      </c>
      <c r="V8" s="122">
        <f>BTU!L9</f>
        <v>1.1999999999989086</v>
      </c>
      <c r="W8" s="122">
        <f>BTU!R9</f>
        <v>0</v>
      </c>
      <c r="X8" s="119">
        <f>ELECT.!B10</f>
        <v>322</v>
      </c>
      <c r="Y8" s="119">
        <f t="shared" si="0"/>
        <v>1556</v>
      </c>
      <c r="Z8">
        <f>'Mall, Citadel, Rotana'!C10+'Mall, Citadel, Rotana'!E10+'Mall, Citadel, Rotana'!G10+'Mall, Citadel, Rotana'!I10</f>
        <v>1676</v>
      </c>
      <c r="AA8">
        <f>'Mall, Citadel, Rotana'!K10+'Mall, Citadel, Rotana'!M10</f>
        <v>0</v>
      </c>
      <c r="AB8">
        <f>'Mall, Citadel, Rotana'!O10</f>
        <v>2</v>
      </c>
      <c r="AC8">
        <f>'Mall, Citadel, Rotana'!Q10+'Mall, Citadel, Rotana'!S10</f>
        <v>523</v>
      </c>
      <c r="AD8" s="119">
        <f t="shared" si="1"/>
        <v>110.84801759999999</v>
      </c>
      <c r="AE8" s="119">
        <f t="shared" si="2"/>
        <v>730.18398239999988</v>
      </c>
    </row>
    <row r="9" spans="1:32" x14ac:dyDescent="0.2">
      <c r="A9" s="135" t="s">
        <v>111</v>
      </c>
      <c r="B9" s="140">
        <f t="shared" si="3"/>
        <v>8</v>
      </c>
      <c r="C9" s="140">
        <v>4</v>
      </c>
      <c r="D9" s="140">
        <v>2019</v>
      </c>
      <c r="E9" s="121">
        <f>Water!C11</f>
        <v>1170</v>
      </c>
      <c r="F9" s="121">
        <f>Water!E11</f>
        <v>653.4</v>
      </c>
      <c r="G9" s="121">
        <f>Water!G11</f>
        <v>521.1</v>
      </c>
      <c r="H9" s="121">
        <f>Water!I11</f>
        <v>4.9950000000000001</v>
      </c>
      <c r="I9" s="121">
        <f>ELECT.!F11</f>
        <v>11308</v>
      </c>
      <c r="J9" s="121">
        <f>ELECT.!H11</f>
        <v>38251</v>
      </c>
      <c r="K9" s="121">
        <f>ELECT.!K11</f>
        <v>4171</v>
      </c>
      <c r="L9" s="121">
        <f>ELECT.!M11</f>
        <v>4408</v>
      </c>
      <c r="M9" s="121">
        <f>ELECT.!O11</f>
        <v>7784</v>
      </c>
      <c r="N9" s="121">
        <f>ELECT.!Q11</f>
        <v>2806</v>
      </c>
      <c r="O9" s="121">
        <f>ELECT.!S11</f>
        <v>8827</v>
      </c>
      <c r="P9" s="121">
        <f>ELECT.!W11*2</f>
        <v>21468</v>
      </c>
      <c r="Q9" s="121">
        <f>ELECT.!D11</f>
        <v>800</v>
      </c>
      <c r="R9" s="122">
        <f>BTU!C10</f>
        <v>6.3359999999993306</v>
      </c>
      <c r="S9" s="122">
        <f>BTU!F10</f>
        <v>1.6449999999999818</v>
      </c>
      <c r="T9" s="122">
        <f>BTU!I10</f>
        <v>2.9999999999290594E-3</v>
      </c>
      <c r="U9" s="122">
        <f>BTU!O10</f>
        <v>1.2450000000001182</v>
      </c>
      <c r="V9" s="122">
        <f>BTU!L10</f>
        <v>1</v>
      </c>
      <c r="W9" s="122">
        <f>BTU!R10</f>
        <v>2.0199999999999818</v>
      </c>
      <c r="X9" s="119">
        <f>ELECT.!B11</f>
        <v>330</v>
      </c>
      <c r="Y9" s="119">
        <f t="shared" si="0"/>
        <v>95</v>
      </c>
      <c r="Z9">
        <f>'Mall, Citadel, Rotana'!C11+'Mall, Citadel, Rotana'!E11+'Mall, Citadel, Rotana'!G11+'Mall, Citadel, Rotana'!I11</f>
        <v>1139</v>
      </c>
      <c r="AA9">
        <f>'Mall, Citadel, Rotana'!K11+'Mall, Citadel, Rotana'!M11</f>
        <v>480</v>
      </c>
      <c r="AB9">
        <f>'Mall, Citadel, Rotana'!O11</f>
        <v>3</v>
      </c>
      <c r="AC9">
        <f>'Mall, Citadel, Rotana'!Q11+'Mall, Citadel, Rotana'!S11</f>
        <v>55</v>
      </c>
      <c r="AD9" s="119">
        <f t="shared" si="1"/>
        <v>127.97845900000002</v>
      </c>
      <c r="AE9" s="119">
        <f t="shared" si="2"/>
        <v>843.02654100000018</v>
      </c>
    </row>
    <row r="10" spans="1:32" x14ac:dyDescent="0.2">
      <c r="A10" s="135" t="s">
        <v>111</v>
      </c>
      <c r="B10" s="140">
        <f t="shared" si="3"/>
        <v>9</v>
      </c>
      <c r="C10" s="140">
        <v>4</v>
      </c>
      <c r="D10" s="140">
        <v>2019</v>
      </c>
      <c r="E10" s="121">
        <f>Water!C12</f>
        <v>960</v>
      </c>
      <c r="F10" s="121">
        <f>Water!E12</f>
        <v>526.5</v>
      </c>
      <c r="G10" s="121">
        <f>Water!G12</f>
        <v>410.4</v>
      </c>
      <c r="H10" s="121">
        <f>Water!I12</f>
        <v>5.4809999999999999</v>
      </c>
      <c r="I10" s="121">
        <f>ELECT.!F12</f>
        <v>13871</v>
      </c>
      <c r="J10" s="121">
        <f>ELECT.!H12</f>
        <v>49322</v>
      </c>
      <c r="K10" s="121">
        <f>ELECT.!K12</f>
        <v>5279</v>
      </c>
      <c r="L10" s="121">
        <f>ELECT.!M12</f>
        <v>5346</v>
      </c>
      <c r="M10" s="121">
        <f>ELECT.!O12</f>
        <v>7372</v>
      </c>
      <c r="N10" s="121">
        <f>ELECT.!Q12</f>
        <v>2564</v>
      </c>
      <c r="O10" s="121">
        <f>ELECT.!S12</f>
        <v>11638</v>
      </c>
      <c r="P10" s="121">
        <f>ELECT.!W12*2</f>
        <v>27490</v>
      </c>
      <c r="Q10" s="121">
        <f>ELECT.!D12</f>
        <v>640</v>
      </c>
      <c r="R10" s="122">
        <f>BTU!C11</f>
        <v>7.3060000000004948</v>
      </c>
      <c r="S10" s="122">
        <f>BTU!F11</f>
        <v>2.1509999999998399</v>
      </c>
      <c r="T10" s="122">
        <f>BTU!I11</f>
        <v>1.00000000009004E-3</v>
      </c>
      <c r="U10" s="122">
        <f>BTU!O11</f>
        <v>1.3899999999998727</v>
      </c>
      <c r="V10" s="122">
        <f>BTU!L11</f>
        <v>1.1100000000005821</v>
      </c>
      <c r="W10" s="122">
        <f>BTU!R11</f>
        <v>0.16000000000030923</v>
      </c>
      <c r="X10" s="119">
        <f>ELECT.!B12</f>
        <v>320</v>
      </c>
      <c r="Y10" s="119">
        <f t="shared" si="0"/>
        <v>3504</v>
      </c>
      <c r="Z10">
        <f>'Mall, Citadel, Rotana'!C12+'Mall, Citadel, Rotana'!E12+'Mall, Citadel, Rotana'!G12+'Mall, Citadel, Rotana'!I12</f>
        <v>1299</v>
      </c>
      <c r="AA10">
        <f>'Mall, Citadel, Rotana'!K12+'Mall, Citadel, Rotana'!M12</f>
        <v>800</v>
      </c>
      <c r="AB10">
        <f>'Mall, Citadel, Rotana'!O12</f>
        <v>3</v>
      </c>
      <c r="AC10">
        <f>'Mall, Citadel, Rotana'!Q12+'Mall, Citadel, Rotana'!S12</f>
        <v>330</v>
      </c>
      <c r="AD10" s="119">
        <f t="shared" si="1"/>
        <v>100.2364042</v>
      </c>
      <c r="AE10" s="119">
        <f t="shared" si="2"/>
        <v>660.28259579999997</v>
      </c>
    </row>
    <row r="11" spans="1:32" x14ac:dyDescent="0.2">
      <c r="A11" s="135" t="s">
        <v>111</v>
      </c>
      <c r="B11" s="140">
        <f t="shared" si="3"/>
        <v>10</v>
      </c>
      <c r="C11" s="140">
        <v>4</v>
      </c>
      <c r="D11" s="140">
        <v>2019</v>
      </c>
      <c r="E11" s="121">
        <f>Water!C13</f>
        <v>960</v>
      </c>
      <c r="F11" s="121">
        <f>Water!E13</f>
        <v>556.20000000000005</v>
      </c>
      <c r="G11" s="121">
        <f>Water!G13</f>
        <v>372.6</v>
      </c>
      <c r="H11" s="121">
        <f>Water!I13</f>
        <v>5.5889999999999995</v>
      </c>
      <c r="I11" s="121">
        <f>ELECT.!F13</f>
        <v>11164</v>
      </c>
      <c r="J11" s="121">
        <f>ELECT.!H13</f>
        <v>41113</v>
      </c>
      <c r="K11" s="121">
        <f>ELECT.!K13</f>
        <v>4706</v>
      </c>
      <c r="L11" s="121">
        <f>ELECT.!M13</f>
        <v>4339</v>
      </c>
      <c r="M11" s="121">
        <f>ELECT.!O13</f>
        <v>6674</v>
      </c>
      <c r="N11" s="121">
        <f>ELECT.!Q13</f>
        <v>3962</v>
      </c>
      <c r="O11" s="121">
        <f>ELECT.!S13</f>
        <v>9723</v>
      </c>
      <c r="P11" s="121">
        <f>ELECT.!W13*2</f>
        <v>22608</v>
      </c>
      <c r="Q11" s="121">
        <f>ELECT.!D13</f>
        <v>800</v>
      </c>
      <c r="R11" s="122">
        <f>BTU!C12</f>
        <v>7.1540000000004511</v>
      </c>
      <c r="S11" s="122">
        <f>BTU!F12</f>
        <v>1.7139999999999418</v>
      </c>
      <c r="T11" s="122">
        <f>BTU!I12</f>
        <v>2.9999999999290594E-3</v>
      </c>
      <c r="U11" s="122">
        <f>BTU!O12</f>
        <v>1.5480000000000018</v>
      </c>
      <c r="V11" s="122">
        <f>BTU!L12</f>
        <v>1.1000000000003638</v>
      </c>
      <c r="W11" s="122">
        <f>BTU!R12</f>
        <v>0.17999999999983629</v>
      </c>
      <c r="X11" s="119">
        <f>ELECT.!B13</f>
        <v>344</v>
      </c>
      <c r="Y11" s="119">
        <f t="shared" si="0"/>
        <v>265</v>
      </c>
      <c r="Z11">
        <f>'Mall, Citadel, Rotana'!C13+'Mall, Citadel, Rotana'!E13+'Mall, Citadel, Rotana'!G13+'Mall, Citadel, Rotana'!I13</f>
        <v>1179</v>
      </c>
      <c r="AA11">
        <f>'Mall, Citadel, Rotana'!K13+'Mall, Citadel, Rotana'!M13</f>
        <v>800</v>
      </c>
      <c r="AB11">
        <f>'Mall, Citadel, Rotana'!O13</f>
        <v>3</v>
      </c>
      <c r="AC11">
        <f>'Mall, Citadel, Rotana'!Q13+'Mall, Citadel, Rotana'!S13</f>
        <v>281</v>
      </c>
      <c r="AD11" s="119">
        <f t="shared" si="1"/>
        <v>100.22216979999999</v>
      </c>
      <c r="AE11" s="119">
        <f t="shared" si="2"/>
        <v>660.18883019999998</v>
      </c>
    </row>
    <row r="12" spans="1:32" x14ac:dyDescent="0.2">
      <c r="A12" s="135" t="s">
        <v>111</v>
      </c>
      <c r="B12" s="140">
        <f t="shared" si="3"/>
        <v>11</v>
      </c>
      <c r="C12" s="140">
        <v>4</v>
      </c>
      <c r="D12" s="140">
        <v>2019</v>
      </c>
      <c r="E12" s="121">
        <f>Water!C14</f>
        <v>1020</v>
      </c>
      <c r="F12" s="121">
        <f>Water!E14</f>
        <v>615.6</v>
      </c>
      <c r="G12" s="121">
        <f>Water!G14</f>
        <v>467.1</v>
      </c>
      <c r="H12" s="121">
        <f>Water!I14</f>
        <v>4.59</v>
      </c>
      <c r="I12" s="121">
        <f>ELECT.!F14</f>
        <v>14177</v>
      </c>
      <c r="J12" s="121">
        <f>ELECT.!H14</f>
        <v>53215</v>
      </c>
      <c r="K12" s="121">
        <f>ELECT.!K14</f>
        <v>5926</v>
      </c>
      <c r="L12" s="121">
        <f>ELECT.!M14</f>
        <v>5297</v>
      </c>
      <c r="M12" s="121">
        <f>ELECT.!O14</f>
        <v>8674</v>
      </c>
      <c r="N12" s="121">
        <f>ELECT.!Q14</f>
        <v>3972</v>
      </c>
      <c r="O12" s="121">
        <f>ELECT.!S14</f>
        <v>13105</v>
      </c>
      <c r="P12" s="121">
        <f>ELECT.!W14*2</f>
        <v>28728</v>
      </c>
      <c r="Q12" s="121">
        <f>ELECT.!D14</f>
        <v>640</v>
      </c>
      <c r="R12" s="122">
        <f>BTU!C13</f>
        <v>7.2520000000004075</v>
      </c>
      <c r="S12" s="122">
        <f>BTU!F13</f>
        <v>1.8160000000002583</v>
      </c>
      <c r="T12" s="122">
        <f>BTU!I13</f>
        <v>1.7000000000052751E-2</v>
      </c>
      <c r="U12" s="122">
        <f>BTU!O13</f>
        <v>1.3379999999999654</v>
      </c>
      <c r="V12" s="122">
        <f>BTU!L13</f>
        <v>1.1900000000005093</v>
      </c>
      <c r="W12" s="122">
        <f>BTU!R13</f>
        <v>0.23000000000001819</v>
      </c>
      <c r="X12" s="119">
        <f>ELECT.!B14</f>
        <v>351</v>
      </c>
      <c r="Y12" s="119">
        <f t="shared" si="0"/>
        <v>1690</v>
      </c>
      <c r="Z12">
        <f>'Mall, Citadel, Rotana'!C14+'Mall, Citadel, Rotana'!E14+'Mall, Citadel, Rotana'!G14+'Mall, Citadel, Rotana'!I14</f>
        <v>1337</v>
      </c>
      <c r="AA12">
        <f>'Mall, Citadel, Rotana'!K14+'Mall, Citadel, Rotana'!M14</f>
        <v>640</v>
      </c>
      <c r="AB12">
        <f>'Mall, Citadel, Rotana'!O14</f>
        <v>2</v>
      </c>
      <c r="AC12">
        <f>'Mall, Citadel, Rotana'!Q14+'Mall, Citadel, Rotana'!S14</f>
        <v>191</v>
      </c>
      <c r="AD12" s="119">
        <f t="shared" si="1"/>
        <v>108.261838</v>
      </c>
      <c r="AE12" s="119">
        <f t="shared" si="2"/>
        <v>713.14816199999996</v>
      </c>
    </row>
    <row r="13" spans="1:32" x14ac:dyDescent="0.2">
      <c r="A13" s="135" t="s">
        <v>111</v>
      </c>
      <c r="B13" s="140">
        <f t="shared" si="3"/>
        <v>12</v>
      </c>
      <c r="C13" s="140">
        <v>4</v>
      </c>
      <c r="D13" s="140">
        <v>2019</v>
      </c>
      <c r="E13" s="121">
        <f>Water!C15</f>
        <v>1060</v>
      </c>
      <c r="F13" s="121">
        <f>Water!E15</f>
        <v>313.2</v>
      </c>
      <c r="G13" s="121">
        <f>Water!G15</f>
        <v>480.6</v>
      </c>
      <c r="H13" s="121">
        <f>Water!I15</f>
        <v>3.1320000000000001</v>
      </c>
      <c r="I13" s="121">
        <f>ELECT.!F15</f>
        <v>8679</v>
      </c>
      <c r="J13" s="121">
        <f>ELECT.!H15</f>
        <v>32424</v>
      </c>
      <c r="K13" s="121">
        <f>ELECT.!K15</f>
        <v>3161</v>
      </c>
      <c r="L13" s="121">
        <f>ELECT.!M15</f>
        <v>3146</v>
      </c>
      <c r="M13" s="121">
        <f>ELECT.!O15</f>
        <v>5440</v>
      </c>
      <c r="N13" s="121">
        <f>ELECT.!Q15</f>
        <v>2437</v>
      </c>
      <c r="O13" s="121">
        <f>ELECT.!S15</f>
        <v>8068</v>
      </c>
      <c r="P13" s="121">
        <f>ELECT.!W15*2</f>
        <v>18042</v>
      </c>
      <c r="Q13" s="121">
        <f>ELECT.!D15</f>
        <v>640</v>
      </c>
      <c r="R13" s="122">
        <f>BTU!C14</f>
        <v>7.5259999999998399</v>
      </c>
      <c r="S13" s="122">
        <f>BTU!F14</f>
        <v>0.96999999999979991</v>
      </c>
      <c r="T13" s="122">
        <f>BTU!I14</f>
        <v>0.23299999999994725</v>
      </c>
      <c r="U13" s="122">
        <f>BTU!O14</f>
        <v>1.4790000000000418</v>
      </c>
      <c r="V13" s="122">
        <f>BTU!L14</f>
        <v>1.179999999998472</v>
      </c>
      <c r="W13" s="122">
        <f>BTU!R14</f>
        <v>0.11999999999989086</v>
      </c>
      <c r="X13" s="119">
        <f>ELECT.!B15</f>
        <v>358</v>
      </c>
      <c r="Y13" s="119">
        <f t="shared" si="0"/>
        <v>809</v>
      </c>
      <c r="Z13">
        <f>'Mall, Citadel, Rotana'!C15+'Mall, Citadel, Rotana'!E15+'Mall, Citadel, Rotana'!G15+'Mall, Citadel, Rotana'!I15</f>
        <v>1310</v>
      </c>
      <c r="AA13">
        <f>'Mall, Citadel, Rotana'!K15+'Mall, Citadel, Rotana'!M15</f>
        <v>480</v>
      </c>
      <c r="AB13">
        <f>'Mall, Citadel, Rotana'!O15</f>
        <v>3</v>
      </c>
      <c r="AC13">
        <f>'Mall, Citadel, Rotana'!Q15+'Mall, Citadel, Rotana'!S15</f>
        <v>142</v>
      </c>
      <c r="AD13" s="119">
        <f t="shared" si="1"/>
        <v>113.7260024</v>
      </c>
      <c r="AE13" s="119">
        <f t="shared" si="2"/>
        <v>749.14199759999997</v>
      </c>
    </row>
    <row r="14" spans="1:32" x14ac:dyDescent="0.2">
      <c r="A14" s="135" t="s">
        <v>111</v>
      </c>
      <c r="B14" s="140">
        <f t="shared" si="3"/>
        <v>13</v>
      </c>
      <c r="C14" s="140">
        <v>4</v>
      </c>
      <c r="D14" s="140">
        <v>2019</v>
      </c>
      <c r="E14" s="121">
        <f>Water!C16</f>
        <v>1140</v>
      </c>
      <c r="F14" s="121">
        <f>Water!E16</f>
        <v>772.2</v>
      </c>
      <c r="G14" s="121">
        <f>Water!G16</f>
        <v>531.9</v>
      </c>
      <c r="H14" s="121">
        <f>Water!I16</f>
        <v>3.8879999999999999</v>
      </c>
      <c r="I14" s="121">
        <f>ELECT.!F16</f>
        <v>13280</v>
      </c>
      <c r="J14" s="121">
        <f>ELECT.!H16</f>
        <v>55940</v>
      </c>
      <c r="K14" s="121">
        <f>ELECT.!K16</f>
        <v>5554</v>
      </c>
      <c r="L14" s="121">
        <f>ELECT.!M16</f>
        <v>5339</v>
      </c>
      <c r="M14" s="121">
        <f>ELECT.!O16</f>
        <v>7760</v>
      </c>
      <c r="N14" s="121">
        <f>ELECT.!Q16</f>
        <v>6183</v>
      </c>
      <c r="O14" s="121">
        <f>ELECT.!S16</f>
        <v>13477</v>
      </c>
      <c r="P14" s="121">
        <f>ELECT.!W16*2</f>
        <v>29296</v>
      </c>
      <c r="Q14" s="121">
        <f>ELECT.!D16</f>
        <v>640</v>
      </c>
      <c r="R14" s="122">
        <f>BTU!C15</f>
        <v>8.0470000000004802</v>
      </c>
      <c r="S14" s="122">
        <f>BTU!F15</f>
        <v>0.74299999999993815</v>
      </c>
      <c r="T14" s="122">
        <f>BTU!I15</f>
        <v>0.65399999999999636</v>
      </c>
      <c r="U14" s="122">
        <f>BTU!O15</f>
        <v>1.3510000000001128</v>
      </c>
      <c r="V14" s="122">
        <f>BTU!L15</f>
        <v>1.0500000000010914</v>
      </c>
      <c r="W14" s="122">
        <f>BTU!R15</f>
        <v>0.3000000000001819</v>
      </c>
      <c r="X14" s="119">
        <f>ELECT.!B16</f>
        <v>340</v>
      </c>
      <c r="Y14" s="119">
        <f t="shared" si="0"/>
        <v>1611</v>
      </c>
      <c r="Z14">
        <f>'Mall, Citadel, Rotana'!C16+'Mall, Citadel, Rotana'!E16+'Mall, Citadel, Rotana'!G16+'Mall, Citadel, Rotana'!I16</f>
        <v>1052</v>
      </c>
      <c r="AA14">
        <f>'Mall, Citadel, Rotana'!K16+'Mall, Citadel, Rotana'!M16</f>
        <v>480</v>
      </c>
      <c r="AB14">
        <f>'Mall, Citadel, Rotana'!O16</f>
        <v>3</v>
      </c>
      <c r="AC14">
        <f>'Mall, Citadel, Rotana'!Q16+'Mall, Citadel, Rotana'!S16</f>
        <v>163</v>
      </c>
      <c r="AD14" s="119">
        <f t="shared" si="1"/>
        <v>124.17036160000001</v>
      </c>
      <c r="AE14" s="119">
        <f t="shared" si="2"/>
        <v>817.9416384000001</v>
      </c>
    </row>
    <row r="15" spans="1:32" x14ac:dyDescent="0.2">
      <c r="A15" s="135" t="s">
        <v>111</v>
      </c>
      <c r="B15" s="140">
        <f t="shared" si="3"/>
        <v>14</v>
      </c>
      <c r="C15" s="140">
        <v>4</v>
      </c>
      <c r="D15" s="140">
        <v>2019</v>
      </c>
      <c r="E15" s="121">
        <f>Water!C17</f>
        <v>1080</v>
      </c>
      <c r="F15" s="121">
        <f>Water!E17</f>
        <v>569.70000000000005</v>
      </c>
      <c r="G15" s="121">
        <f>Water!G17</f>
        <v>488.7</v>
      </c>
      <c r="H15" s="121">
        <f>Water!I17</f>
        <v>4.077</v>
      </c>
      <c r="I15" s="121">
        <f>ELECT.!F17</f>
        <v>12568</v>
      </c>
      <c r="J15" s="121">
        <f>ELECT.!H17</f>
        <v>63840</v>
      </c>
      <c r="K15" s="121">
        <f>ELECT.!K17</f>
        <v>6174</v>
      </c>
      <c r="L15" s="121">
        <f>ELECT.!M17</f>
        <v>5594</v>
      </c>
      <c r="M15" s="121">
        <f>ELECT.!O17</f>
        <v>6228</v>
      </c>
      <c r="N15" s="121">
        <f>ELECT.!Q17</f>
        <v>10786</v>
      </c>
      <c r="O15" s="121">
        <f>ELECT.!S17</f>
        <v>14041</v>
      </c>
      <c r="P15" s="121">
        <f>ELECT.!W17*2</f>
        <v>31152</v>
      </c>
      <c r="Q15" s="121">
        <f>ELECT.!D17</f>
        <v>800</v>
      </c>
      <c r="R15" s="122">
        <f>BTU!C16</f>
        <v>7.8409999999985303</v>
      </c>
      <c r="S15" s="122">
        <f>BTU!F16</f>
        <v>2.3330000000000837</v>
      </c>
      <c r="T15" s="122">
        <f>BTU!I16</f>
        <v>0.33100000000001728</v>
      </c>
      <c r="U15" s="122">
        <f>BTU!O16</f>
        <v>1.3769999999999527</v>
      </c>
      <c r="V15" s="122">
        <f>BTU!L16</f>
        <v>1.2799999999988358</v>
      </c>
      <c r="W15" s="122">
        <f>BTU!R16</f>
        <v>0.29999999999972715</v>
      </c>
      <c r="X15" s="119">
        <f>ELECT.!B17</f>
        <v>337</v>
      </c>
      <c r="Y15" s="119">
        <f t="shared" si="0"/>
        <v>2433</v>
      </c>
      <c r="Z15">
        <f>'Mall, Citadel, Rotana'!C17+'Mall, Citadel, Rotana'!E17+'Mall, Citadel, Rotana'!G17+'Mall, Citadel, Rotana'!I17</f>
        <v>1305</v>
      </c>
      <c r="AA15">
        <f>'Mall, Citadel, Rotana'!K17+'Mall, Citadel, Rotana'!M17</f>
        <v>802</v>
      </c>
      <c r="AB15">
        <f>'Mall, Citadel, Rotana'!O17</f>
        <v>4</v>
      </c>
      <c r="AC15">
        <f>'Mall, Citadel, Rotana'!Q17+'Mall, Citadel, Rotana'!S17</f>
        <v>267</v>
      </c>
      <c r="AD15" s="119">
        <f t="shared" si="1"/>
        <v>116.2374514</v>
      </c>
      <c r="AE15" s="119">
        <f t="shared" si="2"/>
        <v>765.68554859999995</v>
      </c>
    </row>
    <row r="16" spans="1:32" x14ac:dyDescent="0.2">
      <c r="A16" s="135" t="s">
        <v>111</v>
      </c>
      <c r="B16" s="140">
        <f t="shared" si="3"/>
        <v>15</v>
      </c>
      <c r="C16" s="140">
        <v>4</v>
      </c>
      <c r="D16" s="140">
        <v>2019</v>
      </c>
      <c r="E16" s="121">
        <f>Water!C18</f>
        <v>990</v>
      </c>
      <c r="F16" s="121">
        <f>Water!E18</f>
        <v>537.29999999999995</v>
      </c>
      <c r="G16" s="121">
        <f>Water!G18</f>
        <v>432</v>
      </c>
      <c r="H16" s="121">
        <f>Water!I18</f>
        <v>3.8340000000000001</v>
      </c>
      <c r="I16" s="121">
        <f>ELECT.!F18</f>
        <v>10251</v>
      </c>
      <c r="J16" s="121">
        <f>ELECT.!H18</f>
        <v>36551</v>
      </c>
      <c r="K16" s="121">
        <f>ELECT.!K18</f>
        <v>4833</v>
      </c>
      <c r="L16" s="121">
        <f>ELECT.!M18</f>
        <v>4316</v>
      </c>
      <c r="M16" s="121">
        <f>ELECT.!O18</f>
        <v>5852</v>
      </c>
      <c r="N16" s="121">
        <f>ELECT.!Q18</f>
        <v>2608</v>
      </c>
      <c r="O16" s="121">
        <f>ELECT.!S18</f>
        <v>9023</v>
      </c>
      <c r="P16" s="121">
        <f>ELECT.!W18*2</f>
        <v>20086</v>
      </c>
      <c r="Q16" s="121">
        <f>ELECT.!D18</f>
        <v>640</v>
      </c>
      <c r="R16" s="122">
        <f>BTU!C17</f>
        <v>5.8070000000006985</v>
      </c>
      <c r="S16" s="122">
        <f>BTU!F17</f>
        <v>1.3809999999998581</v>
      </c>
      <c r="T16" s="122">
        <f>BTU!I17</f>
        <v>9.9999999997635314E-4</v>
      </c>
      <c r="U16" s="122">
        <f>BTU!O17</f>
        <v>1.5470000000000255</v>
      </c>
      <c r="V16" s="122">
        <f>BTU!L17</f>
        <v>1.2300000000013824</v>
      </c>
      <c r="W16" s="122">
        <f>BTU!R17</f>
        <v>1.2200000000002547</v>
      </c>
      <c r="X16" s="119">
        <f>ELECT.!B18</f>
        <v>352</v>
      </c>
      <c r="Y16" s="119">
        <f t="shared" si="0"/>
        <v>84</v>
      </c>
      <c r="Z16">
        <f>'Mall, Citadel, Rotana'!C18+'Mall, Citadel, Rotana'!E18+'Mall, Citadel, Rotana'!G18+'Mall, Citadel, Rotana'!I18</f>
        <v>1346</v>
      </c>
      <c r="AA16">
        <f>'Mall, Citadel, Rotana'!K18+'Mall, Citadel, Rotana'!M18</f>
        <v>640</v>
      </c>
      <c r="AB16">
        <f>'Mall, Citadel, Rotana'!O18</f>
        <v>3</v>
      </c>
      <c r="AC16">
        <f>'Mall, Citadel, Rotana'!Q18+'Mall, Citadel, Rotana'!S18</f>
        <v>189</v>
      </c>
      <c r="AD16" s="119">
        <f t="shared" si="1"/>
        <v>104.40747880000001</v>
      </c>
      <c r="AE16" s="119">
        <f t="shared" si="2"/>
        <v>687.75852120000002</v>
      </c>
    </row>
    <row r="17" spans="1:31" x14ac:dyDescent="0.2">
      <c r="A17" s="135" t="s">
        <v>111</v>
      </c>
      <c r="B17" s="140">
        <f t="shared" si="3"/>
        <v>16</v>
      </c>
      <c r="C17" s="140">
        <v>4</v>
      </c>
      <c r="D17" s="140">
        <v>2019</v>
      </c>
      <c r="E17" s="121">
        <f>Water!C19</f>
        <v>1040</v>
      </c>
      <c r="F17" s="121">
        <f>Water!E19</f>
        <v>742.5</v>
      </c>
      <c r="G17" s="121">
        <f>Water!G19</f>
        <v>637.20000000000005</v>
      </c>
      <c r="H17" s="121">
        <f>Water!I19</f>
        <v>6.8309999999999995</v>
      </c>
      <c r="I17" s="121">
        <f>ELECT.!F19</f>
        <v>9904</v>
      </c>
      <c r="J17" s="121">
        <f>ELECT.!H19</f>
        <v>37645</v>
      </c>
      <c r="K17" s="121">
        <f>ELECT.!K19</f>
        <v>4300</v>
      </c>
      <c r="L17" s="121">
        <f>ELECT.!M19</f>
        <v>3821</v>
      </c>
      <c r="M17" s="121">
        <f>ELECT.!O19</f>
        <v>5950</v>
      </c>
      <c r="N17" s="121">
        <f>ELECT.!Q19</f>
        <v>4430</v>
      </c>
      <c r="O17" s="121">
        <f>ELECT.!S19</f>
        <v>7972</v>
      </c>
      <c r="P17" s="121">
        <f>ELECT.!W19*2</f>
        <v>20016</v>
      </c>
      <c r="Q17" s="121">
        <f>ELECT.!D19</f>
        <v>640</v>
      </c>
      <c r="R17" s="122">
        <f>BTU!C18</f>
        <v>6.9590000000007421</v>
      </c>
      <c r="S17" s="122">
        <f>BTU!F18</f>
        <v>1.8350000000000364</v>
      </c>
      <c r="T17" s="122">
        <f>BTU!I18</f>
        <v>3.0000000000427463E-3</v>
      </c>
      <c r="U17" s="122">
        <f>BTU!O18</f>
        <v>1.4230000000000018</v>
      </c>
      <c r="V17" s="122">
        <f>BTU!L18</f>
        <v>1.1899999999986903</v>
      </c>
      <c r="W17" s="122">
        <f>BTU!R18</f>
        <v>1.1300000000001091</v>
      </c>
      <c r="X17" s="119">
        <f>ELECT.!B19</f>
        <v>299</v>
      </c>
      <c r="Y17" s="119">
        <f t="shared" si="0"/>
        <v>1060</v>
      </c>
      <c r="Z17">
        <f>'Mall, Citadel, Rotana'!C19+'Mall, Citadel, Rotana'!E19+'Mall, Citadel, Rotana'!G19+'Mall, Citadel, Rotana'!I19</f>
        <v>1314</v>
      </c>
      <c r="AA17">
        <f>'Mall, Citadel, Rotana'!K19+'Mall, Citadel, Rotana'!M19</f>
        <v>800</v>
      </c>
      <c r="AB17">
        <f>'Mall, Citadel, Rotana'!O19</f>
        <v>3</v>
      </c>
      <c r="AC17">
        <f>'Mall, Citadel, Rotana'!Q19+'Mall, Citadel, Rotana'!S19</f>
        <v>238</v>
      </c>
      <c r="AD17" s="119">
        <f t="shared" si="1"/>
        <v>110.60247420000002</v>
      </c>
      <c r="AE17" s="119">
        <f t="shared" si="2"/>
        <v>728.56652580000014</v>
      </c>
    </row>
    <row r="18" spans="1:31" x14ac:dyDescent="0.2">
      <c r="A18" s="135" t="s">
        <v>111</v>
      </c>
      <c r="B18" s="140">
        <f t="shared" si="3"/>
        <v>17</v>
      </c>
      <c r="C18" s="140">
        <v>4</v>
      </c>
      <c r="D18" s="140">
        <v>2019</v>
      </c>
      <c r="E18" s="121">
        <f>Water!C20</f>
        <v>980</v>
      </c>
      <c r="F18" s="121">
        <f>Water!E20</f>
        <v>491.4</v>
      </c>
      <c r="G18" s="121">
        <f>Water!G20</f>
        <v>197.1</v>
      </c>
      <c r="H18" s="121">
        <f>Water!I20</f>
        <v>3.996</v>
      </c>
      <c r="I18" s="121">
        <f>ELECT.!F20</f>
        <v>8796</v>
      </c>
      <c r="J18" s="121">
        <f>ELECT.!H20</f>
        <v>66097</v>
      </c>
      <c r="K18" s="121">
        <f>ELECT.!K20</f>
        <v>7843</v>
      </c>
      <c r="L18" s="121">
        <f>ELECT.!M20</f>
        <v>6094</v>
      </c>
      <c r="M18" s="121">
        <f>ELECT.!O20</f>
        <v>2538</v>
      </c>
      <c r="N18" s="121">
        <f>ELECT.!Q20</f>
        <v>13679</v>
      </c>
      <c r="O18" s="121">
        <f>ELECT.!S20</f>
        <v>13155</v>
      </c>
      <c r="P18" s="121">
        <f>ELECT.!W20*2</f>
        <v>29998</v>
      </c>
      <c r="Q18" s="121">
        <f>ELECT.!D20</f>
        <v>800</v>
      </c>
      <c r="R18" s="122">
        <f>BTU!C19</f>
        <v>6.2359999999989668</v>
      </c>
      <c r="S18" s="122">
        <f>BTU!F19</f>
        <v>1.6269999999999527</v>
      </c>
      <c r="T18" s="122">
        <f>BTU!I19</f>
        <v>0</v>
      </c>
      <c r="U18" s="122">
        <f>BTU!O19</f>
        <v>1.3440000000000509</v>
      </c>
      <c r="V18" s="122">
        <f>BTU!L19</f>
        <v>0.90000000000145519</v>
      </c>
      <c r="W18" s="122">
        <f>BTU!R19</f>
        <v>1.069999999999709</v>
      </c>
      <c r="X18" s="119">
        <f>ELECT.!B20</f>
        <v>356</v>
      </c>
      <c r="Y18" s="119">
        <f t="shared" si="0"/>
        <v>1586</v>
      </c>
      <c r="Z18">
        <f>'Mall, Citadel, Rotana'!C20+'Mall, Citadel, Rotana'!E20+'Mall, Citadel, Rotana'!G20+'Mall, Citadel, Rotana'!I20</f>
        <v>1454</v>
      </c>
      <c r="AA18">
        <f>'Mall, Citadel, Rotana'!K20+'Mall, Citadel, Rotana'!M20</f>
        <v>800</v>
      </c>
      <c r="AB18">
        <f>'Mall, Citadel, Rotana'!O20</f>
        <v>3</v>
      </c>
      <c r="AC18">
        <f>'Mall, Citadel, Rotana'!Q20+'Mall, Citadel, Rotana'!S20</f>
        <v>227</v>
      </c>
      <c r="AD18" s="119">
        <f t="shared" si="1"/>
        <v>103.06812720000001</v>
      </c>
      <c r="AE18" s="119">
        <f t="shared" si="2"/>
        <v>678.93587279999997</v>
      </c>
    </row>
    <row r="19" spans="1:31" x14ac:dyDescent="0.2">
      <c r="A19" s="135" t="s">
        <v>111</v>
      </c>
      <c r="B19" s="140">
        <f t="shared" si="3"/>
        <v>18</v>
      </c>
      <c r="C19" s="140">
        <v>4</v>
      </c>
      <c r="D19" s="140">
        <v>2019</v>
      </c>
      <c r="E19" s="121">
        <f>Water!C21</f>
        <v>1180</v>
      </c>
      <c r="F19" s="121">
        <f>Water!E21</f>
        <v>599.4</v>
      </c>
      <c r="G19" s="121">
        <f>Water!G21</f>
        <v>432</v>
      </c>
      <c r="H19" s="121">
        <f>Water!I21</f>
        <v>5.67</v>
      </c>
      <c r="I19" s="121">
        <f>ELECT.!F21</f>
        <v>6034</v>
      </c>
      <c r="J19" s="121">
        <f>ELECT.!H21</f>
        <v>59733</v>
      </c>
      <c r="K19" s="121">
        <f>ELECT.!K21</f>
        <v>5187</v>
      </c>
      <c r="L19" s="121">
        <f>ELECT.!M21</f>
        <v>5327</v>
      </c>
      <c r="M19" s="121">
        <f>ELECT.!O21</f>
        <v>1518</v>
      </c>
      <c r="N19" s="121">
        <f>ELECT.!Q21</f>
        <v>12399</v>
      </c>
      <c r="O19" s="121">
        <f>ELECT.!S21</f>
        <v>12331</v>
      </c>
      <c r="P19" s="121">
        <f>ELECT.!W21*2</f>
        <v>27100</v>
      </c>
      <c r="Q19" s="121">
        <f>ELECT.!D21</f>
        <v>320</v>
      </c>
      <c r="R19" s="122">
        <f>BTU!C20</f>
        <v>6.1779999999998836</v>
      </c>
      <c r="S19" s="122">
        <f>BTU!F20</f>
        <v>1.4619999999999891</v>
      </c>
      <c r="T19" s="122">
        <f>BTU!I20</f>
        <v>0</v>
      </c>
      <c r="U19" s="122">
        <f>BTU!O20</f>
        <v>1.7429999999999382</v>
      </c>
      <c r="V19" s="122">
        <f>BTU!L20</f>
        <v>0.65999999999985448</v>
      </c>
      <c r="W19" s="122">
        <f>BTU!R20</f>
        <v>0</v>
      </c>
      <c r="X19" s="119">
        <f>ELECT.!B21</f>
        <v>359</v>
      </c>
      <c r="Y19" s="119">
        <f t="shared" si="0"/>
        <v>1905</v>
      </c>
      <c r="Z19">
        <f>'Mall, Citadel, Rotana'!C21+'Mall, Citadel, Rotana'!E21+'Mall, Citadel, Rotana'!G21+'Mall, Citadel, Rotana'!I21</f>
        <v>581</v>
      </c>
      <c r="AA19">
        <f>'Mall, Citadel, Rotana'!K21+'Mall, Citadel, Rotana'!M21</f>
        <v>0</v>
      </c>
      <c r="AB19">
        <f>'Mall, Citadel, Rotana'!O21</f>
        <v>0</v>
      </c>
      <c r="AC19">
        <f>'Mall, Citadel, Rotana'!Q21+'Mall, Citadel, Rotana'!S21</f>
        <v>38</v>
      </c>
      <c r="AD19" s="119">
        <f t="shared" si="1"/>
        <v>129.207494</v>
      </c>
      <c r="AE19" s="119">
        <f t="shared" si="2"/>
        <v>851.12250599999993</v>
      </c>
    </row>
    <row r="20" spans="1:31" x14ac:dyDescent="0.2">
      <c r="A20" s="135" t="s">
        <v>111</v>
      </c>
      <c r="B20" s="140">
        <f t="shared" si="3"/>
        <v>19</v>
      </c>
      <c r="C20" s="140">
        <v>4</v>
      </c>
      <c r="D20" s="140">
        <v>2019</v>
      </c>
      <c r="E20" s="121">
        <f>Water!C22</f>
        <v>1290</v>
      </c>
      <c r="F20" s="121">
        <f>Water!E22</f>
        <v>594</v>
      </c>
      <c r="G20" s="121">
        <f>Water!G22</f>
        <v>429.3</v>
      </c>
      <c r="H20" s="121">
        <f>Water!I22</f>
        <v>5.0490000000000004</v>
      </c>
      <c r="I20" s="121">
        <f>ELECT.!F22</f>
        <v>7402</v>
      </c>
      <c r="J20" s="121">
        <f>ELECT.!H22</f>
        <v>64899</v>
      </c>
      <c r="K20" s="121">
        <f>ELECT.!K22</f>
        <v>5436</v>
      </c>
      <c r="L20" s="121">
        <f>ELECT.!M22</f>
        <v>5326</v>
      </c>
      <c r="M20" s="121">
        <f>ELECT.!O22</f>
        <v>2050</v>
      </c>
      <c r="N20" s="121">
        <f>ELECT.!Q22</f>
        <v>13333</v>
      </c>
      <c r="O20" s="121">
        <f>ELECT.!S22</f>
        <v>13808</v>
      </c>
      <c r="P20" s="121">
        <f>ELECT.!W22*2</f>
        <v>30352</v>
      </c>
      <c r="Q20" s="121">
        <f>ELECT.!D22</f>
        <v>160</v>
      </c>
      <c r="R20" s="122">
        <f>BTU!C21</f>
        <v>5.9279999999998836</v>
      </c>
      <c r="S20" s="122">
        <f>BTU!F21</f>
        <v>0.43299999999999272</v>
      </c>
      <c r="T20" s="122">
        <f>BTU!I21</f>
        <v>1.9000000000005457E-2</v>
      </c>
      <c r="U20" s="122">
        <f>BTU!O21</f>
        <v>1.4790000000000418</v>
      </c>
      <c r="V20" s="122">
        <f>BTU!L21</f>
        <v>0.67000000000007276</v>
      </c>
      <c r="W20" s="122">
        <f>BTU!R21</f>
        <v>2.180000000000291</v>
      </c>
      <c r="X20" s="119">
        <f>ELECT.!B22</f>
        <v>365</v>
      </c>
      <c r="Y20" s="119">
        <f t="shared" si="0"/>
        <v>1996</v>
      </c>
      <c r="Z20">
        <f>'Mall, Citadel, Rotana'!C22+'Mall, Citadel, Rotana'!E22+'Mall, Citadel, Rotana'!G22+'Mall, Citadel, Rotana'!I22</f>
        <v>321</v>
      </c>
      <c r="AA20">
        <f>'Mall, Citadel, Rotana'!K22+'Mall, Citadel, Rotana'!M22</f>
        <v>320</v>
      </c>
      <c r="AB20">
        <f>'Mall, Citadel, Rotana'!O22</f>
        <v>1</v>
      </c>
      <c r="AC20">
        <f>'Mall, Citadel, Rotana'!Q22+'Mall, Citadel, Rotana'!S22</f>
        <v>20</v>
      </c>
      <c r="AD20" s="119">
        <f t="shared" si="1"/>
        <v>143.78734180000001</v>
      </c>
      <c r="AE20" s="119">
        <f t="shared" si="2"/>
        <v>947.1636582000001</v>
      </c>
    </row>
    <row r="21" spans="1:31" x14ac:dyDescent="0.2">
      <c r="A21" s="135" t="s">
        <v>111</v>
      </c>
      <c r="B21" s="140">
        <f t="shared" si="3"/>
        <v>20</v>
      </c>
      <c r="C21" s="140">
        <v>4</v>
      </c>
      <c r="D21" s="140">
        <v>2019</v>
      </c>
      <c r="E21" s="121">
        <f>Water!C23</f>
        <v>830</v>
      </c>
      <c r="F21" s="121">
        <f>Water!E23</f>
        <v>569.70000000000005</v>
      </c>
      <c r="G21" s="121">
        <f>Water!G23</f>
        <v>388.8</v>
      </c>
      <c r="H21" s="121">
        <f>Water!I23</f>
        <v>4.7789999999999999</v>
      </c>
      <c r="I21" s="121">
        <f>ELECT.!F23</f>
        <v>5081</v>
      </c>
      <c r="J21" s="121">
        <f>ELECT.!H23</f>
        <v>42110</v>
      </c>
      <c r="K21" s="121">
        <f>ELECT.!K23</f>
        <v>3965</v>
      </c>
      <c r="L21" s="121">
        <f>ELECT.!M23</f>
        <v>3883</v>
      </c>
      <c r="M21" s="121">
        <f>ELECT.!O23</f>
        <v>1118</v>
      </c>
      <c r="N21" s="121">
        <f>ELECT.!Q23</f>
        <v>8624</v>
      </c>
      <c r="O21" s="121">
        <f>ELECT.!S23</f>
        <v>9127</v>
      </c>
      <c r="P21" s="121">
        <f>ELECT.!W23*2</f>
        <v>19748</v>
      </c>
      <c r="Q21" s="121">
        <f>ELECT.!D23</f>
        <v>1600</v>
      </c>
      <c r="R21" s="122">
        <f>BTU!C22</f>
        <v>4.7489999999997963</v>
      </c>
      <c r="S21" s="122">
        <f>BTU!F22</f>
        <v>0.79600000000027649</v>
      </c>
      <c r="T21" s="122">
        <f>BTU!I22</f>
        <v>0</v>
      </c>
      <c r="U21" s="122">
        <f>BTU!O22</f>
        <v>1.334999999999809</v>
      </c>
      <c r="V21" s="122">
        <f>BTU!L22</f>
        <v>0.53999999999905413</v>
      </c>
      <c r="W21" s="122">
        <f>BTU!R22</f>
        <v>1.2099999999995816</v>
      </c>
      <c r="X21" s="119">
        <f>ELECT.!B23</f>
        <v>364</v>
      </c>
      <c r="Y21" s="119">
        <f t="shared" si="0"/>
        <v>726</v>
      </c>
      <c r="Z21">
        <f>'Mall, Citadel, Rotana'!C23+'Mall, Citadel, Rotana'!E23+'Mall, Citadel, Rotana'!G23+'Mall, Citadel, Rotana'!I23</f>
        <v>3063</v>
      </c>
      <c r="AA21">
        <f>'Mall, Citadel, Rotana'!K23+'Mall, Citadel, Rotana'!M23</f>
        <v>1280</v>
      </c>
      <c r="AB21">
        <f>'Mall, Citadel, Rotana'!O23</f>
        <v>9</v>
      </c>
      <c r="AC21">
        <f>'Mall, Citadel, Rotana'!Q23+'Mall, Citadel, Rotana'!S23</f>
        <v>475</v>
      </c>
      <c r="AD21" s="119">
        <f t="shared" si="1"/>
        <v>83.194927800000002</v>
      </c>
      <c r="AE21" s="119">
        <f t="shared" si="2"/>
        <v>548.02607220000004</v>
      </c>
    </row>
    <row r="22" spans="1:31" x14ac:dyDescent="0.2">
      <c r="A22" s="135" t="s">
        <v>111</v>
      </c>
      <c r="B22" s="140">
        <f t="shared" si="3"/>
        <v>21</v>
      </c>
      <c r="C22" s="140">
        <v>4</v>
      </c>
      <c r="D22" s="140">
        <v>2019</v>
      </c>
      <c r="E22" s="121">
        <f>Water!C24</f>
        <v>1040</v>
      </c>
      <c r="F22" s="121">
        <f>Water!E24</f>
        <v>602.1</v>
      </c>
      <c r="G22" s="121">
        <f>Water!G24</f>
        <v>432</v>
      </c>
      <c r="H22" s="121">
        <f>Water!I24</f>
        <v>3.7530000000000001</v>
      </c>
      <c r="I22" s="121">
        <f>ELECT.!F24</f>
        <v>6909</v>
      </c>
      <c r="J22" s="121">
        <f>ELECT.!H24</f>
        <v>57829</v>
      </c>
      <c r="K22" s="121">
        <f>ELECT.!K24</f>
        <v>5446</v>
      </c>
      <c r="L22" s="121">
        <f>ELECT.!M24</f>
        <v>5132</v>
      </c>
      <c r="M22" s="121">
        <f>ELECT.!O24</f>
        <v>1610</v>
      </c>
      <c r="N22" s="121">
        <f>ELECT.!Q24</f>
        <v>11349</v>
      </c>
      <c r="O22" s="121">
        <f>ELECT.!S24</f>
        <v>12395</v>
      </c>
      <c r="P22" s="121">
        <f>ELECT.!W24*2</f>
        <v>27284</v>
      </c>
      <c r="Q22" s="121">
        <f>ELECT.!D24</f>
        <v>0</v>
      </c>
      <c r="R22" s="122">
        <f>BTU!C23</f>
        <v>6.4610000000011496</v>
      </c>
      <c r="S22" s="122">
        <f>BTU!F23</f>
        <v>1.1300000000001091</v>
      </c>
      <c r="T22" s="122">
        <f>BTU!I23</f>
        <v>0</v>
      </c>
      <c r="U22" s="122">
        <f>BTU!O23</f>
        <v>1.6570000000001528</v>
      </c>
      <c r="V22" s="122">
        <f>BTU!L23</f>
        <v>0.26000000000021828</v>
      </c>
      <c r="W22" s="122">
        <f>BTU!R23</f>
        <v>0.78000000000020009</v>
      </c>
      <c r="X22" s="119">
        <f>ELECT.!B24</f>
        <v>306</v>
      </c>
      <c r="Y22" s="119">
        <f t="shared" si="0"/>
        <v>1522</v>
      </c>
      <c r="Z22">
        <f>'Mall, Citadel, Rotana'!C24+'Mall, Citadel, Rotana'!E24+'Mall, Citadel, Rotana'!G24+'Mall, Citadel, Rotana'!I24</f>
        <v>1319</v>
      </c>
      <c r="AA22">
        <f>'Mall, Citadel, Rotana'!K24+'Mall, Citadel, Rotana'!M24</f>
        <v>800</v>
      </c>
      <c r="AB22">
        <f>'Mall, Citadel, Rotana'!O24</f>
        <v>3</v>
      </c>
      <c r="AC22">
        <f>'Mall, Citadel, Rotana'!Q24+'Mall, Citadel, Rotana'!S24</f>
        <v>208</v>
      </c>
      <c r="AD22" s="119">
        <f t="shared" si="1"/>
        <v>111.00815460000001</v>
      </c>
      <c r="AE22" s="119">
        <f t="shared" si="2"/>
        <v>731.23884540000006</v>
      </c>
    </row>
    <row r="23" spans="1:31" x14ac:dyDescent="0.2">
      <c r="A23" s="135" t="s">
        <v>111</v>
      </c>
      <c r="B23" s="140">
        <f t="shared" si="3"/>
        <v>22</v>
      </c>
      <c r="C23" s="140">
        <v>4</v>
      </c>
      <c r="D23" s="140">
        <v>2019</v>
      </c>
      <c r="E23" s="121">
        <f>Water!C25</f>
        <v>1210</v>
      </c>
      <c r="F23" s="121">
        <f>Water!E25</f>
        <v>623.70000000000005</v>
      </c>
      <c r="G23" s="121">
        <f>Water!G25</f>
        <v>388.8</v>
      </c>
      <c r="H23" s="121">
        <f>Water!I25</f>
        <v>5.13</v>
      </c>
      <c r="I23" s="121">
        <f>ELECT.!F25</f>
        <v>6376</v>
      </c>
      <c r="J23" s="121">
        <f>ELECT.!H25</f>
        <v>46312</v>
      </c>
      <c r="K23" s="121">
        <f>ELECT.!K25</f>
        <v>4166</v>
      </c>
      <c r="L23" s="121">
        <f>ELECT.!M25</f>
        <v>4755</v>
      </c>
      <c r="M23" s="121">
        <f>ELECT.!O25</f>
        <v>1468</v>
      </c>
      <c r="N23" s="121">
        <f>ELECT.!Q25</f>
        <v>9278</v>
      </c>
      <c r="O23" s="121">
        <f>ELECT.!S25</f>
        <v>9555</v>
      </c>
      <c r="P23" s="121">
        <f>ELECT.!W25*2</f>
        <v>22472</v>
      </c>
      <c r="Q23" s="121">
        <f>ELECT.!D25</f>
        <v>2400</v>
      </c>
      <c r="R23" s="122">
        <f>BTU!C24</f>
        <v>3.7330000000001746</v>
      </c>
      <c r="S23" s="122">
        <f>BTU!F24</f>
        <v>1.9869999999996253</v>
      </c>
      <c r="T23" s="122">
        <f>BTU!I24</f>
        <v>0</v>
      </c>
      <c r="U23" s="122">
        <f>BTU!O24</f>
        <v>1.4220000000000255</v>
      </c>
      <c r="V23" s="122">
        <f>BTU!L24</f>
        <v>0.51000000000021828</v>
      </c>
      <c r="W23" s="122">
        <f>BTU!R24</f>
        <v>0.98000000000001819</v>
      </c>
      <c r="X23" s="119">
        <f>ELECT.!B25</f>
        <v>308</v>
      </c>
      <c r="Y23" s="119">
        <f t="shared" si="0"/>
        <v>994</v>
      </c>
      <c r="Z23">
        <f>'Mall, Citadel, Rotana'!C25+'Mall, Citadel, Rotana'!E25+'Mall, Citadel, Rotana'!G25+'Mall, Citadel, Rotana'!I25</f>
        <v>1337</v>
      </c>
      <c r="AA23">
        <f>'Mall, Citadel, Rotana'!K25+'Mall, Citadel, Rotana'!M25</f>
        <v>800</v>
      </c>
      <c r="AB23">
        <f>'Mall, Citadel, Rotana'!O25</f>
        <v>3</v>
      </c>
      <c r="AC23">
        <f>'Mall, Citadel, Rotana'!Q25+'Mall, Citadel, Rotana'!S25</f>
        <v>172</v>
      </c>
      <c r="AD23" s="119">
        <f t="shared" si="1"/>
        <v>133.23266599999999</v>
      </c>
      <c r="AE23" s="119">
        <f t="shared" si="2"/>
        <v>877.63733400000001</v>
      </c>
    </row>
    <row r="24" spans="1:31" x14ac:dyDescent="0.2">
      <c r="A24" s="135" t="s">
        <v>111</v>
      </c>
      <c r="B24" s="140">
        <f t="shared" si="3"/>
        <v>23</v>
      </c>
      <c r="C24" s="140">
        <v>4</v>
      </c>
      <c r="D24" s="140">
        <v>2019</v>
      </c>
      <c r="E24" s="121">
        <f>Water!C26</f>
        <v>920</v>
      </c>
      <c r="F24" s="121">
        <f>Water!E26</f>
        <v>650.70000000000005</v>
      </c>
      <c r="G24" s="121">
        <f>Water!G26</f>
        <v>394.2</v>
      </c>
      <c r="H24" s="121">
        <f>Water!I26</f>
        <v>5.3730000000000002</v>
      </c>
      <c r="I24" s="121">
        <f>ELECT.!F26</f>
        <v>6896</v>
      </c>
      <c r="J24" s="121">
        <f>ELECT.!H26</f>
        <v>60236</v>
      </c>
      <c r="K24" s="121">
        <f>ELECT.!K26</f>
        <v>5226</v>
      </c>
      <c r="L24" s="121">
        <f>ELECT.!M26</f>
        <v>5208</v>
      </c>
      <c r="M24" s="121">
        <f>ELECT.!O26</f>
        <v>1582</v>
      </c>
      <c r="N24" s="121">
        <f>ELECT.!Q26</f>
        <v>12513</v>
      </c>
      <c r="O24" s="121">
        <f>ELECT.!S26</f>
        <v>11897</v>
      </c>
      <c r="P24" s="121">
        <f>ELECT.!W26*2</f>
        <v>29368</v>
      </c>
      <c r="Q24" s="121">
        <f>ELECT.!D26</f>
        <v>480</v>
      </c>
      <c r="R24" s="122">
        <f>BTU!C25</f>
        <v>6.3019999999996799</v>
      </c>
      <c r="S24" s="122">
        <f>BTU!F25</f>
        <v>1.9390000000003056</v>
      </c>
      <c r="T24" s="122">
        <f>BTU!I25</f>
        <v>0</v>
      </c>
      <c r="U24" s="122">
        <f>BTU!O25</f>
        <v>1.3799999999998818</v>
      </c>
      <c r="V24" s="122">
        <f>BTU!L25</f>
        <v>0.6000000000003638</v>
      </c>
      <c r="W24" s="122">
        <f>BTU!R25</f>
        <v>1.0700000000001637</v>
      </c>
      <c r="X24" s="119">
        <f>ELECT.!B26</f>
        <v>293</v>
      </c>
      <c r="Y24" s="119">
        <f t="shared" si="0"/>
        <v>1338</v>
      </c>
      <c r="Z24">
        <f>'Mall, Citadel, Rotana'!C26+'Mall, Citadel, Rotana'!E26+'Mall, Citadel, Rotana'!G26+'Mall, Citadel, Rotana'!I26</f>
        <v>1330</v>
      </c>
      <c r="AA24">
        <f>'Mall, Citadel, Rotana'!K26+'Mall, Citadel, Rotana'!M26</f>
        <v>640</v>
      </c>
      <c r="AB24">
        <f>'Mall, Citadel, Rotana'!O26</f>
        <v>3</v>
      </c>
      <c r="AC24">
        <f>'Mall, Citadel, Rotana'!Q26+'Mall, Citadel, Rotana'!S26</f>
        <v>59</v>
      </c>
      <c r="AD24" s="119">
        <f t="shared" si="1"/>
        <v>94.978638599999996</v>
      </c>
      <c r="AE24" s="119">
        <f t="shared" si="2"/>
        <v>625.6483614</v>
      </c>
    </row>
    <row r="25" spans="1:31" x14ac:dyDescent="0.2">
      <c r="A25" s="135" t="s">
        <v>111</v>
      </c>
      <c r="B25" s="140">
        <f t="shared" si="3"/>
        <v>24</v>
      </c>
      <c r="C25" s="140">
        <v>4</v>
      </c>
      <c r="D25" s="140">
        <v>2019</v>
      </c>
      <c r="E25" s="121">
        <f>Water!C27</f>
        <v>1020</v>
      </c>
      <c r="F25" s="121">
        <f>Water!E27</f>
        <v>591.29999999999995</v>
      </c>
      <c r="G25" s="121">
        <f>Water!G27</f>
        <v>386.1</v>
      </c>
      <c r="H25" s="121">
        <f>Water!I27</f>
        <v>4.59</v>
      </c>
      <c r="I25" s="121">
        <f>ELECT.!F27</f>
        <v>5570</v>
      </c>
      <c r="J25" s="121">
        <f>ELECT.!H27</f>
        <v>48589</v>
      </c>
      <c r="K25" s="121">
        <f>ELECT.!K27</f>
        <v>4520</v>
      </c>
      <c r="L25" s="121">
        <f>ELECT.!M27</f>
        <v>4194</v>
      </c>
      <c r="M25" s="121">
        <f>ELECT.!O27</f>
        <v>1142</v>
      </c>
      <c r="N25" s="121">
        <f>ELECT.!Q27</f>
        <v>10780</v>
      </c>
      <c r="O25" s="121">
        <f>ELECT.!S27</f>
        <v>9459</v>
      </c>
      <c r="P25" s="121">
        <f>ELECT.!W27*2</f>
        <v>22830</v>
      </c>
      <c r="Q25" s="121">
        <f>ELECT.!D27</f>
        <v>800</v>
      </c>
      <c r="R25" s="122">
        <f>BTU!C26</f>
        <v>5.1710000000002765</v>
      </c>
      <c r="S25" s="122">
        <f>BTU!F26</f>
        <v>1.7339999999999236</v>
      </c>
      <c r="T25" s="122">
        <f>BTU!I26</f>
        <v>0</v>
      </c>
      <c r="U25" s="122">
        <f>BTU!O26</f>
        <v>1.4329999999999927</v>
      </c>
      <c r="V25" s="122">
        <f>BTU!L26</f>
        <v>0.60999999999876309</v>
      </c>
      <c r="W25" s="122">
        <f>BTU!R26</f>
        <v>1.2899999999999636</v>
      </c>
      <c r="X25" s="119">
        <f>ELECT.!B27</f>
        <v>357</v>
      </c>
      <c r="Y25" s="119">
        <f t="shared" si="0"/>
        <v>1234</v>
      </c>
      <c r="Z25">
        <f>'Mall, Citadel, Rotana'!C27+'Mall, Citadel, Rotana'!E27+'Mall, Citadel, Rotana'!G27+'Mall, Citadel, Rotana'!I27</f>
        <v>1174</v>
      </c>
      <c r="AA25">
        <f>'Mall, Citadel, Rotana'!K27+'Mall, Citadel, Rotana'!M27</f>
        <v>800</v>
      </c>
      <c r="AB25">
        <f>'Mall, Citadel, Rotana'!O27</f>
        <v>4</v>
      </c>
      <c r="AC25">
        <f>'Mall, Citadel, Rotana'!Q27+'Mall, Citadel, Rotana'!S27</f>
        <v>191</v>
      </c>
      <c r="AD25" s="119">
        <f t="shared" si="1"/>
        <v>108.261838</v>
      </c>
      <c r="AE25" s="119">
        <f t="shared" si="2"/>
        <v>713.14816199999996</v>
      </c>
    </row>
    <row r="26" spans="1:31" x14ac:dyDescent="0.2">
      <c r="A26" s="135" t="s">
        <v>111</v>
      </c>
      <c r="B26" s="140">
        <f>B25+1</f>
        <v>25</v>
      </c>
      <c r="C26" s="140">
        <v>4</v>
      </c>
      <c r="D26" s="140">
        <v>2019</v>
      </c>
      <c r="E26" s="121">
        <f>Water!C28</f>
        <v>960</v>
      </c>
      <c r="F26" s="121">
        <f>Water!E28</f>
        <v>540</v>
      </c>
      <c r="G26" s="121">
        <f>Water!G28</f>
        <v>405</v>
      </c>
      <c r="H26" s="121">
        <f>Water!I28</f>
        <v>4.1040000000000001</v>
      </c>
      <c r="I26" s="121">
        <f>ELECT.!F28</f>
        <v>6881</v>
      </c>
      <c r="J26" s="121">
        <f>ELECT.!H28</f>
        <v>60857</v>
      </c>
      <c r="K26" s="121">
        <f>ELECT.!K28</f>
        <v>5169</v>
      </c>
      <c r="L26" s="121">
        <f>ELECT.!M28</f>
        <v>5013</v>
      </c>
      <c r="M26" s="121">
        <f>ELECT.!O28</f>
        <v>1740</v>
      </c>
      <c r="N26" s="121">
        <f>ELECT.!Q28</f>
        <v>13951</v>
      </c>
      <c r="O26" s="121">
        <f>ELECT.!S28</f>
        <v>12075</v>
      </c>
      <c r="P26" s="121">
        <f>ELECT.!W28*2</f>
        <v>28246</v>
      </c>
      <c r="Q26" s="121">
        <f>ELECT.!D28</f>
        <v>480</v>
      </c>
      <c r="R26" s="122">
        <f>BTU!C27</f>
        <v>5.8459999999995489</v>
      </c>
      <c r="S26" s="122">
        <f>BTU!F27</f>
        <v>0.87599999999974898</v>
      </c>
      <c r="T26" s="122">
        <f>BTU!I27</f>
        <v>0</v>
      </c>
      <c r="U26" s="122">
        <f>BTU!O27</f>
        <v>1.2460000000000946</v>
      </c>
      <c r="V26" s="122">
        <f>BTU!L27</f>
        <v>0.81000000000130967</v>
      </c>
      <c r="W26" s="122">
        <f>BTU!R27</f>
        <v>1.4099999999998545</v>
      </c>
      <c r="X26" s="119">
        <f>ELECT.!B28</f>
        <v>356</v>
      </c>
      <c r="Y26" s="119">
        <f t="shared" si="0"/>
        <v>1544</v>
      </c>
      <c r="Z26">
        <f>'Mall, Citadel, Rotana'!C28+'Mall, Citadel, Rotana'!E28+'Mall, Citadel, Rotana'!G28+'Mall, Citadel, Rotana'!I28</f>
        <v>1143</v>
      </c>
      <c r="AA26">
        <f>'Mall, Citadel, Rotana'!K28+'Mall, Citadel, Rotana'!M28</f>
        <v>480</v>
      </c>
      <c r="AB26">
        <f>'Mall, Citadel, Rotana'!O28</f>
        <v>2</v>
      </c>
      <c r="AC26">
        <f>'Mall, Citadel, Rotana'!Q28+'Mall, Citadel, Rotana'!S28</f>
        <v>214</v>
      </c>
      <c r="AD26" s="119">
        <f t="shared" si="1"/>
        <v>100.41789279999999</v>
      </c>
      <c r="AE26" s="119">
        <f t="shared" si="2"/>
        <v>661.47810719999995</v>
      </c>
    </row>
    <row r="27" spans="1:31" x14ac:dyDescent="0.2">
      <c r="A27" s="135" t="s">
        <v>111</v>
      </c>
      <c r="B27" s="140">
        <f t="shared" si="3"/>
        <v>26</v>
      </c>
      <c r="C27" s="140">
        <v>4</v>
      </c>
      <c r="D27" s="140">
        <v>2019</v>
      </c>
      <c r="E27" s="121">
        <f>Water!C29</f>
        <v>1020</v>
      </c>
      <c r="F27" s="121">
        <f>Water!E29</f>
        <v>569.70000000000005</v>
      </c>
      <c r="G27" s="121">
        <f>Water!G29</f>
        <v>445.5</v>
      </c>
      <c r="H27" s="121">
        <f>Water!I29</f>
        <v>3.3210000000000002</v>
      </c>
      <c r="I27" s="121">
        <f>ELECT.!F29</f>
        <v>6036</v>
      </c>
      <c r="J27" s="121">
        <f>ELECT.!H29</f>
        <v>54371</v>
      </c>
      <c r="K27" s="121">
        <f>ELECT.!K29</f>
        <v>4534</v>
      </c>
      <c r="L27" s="121">
        <f>ELECT.!M29</f>
        <v>4468</v>
      </c>
      <c r="M27" s="121">
        <f>ELECT.!O29</f>
        <v>1430</v>
      </c>
      <c r="N27" s="121">
        <f>ELECT.!Q29</f>
        <v>13285</v>
      </c>
      <c r="O27" s="121">
        <f>ELECT.!S29</f>
        <v>10347</v>
      </c>
      <c r="P27" s="121">
        <f>ELECT.!W29*2</f>
        <v>25214</v>
      </c>
      <c r="Q27" s="121">
        <f>ELECT.!D29</f>
        <v>800</v>
      </c>
      <c r="R27" s="122">
        <f>BTU!C28</f>
        <v>6.3079999999990832</v>
      </c>
      <c r="S27" s="122">
        <f>BTU!F28</f>
        <v>0.80900000000019645</v>
      </c>
      <c r="T27" s="122">
        <f>BTU!I28</f>
        <v>0</v>
      </c>
      <c r="U27" s="122">
        <f>BTU!O28</f>
        <v>1.4859999999998763</v>
      </c>
      <c r="V27" s="122">
        <f>BTU!L28</f>
        <v>1</v>
      </c>
      <c r="W27" s="122">
        <f>BTU!R28</f>
        <v>3.0000000000200089E-2</v>
      </c>
      <c r="X27" s="119">
        <f>ELECT.!B29</f>
        <v>327</v>
      </c>
      <c r="Y27" s="119">
        <f t="shared" si="0"/>
        <v>1129</v>
      </c>
      <c r="Z27">
        <f>'Mall, Citadel, Rotana'!C29+'Mall, Citadel, Rotana'!E29+'Mall, Citadel, Rotana'!G29+'Mall, Citadel, Rotana'!I29</f>
        <v>1500</v>
      </c>
      <c r="AA27">
        <f>'Mall, Citadel, Rotana'!K29+'Mall, Citadel, Rotana'!M29</f>
        <v>480</v>
      </c>
      <c r="AB27">
        <f>'Mall, Citadel, Rotana'!O29</f>
        <v>4</v>
      </c>
      <c r="AC27">
        <f>'Mall, Citadel, Rotana'!Q29+'Mall, Citadel, Rotana'!S29</f>
        <v>181</v>
      </c>
      <c r="AD27" s="119">
        <f t="shared" si="1"/>
        <v>108.4290922</v>
      </c>
      <c r="AE27" s="119">
        <f t="shared" si="2"/>
        <v>714.24990779999996</v>
      </c>
    </row>
    <row r="28" spans="1:31" x14ac:dyDescent="0.2">
      <c r="A28" s="135" t="s">
        <v>111</v>
      </c>
      <c r="B28" s="140">
        <f t="shared" si="3"/>
        <v>27</v>
      </c>
      <c r="C28" s="140">
        <v>4</v>
      </c>
      <c r="D28" s="140">
        <v>2019</v>
      </c>
      <c r="E28" s="121">
        <f>Water!C30</f>
        <v>970</v>
      </c>
      <c r="F28" s="121">
        <f>Water!E30</f>
        <v>558.9</v>
      </c>
      <c r="G28" s="121">
        <f>Water!G30</f>
        <v>418.5</v>
      </c>
      <c r="H28" s="121">
        <f>Water!I30</f>
        <v>2.9430000000000001</v>
      </c>
      <c r="I28" s="121">
        <f>ELECT.!F30</f>
        <v>5519</v>
      </c>
      <c r="J28" s="121">
        <f>ELECT.!H30</f>
        <v>49424</v>
      </c>
      <c r="K28" s="121">
        <f>ELECT.!K30</f>
        <v>4211</v>
      </c>
      <c r="L28" s="121">
        <f>ELECT.!M30</f>
        <v>4117</v>
      </c>
      <c r="M28" s="121">
        <f>ELECT.!O30</f>
        <v>1288</v>
      </c>
      <c r="N28" s="121">
        <f>ELECT.!Q30</f>
        <v>12500</v>
      </c>
      <c r="O28" s="121">
        <f>ELECT.!S30</f>
        <v>9052</v>
      </c>
      <c r="P28" s="121">
        <f>ELECT.!W30*2</f>
        <v>22926</v>
      </c>
      <c r="Q28" s="121">
        <f>ELECT.!D30</f>
        <v>640</v>
      </c>
      <c r="R28" s="122">
        <f>BTU!C29</f>
        <v>6.1270000000004075</v>
      </c>
      <c r="S28" s="122">
        <f>BTU!F29</f>
        <v>0.73100000000022192</v>
      </c>
      <c r="T28" s="122">
        <f>BTU!I29</f>
        <v>0</v>
      </c>
      <c r="U28" s="122">
        <f>BTU!O29</f>
        <v>1.3540000000000418</v>
      </c>
      <c r="V28" s="122">
        <f>BTU!L29</f>
        <v>1.1299999999991996</v>
      </c>
      <c r="W28" s="122">
        <f>BTU!R29</f>
        <v>0.52999999999974534</v>
      </c>
      <c r="X28" s="119">
        <f>ELECT.!B30</f>
        <v>314</v>
      </c>
      <c r="Y28" s="119">
        <f t="shared" si="0"/>
        <v>849</v>
      </c>
      <c r="Z28">
        <f>'Mall, Citadel, Rotana'!C30+'Mall, Citadel, Rotana'!E30+'Mall, Citadel, Rotana'!G30+'Mall, Citadel, Rotana'!I30</f>
        <v>1298</v>
      </c>
      <c r="AA28">
        <f>'Mall, Citadel, Rotana'!K30+'Mall, Citadel, Rotana'!M30</f>
        <v>480</v>
      </c>
      <c r="AB28">
        <f>'Mall, Citadel, Rotana'!O30</f>
        <v>3</v>
      </c>
      <c r="AC28">
        <f>'Mall, Citadel, Rotana'!Q30+'Mall, Citadel, Rotana'!S30</f>
        <v>111</v>
      </c>
      <c r="AD28" s="119">
        <f t="shared" si="1"/>
        <v>101.8889126</v>
      </c>
      <c r="AE28" s="119">
        <f t="shared" si="2"/>
        <v>671.16808739999999</v>
      </c>
    </row>
    <row r="29" spans="1:31" x14ac:dyDescent="0.2">
      <c r="A29" s="135" t="s">
        <v>111</v>
      </c>
      <c r="B29" s="140">
        <f t="shared" si="3"/>
        <v>28</v>
      </c>
      <c r="C29" s="140">
        <v>4</v>
      </c>
      <c r="D29" s="140">
        <v>2019</v>
      </c>
      <c r="E29" s="121">
        <f>Water!C31</f>
        <v>1050</v>
      </c>
      <c r="F29" s="121">
        <f>Water!E31</f>
        <v>567</v>
      </c>
      <c r="G29" s="121">
        <f>Water!G31</f>
        <v>450.9</v>
      </c>
      <c r="H29" s="121">
        <f>Water!I31</f>
        <v>3.3210000000000002</v>
      </c>
      <c r="I29" s="121">
        <f>ELECT.!F31</f>
        <v>7410</v>
      </c>
      <c r="J29" s="121">
        <f>ELECT.!H31</f>
        <v>44752</v>
      </c>
      <c r="K29" s="121">
        <f>ELECT.!K31</f>
        <v>3944</v>
      </c>
      <c r="L29" s="121">
        <f>ELECT.!M31</f>
        <v>4957</v>
      </c>
      <c r="M29" s="121">
        <f>ELECT.!O31</f>
        <v>2324</v>
      </c>
      <c r="N29" s="121">
        <f>ELECT.!Q31</f>
        <v>11401</v>
      </c>
      <c r="O29" s="121">
        <f>ELECT.!S31</f>
        <v>8073</v>
      </c>
      <c r="P29" s="121">
        <f>ELECT.!W31*2</f>
        <v>20430</v>
      </c>
      <c r="Q29" s="121">
        <f>ELECT.!D31</f>
        <v>480</v>
      </c>
      <c r="R29" s="122">
        <f>BTU!C30</f>
        <v>8.5830000000005384</v>
      </c>
      <c r="S29" s="122">
        <f>BTU!F30</f>
        <v>1.250999999999749</v>
      </c>
      <c r="T29" s="122">
        <f>BTU!I30</f>
        <v>1.9000000000005457E-2</v>
      </c>
      <c r="U29" s="122">
        <f>BTU!O30</f>
        <v>1.2989999999999782</v>
      </c>
      <c r="V29" s="122">
        <f>BTU!L30</f>
        <v>1.1200000000008004</v>
      </c>
      <c r="W29" s="122">
        <f>BTU!R30</f>
        <v>3.8099999999999454</v>
      </c>
      <c r="X29" s="119">
        <f>ELECT.!B31</f>
        <v>287</v>
      </c>
      <c r="Y29" s="119">
        <f t="shared" si="0"/>
        <v>1033</v>
      </c>
      <c r="Z29">
        <f>'Mall, Citadel, Rotana'!C31+'Mall, Citadel, Rotana'!E31+'Mall, Citadel, Rotana'!G31+'Mall, Citadel, Rotana'!I31</f>
        <v>1187</v>
      </c>
      <c r="AA29">
        <f>'Mall, Citadel, Rotana'!K31+'Mall, Citadel, Rotana'!M31</f>
        <v>320</v>
      </c>
      <c r="AB29">
        <f>'Mall, Citadel, Rotana'!O31</f>
        <v>2</v>
      </c>
      <c r="AC29">
        <f>'Mall, Citadel, Rotana'!Q31+'Mall, Citadel, Rotana'!S31</f>
        <v>246</v>
      </c>
      <c r="AD29" s="119">
        <f t="shared" si="1"/>
        <v>112.38309220000001</v>
      </c>
      <c r="AE29" s="119">
        <f t="shared" si="2"/>
        <v>740.29590780000012</v>
      </c>
    </row>
    <row r="30" spans="1:31" x14ac:dyDescent="0.2">
      <c r="A30" s="135" t="s">
        <v>111</v>
      </c>
      <c r="B30" s="140">
        <f t="shared" si="3"/>
        <v>29</v>
      </c>
      <c r="C30" s="140">
        <v>4</v>
      </c>
      <c r="D30" s="140">
        <v>2019</v>
      </c>
      <c r="E30" s="121">
        <f>Water!C32</f>
        <v>1090</v>
      </c>
      <c r="F30" s="121">
        <f>Water!E32</f>
        <v>521.1</v>
      </c>
      <c r="G30" s="121">
        <f>Water!G32</f>
        <v>456.3</v>
      </c>
      <c r="H30" s="121">
        <f>Water!I32</f>
        <v>2.2410000000000001</v>
      </c>
      <c r="I30" s="121">
        <f>ELECT.!F32</f>
        <v>18066</v>
      </c>
      <c r="J30" s="121">
        <f>ELECT.!H32</f>
        <v>72586</v>
      </c>
      <c r="K30" s="121">
        <f>ELECT.!K32</f>
        <v>7452</v>
      </c>
      <c r="L30" s="121">
        <f>ELECT.!M32</f>
        <v>6471</v>
      </c>
      <c r="M30" s="121">
        <f>ELECT.!O32</f>
        <v>11404</v>
      </c>
      <c r="N30" s="121">
        <f>ELECT.!Q32</f>
        <v>17847</v>
      </c>
      <c r="O30" s="121">
        <f>ELECT.!S32</f>
        <v>13063</v>
      </c>
      <c r="P30" s="121">
        <f>ELECT.!W32*2</f>
        <v>32552</v>
      </c>
      <c r="Q30" s="121">
        <f>ELECT.!D32</f>
        <v>640</v>
      </c>
      <c r="R30" s="122">
        <f>BTU!C31</f>
        <v>8.6039999999993597</v>
      </c>
      <c r="S30" s="122">
        <f>BTU!F31</f>
        <v>1.0970000000002074</v>
      </c>
      <c r="T30" s="122">
        <f>BTU!I31</f>
        <v>0</v>
      </c>
      <c r="U30" s="122">
        <f>BTU!O31</f>
        <v>1.3369999999999891</v>
      </c>
      <c r="V30" s="122">
        <f>BTU!L31</f>
        <v>1.3500000000003638</v>
      </c>
      <c r="W30" s="122" t="str">
        <f>BTU!R31</f>
        <v>0</v>
      </c>
      <c r="X30" s="119">
        <f>ELECT.!B32</f>
        <v>294</v>
      </c>
      <c r="Y30" s="119">
        <f t="shared" si="0"/>
        <v>1863</v>
      </c>
      <c r="Z30">
        <f>'Mall, Citadel, Rotana'!C32+'Mall, Citadel, Rotana'!E32+'Mall, Citadel, Rotana'!G32+'Mall, Citadel, Rotana'!I32</f>
        <v>2125</v>
      </c>
      <c r="AA30">
        <f>'Mall, Citadel, Rotana'!K32+'Mall, Citadel, Rotana'!M32</f>
        <v>480</v>
      </c>
      <c r="AB30">
        <f>'Mall, Citadel, Rotana'!O32</f>
        <v>3</v>
      </c>
      <c r="AC30">
        <f>'Mall, Citadel, Rotana'!Q32+'Mall, Citadel, Rotana'!S32</f>
        <v>41</v>
      </c>
      <c r="AD30" s="119">
        <f t="shared" si="1"/>
        <v>117.79743620000001</v>
      </c>
      <c r="AE30" s="119">
        <f t="shared" si="2"/>
        <v>775.96156380000002</v>
      </c>
    </row>
    <row r="31" spans="1:31" x14ac:dyDescent="0.2">
      <c r="A31" s="135" t="s">
        <v>111</v>
      </c>
      <c r="B31" s="140">
        <f t="shared" si="3"/>
        <v>30</v>
      </c>
      <c r="C31" s="140">
        <v>4</v>
      </c>
      <c r="D31" s="140">
        <v>2019</v>
      </c>
      <c r="E31" s="121">
        <f>Water!C33</f>
        <v>1090</v>
      </c>
      <c r="F31" s="121">
        <f>Water!E33</f>
        <v>575.1</v>
      </c>
      <c r="G31" s="121">
        <f>Water!G33</f>
        <v>442.8</v>
      </c>
      <c r="H31" s="121">
        <f>Water!I33</f>
        <v>3.8340000000000001</v>
      </c>
      <c r="I31" s="121">
        <f>ELECT.!F33</f>
        <v>12743</v>
      </c>
      <c r="J31" s="121">
        <f>ELECT.!H33</f>
        <v>56716</v>
      </c>
      <c r="K31" s="121">
        <f>ELECT.!K33</f>
        <v>6093</v>
      </c>
      <c r="L31" s="121">
        <f>ELECT.!M33</f>
        <v>4545</v>
      </c>
      <c r="M31" s="121">
        <f>ELECT.!O33</f>
        <v>8034</v>
      </c>
      <c r="N31" s="121">
        <f>ELECT.!Q33</f>
        <v>14811</v>
      </c>
      <c r="O31" s="121">
        <f>ELECT.!S33</f>
        <v>9870</v>
      </c>
      <c r="P31" s="121">
        <f>ELECT.!W33*2</f>
        <v>24652</v>
      </c>
      <c r="Q31" s="121">
        <f>ELECT.!D33</f>
        <v>800</v>
      </c>
      <c r="R31" s="122">
        <f>BTU!C32</f>
        <v>7.2600000000002183</v>
      </c>
      <c r="S31" s="122">
        <f>BTU!F32</f>
        <v>2.4209999999998217</v>
      </c>
      <c r="T31" s="122">
        <f>BTU!I32</f>
        <v>0</v>
      </c>
      <c r="U31" s="122">
        <f>BTU!O32</f>
        <v>1.4300000000000637</v>
      </c>
      <c r="V31" s="122">
        <f>BTU!L32</f>
        <v>1.2399999999997817</v>
      </c>
      <c r="W31" s="122">
        <f>BTU!R32</f>
        <v>3.7799999999997453</v>
      </c>
      <c r="X31" s="119">
        <f>ELECT.!B33</f>
        <v>298</v>
      </c>
      <c r="Y31" s="119">
        <f t="shared" si="0"/>
        <v>1454</v>
      </c>
      <c r="Z31">
        <f>'Mall, Citadel, Rotana'!C33+'Mall, Citadel, Rotana'!E33+'Mall, Citadel, Rotana'!G33+'Mall, Citadel, Rotana'!I33</f>
        <v>1436</v>
      </c>
      <c r="AA31">
        <f>'Mall, Citadel, Rotana'!K33+'Mall, Citadel, Rotana'!M33</f>
        <v>800</v>
      </c>
      <c r="AB31">
        <f>'Mall, Citadel, Rotana'!O33</f>
        <v>3</v>
      </c>
      <c r="AC31">
        <f>'Mall, Citadel, Rotana'!Q33+'Mall, Citadel, Rotana'!S33</f>
        <v>243</v>
      </c>
      <c r="AD31" s="119">
        <f t="shared" si="1"/>
        <v>117.5874788</v>
      </c>
      <c r="AE31" s="119">
        <f t="shared" si="2"/>
        <v>774.57852119999995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zoomScale="90" zoomScaleNormal="90" workbookViewId="0">
      <selection activeCell="N38" sqref="N38"/>
    </sheetView>
  </sheetViews>
  <sheetFormatPr defaultRowHeight="12.75" x14ac:dyDescent="0.2"/>
  <cols>
    <col min="1" max="1" width="14.5703125" style="20" bestFit="1" customWidth="1"/>
    <col min="2" max="2" width="10.5703125" style="23" bestFit="1" customWidth="1"/>
    <col min="3" max="3" width="11.42578125" style="24" bestFit="1" customWidth="1"/>
    <col min="4" max="4" width="10.85546875" style="23" bestFit="1" customWidth="1"/>
    <col min="5" max="5" width="11.42578125" style="24" bestFit="1" customWidth="1"/>
    <col min="6" max="6" width="8.7109375" style="23" customWidth="1"/>
    <col min="7" max="7" width="9.7109375" style="24" bestFit="1" customWidth="1"/>
    <col min="8" max="8" width="9.140625" style="23" bestFit="1" customWidth="1"/>
    <col min="9" max="9" width="9.7109375" style="24" bestFit="1" customWidth="1"/>
    <col min="10" max="10" width="9.28515625" style="23" bestFit="1" customWidth="1"/>
    <col min="11" max="11" width="9.7109375" style="24" bestFit="1" customWidth="1"/>
    <col min="12" max="12" width="7" style="23" bestFit="1" customWidth="1"/>
    <col min="13" max="13" width="11.42578125" style="24" bestFit="1" customWidth="1"/>
    <col min="14" max="14" width="11.42578125" style="114" customWidth="1"/>
    <col min="15" max="15" width="11.42578125" style="24" customWidth="1"/>
    <col min="16" max="16" width="9.140625" style="23" bestFit="1" customWidth="1"/>
    <col min="17" max="17" width="9.7109375" style="24" bestFit="1" customWidth="1"/>
    <col min="18" max="18" width="7.5703125" style="23" customWidth="1"/>
    <col min="19" max="19" width="8.42578125" style="24" bestFit="1" customWidth="1"/>
  </cols>
  <sheetData>
    <row r="1" spans="1:24" ht="13.5" thickBot="1" x14ac:dyDescent="0.25">
      <c r="A1" s="179" t="s">
        <v>137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</row>
    <row r="2" spans="1:24" s="17" customFormat="1" ht="15.75" thickBot="1" x14ac:dyDescent="0.25">
      <c r="A2" s="14" t="s">
        <v>0</v>
      </c>
      <c r="B2" s="1" t="s">
        <v>14</v>
      </c>
      <c r="C2" s="15" t="s">
        <v>15</v>
      </c>
      <c r="D2" s="1" t="s">
        <v>16</v>
      </c>
      <c r="E2" s="15" t="s">
        <v>17</v>
      </c>
      <c r="F2" s="1" t="s">
        <v>18</v>
      </c>
      <c r="G2" s="15" t="s">
        <v>17</v>
      </c>
      <c r="H2" s="1" t="s">
        <v>19</v>
      </c>
      <c r="I2" s="15" t="s">
        <v>17</v>
      </c>
      <c r="J2" s="1" t="s">
        <v>20</v>
      </c>
      <c r="K2" s="15" t="s">
        <v>17</v>
      </c>
      <c r="L2" s="1" t="s">
        <v>21</v>
      </c>
      <c r="M2" s="15" t="s">
        <v>17</v>
      </c>
      <c r="N2" s="115" t="s">
        <v>102</v>
      </c>
      <c r="O2" s="15" t="s">
        <v>17</v>
      </c>
      <c r="P2" s="1" t="s">
        <v>22</v>
      </c>
      <c r="Q2" s="15" t="s">
        <v>17</v>
      </c>
      <c r="R2" s="1" t="s">
        <v>23</v>
      </c>
      <c r="S2" s="16" t="s">
        <v>17</v>
      </c>
    </row>
    <row r="3" spans="1:24" ht="13.5" thickBot="1" x14ac:dyDescent="0.25">
      <c r="A3" s="11" t="s">
        <v>24</v>
      </c>
      <c r="B3" s="1">
        <v>41690</v>
      </c>
      <c r="C3" s="18"/>
      <c r="D3" s="1">
        <v>37348</v>
      </c>
      <c r="E3" s="18"/>
      <c r="F3" s="1">
        <v>17539</v>
      </c>
      <c r="G3" s="18"/>
      <c r="H3" s="1">
        <v>214373</v>
      </c>
      <c r="I3" s="18"/>
      <c r="J3" s="1">
        <v>303515</v>
      </c>
      <c r="K3" s="18"/>
      <c r="L3" s="1">
        <v>22032</v>
      </c>
      <c r="M3" s="18"/>
      <c r="N3" s="115">
        <v>168057</v>
      </c>
      <c r="O3" s="18"/>
      <c r="P3" s="1">
        <v>977975</v>
      </c>
      <c r="Q3" s="18"/>
      <c r="R3" s="1">
        <v>55047</v>
      </c>
      <c r="S3" s="18"/>
    </row>
    <row r="4" spans="1:24" ht="13.5" thickBot="1" x14ac:dyDescent="0.25">
      <c r="A4" s="11">
        <v>43556</v>
      </c>
      <c r="B4" s="1">
        <v>41695</v>
      </c>
      <c r="C4" s="18">
        <f t="shared" ref="C4:C13" si="0">(B4-B3)*600/5</f>
        <v>600</v>
      </c>
      <c r="D4" s="1">
        <v>37352</v>
      </c>
      <c r="E4" s="18">
        <f>(D4-D3)*800/5</f>
        <v>640</v>
      </c>
      <c r="F4" s="1">
        <v>17543</v>
      </c>
      <c r="G4" s="18">
        <f>(F4-F3)*100/5</f>
        <v>80</v>
      </c>
      <c r="H4" s="1">
        <v>214387</v>
      </c>
      <c r="I4" s="18">
        <f>H4-H3</f>
        <v>14</v>
      </c>
      <c r="J4" s="1">
        <v>303515</v>
      </c>
      <c r="K4" s="18">
        <f t="shared" ref="K4:K13" si="1">J4-J3</f>
        <v>0</v>
      </c>
      <c r="L4" s="1">
        <v>22036</v>
      </c>
      <c r="M4" s="18">
        <f>(L4-L3)*800/5</f>
        <v>640</v>
      </c>
      <c r="N4" s="115">
        <v>168060</v>
      </c>
      <c r="O4" s="18">
        <f>N4-N3</f>
        <v>3</v>
      </c>
      <c r="P4" s="1">
        <v>978174</v>
      </c>
      <c r="Q4" s="18">
        <f t="shared" ref="Q4:Q31" si="2">P4-P3</f>
        <v>199</v>
      </c>
      <c r="R4" s="1">
        <v>55047</v>
      </c>
      <c r="S4" s="18">
        <f>R4-R3</f>
        <v>0</v>
      </c>
    </row>
    <row r="5" spans="1:24" ht="13.5" thickBot="1" x14ac:dyDescent="0.25">
      <c r="A5" s="11">
        <v>43557</v>
      </c>
      <c r="B5" s="1">
        <v>41701</v>
      </c>
      <c r="C5" s="18">
        <f t="shared" si="0"/>
        <v>720</v>
      </c>
      <c r="D5" s="1">
        <v>37355</v>
      </c>
      <c r="E5" s="18">
        <f t="shared" ref="E5:E33" si="3">(D5-D4)*800/5</f>
        <v>480</v>
      </c>
      <c r="F5" s="1">
        <v>17548</v>
      </c>
      <c r="G5" s="18">
        <f t="shared" ref="G5:G33" si="4">(F5-F4)*100/5</f>
        <v>100</v>
      </c>
      <c r="H5" s="1">
        <v>214402</v>
      </c>
      <c r="I5" s="18">
        <f t="shared" ref="I5:I33" si="5">H5-H4</f>
        <v>15</v>
      </c>
      <c r="J5" s="1">
        <v>303515</v>
      </c>
      <c r="K5" s="18">
        <f t="shared" si="1"/>
        <v>0</v>
      </c>
      <c r="L5" s="1">
        <v>22041</v>
      </c>
      <c r="M5" s="18">
        <f t="shared" ref="M5:M33" si="6">(L5-L4)*800/5</f>
        <v>800</v>
      </c>
      <c r="N5" s="115">
        <v>168063</v>
      </c>
      <c r="O5" s="18">
        <f t="shared" ref="O5:O34" si="7">N5-N4</f>
        <v>3</v>
      </c>
      <c r="P5" s="1">
        <v>978353</v>
      </c>
      <c r="Q5" s="18">
        <f t="shared" si="2"/>
        <v>179</v>
      </c>
      <c r="R5" s="1">
        <v>55047</v>
      </c>
      <c r="S5" s="18">
        <f t="shared" ref="S5:S32" si="8">R5-R4</f>
        <v>0</v>
      </c>
    </row>
    <row r="6" spans="1:24" ht="13.5" thickBot="1" x14ac:dyDescent="0.25">
      <c r="A6" s="11">
        <v>43558</v>
      </c>
      <c r="B6" s="1">
        <v>41707</v>
      </c>
      <c r="C6" s="18">
        <f t="shared" si="0"/>
        <v>720</v>
      </c>
      <c r="D6" s="1">
        <v>37358</v>
      </c>
      <c r="E6" s="18">
        <f t="shared" si="3"/>
        <v>480</v>
      </c>
      <c r="F6" s="1">
        <v>17553</v>
      </c>
      <c r="G6" s="18">
        <f t="shared" si="4"/>
        <v>100</v>
      </c>
      <c r="H6" s="1">
        <v>214422</v>
      </c>
      <c r="I6" s="18">
        <f t="shared" si="5"/>
        <v>20</v>
      </c>
      <c r="J6" s="1">
        <v>303515</v>
      </c>
      <c r="K6" s="18">
        <f t="shared" si="1"/>
        <v>0</v>
      </c>
      <c r="L6" s="1">
        <v>22047</v>
      </c>
      <c r="M6" s="18">
        <f t="shared" si="6"/>
        <v>960</v>
      </c>
      <c r="N6" s="115">
        <v>168066</v>
      </c>
      <c r="O6" s="18">
        <f t="shared" si="7"/>
        <v>3</v>
      </c>
      <c r="P6" s="1">
        <v>978561</v>
      </c>
      <c r="Q6" s="18">
        <f t="shared" si="2"/>
        <v>208</v>
      </c>
      <c r="R6" s="1">
        <v>55047</v>
      </c>
      <c r="S6" s="18">
        <f t="shared" si="8"/>
        <v>0</v>
      </c>
    </row>
    <row r="7" spans="1:24" ht="13.5" thickBot="1" x14ac:dyDescent="0.25">
      <c r="A7" s="11">
        <v>43559</v>
      </c>
      <c r="B7" s="1">
        <v>41713</v>
      </c>
      <c r="C7" s="18">
        <f t="shared" si="0"/>
        <v>720</v>
      </c>
      <c r="D7" s="1">
        <v>37362</v>
      </c>
      <c r="E7" s="18">
        <f t="shared" si="3"/>
        <v>640</v>
      </c>
      <c r="F7" s="1">
        <v>17559</v>
      </c>
      <c r="G7" s="18">
        <f t="shared" si="4"/>
        <v>120</v>
      </c>
      <c r="H7" s="1">
        <v>214427</v>
      </c>
      <c r="I7" s="18">
        <f t="shared" si="5"/>
        <v>5</v>
      </c>
      <c r="J7" s="1">
        <v>303515</v>
      </c>
      <c r="K7" s="18">
        <f t="shared" si="1"/>
        <v>0</v>
      </c>
      <c r="L7" s="1">
        <v>22054</v>
      </c>
      <c r="M7" s="18">
        <f t="shared" si="6"/>
        <v>1120</v>
      </c>
      <c r="N7" s="115">
        <v>168069</v>
      </c>
      <c r="O7" s="18">
        <f t="shared" si="7"/>
        <v>3</v>
      </c>
      <c r="P7" s="1">
        <v>978694</v>
      </c>
      <c r="Q7" s="18">
        <f t="shared" si="2"/>
        <v>133</v>
      </c>
      <c r="R7" s="1">
        <v>55047</v>
      </c>
      <c r="S7" s="18">
        <f t="shared" si="8"/>
        <v>0</v>
      </c>
    </row>
    <row r="8" spans="1:24" ht="13.5" thickBot="1" x14ac:dyDescent="0.25">
      <c r="A8" s="11">
        <v>43560</v>
      </c>
      <c r="B8" s="1">
        <v>41717</v>
      </c>
      <c r="C8" s="18">
        <f t="shared" si="0"/>
        <v>480</v>
      </c>
      <c r="D8" s="1">
        <v>37369</v>
      </c>
      <c r="E8" s="18">
        <f t="shared" si="3"/>
        <v>1120</v>
      </c>
      <c r="F8" s="1">
        <v>17563</v>
      </c>
      <c r="G8" s="18">
        <f t="shared" si="4"/>
        <v>80</v>
      </c>
      <c r="H8" s="1">
        <v>214431</v>
      </c>
      <c r="I8" s="18">
        <f t="shared" si="5"/>
        <v>4</v>
      </c>
      <c r="J8" s="1">
        <v>303515</v>
      </c>
      <c r="K8" s="18">
        <f t="shared" si="1"/>
        <v>0</v>
      </c>
      <c r="L8" s="1">
        <v>22059</v>
      </c>
      <c r="M8" s="18">
        <f t="shared" si="6"/>
        <v>800</v>
      </c>
      <c r="N8" s="115">
        <v>168074</v>
      </c>
      <c r="O8" s="18">
        <f t="shared" si="7"/>
        <v>5</v>
      </c>
      <c r="P8" s="1">
        <v>978783</v>
      </c>
      <c r="Q8" s="18">
        <f t="shared" si="2"/>
        <v>89</v>
      </c>
      <c r="R8" s="1">
        <v>55047</v>
      </c>
      <c r="S8" s="18">
        <f t="shared" si="8"/>
        <v>0</v>
      </c>
    </row>
    <row r="9" spans="1:24" ht="13.5" thickBot="1" x14ac:dyDescent="0.25">
      <c r="A9" s="11">
        <v>43561</v>
      </c>
      <c r="B9" s="1">
        <v>41719</v>
      </c>
      <c r="C9" s="18">
        <f t="shared" si="0"/>
        <v>240</v>
      </c>
      <c r="D9" s="1">
        <v>37372</v>
      </c>
      <c r="E9" s="18">
        <f t="shared" si="3"/>
        <v>480</v>
      </c>
      <c r="F9" s="1">
        <v>17566</v>
      </c>
      <c r="G9" s="18">
        <f t="shared" si="4"/>
        <v>60</v>
      </c>
      <c r="H9" s="1">
        <v>214434</v>
      </c>
      <c r="I9" s="18">
        <f t="shared" si="5"/>
        <v>3</v>
      </c>
      <c r="J9" s="1">
        <v>303515</v>
      </c>
      <c r="K9" s="18">
        <f t="shared" si="1"/>
        <v>0</v>
      </c>
      <c r="L9" s="1">
        <v>22063</v>
      </c>
      <c r="M9" s="18">
        <f t="shared" si="6"/>
        <v>640</v>
      </c>
      <c r="N9" s="115">
        <v>168076</v>
      </c>
      <c r="O9" s="18">
        <f t="shared" si="7"/>
        <v>2</v>
      </c>
      <c r="P9" s="1">
        <v>978832</v>
      </c>
      <c r="Q9" s="18">
        <f t="shared" si="2"/>
        <v>49</v>
      </c>
      <c r="R9" s="1">
        <v>55047</v>
      </c>
      <c r="S9" s="18">
        <f t="shared" si="8"/>
        <v>0</v>
      </c>
    </row>
    <row r="10" spans="1:24" ht="13.5" thickBot="1" x14ac:dyDescent="0.25">
      <c r="A10" s="11">
        <v>43562</v>
      </c>
      <c r="B10" s="1">
        <v>41729</v>
      </c>
      <c r="C10" s="18">
        <f t="shared" si="0"/>
        <v>1200</v>
      </c>
      <c r="D10" s="1">
        <v>37374</v>
      </c>
      <c r="E10" s="18">
        <f t="shared" si="3"/>
        <v>320</v>
      </c>
      <c r="F10" s="1">
        <v>17570</v>
      </c>
      <c r="G10" s="18">
        <f t="shared" si="4"/>
        <v>80</v>
      </c>
      <c r="H10" s="1">
        <v>214510</v>
      </c>
      <c r="I10" s="18">
        <f t="shared" si="5"/>
        <v>76</v>
      </c>
      <c r="J10" s="1">
        <v>303515</v>
      </c>
      <c r="K10" s="18">
        <f t="shared" si="1"/>
        <v>0</v>
      </c>
      <c r="L10" s="1">
        <v>22063</v>
      </c>
      <c r="M10" s="18">
        <f t="shared" si="6"/>
        <v>0</v>
      </c>
      <c r="N10" s="115">
        <v>168078</v>
      </c>
      <c r="O10" s="18">
        <f t="shared" si="7"/>
        <v>2</v>
      </c>
      <c r="P10" s="1">
        <v>979355</v>
      </c>
      <c r="Q10" s="18">
        <f>P10-P9</f>
        <v>523</v>
      </c>
      <c r="R10" s="1">
        <v>55047</v>
      </c>
      <c r="S10" s="18">
        <f>R10-R9</f>
        <v>0</v>
      </c>
    </row>
    <row r="11" spans="1:24" ht="13.5" thickBot="1" x14ac:dyDescent="0.25">
      <c r="A11" s="11">
        <v>43563</v>
      </c>
      <c r="B11" s="1">
        <v>41735</v>
      </c>
      <c r="C11" s="18">
        <f t="shared" si="0"/>
        <v>720</v>
      </c>
      <c r="D11" s="1">
        <v>37376</v>
      </c>
      <c r="E11" s="18">
        <f t="shared" si="3"/>
        <v>320</v>
      </c>
      <c r="F11" s="1">
        <v>17574</v>
      </c>
      <c r="G11" s="18">
        <f t="shared" si="4"/>
        <v>80</v>
      </c>
      <c r="H11" s="1">
        <v>214529</v>
      </c>
      <c r="I11" s="18">
        <f t="shared" si="5"/>
        <v>19</v>
      </c>
      <c r="J11" s="1">
        <v>303515</v>
      </c>
      <c r="K11" s="18">
        <f t="shared" si="1"/>
        <v>0</v>
      </c>
      <c r="L11" s="1">
        <v>22066</v>
      </c>
      <c r="M11" s="18">
        <f t="shared" si="6"/>
        <v>480</v>
      </c>
      <c r="N11" s="115">
        <v>168081</v>
      </c>
      <c r="O11" s="18">
        <f t="shared" si="7"/>
        <v>3</v>
      </c>
      <c r="P11" s="1">
        <v>979410</v>
      </c>
      <c r="Q11" s="18">
        <f>P11-P10</f>
        <v>55</v>
      </c>
      <c r="R11" s="1">
        <v>55047</v>
      </c>
      <c r="S11" s="18">
        <f>R11-R10</f>
        <v>0</v>
      </c>
    </row>
    <row r="12" spans="1:24" ht="13.5" thickBot="1" x14ac:dyDescent="0.25">
      <c r="A12" s="11">
        <v>43564</v>
      </c>
      <c r="B12" s="1">
        <v>41741</v>
      </c>
      <c r="C12" s="18">
        <f t="shared" si="0"/>
        <v>720</v>
      </c>
      <c r="D12" s="1">
        <v>37379</v>
      </c>
      <c r="E12" s="18">
        <f t="shared" si="3"/>
        <v>480</v>
      </c>
      <c r="F12" s="1">
        <v>17578</v>
      </c>
      <c r="G12" s="18">
        <f>(F12-F11)*100/5</f>
        <v>80</v>
      </c>
      <c r="H12" s="1">
        <v>214548</v>
      </c>
      <c r="I12" s="18">
        <f t="shared" si="5"/>
        <v>19</v>
      </c>
      <c r="J12" s="1">
        <v>303515</v>
      </c>
      <c r="K12" s="18">
        <f t="shared" si="1"/>
        <v>0</v>
      </c>
      <c r="L12" s="1">
        <v>22071</v>
      </c>
      <c r="M12" s="18">
        <f t="shared" si="6"/>
        <v>800</v>
      </c>
      <c r="N12" s="115">
        <v>168084</v>
      </c>
      <c r="O12" s="18">
        <f t="shared" si="7"/>
        <v>3</v>
      </c>
      <c r="P12" s="1">
        <v>979740</v>
      </c>
      <c r="Q12" s="18">
        <f t="shared" si="2"/>
        <v>330</v>
      </c>
      <c r="R12" s="1">
        <v>55047</v>
      </c>
      <c r="S12" s="18">
        <f t="shared" si="8"/>
        <v>0</v>
      </c>
    </row>
    <row r="13" spans="1:24" ht="13.5" thickBot="1" x14ac:dyDescent="0.25">
      <c r="A13" s="11">
        <v>43565</v>
      </c>
      <c r="B13" s="1">
        <v>41746</v>
      </c>
      <c r="C13" s="18">
        <f t="shared" si="0"/>
        <v>600</v>
      </c>
      <c r="D13" s="1">
        <v>37382</v>
      </c>
      <c r="E13" s="18">
        <f t="shared" si="3"/>
        <v>480</v>
      </c>
      <c r="F13" s="1">
        <v>17582</v>
      </c>
      <c r="G13" s="18">
        <f t="shared" si="4"/>
        <v>80</v>
      </c>
      <c r="H13" s="1">
        <v>214567</v>
      </c>
      <c r="I13" s="18">
        <f t="shared" si="5"/>
        <v>19</v>
      </c>
      <c r="J13" s="1">
        <v>303515</v>
      </c>
      <c r="K13" s="18">
        <f t="shared" si="1"/>
        <v>0</v>
      </c>
      <c r="L13" s="1">
        <v>22076</v>
      </c>
      <c r="M13" s="18">
        <f t="shared" si="6"/>
        <v>800</v>
      </c>
      <c r="N13" s="115">
        <v>168087</v>
      </c>
      <c r="O13" s="18">
        <f t="shared" si="7"/>
        <v>3</v>
      </c>
      <c r="P13" s="1">
        <v>980021</v>
      </c>
      <c r="Q13" s="18">
        <f t="shared" si="2"/>
        <v>281</v>
      </c>
      <c r="R13" s="1">
        <v>55047</v>
      </c>
      <c r="S13" s="18">
        <f t="shared" si="8"/>
        <v>0</v>
      </c>
    </row>
    <row r="14" spans="1:24" ht="13.5" thickBot="1" x14ac:dyDescent="0.25">
      <c r="A14" s="11">
        <v>43566</v>
      </c>
      <c r="B14" s="1">
        <v>41751</v>
      </c>
      <c r="C14" s="18">
        <f t="shared" ref="C14:C33" si="9">(B14-B13)*600/5</f>
        <v>600</v>
      </c>
      <c r="D14" s="1">
        <v>37386</v>
      </c>
      <c r="E14" s="18">
        <f t="shared" si="3"/>
        <v>640</v>
      </c>
      <c r="F14" s="1">
        <v>17586</v>
      </c>
      <c r="G14" s="18">
        <f t="shared" si="4"/>
        <v>80</v>
      </c>
      <c r="H14" s="1">
        <v>214584</v>
      </c>
      <c r="I14" s="18">
        <f t="shared" si="5"/>
        <v>17</v>
      </c>
      <c r="J14" s="1">
        <v>303515</v>
      </c>
      <c r="K14" s="18">
        <f t="shared" ref="K14:K33" si="10">J14-J13</f>
        <v>0</v>
      </c>
      <c r="L14" s="1">
        <v>22080</v>
      </c>
      <c r="M14" s="18">
        <f t="shared" si="6"/>
        <v>640</v>
      </c>
      <c r="N14" s="115">
        <v>168089</v>
      </c>
      <c r="O14" s="18">
        <f t="shared" si="7"/>
        <v>2</v>
      </c>
      <c r="P14" s="1">
        <v>980212</v>
      </c>
      <c r="Q14" s="18">
        <f t="shared" si="2"/>
        <v>191</v>
      </c>
      <c r="R14" s="1">
        <v>55047</v>
      </c>
      <c r="S14" s="18">
        <f t="shared" si="8"/>
        <v>0</v>
      </c>
    </row>
    <row r="15" spans="1:24" ht="13.5" thickBot="1" x14ac:dyDescent="0.25">
      <c r="A15" s="11">
        <v>43567</v>
      </c>
      <c r="B15" s="1">
        <v>41757</v>
      </c>
      <c r="C15" s="18">
        <f t="shared" si="9"/>
        <v>720</v>
      </c>
      <c r="D15" s="1">
        <v>37389</v>
      </c>
      <c r="E15" s="18">
        <f t="shared" si="3"/>
        <v>480</v>
      </c>
      <c r="F15" s="1">
        <v>17590</v>
      </c>
      <c r="G15" s="18">
        <f t="shared" si="4"/>
        <v>80</v>
      </c>
      <c r="H15" s="1">
        <v>214614</v>
      </c>
      <c r="I15" s="18">
        <f t="shared" si="5"/>
        <v>30</v>
      </c>
      <c r="J15" s="1">
        <v>303515</v>
      </c>
      <c r="K15" s="18">
        <f t="shared" si="10"/>
        <v>0</v>
      </c>
      <c r="L15" s="1">
        <v>22083</v>
      </c>
      <c r="M15" s="18">
        <f t="shared" si="6"/>
        <v>480</v>
      </c>
      <c r="N15" s="115">
        <v>168092</v>
      </c>
      <c r="O15" s="18">
        <f t="shared" si="7"/>
        <v>3</v>
      </c>
      <c r="P15" s="1">
        <v>980354</v>
      </c>
      <c r="Q15" s="18">
        <f t="shared" si="2"/>
        <v>142</v>
      </c>
      <c r="R15" s="1">
        <v>55047</v>
      </c>
      <c r="S15" s="18">
        <f t="shared" si="8"/>
        <v>0</v>
      </c>
    </row>
    <row r="16" spans="1:24" ht="13.5" thickBot="1" x14ac:dyDescent="0.25">
      <c r="A16" s="11">
        <v>43568</v>
      </c>
      <c r="B16" s="1">
        <v>41761</v>
      </c>
      <c r="C16" s="18">
        <f t="shared" si="9"/>
        <v>480</v>
      </c>
      <c r="D16" s="1">
        <v>37392</v>
      </c>
      <c r="E16" s="18">
        <f t="shared" si="3"/>
        <v>480</v>
      </c>
      <c r="F16" s="1">
        <v>17593</v>
      </c>
      <c r="G16" s="18">
        <f t="shared" si="4"/>
        <v>60</v>
      </c>
      <c r="H16" s="1">
        <v>214646</v>
      </c>
      <c r="I16" s="18">
        <f t="shared" si="5"/>
        <v>32</v>
      </c>
      <c r="J16" s="1">
        <v>303515</v>
      </c>
      <c r="K16" s="18">
        <f t="shared" si="10"/>
        <v>0</v>
      </c>
      <c r="L16" s="1">
        <v>22086</v>
      </c>
      <c r="M16" s="18">
        <f t="shared" si="6"/>
        <v>480</v>
      </c>
      <c r="N16" s="115">
        <v>168095</v>
      </c>
      <c r="O16" s="18">
        <f t="shared" si="7"/>
        <v>3</v>
      </c>
      <c r="P16" s="1">
        <v>980517</v>
      </c>
      <c r="Q16" s="18">
        <f t="shared" si="2"/>
        <v>163</v>
      </c>
      <c r="R16" s="1">
        <v>55047</v>
      </c>
      <c r="S16" s="18">
        <f t="shared" si="8"/>
        <v>0</v>
      </c>
      <c r="X16" t="s">
        <v>13</v>
      </c>
    </row>
    <row r="17" spans="1:23" ht="13.5" thickBot="1" x14ac:dyDescent="0.25">
      <c r="A17" s="11">
        <v>43569</v>
      </c>
      <c r="B17" s="1">
        <v>41767</v>
      </c>
      <c r="C17" s="18">
        <f t="shared" si="9"/>
        <v>720</v>
      </c>
      <c r="D17" s="1">
        <v>37395</v>
      </c>
      <c r="E17" s="18">
        <f t="shared" si="3"/>
        <v>480</v>
      </c>
      <c r="F17" s="1">
        <v>17597</v>
      </c>
      <c r="G17" s="18">
        <f t="shared" si="4"/>
        <v>80</v>
      </c>
      <c r="H17" s="1">
        <v>214671</v>
      </c>
      <c r="I17" s="18">
        <f t="shared" si="5"/>
        <v>25</v>
      </c>
      <c r="J17" s="1">
        <v>303517</v>
      </c>
      <c r="K17" s="18">
        <f t="shared" si="10"/>
        <v>2</v>
      </c>
      <c r="L17" s="1">
        <v>22091</v>
      </c>
      <c r="M17" s="18">
        <f t="shared" si="6"/>
        <v>800</v>
      </c>
      <c r="N17" s="115">
        <v>168099</v>
      </c>
      <c r="O17" s="18">
        <f t="shared" si="7"/>
        <v>4</v>
      </c>
      <c r="P17" s="1">
        <v>980784</v>
      </c>
      <c r="Q17" s="18">
        <f t="shared" si="2"/>
        <v>267</v>
      </c>
      <c r="R17" s="1">
        <v>55047</v>
      </c>
      <c r="S17" s="18">
        <f t="shared" si="8"/>
        <v>0</v>
      </c>
      <c r="W17" t="s">
        <v>13</v>
      </c>
    </row>
    <row r="18" spans="1:23" ht="13.5" thickBot="1" x14ac:dyDescent="0.25">
      <c r="A18" s="11">
        <v>43570</v>
      </c>
      <c r="B18" s="1">
        <v>41772</v>
      </c>
      <c r="C18" s="18">
        <f t="shared" si="9"/>
        <v>600</v>
      </c>
      <c r="D18" s="1">
        <v>37399</v>
      </c>
      <c r="E18" s="18">
        <f t="shared" si="3"/>
        <v>640</v>
      </c>
      <c r="F18" s="1">
        <v>17601</v>
      </c>
      <c r="G18" s="18">
        <f t="shared" si="4"/>
        <v>80</v>
      </c>
      <c r="H18" s="1">
        <v>214697</v>
      </c>
      <c r="I18" s="18">
        <f t="shared" si="5"/>
        <v>26</v>
      </c>
      <c r="J18" s="1">
        <v>303517</v>
      </c>
      <c r="K18" s="18">
        <f t="shared" si="10"/>
        <v>0</v>
      </c>
      <c r="L18" s="1">
        <v>22095</v>
      </c>
      <c r="M18" s="18">
        <f t="shared" si="6"/>
        <v>640</v>
      </c>
      <c r="N18" s="115">
        <v>168102</v>
      </c>
      <c r="O18" s="18">
        <f t="shared" si="7"/>
        <v>3</v>
      </c>
      <c r="P18" s="1">
        <v>980973</v>
      </c>
      <c r="Q18" s="18">
        <f t="shared" si="2"/>
        <v>189</v>
      </c>
      <c r="R18" s="1">
        <v>55047</v>
      </c>
      <c r="S18" s="18">
        <f t="shared" si="8"/>
        <v>0</v>
      </c>
    </row>
    <row r="19" spans="1:23" ht="13.5" thickBot="1" x14ac:dyDescent="0.25">
      <c r="A19" s="11">
        <v>43571</v>
      </c>
      <c r="B19" s="1">
        <v>41778</v>
      </c>
      <c r="C19" s="18">
        <f t="shared" si="9"/>
        <v>720</v>
      </c>
      <c r="D19" s="1">
        <v>37402</v>
      </c>
      <c r="E19" s="18">
        <f t="shared" si="3"/>
        <v>480</v>
      </c>
      <c r="F19" s="1">
        <v>17606</v>
      </c>
      <c r="G19" s="18">
        <f t="shared" si="4"/>
        <v>100</v>
      </c>
      <c r="H19" s="1">
        <v>214711</v>
      </c>
      <c r="I19" s="18">
        <f t="shared" si="5"/>
        <v>14</v>
      </c>
      <c r="J19" s="1">
        <v>303517</v>
      </c>
      <c r="K19" s="18">
        <f t="shared" si="10"/>
        <v>0</v>
      </c>
      <c r="L19" s="1">
        <v>22100</v>
      </c>
      <c r="M19" s="18">
        <f t="shared" si="6"/>
        <v>800</v>
      </c>
      <c r="N19" s="115">
        <v>168105</v>
      </c>
      <c r="O19" s="18">
        <f t="shared" si="7"/>
        <v>3</v>
      </c>
      <c r="P19" s="1">
        <v>981211</v>
      </c>
      <c r="Q19" s="18">
        <f t="shared" si="2"/>
        <v>238</v>
      </c>
      <c r="R19" s="1">
        <v>55047</v>
      </c>
      <c r="S19" s="18">
        <f t="shared" si="8"/>
        <v>0</v>
      </c>
      <c r="U19" t="s">
        <v>13</v>
      </c>
    </row>
    <row r="20" spans="1:23" ht="13.5" thickBot="1" x14ac:dyDescent="0.25">
      <c r="A20" s="11">
        <v>43572</v>
      </c>
      <c r="B20" s="1">
        <v>41784</v>
      </c>
      <c r="C20" s="18">
        <f t="shared" si="9"/>
        <v>720</v>
      </c>
      <c r="D20" s="1">
        <v>37406</v>
      </c>
      <c r="E20" s="18">
        <f t="shared" si="3"/>
        <v>640</v>
      </c>
      <c r="F20" s="1">
        <v>17610</v>
      </c>
      <c r="G20" s="18">
        <f t="shared" si="4"/>
        <v>80</v>
      </c>
      <c r="H20" s="1">
        <v>214725</v>
      </c>
      <c r="I20" s="18">
        <f t="shared" si="5"/>
        <v>14</v>
      </c>
      <c r="J20" s="1">
        <v>303517</v>
      </c>
      <c r="K20" s="18">
        <f t="shared" si="10"/>
        <v>0</v>
      </c>
      <c r="L20" s="1">
        <v>22105</v>
      </c>
      <c r="M20" s="18">
        <f t="shared" si="6"/>
        <v>800</v>
      </c>
      <c r="N20" s="115">
        <v>168108</v>
      </c>
      <c r="O20" s="18">
        <f t="shared" si="7"/>
        <v>3</v>
      </c>
      <c r="P20" s="1">
        <v>981438</v>
      </c>
      <c r="Q20" s="18">
        <f t="shared" si="2"/>
        <v>227</v>
      </c>
      <c r="R20" s="1">
        <v>55047</v>
      </c>
      <c r="S20" s="18">
        <f t="shared" si="8"/>
        <v>0</v>
      </c>
      <c r="T20" t="s">
        <v>26</v>
      </c>
      <c r="W20" t="s">
        <v>13</v>
      </c>
    </row>
    <row r="21" spans="1:23" ht="13.5" thickBot="1" x14ac:dyDescent="0.25">
      <c r="A21" s="11">
        <v>43573</v>
      </c>
      <c r="B21" s="1">
        <v>41786</v>
      </c>
      <c r="C21" s="18">
        <f t="shared" si="9"/>
        <v>240</v>
      </c>
      <c r="D21" s="1">
        <v>37408</v>
      </c>
      <c r="E21" s="18">
        <f t="shared" si="3"/>
        <v>320</v>
      </c>
      <c r="F21" s="1">
        <v>17611</v>
      </c>
      <c r="G21" s="18">
        <f t="shared" si="4"/>
        <v>20</v>
      </c>
      <c r="H21" s="1">
        <v>214726</v>
      </c>
      <c r="I21" s="18">
        <f t="shared" si="5"/>
        <v>1</v>
      </c>
      <c r="J21" s="1">
        <v>303517</v>
      </c>
      <c r="K21" s="18">
        <f t="shared" si="10"/>
        <v>0</v>
      </c>
      <c r="L21" s="1">
        <v>22105</v>
      </c>
      <c r="M21" s="18">
        <f t="shared" si="6"/>
        <v>0</v>
      </c>
      <c r="N21" s="115">
        <v>168108</v>
      </c>
      <c r="O21" s="18">
        <f t="shared" si="7"/>
        <v>0</v>
      </c>
      <c r="P21" s="1">
        <v>981476</v>
      </c>
      <c r="Q21" s="18">
        <f t="shared" si="2"/>
        <v>38</v>
      </c>
      <c r="R21" s="1">
        <v>55047</v>
      </c>
      <c r="S21" s="18">
        <f t="shared" si="8"/>
        <v>0</v>
      </c>
    </row>
    <row r="22" spans="1:23" ht="13.5" thickBot="1" x14ac:dyDescent="0.25">
      <c r="A22" s="11">
        <v>43574</v>
      </c>
      <c r="B22" s="1">
        <v>41787</v>
      </c>
      <c r="C22" s="18">
        <f t="shared" si="9"/>
        <v>120</v>
      </c>
      <c r="D22" s="1">
        <v>37409</v>
      </c>
      <c r="E22" s="18">
        <f t="shared" si="3"/>
        <v>160</v>
      </c>
      <c r="F22" s="1">
        <v>17613</v>
      </c>
      <c r="G22" s="18">
        <f t="shared" si="4"/>
        <v>40</v>
      </c>
      <c r="H22" s="1">
        <v>214727</v>
      </c>
      <c r="I22" s="18">
        <f t="shared" si="5"/>
        <v>1</v>
      </c>
      <c r="J22" s="1">
        <v>303517</v>
      </c>
      <c r="K22" s="18">
        <f t="shared" si="10"/>
        <v>0</v>
      </c>
      <c r="L22" s="1">
        <v>22107</v>
      </c>
      <c r="M22" s="18">
        <f t="shared" si="6"/>
        <v>320</v>
      </c>
      <c r="N22" s="115">
        <v>168109</v>
      </c>
      <c r="O22" s="18">
        <f t="shared" si="7"/>
        <v>1</v>
      </c>
      <c r="P22" s="1">
        <v>981496</v>
      </c>
      <c r="Q22" s="18">
        <f t="shared" si="2"/>
        <v>20</v>
      </c>
      <c r="R22" s="1">
        <v>55047</v>
      </c>
      <c r="S22" s="18">
        <f t="shared" si="8"/>
        <v>0</v>
      </c>
    </row>
    <row r="23" spans="1:23" ht="13.5" thickBot="1" x14ac:dyDescent="0.25">
      <c r="A23" s="11">
        <v>43575</v>
      </c>
      <c r="B23" s="1">
        <v>41801</v>
      </c>
      <c r="C23" s="18">
        <f t="shared" si="9"/>
        <v>1680</v>
      </c>
      <c r="D23" s="1">
        <v>37416</v>
      </c>
      <c r="E23" s="18">
        <f t="shared" si="3"/>
        <v>1120</v>
      </c>
      <c r="F23" s="1">
        <v>17624</v>
      </c>
      <c r="G23" s="18">
        <f t="shared" si="4"/>
        <v>220</v>
      </c>
      <c r="H23" s="1">
        <v>214770</v>
      </c>
      <c r="I23" s="18">
        <f t="shared" si="5"/>
        <v>43</v>
      </c>
      <c r="J23" s="1">
        <v>303517</v>
      </c>
      <c r="K23" s="18">
        <f t="shared" si="10"/>
        <v>0</v>
      </c>
      <c r="L23" s="1">
        <v>22115</v>
      </c>
      <c r="M23" s="18">
        <f t="shared" si="6"/>
        <v>1280</v>
      </c>
      <c r="N23" s="115">
        <v>168118</v>
      </c>
      <c r="O23" s="18">
        <f t="shared" si="7"/>
        <v>9</v>
      </c>
      <c r="P23" s="1">
        <v>981971</v>
      </c>
      <c r="Q23" s="18">
        <f t="shared" si="2"/>
        <v>475</v>
      </c>
      <c r="R23" s="1">
        <v>55047</v>
      </c>
      <c r="S23" s="18">
        <f t="shared" si="8"/>
        <v>0</v>
      </c>
    </row>
    <row r="24" spans="1:23" ht="13.5" thickBot="1" x14ac:dyDescent="0.25">
      <c r="A24" s="11">
        <v>43576</v>
      </c>
      <c r="B24" s="1">
        <v>41807</v>
      </c>
      <c r="C24" s="18">
        <f t="shared" si="9"/>
        <v>720</v>
      </c>
      <c r="D24" s="1">
        <v>37419</v>
      </c>
      <c r="E24" s="18">
        <f t="shared" si="3"/>
        <v>480</v>
      </c>
      <c r="F24" s="1">
        <v>17629</v>
      </c>
      <c r="G24" s="18">
        <f t="shared" si="4"/>
        <v>100</v>
      </c>
      <c r="H24" s="1">
        <v>214789</v>
      </c>
      <c r="I24" s="18">
        <f t="shared" si="5"/>
        <v>19</v>
      </c>
      <c r="J24" s="1">
        <v>303517</v>
      </c>
      <c r="K24" s="18">
        <f t="shared" si="10"/>
        <v>0</v>
      </c>
      <c r="L24" s="1">
        <v>22120</v>
      </c>
      <c r="M24" s="18">
        <f t="shared" si="6"/>
        <v>800</v>
      </c>
      <c r="N24" s="115">
        <v>168121</v>
      </c>
      <c r="O24" s="18">
        <f t="shared" si="7"/>
        <v>3</v>
      </c>
      <c r="P24" s="1">
        <v>982179</v>
      </c>
      <c r="Q24" s="18">
        <f t="shared" si="2"/>
        <v>208</v>
      </c>
      <c r="R24" s="1">
        <v>55047</v>
      </c>
      <c r="S24" s="18">
        <f t="shared" si="8"/>
        <v>0</v>
      </c>
    </row>
    <row r="25" spans="1:23" ht="13.5" thickBot="1" x14ac:dyDescent="0.25">
      <c r="A25" s="11">
        <v>43577</v>
      </c>
      <c r="B25" s="1">
        <v>41812</v>
      </c>
      <c r="C25" s="18">
        <f t="shared" si="9"/>
        <v>600</v>
      </c>
      <c r="D25" s="1">
        <v>37423</v>
      </c>
      <c r="E25" s="18">
        <f t="shared" si="3"/>
        <v>640</v>
      </c>
      <c r="F25" s="1">
        <v>17633</v>
      </c>
      <c r="G25" s="18">
        <f t="shared" si="4"/>
        <v>80</v>
      </c>
      <c r="H25" s="1">
        <v>214806</v>
      </c>
      <c r="I25" s="18">
        <f t="shared" si="5"/>
        <v>17</v>
      </c>
      <c r="J25" s="1">
        <v>303517</v>
      </c>
      <c r="K25" s="18">
        <f t="shared" si="10"/>
        <v>0</v>
      </c>
      <c r="L25" s="1">
        <v>22125</v>
      </c>
      <c r="M25" s="18">
        <f t="shared" si="6"/>
        <v>800</v>
      </c>
      <c r="N25" s="115">
        <v>168124</v>
      </c>
      <c r="O25" s="18">
        <f t="shared" si="7"/>
        <v>3</v>
      </c>
      <c r="P25" s="1">
        <v>982351</v>
      </c>
      <c r="Q25" s="18">
        <f t="shared" si="2"/>
        <v>172</v>
      </c>
      <c r="R25" s="1">
        <v>55047</v>
      </c>
      <c r="S25" s="18">
        <f t="shared" si="8"/>
        <v>0</v>
      </c>
    </row>
    <row r="26" spans="1:23" ht="13.5" thickBot="1" x14ac:dyDescent="0.25">
      <c r="A26" s="11">
        <v>43578</v>
      </c>
      <c r="B26" s="1">
        <v>41818</v>
      </c>
      <c r="C26" s="18">
        <f t="shared" si="9"/>
        <v>720</v>
      </c>
      <c r="D26" s="146">
        <v>37426</v>
      </c>
      <c r="E26" s="18">
        <f t="shared" si="3"/>
        <v>480</v>
      </c>
      <c r="F26" s="1">
        <v>17638</v>
      </c>
      <c r="G26" s="18">
        <f t="shared" si="4"/>
        <v>100</v>
      </c>
      <c r="H26" s="1">
        <v>214836</v>
      </c>
      <c r="I26" s="18">
        <f t="shared" si="5"/>
        <v>30</v>
      </c>
      <c r="J26" s="1">
        <v>303517</v>
      </c>
      <c r="K26" s="18">
        <f t="shared" si="10"/>
        <v>0</v>
      </c>
      <c r="L26" s="1">
        <v>22129</v>
      </c>
      <c r="M26" s="18">
        <f t="shared" si="6"/>
        <v>640</v>
      </c>
      <c r="N26" s="115">
        <v>168127</v>
      </c>
      <c r="O26" s="18">
        <f t="shared" si="7"/>
        <v>3</v>
      </c>
      <c r="P26" s="1">
        <v>982410</v>
      </c>
      <c r="Q26" s="18">
        <f t="shared" si="2"/>
        <v>59</v>
      </c>
      <c r="R26" s="1">
        <v>55047</v>
      </c>
      <c r="S26" s="18">
        <f t="shared" si="8"/>
        <v>0</v>
      </c>
      <c r="U26" t="s">
        <v>13</v>
      </c>
      <c r="V26" t="s">
        <v>13</v>
      </c>
    </row>
    <row r="27" spans="1:23" ht="13.5" thickBot="1" x14ac:dyDescent="0.25">
      <c r="A27" s="11">
        <v>43579</v>
      </c>
      <c r="B27" s="1">
        <v>41823</v>
      </c>
      <c r="C27" s="18">
        <f t="shared" si="9"/>
        <v>600</v>
      </c>
      <c r="D27" s="1">
        <v>37429</v>
      </c>
      <c r="E27" s="18">
        <f t="shared" si="3"/>
        <v>480</v>
      </c>
      <c r="F27" s="1">
        <v>17642</v>
      </c>
      <c r="G27" s="18">
        <f t="shared" si="4"/>
        <v>80</v>
      </c>
      <c r="H27" s="1">
        <v>214850</v>
      </c>
      <c r="I27" s="18">
        <f t="shared" si="5"/>
        <v>14</v>
      </c>
      <c r="J27" s="1">
        <v>303517</v>
      </c>
      <c r="K27" s="18">
        <f t="shared" si="10"/>
        <v>0</v>
      </c>
      <c r="L27" s="1">
        <v>22134</v>
      </c>
      <c r="M27" s="18">
        <f t="shared" si="6"/>
        <v>800</v>
      </c>
      <c r="N27" s="115">
        <v>168131</v>
      </c>
      <c r="O27" s="18">
        <f t="shared" si="7"/>
        <v>4</v>
      </c>
      <c r="P27" s="1">
        <v>982601</v>
      </c>
      <c r="Q27" s="18">
        <f t="shared" si="2"/>
        <v>191</v>
      </c>
      <c r="R27" s="1">
        <v>55047</v>
      </c>
      <c r="S27" s="18">
        <f t="shared" si="8"/>
        <v>0</v>
      </c>
    </row>
    <row r="28" spans="1:23" ht="13.5" thickBot="1" x14ac:dyDescent="0.25">
      <c r="A28" s="11">
        <v>43580</v>
      </c>
      <c r="B28" s="1">
        <v>41829</v>
      </c>
      <c r="C28" s="18">
        <f t="shared" si="9"/>
        <v>720</v>
      </c>
      <c r="D28" s="1">
        <v>37431</v>
      </c>
      <c r="E28" s="18">
        <f t="shared" si="3"/>
        <v>320</v>
      </c>
      <c r="F28" s="1">
        <v>17646</v>
      </c>
      <c r="G28" s="18">
        <f t="shared" si="4"/>
        <v>80</v>
      </c>
      <c r="H28" s="1">
        <v>214873</v>
      </c>
      <c r="I28" s="18">
        <f t="shared" si="5"/>
        <v>23</v>
      </c>
      <c r="J28" s="1">
        <v>303517</v>
      </c>
      <c r="K28" s="18">
        <f t="shared" si="10"/>
        <v>0</v>
      </c>
      <c r="L28" s="1">
        <v>22137</v>
      </c>
      <c r="M28" s="18">
        <f t="shared" si="6"/>
        <v>480</v>
      </c>
      <c r="N28" s="115">
        <v>168133</v>
      </c>
      <c r="O28" s="18">
        <f t="shared" si="7"/>
        <v>2</v>
      </c>
      <c r="P28" s="1">
        <v>982815</v>
      </c>
      <c r="Q28" s="18">
        <f t="shared" si="2"/>
        <v>214</v>
      </c>
      <c r="R28" s="1">
        <v>55047</v>
      </c>
      <c r="S28" s="18">
        <f t="shared" si="8"/>
        <v>0</v>
      </c>
      <c r="T28" t="s">
        <v>25</v>
      </c>
    </row>
    <row r="29" spans="1:23" ht="13.5" thickBot="1" x14ac:dyDescent="0.25">
      <c r="A29" s="11">
        <v>43581</v>
      </c>
      <c r="B29" s="1">
        <v>41834</v>
      </c>
      <c r="C29" s="18">
        <f t="shared" si="9"/>
        <v>600</v>
      </c>
      <c r="D29" s="1">
        <v>37436</v>
      </c>
      <c r="E29" s="18">
        <f t="shared" si="3"/>
        <v>800</v>
      </c>
      <c r="F29" s="1">
        <v>17650</v>
      </c>
      <c r="G29" s="18">
        <f t="shared" si="4"/>
        <v>80</v>
      </c>
      <c r="H29" s="1">
        <v>214893</v>
      </c>
      <c r="I29" s="18">
        <f t="shared" si="5"/>
        <v>20</v>
      </c>
      <c r="J29" s="1">
        <v>303517</v>
      </c>
      <c r="K29" s="18">
        <f t="shared" si="10"/>
        <v>0</v>
      </c>
      <c r="L29" s="1">
        <v>22140</v>
      </c>
      <c r="M29" s="18">
        <f t="shared" si="6"/>
        <v>480</v>
      </c>
      <c r="N29" s="115">
        <v>168137</v>
      </c>
      <c r="O29" s="18">
        <f t="shared" si="7"/>
        <v>4</v>
      </c>
      <c r="P29" s="1">
        <v>982996</v>
      </c>
      <c r="Q29" s="19">
        <f t="shared" si="2"/>
        <v>181</v>
      </c>
      <c r="R29" s="1">
        <v>55047</v>
      </c>
      <c r="S29" s="19">
        <f t="shared" si="8"/>
        <v>0</v>
      </c>
    </row>
    <row r="30" spans="1:23" ht="13.5" thickBot="1" x14ac:dyDescent="0.25">
      <c r="A30" s="11">
        <v>43582</v>
      </c>
      <c r="B30" s="1">
        <v>41840</v>
      </c>
      <c r="C30" s="18">
        <f t="shared" si="9"/>
        <v>720</v>
      </c>
      <c r="D30" s="1">
        <v>37439</v>
      </c>
      <c r="E30" s="18">
        <f t="shared" si="3"/>
        <v>480</v>
      </c>
      <c r="F30" s="1">
        <v>17654</v>
      </c>
      <c r="G30" s="18">
        <f t="shared" si="4"/>
        <v>80</v>
      </c>
      <c r="H30" s="1">
        <v>214911</v>
      </c>
      <c r="I30" s="18">
        <f t="shared" si="5"/>
        <v>18</v>
      </c>
      <c r="J30" s="1">
        <v>303517</v>
      </c>
      <c r="K30" s="18">
        <f t="shared" si="10"/>
        <v>0</v>
      </c>
      <c r="L30" s="1">
        <v>22143</v>
      </c>
      <c r="M30" s="18">
        <f t="shared" si="6"/>
        <v>480</v>
      </c>
      <c r="N30" s="115">
        <v>168140</v>
      </c>
      <c r="O30" s="18">
        <f t="shared" si="7"/>
        <v>3</v>
      </c>
      <c r="P30" s="1">
        <v>983107</v>
      </c>
      <c r="Q30" s="18">
        <f t="shared" si="2"/>
        <v>111</v>
      </c>
      <c r="R30" s="1">
        <v>55047</v>
      </c>
      <c r="S30" s="18">
        <f t="shared" si="8"/>
        <v>0</v>
      </c>
      <c r="T30" t="s">
        <v>27</v>
      </c>
      <c r="U30" t="s">
        <v>13</v>
      </c>
    </row>
    <row r="31" spans="1:23" ht="13.5" thickBot="1" x14ac:dyDescent="0.25">
      <c r="A31" s="11">
        <v>43583</v>
      </c>
      <c r="B31" s="1">
        <v>41845</v>
      </c>
      <c r="C31" s="18">
        <f t="shared" si="9"/>
        <v>600</v>
      </c>
      <c r="D31" s="1">
        <v>37442</v>
      </c>
      <c r="E31" s="18">
        <f t="shared" si="3"/>
        <v>480</v>
      </c>
      <c r="F31" s="1">
        <v>17658</v>
      </c>
      <c r="G31" s="18">
        <f t="shared" si="4"/>
        <v>80</v>
      </c>
      <c r="H31" s="1">
        <v>214938</v>
      </c>
      <c r="I31" s="18">
        <f t="shared" si="5"/>
        <v>27</v>
      </c>
      <c r="J31" s="1">
        <v>303517</v>
      </c>
      <c r="K31" s="18">
        <f t="shared" si="10"/>
        <v>0</v>
      </c>
      <c r="L31" s="1">
        <v>22145</v>
      </c>
      <c r="M31" s="18">
        <f t="shared" si="6"/>
        <v>320</v>
      </c>
      <c r="N31" s="115">
        <v>168142</v>
      </c>
      <c r="O31" s="18">
        <f t="shared" si="7"/>
        <v>2</v>
      </c>
      <c r="P31" s="1">
        <v>983353</v>
      </c>
      <c r="Q31" s="18">
        <f t="shared" si="2"/>
        <v>246</v>
      </c>
      <c r="R31" s="1">
        <v>55047</v>
      </c>
      <c r="S31" s="18">
        <f t="shared" si="8"/>
        <v>0</v>
      </c>
      <c r="T31" t="s">
        <v>13</v>
      </c>
    </row>
    <row r="32" spans="1:23" ht="13.5" thickBot="1" x14ac:dyDescent="0.25">
      <c r="A32" s="11">
        <v>43584</v>
      </c>
      <c r="B32" s="1">
        <v>41858</v>
      </c>
      <c r="C32" s="18">
        <f t="shared" si="9"/>
        <v>1560</v>
      </c>
      <c r="D32" s="1">
        <v>37445</v>
      </c>
      <c r="E32" s="18">
        <f t="shared" si="3"/>
        <v>480</v>
      </c>
      <c r="F32" s="1">
        <v>17661</v>
      </c>
      <c r="G32" s="18">
        <f t="shared" si="4"/>
        <v>60</v>
      </c>
      <c r="H32" s="1">
        <v>214963</v>
      </c>
      <c r="I32" s="18">
        <f t="shared" si="5"/>
        <v>25</v>
      </c>
      <c r="J32" s="1">
        <v>303517</v>
      </c>
      <c r="K32" s="18">
        <f t="shared" si="10"/>
        <v>0</v>
      </c>
      <c r="L32" s="1">
        <v>22148</v>
      </c>
      <c r="M32" s="18">
        <f t="shared" si="6"/>
        <v>480</v>
      </c>
      <c r="N32" s="115">
        <v>168145</v>
      </c>
      <c r="O32" s="18">
        <f t="shared" si="7"/>
        <v>3</v>
      </c>
      <c r="P32" s="1">
        <v>983540</v>
      </c>
      <c r="Q32" s="18">
        <v>41</v>
      </c>
      <c r="R32" s="1">
        <v>55047</v>
      </c>
      <c r="S32" s="18">
        <f t="shared" si="8"/>
        <v>0</v>
      </c>
    </row>
    <row r="33" spans="1:22" ht="13.5" thickBot="1" x14ac:dyDescent="0.25">
      <c r="A33" s="11">
        <v>43585</v>
      </c>
      <c r="B33" s="1">
        <v>41865</v>
      </c>
      <c r="C33" s="18">
        <f t="shared" si="9"/>
        <v>840</v>
      </c>
      <c r="D33" s="1">
        <v>37448</v>
      </c>
      <c r="E33" s="18">
        <f t="shared" si="3"/>
        <v>480</v>
      </c>
      <c r="F33" s="1">
        <v>17666</v>
      </c>
      <c r="G33" s="18">
        <f t="shared" si="4"/>
        <v>100</v>
      </c>
      <c r="H33" s="1">
        <v>214979</v>
      </c>
      <c r="I33" s="18">
        <f t="shared" si="5"/>
        <v>16</v>
      </c>
      <c r="J33" s="1">
        <v>303517</v>
      </c>
      <c r="K33" s="18">
        <f t="shared" si="10"/>
        <v>0</v>
      </c>
      <c r="L33" s="1">
        <v>22153</v>
      </c>
      <c r="M33" s="18">
        <f t="shared" si="6"/>
        <v>800</v>
      </c>
      <c r="N33" s="115">
        <v>168148</v>
      </c>
      <c r="O33" s="18">
        <f t="shared" si="7"/>
        <v>3</v>
      </c>
      <c r="P33" s="1">
        <v>983783</v>
      </c>
      <c r="Q33" s="18">
        <f>P33-P32</f>
        <v>243</v>
      </c>
      <c r="R33" s="1">
        <v>55047</v>
      </c>
      <c r="S33" s="18">
        <f>R33-R32</f>
        <v>0</v>
      </c>
      <c r="V33" t="s">
        <v>13</v>
      </c>
    </row>
    <row r="34" spans="1:22" ht="13.5" thickBot="1" x14ac:dyDescent="0.25">
      <c r="A34" s="11"/>
      <c r="B34" s="1">
        <v>41865</v>
      </c>
      <c r="C34" s="18">
        <f>(B34-B33)*600/5</f>
        <v>0</v>
      </c>
      <c r="D34" s="1">
        <v>37448</v>
      </c>
      <c r="E34" s="18">
        <f>(D34-D33)*800/5</f>
        <v>0</v>
      </c>
      <c r="F34" s="1">
        <v>17666</v>
      </c>
      <c r="G34" s="18">
        <f>(F34-F33)*100/5</f>
        <v>0</v>
      </c>
      <c r="H34" s="1">
        <v>214979</v>
      </c>
      <c r="I34" s="18">
        <f>H34-H33</f>
        <v>0</v>
      </c>
      <c r="J34" s="1">
        <v>303517</v>
      </c>
      <c r="K34" s="18">
        <f>J34-J33</f>
        <v>0</v>
      </c>
      <c r="L34" s="1">
        <v>22153</v>
      </c>
      <c r="M34" s="18">
        <f>(L34-L33)*800/5</f>
        <v>0</v>
      </c>
      <c r="N34" s="115">
        <v>168148</v>
      </c>
      <c r="O34" s="18">
        <f t="shared" si="7"/>
        <v>0</v>
      </c>
      <c r="P34" s="1">
        <v>983783</v>
      </c>
      <c r="Q34" s="18">
        <f>P34-P33</f>
        <v>0</v>
      </c>
      <c r="R34" s="1">
        <v>55047</v>
      </c>
      <c r="S34" s="18">
        <f>R34-R33</f>
        <v>0</v>
      </c>
    </row>
    <row r="35" spans="1:22" ht="16.5" thickBot="1" x14ac:dyDescent="0.3">
      <c r="A35" s="11" t="s">
        <v>28</v>
      </c>
      <c r="B35" s="1"/>
      <c r="C35" s="12">
        <f>SUM(C4:C34)</f>
        <v>21000</v>
      </c>
      <c r="D35" s="15"/>
      <c r="E35" s="12">
        <f>SUM(E4:E34)</f>
        <v>16000</v>
      </c>
      <c r="F35" s="15"/>
      <c r="G35" s="12">
        <f>SUM(G4:G34)</f>
        <v>2540</v>
      </c>
      <c r="H35" s="15"/>
      <c r="I35" s="12">
        <f>SUM(I4:I34)</f>
        <v>606</v>
      </c>
      <c r="J35" s="15"/>
      <c r="K35" s="12">
        <f>SUM(K4:K34)</f>
        <v>2</v>
      </c>
      <c r="L35" s="15"/>
      <c r="M35" s="12">
        <f>SUM(M4:M34)</f>
        <v>19360</v>
      </c>
      <c r="N35" s="116"/>
      <c r="O35" s="12">
        <f>SUM(O4:O34)</f>
        <v>91</v>
      </c>
      <c r="P35" s="15"/>
      <c r="Q35" s="12">
        <f>SUM(Q4:Q34)</f>
        <v>5662</v>
      </c>
      <c r="R35" s="1"/>
      <c r="S35" s="12">
        <f>SUM(S4:S34)</f>
        <v>0</v>
      </c>
      <c r="T35" t="s">
        <v>29</v>
      </c>
    </row>
    <row r="36" spans="1:22" ht="23.25" x14ac:dyDescent="0.35">
      <c r="B36" s="21"/>
      <c r="C36" s="22"/>
      <c r="D36" s="22"/>
      <c r="E36" s="22"/>
    </row>
    <row r="37" spans="1:22" ht="15.75" x14ac:dyDescent="0.25">
      <c r="B37" s="21"/>
    </row>
    <row r="38" spans="1:22" ht="15.75" x14ac:dyDescent="0.25">
      <c r="B38" s="21"/>
    </row>
    <row r="39" spans="1:22" ht="15.75" x14ac:dyDescent="0.25">
      <c r="B39" s="21"/>
    </row>
  </sheetData>
  <mergeCells count="1">
    <mergeCell ref="A1:S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opLeftCell="A16" zoomScale="70" zoomScaleNormal="70" workbookViewId="0">
      <selection activeCell="E39" sqref="E39:E42"/>
    </sheetView>
  </sheetViews>
  <sheetFormatPr defaultRowHeight="12.75" x14ac:dyDescent="0.2"/>
  <cols>
    <col min="1" max="1" width="20.85546875" style="20" bestFit="1" customWidth="1"/>
    <col min="2" max="2" width="20.7109375" bestFit="1" customWidth="1"/>
    <col min="3" max="3" width="14.140625" customWidth="1"/>
    <col min="4" max="4" width="1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120" bestFit="1" customWidth="1"/>
    <col min="10" max="10" width="17.5703125" bestFit="1" customWidth="1"/>
    <col min="11" max="11" width="16.140625" bestFit="1" customWidth="1"/>
    <col min="25" max="25" width="18.28515625" bestFit="1" customWidth="1"/>
  </cols>
  <sheetData>
    <row r="1" spans="1:14" ht="28.5" customHeight="1" thickBot="1" x14ac:dyDescent="0.25">
      <c r="A1" s="180" t="s">
        <v>138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</row>
    <row r="2" spans="1:14" ht="16.5" thickBot="1" x14ac:dyDescent="0.3">
      <c r="A2" s="3" t="s">
        <v>0</v>
      </c>
      <c r="B2" s="4" t="s">
        <v>30</v>
      </c>
      <c r="C2" s="5" t="s">
        <v>31</v>
      </c>
      <c r="D2" s="4" t="s">
        <v>32</v>
      </c>
      <c r="E2" s="5" t="s">
        <v>31</v>
      </c>
      <c r="F2" s="4" t="s">
        <v>33</v>
      </c>
      <c r="G2" s="25" t="s">
        <v>31</v>
      </c>
      <c r="H2" s="4" t="s">
        <v>34</v>
      </c>
      <c r="I2" s="127" t="s">
        <v>31</v>
      </c>
      <c r="J2" s="4" t="s">
        <v>28</v>
      </c>
      <c r="K2" s="4" t="s">
        <v>35</v>
      </c>
    </row>
    <row r="3" spans="1:14" ht="21" thickBot="1" x14ac:dyDescent="0.3">
      <c r="A3" s="10" t="s">
        <v>12</v>
      </c>
      <c r="B3" s="4">
        <v>348554</v>
      </c>
      <c r="C3" s="26">
        <v>0</v>
      </c>
      <c r="D3" s="4">
        <v>93163800</v>
      </c>
      <c r="E3" s="27">
        <v>0</v>
      </c>
      <c r="F3" s="4">
        <v>92909900</v>
      </c>
      <c r="G3" s="27">
        <v>0</v>
      </c>
      <c r="H3" s="4">
        <v>604325</v>
      </c>
      <c r="I3" s="128">
        <v>0</v>
      </c>
      <c r="J3" s="28">
        <f>C3+E3+G3+I3</f>
        <v>0</v>
      </c>
      <c r="K3" s="29">
        <f>J3*5.86</f>
        <v>0</v>
      </c>
    </row>
    <row r="4" spans="1:14" ht="21" thickBot="1" x14ac:dyDescent="0.3">
      <c r="A4" s="10">
        <v>43556</v>
      </c>
      <c r="B4" s="4">
        <v>348645</v>
      </c>
      <c r="C4" s="123">
        <f>(IF((B4-B3)&lt;0,"0",(B4-B3)))*10</f>
        <v>910</v>
      </c>
      <c r="D4" s="4">
        <v>93184200</v>
      </c>
      <c r="E4" s="123">
        <f>(IF((D4-D3)&lt;0,"0",(D4-D3)))*0.027</f>
        <v>550.79999999999995</v>
      </c>
      <c r="F4" s="4">
        <v>92923100</v>
      </c>
      <c r="G4" s="123">
        <f>(IF((F4-F3)&lt;0,"0",(F4-F3)))*0.027</f>
        <v>356.4</v>
      </c>
      <c r="H4" s="4">
        <v>604499</v>
      </c>
      <c r="I4" s="129">
        <f>(IF((H4-H3)&lt;0,"0",(H4-H3)))*0.027</f>
        <v>4.6979999999999995</v>
      </c>
      <c r="J4" s="28">
        <f>C4+E4+G4+I4</f>
        <v>1821.8979999999999</v>
      </c>
      <c r="K4" s="29">
        <f>J4*5.86</f>
        <v>10676.32228</v>
      </c>
    </row>
    <row r="5" spans="1:14" ht="21" thickBot="1" x14ac:dyDescent="0.3">
      <c r="A5" s="10">
        <v>43557</v>
      </c>
      <c r="B5" s="4">
        <v>348750</v>
      </c>
      <c r="C5" s="123">
        <f t="shared" ref="C5:C34" si="0">(IF((B5-B4)&lt;0,"0",(B5-B4)))*10</f>
        <v>1050</v>
      </c>
      <c r="D5" s="4">
        <v>93199800</v>
      </c>
      <c r="E5" s="123">
        <f t="shared" ref="E5:E34" si="1">(IF((D5-D4)&lt;0,"0",(D5-D4)))*0.027</f>
        <v>421.2</v>
      </c>
      <c r="F5" s="4">
        <v>92935000</v>
      </c>
      <c r="G5" s="123">
        <f>(IF((F5-F4)&lt;0,"0",(F5-F4)))*0.027</f>
        <v>321.3</v>
      </c>
      <c r="H5" s="4">
        <v>604598</v>
      </c>
      <c r="I5" s="129">
        <f>(IF((H5-H4)&lt;0,"0",(H5-H4)))*0.027</f>
        <v>2.673</v>
      </c>
      <c r="J5" s="28">
        <f t="shared" ref="J5:J31" si="2">C5+E5+G5+I5</f>
        <v>1795.173</v>
      </c>
      <c r="K5" s="29">
        <f t="shared" ref="K5:K33" si="3">J5*5.86</f>
        <v>10519.71378</v>
      </c>
    </row>
    <row r="6" spans="1:14" ht="21" thickBot="1" x14ac:dyDescent="0.3">
      <c r="A6" s="10">
        <v>43558</v>
      </c>
      <c r="B6" s="4">
        <v>348860</v>
      </c>
      <c r="C6" s="123">
        <f t="shared" si="0"/>
        <v>1100</v>
      </c>
      <c r="D6" s="4">
        <v>93225000</v>
      </c>
      <c r="E6" s="123">
        <f t="shared" si="1"/>
        <v>680.4</v>
      </c>
      <c r="F6" s="4">
        <v>92954700</v>
      </c>
      <c r="G6" s="123">
        <f t="shared" ref="G6:G34" si="4">(IF((F6-F5)&lt;0,"0",(F6-F5)))*0.027</f>
        <v>531.9</v>
      </c>
      <c r="H6" s="4">
        <v>604809</v>
      </c>
      <c r="I6" s="129">
        <f t="shared" ref="I6:I34" si="5">(IF((H6-H5)&lt;0,"0",(H6-H5)))*0.027</f>
        <v>5.6970000000000001</v>
      </c>
      <c r="J6" s="28">
        <f t="shared" si="2"/>
        <v>2317.9970000000003</v>
      </c>
      <c r="K6" s="29">
        <f t="shared" si="3"/>
        <v>13583.462420000002</v>
      </c>
    </row>
    <row r="7" spans="1:14" ht="21" thickBot="1" x14ac:dyDescent="0.3">
      <c r="A7" s="10">
        <v>43559</v>
      </c>
      <c r="B7" s="4">
        <v>348989</v>
      </c>
      <c r="C7" s="123">
        <f t="shared" si="0"/>
        <v>1290</v>
      </c>
      <c r="D7" s="4">
        <v>93243000</v>
      </c>
      <c r="E7" s="123">
        <f t="shared" si="1"/>
        <v>486</v>
      </c>
      <c r="F7" s="4">
        <v>92965000</v>
      </c>
      <c r="G7" s="123">
        <f t="shared" si="4"/>
        <v>278.10000000000002</v>
      </c>
      <c r="H7" s="4">
        <v>604931</v>
      </c>
      <c r="I7" s="129">
        <f t="shared" si="5"/>
        <v>3.294</v>
      </c>
      <c r="J7" s="28">
        <f t="shared" si="2"/>
        <v>2057.3939999999998</v>
      </c>
      <c r="K7" s="29">
        <f t="shared" si="3"/>
        <v>12056.32884</v>
      </c>
    </row>
    <row r="8" spans="1:14" ht="21" thickBot="1" x14ac:dyDescent="0.3">
      <c r="A8" s="10">
        <v>43560</v>
      </c>
      <c r="B8" s="4">
        <v>349077</v>
      </c>
      <c r="C8" s="123">
        <f t="shared" si="0"/>
        <v>880</v>
      </c>
      <c r="D8" s="4">
        <v>93262100</v>
      </c>
      <c r="E8" s="123">
        <f t="shared" si="1"/>
        <v>515.70000000000005</v>
      </c>
      <c r="F8" s="4">
        <v>92985000</v>
      </c>
      <c r="G8" s="123">
        <f t="shared" si="4"/>
        <v>540</v>
      </c>
      <c r="H8" s="4">
        <v>605178</v>
      </c>
      <c r="I8" s="129">
        <f t="shared" si="5"/>
        <v>6.6689999999999996</v>
      </c>
      <c r="J8" s="28">
        <f t="shared" si="2"/>
        <v>1942.3690000000001</v>
      </c>
      <c r="K8" s="29">
        <f t="shared" si="3"/>
        <v>11382.282340000002</v>
      </c>
      <c r="L8" t="s">
        <v>13</v>
      </c>
      <c r="N8" t="s">
        <v>13</v>
      </c>
    </row>
    <row r="9" spans="1:14" ht="21" thickBot="1" x14ac:dyDescent="0.3">
      <c r="A9" s="10">
        <v>43561</v>
      </c>
      <c r="B9" s="4">
        <v>349149</v>
      </c>
      <c r="C9" s="123">
        <f t="shared" si="0"/>
        <v>720</v>
      </c>
      <c r="D9" s="4">
        <v>93281800</v>
      </c>
      <c r="E9" s="123">
        <f t="shared" si="1"/>
        <v>531.9</v>
      </c>
      <c r="F9" s="4">
        <v>93001100</v>
      </c>
      <c r="G9" s="123">
        <f t="shared" si="4"/>
        <v>434.7</v>
      </c>
      <c r="H9" s="4">
        <v>605328</v>
      </c>
      <c r="I9" s="129">
        <f t="shared" si="5"/>
        <v>4.05</v>
      </c>
      <c r="J9" s="28">
        <f t="shared" si="2"/>
        <v>1690.65</v>
      </c>
      <c r="K9" s="29">
        <f t="shared" si="3"/>
        <v>9907.2090000000007</v>
      </c>
    </row>
    <row r="10" spans="1:14" ht="21" thickBot="1" x14ac:dyDescent="0.3">
      <c r="A10" s="10">
        <v>43562</v>
      </c>
      <c r="B10" s="4">
        <v>349253</v>
      </c>
      <c r="C10" s="123">
        <f t="shared" si="0"/>
        <v>1040</v>
      </c>
      <c r="D10" s="4">
        <v>93302700</v>
      </c>
      <c r="E10" s="123">
        <f t="shared" si="1"/>
        <v>564.29999999999995</v>
      </c>
      <c r="F10" s="4">
        <v>93018000</v>
      </c>
      <c r="G10" s="123">
        <f t="shared" si="4"/>
        <v>456.3</v>
      </c>
      <c r="H10" s="4">
        <v>605512</v>
      </c>
      <c r="I10" s="129">
        <f t="shared" si="5"/>
        <v>4.968</v>
      </c>
      <c r="J10" s="28">
        <f t="shared" si="2"/>
        <v>2065.5679999999998</v>
      </c>
      <c r="K10" s="29">
        <f t="shared" si="3"/>
        <v>12104.22848</v>
      </c>
    </row>
    <row r="11" spans="1:14" ht="21" thickBot="1" x14ac:dyDescent="0.3">
      <c r="A11" s="10">
        <v>43563</v>
      </c>
      <c r="B11" s="4">
        <v>349370</v>
      </c>
      <c r="C11" s="123">
        <f>(IF((B11-B10)&lt;0,"0",(B11-B10)))*10</f>
        <v>1170</v>
      </c>
      <c r="D11" s="4">
        <v>93326900</v>
      </c>
      <c r="E11" s="123">
        <f t="shared" si="1"/>
        <v>653.4</v>
      </c>
      <c r="F11" s="4">
        <v>93037300</v>
      </c>
      <c r="G11" s="123">
        <f t="shared" si="4"/>
        <v>521.1</v>
      </c>
      <c r="H11" s="4">
        <v>605697</v>
      </c>
      <c r="I11" s="129">
        <f t="shared" si="5"/>
        <v>4.9950000000000001</v>
      </c>
      <c r="J11" s="28">
        <f t="shared" si="2"/>
        <v>2349.4949999999999</v>
      </c>
      <c r="K11" s="29">
        <f t="shared" si="3"/>
        <v>13768.0407</v>
      </c>
    </row>
    <row r="12" spans="1:14" ht="21" thickBot="1" x14ac:dyDescent="0.3">
      <c r="A12" s="10">
        <v>43564</v>
      </c>
      <c r="B12" s="4">
        <v>349466</v>
      </c>
      <c r="C12" s="123">
        <f t="shared" si="0"/>
        <v>960</v>
      </c>
      <c r="D12" s="4">
        <v>93346400</v>
      </c>
      <c r="E12" s="123">
        <f t="shared" si="1"/>
        <v>526.5</v>
      </c>
      <c r="F12" s="4">
        <v>93052500</v>
      </c>
      <c r="G12" s="123">
        <f t="shared" si="4"/>
        <v>410.4</v>
      </c>
      <c r="H12" s="4">
        <v>605900</v>
      </c>
      <c r="I12" s="129">
        <f t="shared" si="5"/>
        <v>5.4809999999999999</v>
      </c>
      <c r="J12" s="28">
        <f t="shared" si="2"/>
        <v>1902.3810000000001</v>
      </c>
      <c r="K12" s="29">
        <f t="shared" si="3"/>
        <v>11147.952660000001</v>
      </c>
      <c r="N12" t="s">
        <v>13</v>
      </c>
    </row>
    <row r="13" spans="1:14" ht="21" thickBot="1" x14ac:dyDescent="0.3">
      <c r="A13" s="10">
        <v>43565</v>
      </c>
      <c r="B13" s="4">
        <v>349562</v>
      </c>
      <c r="C13" s="123">
        <f t="shared" si="0"/>
        <v>960</v>
      </c>
      <c r="D13" s="4">
        <v>93367000</v>
      </c>
      <c r="E13" s="123">
        <f t="shared" si="1"/>
        <v>556.20000000000005</v>
      </c>
      <c r="F13" s="4">
        <v>93066300</v>
      </c>
      <c r="G13" s="123">
        <f t="shared" si="4"/>
        <v>372.6</v>
      </c>
      <c r="H13" s="4">
        <v>606107</v>
      </c>
      <c r="I13" s="129">
        <f t="shared" si="5"/>
        <v>5.5889999999999995</v>
      </c>
      <c r="J13" s="28">
        <f t="shared" si="2"/>
        <v>1894.3890000000001</v>
      </c>
      <c r="K13" s="29">
        <f t="shared" si="3"/>
        <v>11101.119540000002</v>
      </c>
    </row>
    <row r="14" spans="1:14" ht="21" thickBot="1" x14ac:dyDescent="0.3">
      <c r="A14" s="10">
        <v>43566</v>
      </c>
      <c r="B14" s="4">
        <v>349664</v>
      </c>
      <c r="C14" s="123">
        <f t="shared" si="0"/>
        <v>1020</v>
      </c>
      <c r="D14" s="4">
        <v>93389800</v>
      </c>
      <c r="E14" s="123">
        <f t="shared" si="1"/>
        <v>615.6</v>
      </c>
      <c r="F14" s="4">
        <v>93083600</v>
      </c>
      <c r="G14" s="123">
        <f t="shared" si="4"/>
        <v>467.1</v>
      </c>
      <c r="H14" s="4">
        <v>606277</v>
      </c>
      <c r="I14" s="129">
        <f t="shared" si="5"/>
        <v>4.59</v>
      </c>
      <c r="J14" s="28">
        <f t="shared" si="2"/>
        <v>2107.29</v>
      </c>
      <c r="K14" s="29">
        <f t="shared" si="3"/>
        <v>12348.7194</v>
      </c>
    </row>
    <row r="15" spans="1:14" ht="21" thickBot="1" x14ac:dyDescent="0.3">
      <c r="A15" s="10">
        <v>43567</v>
      </c>
      <c r="B15" s="4">
        <v>349770</v>
      </c>
      <c r="C15" s="123">
        <f t="shared" si="0"/>
        <v>1060</v>
      </c>
      <c r="D15" s="4">
        <v>93401400</v>
      </c>
      <c r="E15" s="123">
        <f t="shared" si="1"/>
        <v>313.2</v>
      </c>
      <c r="F15" s="4">
        <v>93101400</v>
      </c>
      <c r="G15" s="123">
        <f t="shared" si="4"/>
        <v>480.6</v>
      </c>
      <c r="H15" s="4">
        <v>606393</v>
      </c>
      <c r="I15" s="129">
        <f t="shared" si="5"/>
        <v>3.1320000000000001</v>
      </c>
      <c r="J15" s="28">
        <f t="shared" si="2"/>
        <v>1856.9320000000002</v>
      </c>
      <c r="K15" s="29">
        <f t="shared" si="3"/>
        <v>10881.621520000002</v>
      </c>
    </row>
    <row r="16" spans="1:14" ht="21" thickBot="1" x14ac:dyDescent="0.3">
      <c r="A16" s="10">
        <v>43568</v>
      </c>
      <c r="B16" s="4">
        <v>349884</v>
      </c>
      <c r="C16" s="123">
        <f t="shared" si="0"/>
        <v>1140</v>
      </c>
      <c r="D16" s="4">
        <v>93430000</v>
      </c>
      <c r="E16" s="123">
        <f t="shared" si="1"/>
        <v>772.2</v>
      </c>
      <c r="F16" s="4">
        <v>93121100</v>
      </c>
      <c r="G16" s="123">
        <f t="shared" si="4"/>
        <v>531.9</v>
      </c>
      <c r="H16" s="4">
        <v>606537</v>
      </c>
      <c r="I16" s="129">
        <f t="shared" si="5"/>
        <v>3.8879999999999999</v>
      </c>
      <c r="J16" s="28">
        <f t="shared" si="2"/>
        <v>2447.9879999999998</v>
      </c>
      <c r="K16" s="29">
        <f t="shared" si="3"/>
        <v>14345.20968</v>
      </c>
    </row>
    <row r="17" spans="1:25" ht="21" thickBot="1" x14ac:dyDescent="0.3">
      <c r="A17" s="10">
        <v>43569</v>
      </c>
      <c r="B17" s="4">
        <v>349992</v>
      </c>
      <c r="C17" s="123">
        <f t="shared" si="0"/>
        <v>1080</v>
      </c>
      <c r="D17" s="4">
        <v>93451100</v>
      </c>
      <c r="E17" s="123">
        <f t="shared" si="1"/>
        <v>569.70000000000005</v>
      </c>
      <c r="F17" s="4">
        <v>93139200</v>
      </c>
      <c r="G17" s="123">
        <f t="shared" si="4"/>
        <v>488.7</v>
      </c>
      <c r="H17" s="4">
        <v>606688</v>
      </c>
      <c r="I17" s="129">
        <f t="shared" si="5"/>
        <v>4.077</v>
      </c>
      <c r="J17" s="28">
        <f t="shared" si="2"/>
        <v>2142.4770000000003</v>
      </c>
      <c r="K17" s="29">
        <f t="shared" si="3"/>
        <v>12554.915220000003</v>
      </c>
    </row>
    <row r="18" spans="1:25" ht="21" thickBot="1" x14ac:dyDescent="0.3">
      <c r="A18" s="10">
        <v>43570</v>
      </c>
      <c r="B18" s="4">
        <v>350091</v>
      </c>
      <c r="C18" s="123">
        <f t="shared" si="0"/>
        <v>990</v>
      </c>
      <c r="D18" s="4">
        <v>93471000</v>
      </c>
      <c r="E18" s="123">
        <f t="shared" si="1"/>
        <v>537.29999999999995</v>
      </c>
      <c r="F18" s="4">
        <v>93155200</v>
      </c>
      <c r="G18" s="123">
        <f t="shared" si="4"/>
        <v>432</v>
      </c>
      <c r="H18" s="4">
        <v>606830</v>
      </c>
      <c r="I18" s="129">
        <f t="shared" si="5"/>
        <v>3.8340000000000001</v>
      </c>
      <c r="J18" s="28">
        <f t="shared" si="2"/>
        <v>1963.134</v>
      </c>
      <c r="K18" s="29">
        <f t="shared" si="3"/>
        <v>11503.965240000001</v>
      </c>
      <c r="P18" t="s">
        <v>13</v>
      </c>
      <c r="R18" t="s">
        <v>13</v>
      </c>
    </row>
    <row r="19" spans="1:25" ht="21" thickBot="1" x14ac:dyDescent="0.3">
      <c r="A19" s="10">
        <v>43571</v>
      </c>
      <c r="B19" s="4">
        <v>350195</v>
      </c>
      <c r="C19" s="123">
        <f t="shared" si="0"/>
        <v>1040</v>
      </c>
      <c r="D19" s="4">
        <v>93498500</v>
      </c>
      <c r="E19" s="123">
        <f t="shared" si="1"/>
        <v>742.5</v>
      </c>
      <c r="F19" s="4">
        <v>93178800</v>
      </c>
      <c r="G19" s="123">
        <f t="shared" si="4"/>
        <v>637.20000000000005</v>
      </c>
      <c r="H19" s="4">
        <v>607083</v>
      </c>
      <c r="I19" s="129">
        <f t="shared" si="5"/>
        <v>6.8309999999999995</v>
      </c>
      <c r="J19" s="28">
        <f t="shared" si="2"/>
        <v>2426.5309999999999</v>
      </c>
      <c r="K19" s="29">
        <f t="shared" si="3"/>
        <v>14219.471660000001</v>
      </c>
      <c r="O19" t="s">
        <v>13</v>
      </c>
      <c r="Q19" t="s">
        <v>100</v>
      </c>
    </row>
    <row r="20" spans="1:25" ht="21" thickBot="1" x14ac:dyDescent="0.3">
      <c r="A20" s="10">
        <v>43572</v>
      </c>
      <c r="B20" s="4">
        <v>350293</v>
      </c>
      <c r="C20" s="123">
        <f t="shared" si="0"/>
        <v>980</v>
      </c>
      <c r="D20" s="4">
        <v>93516700</v>
      </c>
      <c r="E20" s="123">
        <f t="shared" si="1"/>
        <v>491.4</v>
      </c>
      <c r="F20" s="4">
        <v>93186100</v>
      </c>
      <c r="G20" s="123">
        <f t="shared" si="4"/>
        <v>197.1</v>
      </c>
      <c r="H20" s="4">
        <v>607231</v>
      </c>
      <c r="I20" s="129">
        <f t="shared" si="5"/>
        <v>3.996</v>
      </c>
      <c r="J20" s="28">
        <f t="shared" si="2"/>
        <v>1672.4960000000001</v>
      </c>
      <c r="K20" s="29">
        <f t="shared" si="3"/>
        <v>9800.8265600000013</v>
      </c>
      <c r="Q20" t="s">
        <v>13</v>
      </c>
    </row>
    <row r="21" spans="1:25" ht="21" thickBot="1" x14ac:dyDescent="0.3">
      <c r="A21" s="10">
        <v>43573</v>
      </c>
      <c r="B21" s="4">
        <v>350411</v>
      </c>
      <c r="C21" s="123">
        <f t="shared" si="0"/>
        <v>1180</v>
      </c>
      <c r="D21" s="4">
        <v>93538900</v>
      </c>
      <c r="E21" s="123">
        <f t="shared" si="1"/>
        <v>599.4</v>
      </c>
      <c r="F21" s="4">
        <v>93202100</v>
      </c>
      <c r="G21" s="123">
        <f t="shared" si="4"/>
        <v>432</v>
      </c>
      <c r="H21" s="4">
        <v>607441</v>
      </c>
      <c r="I21" s="129">
        <f t="shared" si="5"/>
        <v>5.67</v>
      </c>
      <c r="J21" s="28">
        <f t="shared" si="2"/>
        <v>2217.0700000000002</v>
      </c>
      <c r="K21" s="29">
        <f t="shared" si="3"/>
        <v>12992.030200000001</v>
      </c>
    </row>
    <row r="22" spans="1:25" ht="21" thickBot="1" x14ac:dyDescent="0.3">
      <c r="A22" s="10">
        <v>43574</v>
      </c>
      <c r="B22" s="4">
        <v>350540</v>
      </c>
      <c r="C22" s="123">
        <f t="shared" si="0"/>
        <v>1290</v>
      </c>
      <c r="D22" s="4">
        <v>93560900</v>
      </c>
      <c r="E22" s="123">
        <f t="shared" si="1"/>
        <v>594</v>
      </c>
      <c r="F22" s="4">
        <v>93218000</v>
      </c>
      <c r="G22" s="123">
        <f t="shared" si="4"/>
        <v>429.3</v>
      </c>
      <c r="H22" s="4">
        <v>607628</v>
      </c>
      <c r="I22" s="129">
        <f t="shared" si="5"/>
        <v>5.0490000000000004</v>
      </c>
      <c r="J22" s="28">
        <f t="shared" si="2"/>
        <v>2318.3490000000002</v>
      </c>
      <c r="K22" s="29">
        <f t="shared" si="3"/>
        <v>13585.525140000002</v>
      </c>
      <c r="N22" t="s">
        <v>13</v>
      </c>
    </row>
    <row r="23" spans="1:25" ht="21" thickBot="1" x14ac:dyDescent="0.3">
      <c r="A23" s="10">
        <v>43575</v>
      </c>
      <c r="B23" s="4">
        <v>350623</v>
      </c>
      <c r="C23" s="123">
        <f t="shared" si="0"/>
        <v>830</v>
      </c>
      <c r="D23" s="4">
        <v>93582000</v>
      </c>
      <c r="E23" s="123">
        <f t="shared" si="1"/>
        <v>569.70000000000005</v>
      </c>
      <c r="F23" s="4">
        <v>93232400</v>
      </c>
      <c r="G23" s="123">
        <f t="shared" si="4"/>
        <v>388.8</v>
      </c>
      <c r="H23" s="4">
        <v>607805</v>
      </c>
      <c r="I23" s="129">
        <f t="shared" si="5"/>
        <v>4.7789999999999999</v>
      </c>
      <c r="J23" s="28">
        <f t="shared" si="2"/>
        <v>1793.279</v>
      </c>
      <c r="K23" s="29">
        <f t="shared" si="3"/>
        <v>10508.614940000001</v>
      </c>
      <c r="P23" t="s">
        <v>13</v>
      </c>
      <c r="S23" s="70" t="s">
        <v>13</v>
      </c>
    </row>
    <row r="24" spans="1:25" ht="21" thickBot="1" x14ac:dyDescent="0.3">
      <c r="A24" s="10">
        <v>43576</v>
      </c>
      <c r="B24" s="4">
        <v>350727</v>
      </c>
      <c r="C24" s="123">
        <f t="shared" si="0"/>
        <v>1040</v>
      </c>
      <c r="D24" s="4">
        <v>93604300</v>
      </c>
      <c r="E24" s="123">
        <f t="shared" si="1"/>
        <v>602.1</v>
      </c>
      <c r="F24" s="4">
        <v>93248400</v>
      </c>
      <c r="G24" s="123">
        <f t="shared" si="4"/>
        <v>432</v>
      </c>
      <c r="H24" s="4">
        <v>607944</v>
      </c>
      <c r="I24" s="129">
        <f t="shared" si="5"/>
        <v>3.7530000000000001</v>
      </c>
      <c r="J24" s="28">
        <f t="shared" si="2"/>
        <v>2077.8530000000001</v>
      </c>
      <c r="K24" s="29">
        <f t="shared" si="3"/>
        <v>12176.218580000001</v>
      </c>
      <c r="Q24" t="s">
        <v>13</v>
      </c>
    </row>
    <row r="25" spans="1:25" ht="21" thickBot="1" x14ac:dyDescent="0.3">
      <c r="A25" s="10">
        <v>43577</v>
      </c>
      <c r="B25" s="4">
        <v>350848</v>
      </c>
      <c r="C25" s="123">
        <f t="shared" si="0"/>
        <v>1210</v>
      </c>
      <c r="D25" s="4">
        <v>93627400</v>
      </c>
      <c r="E25" s="123">
        <f t="shared" si="1"/>
        <v>623.70000000000005</v>
      </c>
      <c r="F25" s="4">
        <v>93262800</v>
      </c>
      <c r="G25" s="123">
        <f t="shared" si="4"/>
        <v>388.8</v>
      </c>
      <c r="H25" s="4">
        <v>608134</v>
      </c>
      <c r="I25" s="129">
        <f t="shared" si="5"/>
        <v>5.13</v>
      </c>
      <c r="J25" s="28">
        <f t="shared" si="2"/>
        <v>2227.63</v>
      </c>
      <c r="K25" s="29">
        <f t="shared" si="3"/>
        <v>13053.911800000002</v>
      </c>
    </row>
    <row r="26" spans="1:25" ht="26.25" thickBot="1" x14ac:dyDescent="0.4">
      <c r="A26" s="10">
        <v>43578</v>
      </c>
      <c r="B26" s="4">
        <v>350940</v>
      </c>
      <c r="C26" s="123">
        <f t="shared" si="0"/>
        <v>920</v>
      </c>
      <c r="D26" s="4">
        <v>93651500</v>
      </c>
      <c r="E26" s="123">
        <f t="shared" si="1"/>
        <v>650.70000000000005</v>
      </c>
      <c r="F26" s="4">
        <v>93277400</v>
      </c>
      <c r="G26" s="123">
        <f t="shared" si="4"/>
        <v>394.2</v>
      </c>
      <c r="H26" s="4">
        <v>608333</v>
      </c>
      <c r="I26" s="129">
        <f t="shared" si="5"/>
        <v>5.3730000000000002</v>
      </c>
      <c r="J26" s="28">
        <f t="shared" si="2"/>
        <v>1970.2730000000001</v>
      </c>
      <c r="K26" s="29">
        <f t="shared" si="3"/>
        <v>11545.799780000001</v>
      </c>
      <c r="Y26" s="144"/>
    </row>
    <row r="27" spans="1:25" ht="21" thickBot="1" x14ac:dyDescent="0.3">
      <c r="A27" s="10">
        <v>43579</v>
      </c>
      <c r="B27" s="4">
        <v>351042</v>
      </c>
      <c r="C27" s="123">
        <f t="shared" si="0"/>
        <v>1020</v>
      </c>
      <c r="D27" s="4">
        <v>93673400</v>
      </c>
      <c r="E27" s="123">
        <f t="shared" si="1"/>
        <v>591.29999999999995</v>
      </c>
      <c r="F27" s="4">
        <v>93291700</v>
      </c>
      <c r="G27" s="123">
        <f t="shared" si="4"/>
        <v>386.1</v>
      </c>
      <c r="H27" s="4">
        <v>608503</v>
      </c>
      <c r="I27" s="129">
        <f t="shared" si="5"/>
        <v>4.59</v>
      </c>
      <c r="J27" s="28">
        <f t="shared" si="2"/>
        <v>2001.99</v>
      </c>
      <c r="K27" s="29">
        <f t="shared" si="3"/>
        <v>11731.661400000001</v>
      </c>
      <c r="L27" t="s">
        <v>13</v>
      </c>
    </row>
    <row r="28" spans="1:25" ht="21" thickBot="1" x14ac:dyDescent="0.3">
      <c r="A28" s="10">
        <v>43580</v>
      </c>
      <c r="B28" s="4">
        <v>351138</v>
      </c>
      <c r="C28" s="123">
        <f t="shared" si="0"/>
        <v>960</v>
      </c>
      <c r="D28" s="4">
        <v>93693400</v>
      </c>
      <c r="E28" s="123">
        <f t="shared" si="1"/>
        <v>540</v>
      </c>
      <c r="F28" s="4">
        <v>93306700</v>
      </c>
      <c r="G28" s="123">
        <f t="shared" si="4"/>
        <v>405</v>
      </c>
      <c r="H28" s="4">
        <v>608655</v>
      </c>
      <c r="I28" s="129">
        <f t="shared" si="5"/>
        <v>4.1040000000000001</v>
      </c>
      <c r="J28" s="28">
        <f t="shared" si="2"/>
        <v>1909.104</v>
      </c>
      <c r="K28" s="29">
        <f t="shared" si="3"/>
        <v>11187.34944</v>
      </c>
    </row>
    <row r="29" spans="1:25" ht="21" thickBot="1" x14ac:dyDescent="0.3">
      <c r="A29" s="10">
        <v>43581</v>
      </c>
      <c r="B29" s="4">
        <v>351240</v>
      </c>
      <c r="C29" s="123">
        <f t="shared" si="0"/>
        <v>1020</v>
      </c>
      <c r="D29" s="4">
        <v>93714500</v>
      </c>
      <c r="E29" s="123">
        <f t="shared" si="1"/>
        <v>569.70000000000005</v>
      </c>
      <c r="F29" s="4">
        <v>93323200</v>
      </c>
      <c r="G29" s="123">
        <f t="shared" si="4"/>
        <v>445.5</v>
      </c>
      <c r="H29" s="4">
        <v>608778</v>
      </c>
      <c r="I29" s="129">
        <f t="shared" si="5"/>
        <v>3.3210000000000002</v>
      </c>
      <c r="J29" s="28">
        <f t="shared" si="2"/>
        <v>2038.521</v>
      </c>
      <c r="K29" s="29">
        <f t="shared" si="3"/>
        <v>11945.73306</v>
      </c>
    </row>
    <row r="30" spans="1:25" ht="21" thickBot="1" x14ac:dyDescent="0.3">
      <c r="A30" s="10">
        <v>43582</v>
      </c>
      <c r="B30" s="4">
        <v>351337</v>
      </c>
      <c r="C30" s="123">
        <f t="shared" si="0"/>
        <v>970</v>
      </c>
      <c r="D30" s="4">
        <v>93735200</v>
      </c>
      <c r="E30" s="123">
        <f t="shared" si="1"/>
        <v>558.9</v>
      </c>
      <c r="F30" s="4">
        <v>93338700</v>
      </c>
      <c r="G30" s="123">
        <f t="shared" si="4"/>
        <v>418.5</v>
      </c>
      <c r="H30" s="4">
        <v>608887</v>
      </c>
      <c r="I30" s="129">
        <f t="shared" si="5"/>
        <v>2.9430000000000001</v>
      </c>
      <c r="J30" s="28">
        <f t="shared" si="2"/>
        <v>1950.3430000000001</v>
      </c>
      <c r="K30" s="29">
        <f t="shared" si="3"/>
        <v>11429.009980000001</v>
      </c>
    </row>
    <row r="31" spans="1:25" ht="21" thickBot="1" x14ac:dyDescent="0.3">
      <c r="A31" s="10">
        <v>43583</v>
      </c>
      <c r="B31" s="4">
        <v>351442</v>
      </c>
      <c r="C31" s="123">
        <f t="shared" si="0"/>
        <v>1050</v>
      </c>
      <c r="D31" s="4">
        <v>93756200</v>
      </c>
      <c r="E31" s="123">
        <f t="shared" si="1"/>
        <v>567</v>
      </c>
      <c r="F31" s="4">
        <v>93355400</v>
      </c>
      <c r="G31" s="123">
        <f t="shared" si="4"/>
        <v>450.9</v>
      </c>
      <c r="H31" s="4">
        <v>609010</v>
      </c>
      <c r="I31" s="129">
        <f t="shared" si="5"/>
        <v>3.3210000000000002</v>
      </c>
      <c r="J31" s="28">
        <f t="shared" si="2"/>
        <v>2071.221</v>
      </c>
      <c r="K31" s="29">
        <f t="shared" si="3"/>
        <v>12137.35506</v>
      </c>
    </row>
    <row r="32" spans="1:25" ht="21" thickBot="1" x14ac:dyDescent="0.3">
      <c r="A32" s="10">
        <v>43584</v>
      </c>
      <c r="B32" s="4">
        <v>351551</v>
      </c>
      <c r="C32" s="123">
        <f t="shared" si="0"/>
        <v>1090</v>
      </c>
      <c r="D32" s="4">
        <v>93775500</v>
      </c>
      <c r="E32" s="123">
        <f t="shared" si="1"/>
        <v>521.1</v>
      </c>
      <c r="F32" s="4">
        <v>93372300</v>
      </c>
      <c r="G32" s="123">
        <f t="shared" si="4"/>
        <v>456.3</v>
      </c>
      <c r="H32" s="4">
        <v>609093</v>
      </c>
      <c r="I32" s="129">
        <f t="shared" si="5"/>
        <v>2.2410000000000001</v>
      </c>
      <c r="J32" s="28">
        <f>C32+E32+G32+I32</f>
        <v>2069.6410000000001</v>
      </c>
      <c r="K32" s="29">
        <f t="shared" si="3"/>
        <v>12128.09626</v>
      </c>
    </row>
    <row r="33" spans="1:11" ht="21" thickBot="1" x14ac:dyDescent="0.3">
      <c r="A33" s="10">
        <v>43585</v>
      </c>
      <c r="B33" s="4">
        <v>351660</v>
      </c>
      <c r="C33" s="123">
        <f t="shared" si="0"/>
        <v>1090</v>
      </c>
      <c r="D33" s="4">
        <v>93796800</v>
      </c>
      <c r="E33" s="123">
        <f t="shared" si="1"/>
        <v>575.1</v>
      </c>
      <c r="F33" s="4">
        <v>93388700</v>
      </c>
      <c r="G33" s="123">
        <f t="shared" si="4"/>
        <v>442.8</v>
      </c>
      <c r="H33" s="4">
        <v>609235</v>
      </c>
      <c r="I33" s="129">
        <f t="shared" si="5"/>
        <v>3.8340000000000001</v>
      </c>
      <c r="J33" s="28">
        <f>C33+E33+G33+I33</f>
        <v>2111.7339999999999</v>
      </c>
      <c r="K33" s="29">
        <f t="shared" si="3"/>
        <v>12374.76124</v>
      </c>
    </row>
    <row r="34" spans="1:11" ht="21" thickBot="1" x14ac:dyDescent="0.3">
      <c r="A34" s="10"/>
      <c r="B34" s="4">
        <v>351660</v>
      </c>
      <c r="C34" s="123">
        <f t="shared" si="0"/>
        <v>0</v>
      </c>
      <c r="D34" s="4">
        <v>93796800</v>
      </c>
      <c r="E34" s="123">
        <f t="shared" si="1"/>
        <v>0</v>
      </c>
      <c r="F34" s="4">
        <v>93388700</v>
      </c>
      <c r="G34" s="123">
        <f t="shared" si="4"/>
        <v>0</v>
      </c>
      <c r="H34" s="4">
        <v>609235</v>
      </c>
      <c r="I34" s="129">
        <f t="shared" si="5"/>
        <v>0</v>
      </c>
      <c r="J34" s="28"/>
      <c r="K34" s="29"/>
    </row>
    <row r="35" spans="1:11" ht="21" thickBot="1" x14ac:dyDescent="0.3">
      <c r="A35" s="10" t="s">
        <v>28</v>
      </c>
      <c r="B35" s="4"/>
      <c r="C35" s="145">
        <f>SUM(C4:C34)</f>
        <v>31060</v>
      </c>
      <c r="D35" s="4"/>
      <c r="E35" s="145">
        <f>SUM(E4:E34)</f>
        <v>17091</v>
      </c>
      <c r="F35" s="4"/>
      <c r="G35" s="145">
        <f>SUM(G4:G34)</f>
        <v>12927.599999999999</v>
      </c>
      <c r="H35" s="4"/>
      <c r="I35" s="130">
        <f>SUM(I4:I34)</f>
        <v>132.57</v>
      </c>
      <c r="J35" s="12">
        <f>SUM(J4:J31)</f>
        <v>57029.795000000006</v>
      </c>
      <c r="K35" s="12">
        <f>SUM(K4:K31)</f>
        <v>334194.59869999997</v>
      </c>
    </row>
    <row r="38" spans="1:11" x14ac:dyDescent="0.2">
      <c r="G38" t="s">
        <v>13</v>
      </c>
    </row>
  </sheetData>
  <mergeCells count="1">
    <mergeCell ref="A1:K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52"/>
  <sheetViews>
    <sheetView topLeftCell="A14" zoomScale="90" zoomScaleNormal="90" workbookViewId="0">
      <selection activeCell="E38" sqref="E38:E47"/>
    </sheetView>
  </sheetViews>
  <sheetFormatPr defaultColWidth="23" defaultRowHeight="15.75" x14ac:dyDescent="0.25"/>
  <cols>
    <col min="1" max="1" width="14.5703125" style="53" bestFit="1" customWidth="1"/>
    <col min="2" max="2" width="14.85546875" style="125" bestFit="1" customWidth="1"/>
    <col min="3" max="3" width="15.28515625" style="125" bestFit="1" customWidth="1"/>
    <col min="4" max="4" width="7.140625" style="125" bestFit="1" customWidth="1"/>
    <col min="5" max="5" width="12.85546875" style="44" bestFit="1" customWidth="1"/>
    <col min="6" max="6" width="9" style="44" bestFit="1" customWidth="1"/>
    <col min="7" max="7" width="11.5703125" style="44" bestFit="1" customWidth="1"/>
    <col min="8" max="10" width="10.28515625" style="44" bestFit="1" customWidth="1"/>
    <col min="11" max="11" width="9" style="44" bestFit="1" customWidth="1"/>
    <col min="12" max="12" width="11.5703125" style="44" bestFit="1" customWidth="1"/>
    <col min="13" max="13" width="9" style="44" bestFit="1" customWidth="1"/>
    <col min="14" max="14" width="11.5703125" style="44" bestFit="1" customWidth="1"/>
    <col min="15" max="15" width="9" style="44" bestFit="1" customWidth="1"/>
    <col min="16" max="16" width="11.5703125" style="44" bestFit="1" customWidth="1"/>
    <col min="17" max="17" width="9" style="44" bestFit="1" customWidth="1"/>
    <col min="18" max="18" width="11.5703125" style="44" bestFit="1" customWidth="1"/>
    <col min="19" max="19" width="9" style="44" bestFit="1" customWidth="1"/>
    <col min="20" max="20" width="4.7109375" style="44" bestFit="1" customWidth="1"/>
    <col min="21" max="21" width="7.7109375" style="44" bestFit="1" customWidth="1"/>
    <col min="22" max="22" width="11.5703125" style="44" bestFit="1" customWidth="1"/>
    <col min="23" max="24" width="9" style="44" bestFit="1" customWidth="1"/>
    <col min="25" max="25" width="12.140625" style="44" bestFit="1" customWidth="1"/>
    <col min="26" max="26" width="21.7109375" style="54" bestFit="1" customWidth="1"/>
    <col min="27" max="27" width="20.42578125" style="54" bestFit="1" customWidth="1"/>
    <col min="28" max="16384" width="23" style="44"/>
  </cols>
  <sheetData>
    <row r="1" spans="1:27" ht="16.5" thickBot="1" x14ac:dyDescent="0.25">
      <c r="A1" s="181" t="s">
        <v>139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</row>
    <row r="2" spans="1:27" ht="16.5" thickBot="1" x14ac:dyDescent="0.3">
      <c r="A2" s="7" t="s">
        <v>0</v>
      </c>
      <c r="B2" s="123" t="s">
        <v>112</v>
      </c>
      <c r="C2" s="126" t="s">
        <v>121</v>
      </c>
      <c r="D2" s="126" t="s">
        <v>17</v>
      </c>
      <c r="E2" s="4" t="s">
        <v>36</v>
      </c>
      <c r="F2" s="5" t="s">
        <v>31</v>
      </c>
      <c r="G2" s="4" t="s">
        <v>37</v>
      </c>
      <c r="H2" s="5" t="s">
        <v>31</v>
      </c>
      <c r="I2" s="4" t="s">
        <v>28</v>
      </c>
      <c r="J2" s="4" t="s">
        <v>38</v>
      </c>
      <c r="K2" s="5" t="s">
        <v>31</v>
      </c>
      <c r="L2" s="4" t="s">
        <v>39</v>
      </c>
      <c r="M2" s="5" t="s">
        <v>31</v>
      </c>
      <c r="N2" s="4" t="s">
        <v>40</v>
      </c>
      <c r="O2" s="5" t="s">
        <v>31</v>
      </c>
      <c r="P2" s="4" t="s">
        <v>41</v>
      </c>
      <c r="Q2" s="5" t="s">
        <v>31</v>
      </c>
      <c r="R2" s="4" t="s">
        <v>42</v>
      </c>
      <c r="S2" s="5" t="s">
        <v>31</v>
      </c>
      <c r="T2" s="4" t="s">
        <v>43</v>
      </c>
      <c r="U2" s="5" t="s">
        <v>31</v>
      </c>
      <c r="V2" s="4" t="s">
        <v>44</v>
      </c>
      <c r="W2" s="5" t="s">
        <v>31</v>
      </c>
      <c r="X2" s="4" t="s">
        <v>28</v>
      </c>
      <c r="Y2" s="4" t="s">
        <v>45</v>
      </c>
      <c r="Z2" s="30" t="s">
        <v>46</v>
      </c>
      <c r="AA2" s="30" t="s">
        <v>47</v>
      </c>
    </row>
    <row r="3" spans="1:27" ht="16.5" thickBot="1" x14ac:dyDescent="0.25">
      <c r="A3" s="7" t="s">
        <v>12</v>
      </c>
      <c r="B3" s="123">
        <v>350</v>
      </c>
      <c r="C3" s="123">
        <v>15337</v>
      </c>
      <c r="D3" s="123"/>
      <c r="E3" s="45">
        <v>16372454</v>
      </c>
      <c r="F3" s="46">
        <v>0</v>
      </c>
      <c r="G3" s="45">
        <v>43524507</v>
      </c>
      <c r="H3" s="46">
        <v>0</v>
      </c>
      <c r="I3" s="47">
        <v>0</v>
      </c>
      <c r="J3" s="45">
        <v>3720138</v>
      </c>
      <c r="K3" s="46">
        <v>0</v>
      </c>
      <c r="L3" s="48">
        <v>3930918</v>
      </c>
      <c r="M3" s="46">
        <v>0</v>
      </c>
      <c r="N3" s="45">
        <v>2470813</v>
      </c>
      <c r="O3" s="46">
        <v>0</v>
      </c>
      <c r="P3" s="48">
        <v>4919848</v>
      </c>
      <c r="Q3" s="46">
        <v>0</v>
      </c>
      <c r="R3" s="45">
        <v>9860830</v>
      </c>
      <c r="S3" s="46">
        <v>0</v>
      </c>
      <c r="T3" s="45">
        <v>0</v>
      </c>
      <c r="U3" s="46"/>
      <c r="V3" s="45">
        <v>6353860</v>
      </c>
      <c r="W3" s="46">
        <v>0</v>
      </c>
      <c r="X3" s="47"/>
      <c r="Y3" s="68"/>
      <c r="Z3" s="45"/>
      <c r="AA3" s="45"/>
    </row>
    <row r="4" spans="1:27" ht="16.5" thickBot="1" x14ac:dyDescent="0.25">
      <c r="A4" s="7">
        <v>43556</v>
      </c>
      <c r="B4" s="123">
        <v>330</v>
      </c>
      <c r="C4" s="123">
        <v>15340</v>
      </c>
      <c r="D4" s="123">
        <f>IF((C4-C3)&lt;0,"0",(C4-C3))*160</f>
        <v>480</v>
      </c>
      <c r="E4" s="45">
        <v>16378641</v>
      </c>
      <c r="F4" s="123">
        <f>IF((E4-E3)&lt;0,"0",(E4-E3))</f>
        <v>6187</v>
      </c>
      <c r="G4" s="45">
        <v>43574352</v>
      </c>
      <c r="H4" s="123">
        <f>IF((G4-G3)&lt;0,"0",(G4-G3))</f>
        <v>49845</v>
      </c>
      <c r="I4" s="47">
        <f t="shared" ref="I4:I35" si="0">F4+H4</f>
        <v>56032</v>
      </c>
      <c r="J4" s="45">
        <v>3724903</v>
      </c>
      <c r="K4" s="123">
        <f>IF((J4-J3)&lt;0,"0",(J4-J3))</f>
        <v>4765</v>
      </c>
      <c r="L4" s="48">
        <v>3935650</v>
      </c>
      <c r="M4" s="123">
        <f>IF((L4-L3)&lt;0,"0",(L4-L3))</f>
        <v>4732</v>
      </c>
      <c r="N4" s="45">
        <v>2471505</v>
      </c>
      <c r="O4" s="123">
        <f>(IF((N4-N3)&lt;0,"0",(N4-N3)))*2</f>
        <v>1384</v>
      </c>
      <c r="P4" s="48">
        <v>4928700</v>
      </c>
      <c r="Q4" s="123">
        <f>IF((P4-P3)&lt;0,"0",(P4-P3))</f>
        <v>8852</v>
      </c>
      <c r="R4" s="45">
        <v>9871748</v>
      </c>
      <c r="S4" s="123">
        <f>IF((R4-R3)&lt;0,"0",(R4-R3))</f>
        <v>10918</v>
      </c>
      <c r="T4" s="45">
        <v>0</v>
      </c>
      <c r="U4" s="46"/>
      <c r="V4" s="45">
        <v>6366038</v>
      </c>
      <c r="W4" s="123">
        <f>IF((V4-V3)&lt;0,"0",(V4-V3))</f>
        <v>12178</v>
      </c>
      <c r="X4" s="47">
        <f t="shared" ref="X4:X31" si="1">K4+M4+O4+Q4+S4+U4+W4</f>
        <v>42829</v>
      </c>
      <c r="Y4" s="68">
        <f t="shared" ref="Y4:Y31" si="2">I4-X4</f>
        <v>13203</v>
      </c>
      <c r="Z4" s="45">
        <f t="shared" ref="Z4:Z34" si="3">(0.93352*(W4+S4)+0.5568*(Q4+O4))*0.26</f>
        <v>7087.5955072000006</v>
      </c>
      <c r="AA4" s="45">
        <f>SUM(Z1:Z4)</f>
        <v>7087.5955072000006</v>
      </c>
    </row>
    <row r="5" spans="1:27" ht="16.5" thickBot="1" x14ac:dyDescent="0.25">
      <c r="A5" s="7">
        <v>43557</v>
      </c>
      <c r="B5" s="123">
        <v>341</v>
      </c>
      <c r="C5" s="123">
        <v>15344</v>
      </c>
      <c r="D5" s="123">
        <f t="shared" ref="D5:D34" si="4">IF((C5-C4)&lt;0,"0",(C5-C4))*160</f>
        <v>640</v>
      </c>
      <c r="E5" s="45">
        <v>16384852</v>
      </c>
      <c r="F5" s="123">
        <f t="shared" ref="F5:F34" si="5">IF((E5-E4)&lt;0,"0",(E5-E4))</f>
        <v>6211</v>
      </c>
      <c r="G5" s="45">
        <v>43623162</v>
      </c>
      <c r="H5" s="123">
        <f t="shared" ref="H5:H34" si="6">IF((G5-G4)&lt;0,"0",(G5-G4))</f>
        <v>48810</v>
      </c>
      <c r="I5" s="47">
        <f t="shared" si="0"/>
        <v>55021</v>
      </c>
      <c r="J5" s="45">
        <v>3729490</v>
      </c>
      <c r="K5" s="123">
        <f t="shared" ref="K5:K34" si="7">IF((J5-J4)&lt;0,"0",(J5-J4))</f>
        <v>4587</v>
      </c>
      <c r="L5" s="48">
        <v>3940283</v>
      </c>
      <c r="M5" s="123">
        <f t="shared" ref="M5:M34" si="8">IF((L5-L4)&lt;0,"0",(L5-L4))</f>
        <v>4633</v>
      </c>
      <c r="N5" s="45">
        <v>2472218</v>
      </c>
      <c r="O5" s="123">
        <f t="shared" ref="O5:O34" si="9">(IF((N5-N4)&lt;0,"0",(N5-N4)))*2</f>
        <v>1426</v>
      </c>
      <c r="P5" s="48">
        <v>4937143</v>
      </c>
      <c r="Q5" s="123">
        <f t="shared" ref="Q5:Q34" si="10">IF((P5-P4)&lt;0,"0",(P5-P4))</f>
        <v>8443</v>
      </c>
      <c r="R5" s="45">
        <v>9882437</v>
      </c>
      <c r="S5" s="123">
        <f t="shared" ref="S5:S34" si="11">IF((R5-R4)&lt;0,"0",(R5-R4))</f>
        <v>10689</v>
      </c>
      <c r="T5" s="45">
        <v>0</v>
      </c>
      <c r="U5" s="46"/>
      <c r="V5" s="45">
        <v>6378076</v>
      </c>
      <c r="W5" s="123">
        <f t="shared" ref="W5:W34" si="12">IF((V5-V4)&lt;0,"0",(V5-V4))</f>
        <v>12038</v>
      </c>
      <c r="X5" s="47">
        <f t="shared" si="1"/>
        <v>41816</v>
      </c>
      <c r="Y5" s="68">
        <f t="shared" si="2"/>
        <v>13205</v>
      </c>
      <c r="Z5" s="45">
        <f t="shared" si="3"/>
        <v>6944.9037423999998</v>
      </c>
      <c r="AA5" s="45">
        <f t="shared" ref="AA5:AA34" si="13">SUM(Z2:Z5)</f>
        <v>14032.499249600001</v>
      </c>
    </row>
    <row r="6" spans="1:27" ht="16.5" thickBot="1" x14ac:dyDescent="0.25">
      <c r="A6" s="7">
        <v>43558</v>
      </c>
      <c r="B6" s="123">
        <v>338</v>
      </c>
      <c r="C6" s="123">
        <v>15349</v>
      </c>
      <c r="D6" s="123">
        <f t="shared" si="4"/>
        <v>800</v>
      </c>
      <c r="E6" s="45">
        <v>16391288</v>
      </c>
      <c r="F6" s="123">
        <f t="shared" si="5"/>
        <v>6436</v>
      </c>
      <c r="G6" s="45">
        <v>43673668</v>
      </c>
      <c r="H6" s="123">
        <f t="shared" si="6"/>
        <v>50506</v>
      </c>
      <c r="I6" s="47">
        <f t="shared" si="0"/>
        <v>56942</v>
      </c>
      <c r="J6" s="45">
        <v>3734088</v>
      </c>
      <c r="K6" s="123">
        <f t="shared" si="7"/>
        <v>4598</v>
      </c>
      <c r="L6" s="48">
        <v>3945112</v>
      </c>
      <c r="M6" s="123">
        <f t="shared" si="8"/>
        <v>4829</v>
      </c>
      <c r="N6" s="45">
        <v>2472950</v>
      </c>
      <c r="O6" s="123">
        <f t="shared" si="9"/>
        <v>1464</v>
      </c>
      <c r="P6" s="48">
        <v>4946893</v>
      </c>
      <c r="Q6" s="123">
        <f t="shared" si="10"/>
        <v>9750</v>
      </c>
      <c r="R6" s="45">
        <v>9893035</v>
      </c>
      <c r="S6" s="123">
        <f t="shared" si="11"/>
        <v>10598</v>
      </c>
      <c r="T6" s="45">
        <v>0</v>
      </c>
      <c r="U6" s="46"/>
      <c r="V6" s="45">
        <v>6390261</v>
      </c>
      <c r="W6" s="123">
        <f t="shared" si="12"/>
        <v>12185</v>
      </c>
      <c r="X6" s="47">
        <f t="shared" si="1"/>
        <v>43424</v>
      </c>
      <c r="Y6" s="68">
        <f t="shared" si="2"/>
        <v>13518</v>
      </c>
      <c r="Z6" s="45">
        <f t="shared" si="3"/>
        <v>7153.2087536000008</v>
      </c>
      <c r="AA6" s="45">
        <f t="shared" si="13"/>
        <v>21185.708003200001</v>
      </c>
    </row>
    <row r="7" spans="1:27" ht="16.5" thickBot="1" x14ac:dyDescent="0.25">
      <c r="A7" s="7">
        <v>43559</v>
      </c>
      <c r="B7" s="123">
        <v>344</v>
      </c>
      <c r="C7" s="123">
        <v>15354</v>
      </c>
      <c r="D7" s="123">
        <f t="shared" si="4"/>
        <v>800</v>
      </c>
      <c r="E7" s="45">
        <v>16399519</v>
      </c>
      <c r="F7" s="123">
        <f t="shared" si="5"/>
        <v>8231</v>
      </c>
      <c r="G7" s="45">
        <v>43707362</v>
      </c>
      <c r="H7" s="123">
        <f t="shared" si="6"/>
        <v>33694</v>
      </c>
      <c r="I7" s="47">
        <f t="shared" si="0"/>
        <v>41925</v>
      </c>
      <c r="J7" s="45">
        <v>3737566</v>
      </c>
      <c r="K7" s="123">
        <f t="shared" si="7"/>
        <v>3478</v>
      </c>
      <c r="L7" s="48">
        <v>3948658</v>
      </c>
      <c r="M7" s="123">
        <f t="shared" si="8"/>
        <v>3546</v>
      </c>
      <c r="N7" s="45">
        <v>2475266</v>
      </c>
      <c r="O7" s="123">
        <f t="shared" si="9"/>
        <v>4632</v>
      </c>
      <c r="P7" s="48">
        <v>4949548</v>
      </c>
      <c r="Q7" s="123">
        <f t="shared" si="10"/>
        <v>2655</v>
      </c>
      <c r="R7" s="45">
        <v>9901124</v>
      </c>
      <c r="S7" s="123">
        <f t="shared" si="11"/>
        <v>8089</v>
      </c>
      <c r="T7" s="45">
        <v>0</v>
      </c>
      <c r="U7" s="46"/>
      <c r="V7" s="45">
        <v>6399094</v>
      </c>
      <c r="W7" s="123">
        <f t="shared" si="12"/>
        <v>8833</v>
      </c>
      <c r="X7" s="47">
        <f t="shared" si="1"/>
        <v>31233</v>
      </c>
      <c r="Y7" s="68">
        <f t="shared" si="2"/>
        <v>10692</v>
      </c>
      <c r="Z7" s="45">
        <f t="shared" si="3"/>
        <v>5162.1510303999994</v>
      </c>
      <c r="AA7" s="45">
        <f t="shared" si="13"/>
        <v>26347.859033600002</v>
      </c>
    </row>
    <row r="8" spans="1:27" ht="16.5" thickBot="1" x14ac:dyDescent="0.25">
      <c r="A8" s="7">
        <v>43560</v>
      </c>
      <c r="B8" s="123">
        <v>365</v>
      </c>
      <c r="C8" s="123">
        <v>15359</v>
      </c>
      <c r="D8" s="123">
        <f t="shared" si="4"/>
        <v>800</v>
      </c>
      <c r="E8" s="45">
        <v>16416741</v>
      </c>
      <c r="F8" s="123">
        <f t="shared" si="5"/>
        <v>17222</v>
      </c>
      <c r="G8" s="45">
        <v>43772998</v>
      </c>
      <c r="H8" s="123">
        <f t="shared" si="6"/>
        <v>65636</v>
      </c>
      <c r="I8" s="47">
        <f t="shared" si="0"/>
        <v>82858</v>
      </c>
      <c r="J8" s="45">
        <v>3743718</v>
      </c>
      <c r="K8" s="123">
        <f t="shared" si="7"/>
        <v>6152</v>
      </c>
      <c r="L8" s="48">
        <v>3955560</v>
      </c>
      <c r="M8" s="123">
        <f t="shared" si="8"/>
        <v>6902</v>
      </c>
      <c r="N8" s="45">
        <v>2480266</v>
      </c>
      <c r="O8" s="123">
        <f t="shared" si="9"/>
        <v>10000</v>
      </c>
      <c r="P8" s="48">
        <v>4953652</v>
      </c>
      <c r="Q8" s="123">
        <f t="shared" si="10"/>
        <v>4104</v>
      </c>
      <c r="R8" s="45">
        <v>9917908</v>
      </c>
      <c r="S8" s="123">
        <f t="shared" si="11"/>
        <v>16784</v>
      </c>
      <c r="T8" s="45">
        <v>0</v>
      </c>
      <c r="U8" s="46"/>
      <c r="V8" s="45">
        <v>6418046</v>
      </c>
      <c r="W8" s="123">
        <f t="shared" si="12"/>
        <v>18952</v>
      </c>
      <c r="X8" s="47">
        <f t="shared" si="1"/>
        <v>62894</v>
      </c>
      <c r="Y8" s="68">
        <f t="shared" si="2"/>
        <v>19964</v>
      </c>
      <c r="Z8" s="45">
        <f t="shared" si="3"/>
        <v>10715.478259199999</v>
      </c>
      <c r="AA8" s="45">
        <f t="shared" si="13"/>
        <v>29975.741785600003</v>
      </c>
    </row>
    <row r="9" spans="1:27" ht="16.5" thickBot="1" x14ac:dyDescent="0.25">
      <c r="A9" s="7">
        <v>43561</v>
      </c>
      <c r="B9" s="123">
        <v>332</v>
      </c>
      <c r="C9" s="123">
        <v>15363</v>
      </c>
      <c r="D9" s="123">
        <f t="shared" si="4"/>
        <v>640</v>
      </c>
      <c r="E9" s="45">
        <v>16425626</v>
      </c>
      <c r="F9" s="123">
        <f t="shared" si="5"/>
        <v>8885</v>
      </c>
      <c r="G9" s="45">
        <v>43805976</v>
      </c>
      <c r="H9" s="123">
        <f t="shared" si="6"/>
        <v>32978</v>
      </c>
      <c r="I9" s="47">
        <f t="shared" si="0"/>
        <v>41863</v>
      </c>
      <c r="J9" s="45">
        <v>3747100</v>
      </c>
      <c r="K9" s="123">
        <f t="shared" si="7"/>
        <v>3382</v>
      </c>
      <c r="L9" s="48">
        <v>3959426</v>
      </c>
      <c r="M9" s="123">
        <f t="shared" si="8"/>
        <v>3866</v>
      </c>
      <c r="N9" s="45">
        <v>2482729</v>
      </c>
      <c r="O9" s="123">
        <f t="shared" si="9"/>
        <v>4926</v>
      </c>
      <c r="P9" s="48">
        <v>4955666</v>
      </c>
      <c r="Q9" s="123">
        <f t="shared" si="10"/>
        <v>2014</v>
      </c>
      <c r="R9" s="45">
        <v>9926373</v>
      </c>
      <c r="S9" s="123">
        <f t="shared" si="11"/>
        <v>8465</v>
      </c>
      <c r="T9" s="45">
        <v>0</v>
      </c>
      <c r="U9" s="46"/>
      <c r="V9" s="45">
        <v>6427314</v>
      </c>
      <c r="W9" s="123">
        <f t="shared" si="12"/>
        <v>9268</v>
      </c>
      <c r="X9" s="47">
        <f t="shared" si="1"/>
        <v>31921</v>
      </c>
      <c r="Y9" s="68">
        <f t="shared" si="2"/>
        <v>9942</v>
      </c>
      <c r="Z9" s="45">
        <f t="shared" si="3"/>
        <v>5308.7585615999997</v>
      </c>
      <c r="AA9" s="45">
        <f t="shared" si="13"/>
        <v>28339.596604799997</v>
      </c>
    </row>
    <row r="10" spans="1:27" ht="16.5" thickBot="1" x14ac:dyDescent="0.25">
      <c r="A10" s="7">
        <v>43562</v>
      </c>
      <c r="B10" s="123">
        <v>322</v>
      </c>
      <c r="C10" s="123">
        <v>15368</v>
      </c>
      <c r="D10" s="123">
        <f t="shared" si="4"/>
        <v>800</v>
      </c>
      <c r="E10" s="45">
        <v>16440089</v>
      </c>
      <c r="F10" s="123">
        <f t="shared" si="5"/>
        <v>14463</v>
      </c>
      <c r="G10" s="45">
        <v>43854673</v>
      </c>
      <c r="H10" s="123">
        <f t="shared" si="6"/>
        <v>48697</v>
      </c>
      <c r="I10" s="47">
        <f t="shared" si="0"/>
        <v>63160</v>
      </c>
      <c r="J10" s="45">
        <v>3752063</v>
      </c>
      <c r="K10" s="123">
        <f t="shared" si="7"/>
        <v>4963</v>
      </c>
      <c r="L10" s="48">
        <v>3965025</v>
      </c>
      <c r="M10" s="123">
        <f t="shared" si="8"/>
        <v>5599</v>
      </c>
      <c r="N10" s="45">
        <v>2487064</v>
      </c>
      <c r="O10" s="123">
        <f t="shared" si="9"/>
        <v>8670</v>
      </c>
      <c r="P10" s="48">
        <v>4958924</v>
      </c>
      <c r="Q10" s="123">
        <f t="shared" si="10"/>
        <v>3258</v>
      </c>
      <c r="R10" s="45">
        <v>9938563</v>
      </c>
      <c r="S10" s="123">
        <f t="shared" si="11"/>
        <v>12190</v>
      </c>
      <c r="T10" s="45">
        <v>0</v>
      </c>
      <c r="U10" s="46"/>
      <c r="V10" s="45">
        <v>6440776</v>
      </c>
      <c r="W10" s="123">
        <f t="shared" si="12"/>
        <v>13462</v>
      </c>
      <c r="X10" s="47">
        <f t="shared" si="1"/>
        <v>48142</v>
      </c>
      <c r="Y10" s="68">
        <f t="shared" si="2"/>
        <v>15018</v>
      </c>
      <c r="Z10" s="45">
        <f t="shared" si="3"/>
        <v>7952.9230144000003</v>
      </c>
      <c r="AA10" s="45">
        <f t="shared" si="13"/>
        <v>29139.310865599997</v>
      </c>
    </row>
    <row r="11" spans="1:27" ht="16.5" thickBot="1" x14ac:dyDescent="0.25">
      <c r="A11" s="7">
        <v>43563</v>
      </c>
      <c r="B11" s="123">
        <v>330</v>
      </c>
      <c r="C11" s="123">
        <v>15373</v>
      </c>
      <c r="D11" s="123">
        <f t="shared" si="4"/>
        <v>800</v>
      </c>
      <c r="E11" s="45">
        <v>16451397</v>
      </c>
      <c r="F11" s="123">
        <f t="shared" si="5"/>
        <v>11308</v>
      </c>
      <c r="G11" s="45">
        <v>43892924</v>
      </c>
      <c r="H11" s="123">
        <f t="shared" si="6"/>
        <v>38251</v>
      </c>
      <c r="I11" s="47">
        <f t="shared" si="0"/>
        <v>49559</v>
      </c>
      <c r="J11" s="45">
        <v>3756234</v>
      </c>
      <c r="K11" s="123">
        <f t="shared" si="7"/>
        <v>4171</v>
      </c>
      <c r="L11" s="48">
        <v>3969433</v>
      </c>
      <c r="M11" s="123">
        <f t="shared" si="8"/>
        <v>4408</v>
      </c>
      <c r="N11" s="45">
        <v>2490956</v>
      </c>
      <c r="O11" s="123">
        <f t="shared" si="9"/>
        <v>7784</v>
      </c>
      <c r="P11" s="48">
        <v>4961730</v>
      </c>
      <c r="Q11" s="123">
        <f t="shared" si="10"/>
        <v>2806</v>
      </c>
      <c r="R11" s="45">
        <v>9947390</v>
      </c>
      <c r="S11" s="123">
        <f t="shared" si="11"/>
        <v>8827</v>
      </c>
      <c r="T11" s="45">
        <v>0</v>
      </c>
      <c r="U11" s="46"/>
      <c r="V11" s="45">
        <v>6451510</v>
      </c>
      <c r="W11" s="123">
        <f t="shared" si="12"/>
        <v>10734</v>
      </c>
      <c r="X11" s="47">
        <f t="shared" si="1"/>
        <v>38730</v>
      </c>
      <c r="Y11" s="68">
        <f t="shared" si="2"/>
        <v>10829</v>
      </c>
      <c r="Z11" s="45">
        <f t="shared" si="3"/>
        <v>6280.8451471999997</v>
      </c>
      <c r="AA11" s="45">
        <f t="shared" si="13"/>
        <v>30258.004982400002</v>
      </c>
    </row>
    <row r="12" spans="1:27" ht="16.5" thickBot="1" x14ac:dyDescent="0.25">
      <c r="A12" s="7">
        <v>43564</v>
      </c>
      <c r="B12" s="123">
        <v>320</v>
      </c>
      <c r="C12" s="123">
        <v>15377</v>
      </c>
      <c r="D12" s="123">
        <f t="shared" si="4"/>
        <v>640</v>
      </c>
      <c r="E12" s="45">
        <v>16465268</v>
      </c>
      <c r="F12" s="123">
        <f t="shared" si="5"/>
        <v>13871</v>
      </c>
      <c r="G12" s="45">
        <v>43942246</v>
      </c>
      <c r="H12" s="123">
        <f t="shared" si="6"/>
        <v>49322</v>
      </c>
      <c r="I12" s="47">
        <f t="shared" si="0"/>
        <v>63193</v>
      </c>
      <c r="J12" s="45">
        <v>3761513</v>
      </c>
      <c r="K12" s="123">
        <f t="shared" si="7"/>
        <v>5279</v>
      </c>
      <c r="L12" s="48">
        <v>3974779</v>
      </c>
      <c r="M12" s="123">
        <f t="shared" si="8"/>
        <v>5346</v>
      </c>
      <c r="N12" s="45">
        <v>2494642</v>
      </c>
      <c r="O12" s="123">
        <f t="shared" si="9"/>
        <v>7372</v>
      </c>
      <c r="P12" s="48">
        <v>4964294</v>
      </c>
      <c r="Q12" s="123">
        <f t="shared" si="10"/>
        <v>2564</v>
      </c>
      <c r="R12" s="45">
        <v>9959028</v>
      </c>
      <c r="S12" s="123">
        <f t="shared" si="11"/>
        <v>11638</v>
      </c>
      <c r="T12" s="45">
        <v>0</v>
      </c>
      <c r="U12" s="46"/>
      <c r="V12" s="45">
        <v>6465255</v>
      </c>
      <c r="W12" s="123">
        <f t="shared" si="12"/>
        <v>13745</v>
      </c>
      <c r="X12" s="47">
        <f t="shared" si="1"/>
        <v>45944</v>
      </c>
      <c r="Y12" s="68">
        <f t="shared" si="2"/>
        <v>17249</v>
      </c>
      <c r="Z12" s="45">
        <f t="shared" si="3"/>
        <v>7599.2547696000001</v>
      </c>
      <c r="AA12" s="45">
        <f t="shared" si="13"/>
        <v>27141.781492799997</v>
      </c>
    </row>
    <row r="13" spans="1:27" ht="16.5" thickBot="1" x14ac:dyDescent="0.25">
      <c r="A13" s="7">
        <v>43565</v>
      </c>
      <c r="B13" s="123">
        <v>344</v>
      </c>
      <c r="C13" s="123">
        <v>15382</v>
      </c>
      <c r="D13" s="123">
        <f t="shared" si="4"/>
        <v>800</v>
      </c>
      <c r="E13" s="45">
        <v>16476432</v>
      </c>
      <c r="F13" s="123">
        <f t="shared" si="5"/>
        <v>11164</v>
      </c>
      <c r="G13" s="45">
        <v>43983359</v>
      </c>
      <c r="H13" s="123">
        <f t="shared" si="6"/>
        <v>41113</v>
      </c>
      <c r="I13" s="47">
        <f t="shared" si="0"/>
        <v>52277</v>
      </c>
      <c r="J13" s="45">
        <v>3766219</v>
      </c>
      <c r="K13" s="123">
        <f t="shared" si="7"/>
        <v>4706</v>
      </c>
      <c r="L13" s="48">
        <v>3979118</v>
      </c>
      <c r="M13" s="123">
        <f t="shared" si="8"/>
        <v>4339</v>
      </c>
      <c r="N13" s="45">
        <v>2497979</v>
      </c>
      <c r="O13" s="123">
        <f t="shared" si="9"/>
        <v>6674</v>
      </c>
      <c r="P13" s="48">
        <v>4968256</v>
      </c>
      <c r="Q13" s="123">
        <f t="shared" si="10"/>
        <v>3962</v>
      </c>
      <c r="R13" s="45">
        <v>9968751</v>
      </c>
      <c r="S13" s="123">
        <f t="shared" si="11"/>
        <v>9723</v>
      </c>
      <c r="T13" s="45">
        <v>0</v>
      </c>
      <c r="U13" s="46"/>
      <c r="V13" s="45">
        <v>6476559</v>
      </c>
      <c r="W13" s="123">
        <f t="shared" si="12"/>
        <v>11304</v>
      </c>
      <c r="X13" s="47">
        <f t="shared" si="1"/>
        <v>40708</v>
      </c>
      <c r="Y13" s="68">
        <f t="shared" si="2"/>
        <v>11569</v>
      </c>
      <c r="Z13" s="45">
        <f t="shared" si="3"/>
        <v>6643.3249583999996</v>
      </c>
      <c r="AA13" s="45">
        <f t="shared" si="13"/>
        <v>28476.347889600002</v>
      </c>
    </row>
    <row r="14" spans="1:27" ht="16.5" thickBot="1" x14ac:dyDescent="0.25">
      <c r="A14" s="7">
        <v>43566</v>
      </c>
      <c r="B14" s="123">
        <v>351</v>
      </c>
      <c r="C14" s="123">
        <v>15386</v>
      </c>
      <c r="D14" s="123">
        <f t="shared" si="4"/>
        <v>640</v>
      </c>
      <c r="E14" s="45">
        <v>16490609</v>
      </c>
      <c r="F14" s="123">
        <f t="shared" si="5"/>
        <v>14177</v>
      </c>
      <c r="G14" s="45">
        <v>44036574</v>
      </c>
      <c r="H14" s="123">
        <f t="shared" si="6"/>
        <v>53215</v>
      </c>
      <c r="I14" s="47">
        <f t="shared" si="0"/>
        <v>67392</v>
      </c>
      <c r="J14" s="45">
        <v>3772145</v>
      </c>
      <c r="K14" s="123">
        <f t="shared" si="7"/>
        <v>5926</v>
      </c>
      <c r="L14" s="48">
        <v>3984415</v>
      </c>
      <c r="M14" s="123">
        <f t="shared" si="8"/>
        <v>5297</v>
      </c>
      <c r="N14" s="45">
        <v>2502316</v>
      </c>
      <c r="O14" s="123">
        <f t="shared" si="9"/>
        <v>8674</v>
      </c>
      <c r="P14" s="48">
        <v>4972228</v>
      </c>
      <c r="Q14" s="123">
        <f t="shared" si="10"/>
        <v>3972</v>
      </c>
      <c r="R14" s="45">
        <v>9981856</v>
      </c>
      <c r="S14" s="123">
        <f t="shared" si="11"/>
        <v>13105</v>
      </c>
      <c r="T14" s="45">
        <v>0</v>
      </c>
      <c r="U14" s="46"/>
      <c r="V14" s="45">
        <v>6490923</v>
      </c>
      <c r="W14" s="123">
        <f t="shared" si="12"/>
        <v>14364</v>
      </c>
      <c r="X14" s="47">
        <f t="shared" si="1"/>
        <v>51338</v>
      </c>
      <c r="Y14" s="68">
        <f t="shared" si="2"/>
        <v>16054</v>
      </c>
      <c r="Z14" s="45">
        <f t="shared" si="3"/>
        <v>8497.8799567999995</v>
      </c>
      <c r="AA14" s="45">
        <f t="shared" si="13"/>
        <v>29021.304831999998</v>
      </c>
    </row>
    <row r="15" spans="1:27" ht="16.5" thickBot="1" x14ac:dyDescent="0.25">
      <c r="A15" s="7">
        <v>43567</v>
      </c>
      <c r="B15" s="123">
        <v>358</v>
      </c>
      <c r="C15" s="123">
        <v>15390</v>
      </c>
      <c r="D15" s="123">
        <f t="shared" si="4"/>
        <v>640</v>
      </c>
      <c r="E15" s="45">
        <v>16499288</v>
      </c>
      <c r="F15" s="123">
        <f t="shared" si="5"/>
        <v>8679</v>
      </c>
      <c r="G15" s="45">
        <v>44068998</v>
      </c>
      <c r="H15" s="123">
        <f t="shared" si="6"/>
        <v>32424</v>
      </c>
      <c r="I15" s="47">
        <f t="shared" si="0"/>
        <v>41103</v>
      </c>
      <c r="J15" s="45">
        <v>3775306</v>
      </c>
      <c r="K15" s="123">
        <f t="shared" si="7"/>
        <v>3161</v>
      </c>
      <c r="L15" s="48">
        <v>3987561</v>
      </c>
      <c r="M15" s="123">
        <f t="shared" si="8"/>
        <v>3146</v>
      </c>
      <c r="N15" s="45">
        <v>2505036</v>
      </c>
      <c r="O15" s="123">
        <f t="shared" si="9"/>
        <v>5440</v>
      </c>
      <c r="P15" s="48">
        <v>4974665</v>
      </c>
      <c r="Q15" s="123">
        <f t="shared" si="10"/>
        <v>2437</v>
      </c>
      <c r="R15" s="45">
        <v>9989924</v>
      </c>
      <c r="S15" s="123">
        <f t="shared" si="11"/>
        <v>8068</v>
      </c>
      <c r="T15" s="45">
        <v>0</v>
      </c>
      <c r="U15" s="46"/>
      <c r="V15" s="45">
        <v>6499944</v>
      </c>
      <c r="W15" s="123">
        <f t="shared" si="12"/>
        <v>9021</v>
      </c>
      <c r="X15" s="47">
        <f t="shared" si="1"/>
        <v>31273</v>
      </c>
      <c r="Y15" s="68">
        <f t="shared" si="2"/>
        <v>9830</v>
      </c>
      <c r="Z15" s="45">
        <f t="shared" si="3"/>
        <v>5288.0975888000012</v>
      </c>
      <c r="AA15" s="45">
        <f t="shared" si="13"/>
        <v>28028.557273600003</v>
      </c>
    </row>
    <row r="16" spans="1:27" ht="16.5" thickBot="1" x14ac:dyDescent="0.25">
      <c r="A16" s="7">
        <v>43568</v>
      </c>
      <c r="B16" s="123">
        <v>340</v>
      </c>
      <c r="C16" s="123">
        <v>15394</v>
      </c>
      <c r="D16" s="123">
        <f t="shared" si="4"/>
        <v>640</v>
      </c>
      <c r="E16" s="45">
        <v>16512568</v>
      </c>
      <c r="F16" s="123">
        <f t="shared" si="5"/>
        <v>13280</v>
      </c>
      <c r="G16" s="45">
        <v>44124938</v>
      </c>
      <c r="H16" s="123">
        <f t="shared" si="6"/>
        <v>55940</v>
      </c>
      <c r="I16" s="47">
        <f t="shared" si="0"/>
        <v>69220</v>
      </c>
      <c r="J16" s="45">
        <v>3780860</v>
      </c>
      <c r="K16" s="123">
        <f t="shared" si="7"/>
        <v>5554</v>
      </c>
      <c r="L16" s="48">
        <v>3992900</v>
      </c>
      <c r="M16" s="123">
        <f t="shared" si="8"/>
        <v>5339</v>
      </c>
      <c r="N16" s="45">
        <v>2508916</v>
      </c>
      <c r="O16" s="123">
        <f t="shared" si="9"/>
        <v>7760</v>
      </c>
      <c r="P16" s="48">
        <v>4980848</v>
      </c>
      <c r="Q16" s="123">
        <f t="shared" si="10"/>
        <v>6183</v>
      </c>
      <c r="R16" s="45">
        <v>10003401</v>
      </c>
      <c r="S16" s="123">
        <f t="shared" si="11"/>
        <v>13477</v>
      </c>
      <c r="T16" s="45">
        <v>0</v>
      </c>
      <c r="U16" s="46"/>
      <c r="V16" s="45">
        <v>6514592</v>
      </c>
      <c r="W16" s="123">
        <f t="shared" si="12"/>
        <v>14648</v>
      </c>
      <c r="X16" s="47">
        <f t="shared" si="1"/>
        <v>52961</v>
      </c>
      <c r="Y16" s="68">
        <f t="shared" si="2"/>
        <v>16259</v>
      </c>
      <c r="Z16" s="45">
        <f t="shared" si="3"/>
        <v>8844.8652239999992</v>
      </c>
      <c r="AA16" s="45">
        <f t="shared" si="13"/>
        <v>29274.167728</v>
      </c>
    </row>
    <row r="17" spans="1:27" ht="16.5" thickBot="1" x14ac:dyDescent="0.25">
      <c r="A17" s="7">
        <v>43569</v>
      </c>
      <c r="B17" s="123">
        <v>337</v>
      </c>
      <c r="C17" s="123">
        <v>15399</v>
      </c>
      <c r="D17" s="123">
        <f t="shared" si="4"/>
        <v>800</v>
      </c>
      <c r="E17" s="45">
        <v>16525136</v>
      </c>
      <c r="F17" s="123">
        <f t="shared" si="5"/>
        <v>12568</v>
      </c>
      <c r="G17" s="45">
        <v>44188778</v>
      </c>
      <c r="H17" s="123">
        <f t="shared" si="6"/>
        <v>63840</v>
      </c>
      <c r="I17" s="47">
        <f t="shared" si="0"/>
        <v>76408</v>
      </c>
      <c r="J17" s="45">
        <v>3787034</v>
      </c>
      <c r="K17" s="123">
        <f t="shared" si="7"/>
        <v>6174</v>
      </c>
      <c r="L17" s="48">
        <v>3998494</v>
      </c>
      <c r="M17" s="123">
        <f t="shared" si="8"/>
        <v>5594</v>
      </c>
      <c r="N17" s="45">
        <v>2512030</v>
      </c>
      <c r="O17" s="123">
        <f t="shared" si="9"/>
        <v>6228</v>
      </c>
      <c r="P17" s="48">
        <v>4991634</v>
      </c>
      <c r="Q17" s="123">
        <f t="shared" si="10"/>
        <v>10786</v>
      </c>
      <c r="R17" s="45">
        <v>10017442</v>
      </c>
      <c r="S17" s="123">
        <f t="shared" si="11"/>
        <v>14041</v>
      </c>
      <c r="T17" s="45">
        <v>0</v>
      </c>
      <c r="U17" s="46"/>
      <c r="V17" s="45">
        <v>6530168</v>
      </c>
      <c r="W17" s="123">
        <f t="shared" si="12"/>
        <v>15576</v>
      </c>
      <c r="X17" s="47">
        <f t="shared" si="1"/>
        <v>58399</v>
      </c>
      <c r="Y17" s="68">
        <f t="shared" si="2"/>
        <v>18009</v>
      </c>
      <c r="Z17" s="45">
        <f t="shared" si="3"/>
        <v>9651.5788303999998</v>
      </c>
      <c r="AA17" s="45">
        <f t="shared" si="13"/>
        <v>32282.421600000001</v>
      </c>
    </row>
    <row r="18" spans="1:27" ht="16.5" thickBot="1" x14ac:dyDescent="0.25">
      <c r="A18" s="7">
        <v>43570</v>
      </c>
      <c r="B18" s="123">
        <v>352</v>
      </c>
      <c r="C18" s="123">
        <v>15403</v>
      </c>
      <c r="D18" s="123">
        <f t="shared" si="4"/>
        <v>640</v>
      </c>
      <c r="E18" s="45">
        <v>16535387</v>
      </c>
      <c r="F18" s="123">
        <f t="shared" si="5"/>
        <v>10251</v>
      </c>
      <c r="G18" s="45">
        <v>44225329</v>
      </c>
      <c r="H18" s="123">
        <f t="shared" si="6"/>
        <v>36551</v>
      </c>
      <c r="I18" s="47">
        <f t="shared" si="0"/>
        <v>46802</v>
      </c>
      <c r="J18" s="45">
        <v>3791867</v>
      </c>
      <c r="K18" s="123">
        <f t="shared" si="7"/>
        <v>4833</v>
      </c>
      <c r="L18" s="48">
        <v>4002810</v>
      </c>
      <c r="M18" s="123">
        <f t="shared" si="8"/>
        <v>4316</v>
      </c>
      <c r="N18" s="45">
        <v>2514956</v>
      </c>
      <c r="O18" s="123">
        <f t="shared" si="9"/>
        <v>5852</v>
      </c>
      <c r="P18" s="48">
        <v>4994242</v>
      </c>
      <c r="Q18" s="123">
        <f t="shared" si="10"/>
        <v>2608</v>
      </c>
      <c r="R18" s="45">
        <v>10026465</v>
      </c>
      <c r="S18" s="123">
        <f t="shared" si="11"/>
        <v>9023</v>
      </c>
      <c r="T18" s="45">
        <v>0</v>
      </c>
      <c r="U18" s="46"/>
      <c r="V18" s="45">
        <v>6540211</v>
      </c>
      <c r="W18" s="123">
        <f t="shared" si="12"/>
        <v>10043</v>
      </c>
      <c r="X18" s="47">
        <f t="shared" si="1"/>
        <v>36675</v>
      </c>
      <c r="Y18" s="68">
        <f t="shared" si="2"/>
        <v>10127</v>
      </c>
      <c r="Z18" s="45">
        <f t="shared" si="3"/>
        <v>5852.3452832000003</v>
      </c>
      <c r="AA18" s="45">
        <f t="shared" si="13"/>
        <v>29636.886926399999</v>
      </c>
    </row>
    <row r="19" spans="1:27" ht="16.5" thickBot="1" x14ac:dyDescent="0.25">
      <c r="A19" s="7">
        <v>43571</v>
      </c>
      <c r="B19" s="123">
        <v>299</v>
      </c>
      <c r="C19" s="123">
        <v>15407</v>
      </c>
      <c r="D19" s="123">
        <f t="shared" si="4"/>
        <v>640</v>
      </c>
      <c r="E19" s="45">
        <v>16545291</v>
      </c>
      <c r="F19" s="123">
        <f t="shared" si="5"/>
        <v>9904</v>
      </c>
      <c r="G19" s="45">
        <v>44262974</v>
      </c>
      <c r="H19" s="123">
        <f t="shared" si="6"/>
        <v>37645</v>
      </c>
      <c r="I19" s="47">
        <f t="shared" si="0"/>
        <v>47549</v>
      </c>
      <c r="J19" s="45">
        <v>3796167</v>
      </c>
      <c r="K19" s="123">
        <f t="shared" si="7"/>
        <v>4300</v>
      </c>
      <c r="L19" s="48">
        <v>4006631</v>
      </c>
      <c r="M19" s="123">
        <f t="shared" si="8"/>
        <v>3821</v>
      </c>
      <c r="N19" s="143">
        <v>2517931</v>
      </c>
      <c r="O19" s="123">
        <f t="shared" si="9"/>
        <v>5950</v>
      </c>
      <c r="P19" s="48">
        <v>4998672</v>
      </c>
      <c r="Q19" s="123">
        <f t="shared" si="10"/>
        <v>4430</v>
      </c>
      <c r="R19" s="45">
        <v>10034437</v>
      </c>
      <c r="S19" s="123">
        <f t="shared" si="11"/>
        <v>7972</v>
      </c>
      <c r="T19" s="45">
        <v>0</v>
      </c>
      <c r="U19" s="46"/>
      <c r="V19" s="45">
        <v>6550219</v>
      </c>
      <c r="W19" s="123">
        <f t="shared" si="12"/>
        <v>10008</v>
      </c>
      <c r="X19" s="47">
        <f t="shared" si="1"/>
        <v>36481</v>
      </c>
      <c r="Y19" s="68">
        <f t="shared" si="2"/>
        <v>11068</v>
      </c>
      <c r="Z19" s="45">
        <f t="shared" si="3"/>
        <v>5866.7111359999999</v>
      </c>
      <c r="AA19" s="45">
        <f t="shared" si="13"/>
        <v>30215.500473599997</v>
      </c>
    </row>
    <row r="20" spans="1:27" ht="16.5" thickBot="1" x14ac:dyDescent="0.25">
      <c r="A20" s="7">
        <v>43572</v>
      </c>
      <c r="B20" s="123">
        <v>356</v>
      </c>
      <c r="C20" s="123">
        <v>15412</v>
      </c>
      <c r="D20" s="123">
        <f>IF((C20-C19)&lt;0,"0",(C20-C19))*160</f>
        <v>800</v>
      </c>
      <c r="E20" s="45">
        <v>16554087</v>
      </c>
      <c r="F20" s="123">
        <f t="shared" si="5"/>
        <v>8796</v>
      </c>
      <c r="G20" s="45">
        <v>44329071</v>
      </c>
      <c r="H20" s="123">
        <f t="shared" si="6"/>
        <v>66097</v>
      </c>
      <c r="I20" s="47">
        <f t="shared" si="0"/>
        <v>74893</v>
      </c>
      <c r="J20" s="45">
        <v>3804010</v>
      </c>
      <c r="K20" s="123">
        <f t="shared" si="7"/>
        <v>7843</v>
      </c>
      <c r="L20" s="48">
        <v>4012725</v>
      </c>
      <c r="M20" s="123">
        <f t="shared" si="8"/>
        <v>6094</v>
      </c>
      <c r="N20" s="45">
        <v>2519200</v>
      </c>
      <c r="O20" s="123">
        <f t="shared" si="9"/>
        <v>2538</v>
      </c>
      <c r="P20" s="48">
        <v>5012351</v>
      </c>
      <c r="Q20" s="123">
        <f t="shared" si="10"/>
        <v>13679</v>
      </c>
      <c r="R20" s="45">
        <v>10047592</v>
      </c>
      <c r="S20" s="123">
        <f t="shared" si="11"/>
        <v>13155</v>
      </c>
      <c r="T20" s="45">
        <v>0</v>
      </c>
      <c r="U20" s="46"/>
      <c r="V20" s="45">
        <v>6565218</v>
      </c>
      <c r="W20" s="123">
        <f t="shared" si="12"/>
        <v>14999</v>
      </c>
      <c r="X20" s="47">
        <f t="shared" si="1"/>
        <v>58308</v>
      </c>
      <c r="Y20" s="68">
        <f t="shared" si="2"/>
        <v>16585</v>
      </c>
      <c r="Z20" s="45">
        <f t="shared" si="3"/>
        <v>9181.1063967999999</v>
      </c>
      <c r="AA20" s="45">
        <f t="shared" si="13"/>
        <v>30551.741646399998</v>
      </c>
    </row>
    <row r="21" spans="1:27" ht="16.5" thickBot="1" x14ac:dyDescent="0.25">
      <c r="A21" s="7">
        <v>43573</v>
      </c>
      <c r="B21" s="123">
        <v>359</v>
      </c>
      <c r="C21" s="123">
        <v>15414</v>
      </c>
      <c r="D21" s="123">
        <f>IF((C21-C20)&lt;0,"0",(C21-C20))*160</f>
        <v>320</v>
      </c>
      <c r="E21" s="45">
        <v>16560121</v>
      </c>
      <c r="F21" s="123">
        <f t="shared" si="5"/>
        <v>6034</v>
      </c>
      <c r="G21" s="45">
        <v>44388804</v>
      </c>
      <c r="H21" s="123">
        <f t="shared" si="6"/>
        <v>59733</v>
      </c>
      <c r="I21" s="47">
        <f t="shared" si="0"/>
        <v>65767</v>
      </c>
      <c r="J21" s="45">
        <v>3809197</v>
      </c>
      <c r="K21" s="123">
        <f t="shared" si="7"/>
        <v>5187</v>
      </c>
      <c r="L21" s="48">
        <v>4018052</v>
      </c>
      <c r="M21" s="123">
        <f t="shared" si="8"/>
        <v>5327</v>
      </c>
      <c r="N21" s="45">
        <v>2519959</v>
      </c>
      <c r="O21" s="123">
        <f t="shared" si="9"/>
        <v>1518</v>
      </c>
      <c r="P21" s="48">
        <v>5024750</v>
      </c>
      <c r="Q21" s="123">
        <f t="shared" si="10"/>
        <v>12399</v>
      </c>
      <c r="R21" s="45">
        <v>10059923</v>
      </c>
      <c r="S21" s="123">
        <f t="shared" si="11"/>
        <v>12331</v>
      </c>
      <c r="T21" s="45">
        <v>0</v>
      </c>
      <c r="U21" s="46"/>
      <c r="V21" s="45">
        <v>6578768</v>
      </c>
      <c r="W21" s="123">
        <f t="shared" si="12"/>
        <v>13550</v>
      </c>
      <c r="X21" s="47">
        <f t="shared" si="1"/>
        <v>50312</v>
      </c>
      <c r="Y21" s="68">
        <f t="shared" si="2"/>
        <v>15455</v>
      </c>
      <c r="Z21" s="45">
        <f t="shared" si="3"/>
        <v>8296.4483472000011</v>
      </c>
      <c r="AA21" s="45">
        <f t="shared" si="13"/>
        <v>29196.611163200003</v>
      </c>
    </row>
    <row r="22" spans="1:27" ht="16.5" thickBot="1" x14ac:dyDescent="0.25">
      <c r="A22" s="7">
        <v>43574</v>
      </c>
      <c r="B22" s="123">
        <v>365</v>
      </c>
      <c r="C22" s="123">
        <v>15415</v>
      </c>
      <c r="D22" s="123">
        <f>IF((C22-C21)&lt;0,"0",(C22-C21))*160</f>
        <v>160</v>
      </c>
      <c r="E22" s="45">
        <v>16567523</v>
      </c>
      <c r="F22" s="123">
        <f t="shared" si="5"/>
        <v>7402</v>
      </c>
      <c r="G22" s="45">
        <v>44453703</v>
      </c>
      <c r="H22" s="123">
        <f t="shared" si="6"/>
        <v>64899</v>
      </c>
      <c r="I22" s="47">
        <f t="shared" si="0"/>
        <v>72301</v>
      </c>
      <c r="J22" s="45">
        <v>3814633</v>
      </c>
      <c r="K22" s="123">
        <f t="shared" si="7"/>
        <v>5436</v>
      </c>
      <c r="L22" s="48">
        <v>4023378</v>
      </c>
      <c r="M22" s="123">
        <f t="shared" si="8"/>
        <v>5326</v>
      </c>
      <c r="N22" s="45">
        <v>2520984</v>
      </c>
      <c r="O22" s="123">
        <f t="shared" si="9"/>
        <v>2050</v>
      </c>
      <c r="P22" s="48">
        <v>5038083</v>
      </c>
      <c r="Q22" s="123">
        <f t="shared" si="10"/>
        <v>13333</v>
      </c>
      <c r="R22" s="45">
        <v>10073731</v>
      </c>
      <c r="S22" s="123">
        <f t="shared" si="11"/>
        <v>13808</v>
      </c>
      <c r="T22" s="45">
        <v>0</v>
      </c>
      <c r="U22" s="46"/>
      <c r="V22" s="45">
        <v>6593944</v>
      </c>
      <c r="W22" s="123">
        <f t="shared" si="12"/>
        <v>15176</v>
      </c>
      <c r="X22" s="47">
        <f t="shared" si="1"/>
        <v>55129</v>
      </c>
      <c r="Y22" s="68">
        <f t="shared" si="2"/>
        <v>17172</v>
      </c>
      <c r="Z22" s="45">
        <f t="shared" si="3"/>
        <v>9261.8235007999992</v>
      </c>
      <c r="AA22" s="45">
        <f t="shared" si="13"/>
        <v>32606.089380799996</v>
      </c>
    </row>
    <row r="23" spans="1:27" ht="16.5" thickBot="1" x14ac:dyDescent="0.25">
      <c r="A23" s="7">
        <v>43575</v>
      </c>
      <c r="B23" s="123">
        <v>364</v>
      </c>
      <c r="C23" s="123">
        <v>15425</v>
      </c>
      <c r="D23" s="123">
        <f t="shared" si="4"/>
        <v>1600</v>
      </c>
      <c r="E23" s="45">
        <v>16572604</v>
      </c>
      <c r="F23" s="123">
        <f t="shared" si="5"/>
        <v>5081</v>
      </c>
      <c r="G23" s="45">
        <v>44495813</v>
      </c>
      <c r="H23" s="123">
        <f t="shared" si="6"/>
        <v>42110</v>
      </c>
      <c r="I23" s="47">
        <f t="shared" si="0"/>
        <v>47191</v>
      </c>
      <c r="J23" s="45">
        <v>3818598</v>
      </c>
      <c r="K23" s="123">
        <f t="shared" si="7"/>
        <v>3965</v>
      </c>
      <c r="L23" s="48">
        <v>4027261</v>
      </c>
      <c r="M23" s="123">
        <f t="shared" si="8"/>
        <v>3883</v>
      </c>
      <c r="N23" s="45">
        <v>2521543</v>
      </c>
      <c r="O23" s="123">
        <f t="shared" si="9"/>
        <v>1118</v>
      </c>
      <c r="P23" s="48">
        <v>5046707</v>
      </c>
      <c r="Q23" s="123">
        <f t="shared" si="10"/>
        <v>8624</v>
      </c>
      <c r="R23" s="45">
        <v>10082858</v>
      </c>
      <c r="S23" s="123">
        <f t="shared" si="11"/>
        <v>9127</v>
      </c>
      <c r="T23" s="45">
        <v>0</v>
      </c>
      <c r="U23" s="46"/>
      <c r="V23" s="45">
        <v>6603818</v>
      </c>
      <c r="W23" s="123">
        <f t="shared" si="12"/>
        <v>9874</v>
      </c>
      <c r="X23" s="47">
        <f t="shared" si="1"/>
        <v>36591</v>
      </c>
      <c r="Y23" s="68">
        <f t="shared" si="2"/>
        <v>10600</v>
      </c>
      <c r="Z23" s="45">
        <f t="shared" si="3"/>
        <v>6022.1613711999998</v>
      </c>
      <c r="AA23" s="45">
        <f t="shared" si="13"/>
        <v>32761.539615999998</v>
      </c>
    </row>
    <row r="24" spans="1:27" ht="16.5" thickBot="1" x14ac:dyDescent="0.25">
      <c r="A24" s="7">
        <v>43576</v>
      </c>
      <c r="B24" s="123">
        <v>306</v>
      </c>
      <c r="C24" s="123">
        <v>15419</v>
      </c>
      <c r="D24" s="123">
        <f t="shared" si="4"/>
        <v>0</v>
      </c>
      <c r="E24" s="45">
        <v>16579513</v>
      </c>
      <c r="F24" s="123">
        <f t="shared" si="5"/>
        <v>6909</v>
      </c>
      <c r="G24" s="45">
        <v>44553642</v>
      </c>
      <c r="H24" s="123">
        <f t="shared" si="6"/>
        <v>57829</v>
      </c>
      <c r="I24" s="47">
        <f t="shared" si="0"/>
        <v>64738</v>
      </c>
      <c r="J24" s="45">
        <v>3824044</v>
      </c>
      <c r="K24" s="123">
        <f t="shared" si="7"/>
        <v>5446</v>
      </c>
      <c r="L24" s="48">
        <v>4032393</v>
      </c>
      <c r="M24" s="123">
        <f t="shared" si="8"/>
        <v>5132</v>
      </c>
      <c r="N24" s="45">
        <v>2522348</v>
      </c>
      <c r="O24" s="123">
        <f t="shared" si="9"/>
        <v>1610</v>
      </c>
      <c r="P24" s="48">
        <v>5058056</v>
      </c>
      <c r="Q24" s="123">
        <f t="shared" si="10"/>
        <v>11349</v>
      </c>
      <c r="R24" s="45">
        <v>10095253</v>
      </c>
      <c r="S24" s="123">
        <f t="shared" si="11"/>
        <v>12395</v>
      </c>
      <c r="T24" s="45">
        <v>0</v>
      </c>
      <c r="U24" s="46"/>
      <c r="V24" s="45">
        <v>6617460</v>
      </c>
      <c r="W24" s="123">
        <f t="shared" si="12"/>
        <v>13642</v>
      </c>
      <c r="X24" s="47">
        <f t="shared" si="1"/>
        <v>49574</v>
      </c>
      <c r="Y24" s="68">
        <f t="shared" si="2"/>
        <v>15164</v>
      </c>
      <c r="Z24" s="45">
        <f t="shared" si="3"/>
        <v>8195.6241743999999</v>
      </c>
      <c r="AA24" s="45">
        <f t="shared" si="13"/>
        <v>31776.0573936</v>
      </c>
    </row>
    <row r="25" spans="1:27" ht="16.5" thickBot="1" x14ac:dyDescent="0.25">
      <c r="A25" s="7">
        <v>43577</v>
      </c>
      <c r="B25" s="123">
        <v>308</v>
      </c>
      <c r="C25" s="123">
        <v>15434</v>
      </c>
      <c r="D25" s="123">
        <f t="shared" si="4"/>
        <v>2400</v>
      </c>
      <c r="E25" s="45">
        <v>16585889</v>
      </c>
      <c r="F25" s="123">
        <f t="shared" si="5"/>
        <v>6376</v>
      </c>
      <c r="G25" s="45">
        <v>44599954</v>
      </c>
      <c r="H25" s="123">
        <f t="shared" si="6"/>
        <v>46312</v>
      </c>
      <c r="I25" s="47">
        <f t="shared" si="0"/>
        <v>52688</v>
      </c>
      <c r="J25" s="45">
        <v>3828210</v>
      </c>
      <c r="K25" s="123">
        <f t="shared" si="7"/>
        <v>4166</v>
      </c>
      <c r="L25" s="48">
        <v>4037148</v>
      </c>
      <c r="M25" s="123">
        <f t="shared" si="8"/>
        <v>4755</v>
      </c>
      <c r="N25" s="45">
        <v>2523082</v>
      </c>
      <c r="O25" s="123">
        <f t="shared" si="9"/>
        <v>1468</v>
      </c>
      <c r="P25" s="48">
        <v>5067334</v>
      </c>
      <c r="Q25" s="123">
        <f t="shared" si="10"/>
        <v>9278</v>
      </c>
      <c r="R25" s="45">
        <v>10104808</v>
      </c>
      <c r="S25" s="123">
        <f t="shared" si="11"/>
        <v>9555</v>
      </c>
      <c r="T25" s="45">
        <v>0</v>
      </c>
      <c r="U25" s="46"/>
      <c r="V25" s="45">
        <v>6628696</v>
      </c>
      <c r="W25" s="123">
        <f t="shared" si="12"/>
        <v>11236</v>
      </c>
      <c r="X25" s="47">
        <f t="shared" si="1"/>
        <v>40458</v>
      </c>
      <c r="Y25" s="68">
        <f t="shared" si="2"/>
        <v>12230</v>
      </c>
      <c r="Z25" s="45">
        <f t="shared" si="3"/>
        <v>6601.9686512000007</v>
      </c>
      <c r="AA25" s="45">
        <f t="shared" si="13"/>
        <v>30081.577697600002</v>
      </c>
    </row>
    <row r="26" spans="1:27" ht="16.5" thickBot="1" x14ac:dyDescent="0.25">
      <c r="A26" s="7">
        <v>43578</v>
      </c>
      <c r="B26" s="123">
        <v>293</v>
      </c>
      <c r="C26" s="123">
        <v>15437</v>
      </c>
      <c r="D26" s="123">
        <f t="shared" si="4"/>
        <v>480</v>
      </c>
      <c r="E26" s="45">
        <v>16592785</v>
      </c>
      <c r="F26" s="123">
        <f t="shared" si="5"/>
        <v>6896</v>
      </c>
      <c r="G26" s="45">
        <v>44660190</v>
      </c>
      <c r="H26" s="123">
        <f t="shared" si="6"/>
        <v>60236</v>
      </c>
      <c r="I26" s="47">
        <f t="shared" si="0"/>
        <v>67132</v>
      </c>
      <c r="J26" s="45">
        <v>3833436</v>
      </c>
      <c r="K26" s="123">
        <f t="shared" si="7"/>
        <v>5226</v>
      </c>
      <c r="L26" s="48">
        <v>4042356</v>
      </c>
      <c r="M26" s="123">
        <f t="shared" si="8"/>
        <v>5208</v>
      </c>
      <c r="N26" s="45">
        <v>2523873</v>
      </c>
      <c r="O26" s="123">
        <f t="shared" si="9"/>
        <v>1582</v>
      </c>
      <c r="P26" s="48">
        <v>5079847</v>
      </c>
      <c r="Q26" s="123">
        <f t="shared" si="10"/>
        <v>12513</v>
      </c>
      <c r="R26" s="45">
        <v>10116705</v>
      </c>
      <c r="S26" s="123">
        <f t="shared" si="11"/>
        <v>11897</v>
      </c>
      <c r="T26" s="45">
        <v>0</v>
      </c>
      <c r="U26" s="46"/>
      <c r="V26" s="45">
        <v>6643380</v>
      </c>
      <c r="W26" s="123">
        <f t="shared" si="12"/>
        <v>14684</v>
      </c>
      <c r="X26" s="47">
        <f t="shared" si="1"/>
        <v>51110</v>
      </c>
      <c r="Y26" s="68">
        <f t="shared" si="2"/>
        <v>16022</v>
      </c>
      <c r="Z26" s="45">
        <f t="shared" si="3"/>
        <v>8492.1176911999992</v>
      </c>
      <c r="AA26" s="45">
        <f t="shared" si="13"/>
        <v>29311.871888000001</v>
      </c>
    </row>
    <row r="27" spans="1:27" ht="16.5" thickBot="1" x14ac:dyDescent="0.25">
      <c r="A27" s="7">
        <v>43579</v>
      </c>
      <c r="B27" s="123">
        <v>357</v>
      </c>
      <c r="C27" s="123">
        <v>15442</v>
      </c>
      <c r="D27" s="123">
        <f t="shared" si="4"/>
        <v>800</v>
      </c>
      <c r="E27" s="45">
        <v>16598355</v>
      </c>
      <c r="F27" s="123">
        <f t="shared" si="5"/>
        <v>5570</v>
      </c>
      <c r="G27" s="45">
        <v>44708779</v>
      </c>
      <c r="H27" s="123">
        <f t="shared" si="6"/>
        <v>48589</v>
      </c>
      <c r="I27" s="47">
        <f t="shared" si="0"/>
        <v>54159</v>
      </c>
      <c r="J27" s="45">
        <v>3837956</v>
      </c>
      <c r="K27" s="123">
        <f t="shared" si="7"/>
        <v>4520</v>
      </c>
      <c r="L27" s="48">
        <v>4046550</v>
      </c>
      <c r="M27" s="123">
        <f t="shared" si="8"/>
        <v>4194</v>
      </c>
      <c r="N27" s="45">
        <v>2524444</v>
      </c>
      <c r="O27" s="123">
        <f t="shared" si="9"/>
        <v>1142</v>
      </c>
      <c r="P27" s="48">
        <v>5090627</v>
      </c>
      <c r="Q27" s="123">
        <f t="shared" si="10"/>
        <v>10780</v>
      </c>
      <c r="R27" s="45">
        <v>10126164</v>
      </c>
      <c r="S27" s="123">
        <f t="shared" si="11"/>
        <v>9459</v>
      </c>
      <c r="T27" s="45">
        <v>0</v>
      </c>
      <c r="U27" s="46"/>
      <c r="V27" s="45">
        <v>6654795</v>
      </c>
      <c r="W27" s="123">
        <f t="shared" si="12"/>
        <v>11415</v>
      </c>
      <c r="X27" s="47">
        <f t="shared" si="1"/>
        <v>41510</v>
      </c>
      <c r="Y27" s="68">
        <f t="shared" si="2"/>
        <v>12649</v>
      </c>
      <c r="Z27" s="45">
        <f t="shared" si="3"/>
        <v>6792.3611807999996</v>
      </c>
      <c r="AA27" s="45">
        <f t="shared" si="13"/>
        <v>30082.071697599997</v>
      </c>
    </row>
    <row r="28" spans="1:27" ht="16.5" thickBot="1" x14ac:dyDescent="0.25">
      <c r="A28" s="7">
        <v>43580</v>
      </c>
      <c r="B28" s="123">
        <v>356</v>
      </c>
      <c r="C28" s="123">
        <v>15445</v>
      </c>
      <c r="D28" s="123">
        <f t="shared" si="4"/>
        <v>480</v>
      </c>
      <c r="E28" s="45">
        <v>16605236</v>
      </c>
      <c r="F28" s="123">
        <f t="shared" si="5"/>
        <v>6881</v>
      </c>
      <c r="G28" s="45">
        <v>44769636</v>
      </c>
      <c r="H28" s="123">
        <f t="shared" si="6"/>
        <v>60857</v>
      </c>
      <c r="I28" s="47">
        <f t="shared" si="0"/>
        <v>67738</v>
      </c>
      <c r="J28" s="45">
        <v>3843125</v>
      </c>
      <c r="K28" s="123">
        <f t="shared" si="7"/>
        <v>5169</v>
      </c>
      <c r="L28" s="48">
        <v>4051563</v>
      </c>
      <c r="M28" s="123">
        <f t="shared" si="8"/>
        <v>5013</v>
      </c>
      <c r="N28" s="45">
        <v>2525314</v>
      </c>
      <c r="O28" s="123">
        <f t="shared" si="9"/>
        <v>1740</v>
      </c>
      <c r="P28" s="48">
        <v>5104578</v>
      </c>
      <c r="Q28" s="123">
        <f t="shared" si="10"/>
        <v>13951</v>
      </c>
      <c r="R28" s="45">
        <v>10138239</v>
      </c>
      <c r="S28" s="123">
        <f t="shared" si="11"/>
        <v>12075</v>
      </c>
      <c r="T28" s="45">
        <v>0</v>
      </c>
      <c r="U28" s="46"/>
      <c r="V28" s="45">
        <v>6668918</v>
      </c>
      <c r="W28" s="123">
        <f t="shared" si="12"/>
        <v>14123</v>
      </c>
      <c r="X28" s="47">
        <f t="shared" si="1"/>
        <v>52071</v>
      </c>
      <c r="Y28" s="68">
        <f t="shared" si="2"/>
        <v>15667</v>
      </c>
      <c r="Z28" s="45">
        <f t="shared" si="3"/>
        <v>8630.2074976000004</v>
      </c>
      <c r="AA28" s="45">
        <f t="shared" si="13"/>
        <v>30516.655020800001</v>
      </c>
    </row>
    <row r="29" spans="1:27" ht="16.5" thickBot="1" x14ac:dyDescent="0.25">
      <c r="A29" s="7">
        <v>43581</v>
      </c>
      <c r="B29" s="123">
        <v>327</v>
      </c>
      <c r="C29" s="123">
        <v>15450</v>
      </c>
      <c r="D29" s="123">
        <f t="shared" si="4"/>
        <v>800</v>
      </c>
      <c r="E29" s="45">
        <v>16611272</v>
      </c>
      <c r="F29" s="123">
        <f t="shared" si="5"/>
        <v>6036</v>
      </c>
      <c r="G29" s="45">
        <v>44824007</v>
      </c>
      <c r="H29" s="123">
        <f t="shared" si="6"/>
        <v>54371</v>
      </c>
      <c r="I29" s="47">
        <f t="shared" si="0"/>
        <v>60407</v>
      </c>
      <c r="J29" s="45">
        <v>3847659</v>
      </c>
      <c r="K29" s="123">
        <f t="shared" si="7"/>
        <v>4534</v>
      </c>
      <c r="L29" s="48">
        <v>4056031</v>
      </c>
      <c r="M29" s="123">
        <f t="shared" si="8"/>
        <v>4468</v>
      </c>
      <c r="N29" s="45">
        <v>2526029</v>
      </c>
      <c r="O29" s="123">
        <f t="shared" si="9"/>
        <v>1430</v>
      </c>
      <c r="P29" s="48">
        <v>5117863</v>
      </c>
      <c r="Q29" s="123">
        <f t="shared" si="10"/>
        <v>13285</v>
      </c>
      <c r="R29" s="45">
        <v>10148586</v>
      </c>
      <c r="S29" s="123">
        <f t="shared" si="11"/>
        <v>10347</v>
      </c>
      <c r="T29" s="45">
        <v>0</v>
      </c>
      <c r="U29" s="46"/>
      <c r="V29" s="45">
        <v>6681525</v>
      </c>
      <c r="W29" s="123">
        <f t="shared" si="12"/>
        <v>12607</v>
      </c>
      <c r="X29" s="47">
        <f t="shared" si="1"/>
        <v>46671</v>
      </c>
      <c r="Y29" s="68">
        <f t="shared" si="2"/>
        <v>13736</v>
      </c>
      <c r="Z29" s="45">
        <f t="shared" si="3"/>
        <v>7701.5458208</v>
      </c>
      <c r="AA29" s="45">
        <f t="shared" si="13"/>
        <v>31616.232190399998</v>
      </c>
    </row>
    <row r="30" spans="1:27" ht="16.5" thickBot="1" x14ac:dyDescent="0.25">
      <c r="A30" s="7">
        <v>43582</v>
      </c>
      <c r="B30" s="123">
        <v>314</v>
      </c>
      <c r="C30" s="123">
        <v>15454</v>
      </c>
      <c r="D30" s="123">
        <f t="shared" si="4"/>
        <v>640</v>
      </c>
      <c r="E30" s="45">
        <v>16616791</v>
      </c>
      <c r="F30" s="123">
        <f t="shared" si="5"/>
        <v>5519</v>
      </c>
      <c r="G30" s="45">
        <v>44873431</v>
      </c>
      <c r="H30" s="123">
        <f t="shared" si="6"/>
        <v>49424</v>
      </c>
      <c r="I30" s="47">
        <f t="shared" si="0"/>
        <v>54943</v>
      </c>
      <c r="J30" s="45">
        <v>3851870</v>
      </c>
      <c r="K30" s="123">
        <f t="shared" si="7"/>
        <v>4211</v>
      </c>
      <c r="L30" s="48">
        <v>4060148</v>
      </c>
      <c r="M30" s="123">
        <f t="shared" si="8"/>
        <v>4117</v>
      </c>
      <c r="N30" s="45">
        <v>2526673</v>
      </c>
      <c r="O30" s="123">
        <f t="shared" si="9"/>
        <v>1288</v>
      </c>
      <c r="P30" s="48">
        <v>5130363</v>
      </c>
      <c r="Q30" s="123">
        <f t="shared" si="10"/>
        <v>12500</v>
      </c>
      <c r="R30" s="45">
        <v>10157638</v>
      </c>
      <c r="S30" s="123">
        <f t="shared" si="11"/>
        <v>9052</v>
      </c>
      <c r="T30" s="45">
        <v>0</v>
      </c>
      <c r="U30" s="46"/>
      <c r="V30" s="45">
        <v>6692988</v>
      </c>
      <c r="W30" s="123">
        <f t="shared" si="12"/>
        <v>11463</v>
      </c>
      <c r="X30" s="47">
        <f t="shared" si="1"/>
        <v>42631</v>
      </c>
      <c r="Y30" s="68">
        <f t="shared" si="2"/>
        <v>12312</v>
      </c>
      <c r="Z30" s="45">
        <f t="shared" si="3"/>
        <v>6975.3635120000008</v>
      </c>
      <c r="AA30" s="45">
        <f t="shared" si="13"/>
        <v>30099.478011199997</v>
      </c>
    </row>
    <row r="31" spans="1:27" ht="16.5" thickBot="1" x14ac:dyDescent="0.25">
      <c r="A31" s="7">
        <v>43583</v>
      </c>
      <c r="B31" s="123">
        <v>287</v>
      </c>
      <c r="C31" s="123">
        <v>15457</v>
      </c>
      <c r="D31" s="123">
        <f t="shared" si="4"/>
        <v>480</v>
      </c>
      <c r="E31" s="45">
        <v>16624201</v>
      </c>
      <c r="F31" s="123">
        <f t="shared" si="5"/>
        <v>7410</v>
      </c>
      <c r="G31" s="45">
        <v>44918183</v>
      </c>
      <c r="H31" s="123">
        <f t="shared" si="6"/>
        <v>44752</v>
      </c>
      <c r="I31" s="47">
        <f t="shared" si="0"/>
        <v>52162</v>
      </c>
      <c r="J31" s="45">
        <v>3855814</v>
      </c>
      <c r="K31" s="123">
        <f t="shared" si="7"/>
        <v>3944</v>
      </c>
      <c r="L31" s="48">
        <v>4065105</v>
      </c>
      <c r="M31" s="123">
        <f t="shared" si="8"/>
        <v>4957</v>
      </c>
      <c r="N31" s="45">
        <v>2527835</v>
      </c>
      <c r="O31" s="123">
        <f t="shared" si="9"/>
        <v>2324</v>
      </c>
      <c r="P31" s="48">
        <v>5141764</v>
      </c>
      <c r="Q31" s="123">
        <f t="shared" si="10"/>
        <v>11401</v>
      </c>
      <c r="R31" s="45">
        <v>10165711</v>
      </c>
      <c r="S31" s="123">
        <f t="shared" si="11"/>
        <v>8073</v>
      </c>
      <c r="T31" s="45">
        <v>0</v>
      </c>
      <c r="U31" s="46"/>
      <c r="V31" s="45">
        <v>6703203</v>
      </c>
      <c r="W31" s="123">
        <f t="shared" si="12"/>
        <v>10215</v>
      </c>
      <c r="X31" s="47">
        <f t="shared" si="1"/>
        <v>40914</v>
      </c>
      <c r="Y31" s="68">
        <f t="shared" si="2"/>
        <v>11248</v>
      </c>
      <c r="Z31" s="45">
        <f t="shared" si="3"/>
        <v>6425.7163776000007</v>
      </c>
      <c r="AA31" s="45">
        <f t="shared" si="13"/>
        <v>29732.833208000004</v>
      </c>
    </row>
    <row r="32" spans="1:27" ht="16.5" thickBot="1" x14ac:dyDescent="0.25">
      <c r="A32" s="7">
        <v>43584</v>
      </c>
      <c r="B32" s="123">
        <v>294</v>
      </c>
      <c r="C32" s="123">
        <v>15461</v>
      </c>
      <c r="D32" s="123">
        <f t="shared" si="4"/>
        <v>640</v>
      </c>
      <c r="E32" s="45">
        <v>16642267</v>
      </c>
      <c r="F32" s="123">
        <f t="shared" si="5"/>
        <v>18066</v>
      </c>
      <c r="G32" s="45">
        <v>44990769</v>
      </c>
      <c r="H32" s="123">
        <f t="shared" si="6"/>
        <v>72586</v>
      </c>
      <c r="I32" s="47">
        <f>F32+H32</f>
        <v>90652</v>
      </c>
      <c r="J32" s="45">
        <v>3863266</v>
      </c>
      <c r="K32" s="123">
        <f t="shared" si="7"/>
        <v>7452</v>
      </c>
      <c r="L32" s="48">
        <v>4071576</v>
      </c>
      <c r="M32" s="123">
        <f t="shared" si="8"/>
        <v>6471</v>
      </c>
      <c r="N32" s="45">
        <v>2533537</v>
      </c>
      <c r="O32" s="123">
        <f t="shared" si="9"/>
        <v>11404</v>
      </c>
      <c r="P32" s="48">
        <v>5159611</v>
      </c>
      <c r="Q32" s="123">
        <f t="shared" si="10"/>
        <v>17847</v>
      </c>
      <c r="R32" s="45">
        <v>10178774</v>
      </c>
      <c r="S32" s="123">
        <f t="shared" si="11"/>
        <v>13063</v>
      </c>
      <c r="T32" s="45">
        <v>0</v>
      </c>
      <c r="U32" s="46"/>
      <c r="V32" s="45">
        <v>6719479</v>
      </c>
      <c r="W32" s="123">
        <f t="shared" si="12"/>
        <v>16276</v>
      </c>
      <c r="X32" s="47">
        <f>K32+M32+O32+Q32+S32+U32+W32</f>
        <v>72513</v>
      </c>
      <c r="Y32" s="68">
        <f>I32-X32</f>
        <v>18139</v>
      </c>
      <c r="Z32" s="45">
        <f t="shared" si="3"/>
        <v>11355.630020799999</v>
      </c>
      <c r="AA32" s="45">
        <f t="shared" si="13"/>
        <v>32458.255731200003</v>
      </c>
    </row>
    <row r="33" spans="1:27" ht="16.5" thickBot="1" x14ac:dyDescent="0.25">
      <c r="A33" s="7">
        <v>43585</v>
      </c>
      <c r="B33" s="123">
        <v>298</v>
      </c>
      <c r="C33" s="123">
        <v>15466</v>
      </c>
      <c r="D33" s="123">
        <f t="shared" si="4"/>
        <v>800</v>
      </c>
      <c r="E33" s="45">
        <v>16655010</v>
      </c>
      <c r="F33" s="123">
        <f t="shared" si="5"/>
        <v>12743</v>
      </c>
      <c r="G33" s="45">
        <v>45047485</v>
      </c>
      <c r="H33" s="123">
        <f t="shared" si="6"/>
        <v>56716</v>
      </c>
      <c r="I33" s="47">
        <f>F33+H33</f>
        <v>69459</v>
      </c>
      <c r="J33" s="45">
        <v>3869359</v>
      </c>
      <c r="K33" s="123">
        <f t="shared" si="7"/>
        <v>6093</v>
      </c>
      <c r="L33" s="48">
        <v>4076121</v>
      </c>
      <c r="M33" s="123">
        <f t="shared" si="8"/>
        <v>4545</v>
      </c>
      <c r="N33" s="45">
        <v>2537554</v>
      </c>
      <c r="O33" s="123">
        <f t="shared" si="9"/>
        <v>8034</v>
      </c>
      <c r="P33" s="48">
        <v>5174422</v>
      </c>
      <c r="Q33" s="123">
        <f t="shared" si="10"/>
        <v>14811</v>
      </c>
      <c r="R33" s="45">
        <v>10188644</v>
      </c>
      <c r="S33" s="123">
        <f t="shared" si="11"/>
        <v>9870</v>
      </c>
      <c r="T33" s="45">
        <v>0</v>
      </c>
      <c r="U33" s="46"/>
      <c r="V33" s="45">
        <v>6731805</v>
      </c>
      <c r="W33" s="123">
        <f t="shared" si="12"/>
        <v>12326</v>
      </c>
      <c r="X33" s="47">
        <f>K33+M33+O33+Q33+S33+U33+W33</f>
        <v>55679</v>
      </c>
      <c r="Y33" s="68">
        <f>I33-X33</f>
        <v>13780</v>
      </c>
      <c r="Z33" s="45">
        <f t="shared" si="3"/>
        <v>8694.5315392000011</v>
      </c>
      <c r="AA33" s="45">
        <f t="shared" si="13"/>
        <v>33451.241449599998</v>
      </c>
    </row>
    <row r="34" spans="1:27" ht="16.5" thickBot="1" x14ac:dyDescent="0.25">
      <c r="A34" s="7"/>
      <c r="B34" s="123"/>
      <c r="C34" s="123"/>
      <c r="D34" s="123">
        <f t="shared" si="4"/>
        <v>0</v>
      </c>
      <c r="E34" s="45">
        <v>16655010</v>
      </c>
      <c r="F34" s="123">
        <f t="shared" si="5"/>
        <v>0</v>
      </c>
      <c r="G34" s="45">
        <v>45047485</v>
      </c>
      <c r="H34" s="123">
        <f t="shared" si="6"/>
        <v>0</v>
      </c>
      <c r="I34" s="47">
        <f>F34+H34</f>
        <v>0</v>
      </c>
      <c r="J34" s="45">
        <v>3869359</v>
      </c>
      <c r="K34" s="123">
        <f t="shared" si="7"/>
        <v>0</v>
      </c>
      <c r="L34" s="48">
        <v>4076121</v>
      </c>
      <c r="M34" s="123">
        <f t="shared" si="8"/>
        <v>0</v>
      </c>
      <c r="N34" s="45">
        <v>2537554</v>
      </c>
      <c r="O34" s="123">
        <f t="shared" si="9"/>
        <v>0</v>
      </c>
      <c r="P34" s="48">
        <v>5174422</v>
      </c>
      <c r="Q34" s="123">
        <f t="shared" si="10"/>
        <v>0</v>
      </c>
      <c r="R34" s="45">
        <v>10188644</v>
      </c>
      <c r="S34" s="123">
        <f t="shared" si="11"/>
        <v>0</v>
      </c>
      <c r="T34" s="45">
        <v>0</v>
      </c>
      <c r="U34" s="46"/>
      <c r="V34" s="45">
        <v>6731805</v>
      </c>
      <c r="W34" s="123">
        <f t="shared" si="12"/>
        <v>0</v>
      </c>
      <c r="X34" s="47">
        <f>K34+M34+O34+Q34+S34+U34+W34</f>
        <v>0</v>
      </c>
      <c r="Y34" s="68">
        <f>I34-X34</f>
        <v>0</v>
      </c>
      <c r="Z34" s="45">
        <f t="shared" si="3"/>
        <v>0</v>
      </c>
      <c r="AA34" s="45">
        <f t="shared" si="13"/>
        <v>26475.877937600002</v>
      </c>
    </row>
    <row r="35" spans="1:27" ht="16.5" thickBot="1" x14ac:dyDescent="0.25">
      <c r="A35" s="7" t="s">
        <v>28</v>
      </c>
      <c r="B35" s="123"/>
      <c r="C35" s="123"/>
      <c r="D35" s="123"/>
      <c r="E35" s="50"/>
      <c r="F35" s="51">
        <f>SUM(F3:F34)</f>
        <v>282556</v>
      </c>
      <c r="G35" s="52"/>
      <c r="H35" s="51">
        <f>SUM(H3:H34)</f>
        <v>1522978</v>
      </c>
      <c r="I35" s="47">
        <f t="shared" si="0"/>
        <v>1805534</v>
      </c>
      <c r="J35" s="50"/>
      <c r="K35" s="51">
        <f>SUM(K3:K34)</f>
        <v>149221</v>
      </c>
      <c r="L35" s="49"/>
      <c r="M35" s="51">
        <f>SUM(M3:M34)</f>
        <v>145203</v>
      </c>
      <c r="N35" s="49"/>
      <c r="O35" s="51">
        <f>SUM(O3:O34)</f>
        <v>133482</v>
      </c>
      <c r="P35" s="49"/>
      <c r="Q35" s="51">
        <f>SUM(Q3:Q34)</f>
        <v>254574</v>
      </c>
      <c r="R35" s="49"/>
      <c r="S35" s="51">
        <f>SUM(S3:T34)</f>
        <v>327814</v>
      </c>
      <c r="T35" s="49"/>
      <c r="U35" s="51"/>
      <c r="V35" s="49"/>
      <c r="W35" s="51">
        <f>SUM(W3:W34)</f>
        <v>377945</v>
      </c>
      <c r="X35" s="51">
        <f>SUM(X4:X31)</f>
        <v>1260047</v>
      </c>
      <c r="Y35" s="69">
        <f>SUM(Y4:Y31)</f>
        <v>385376</v>
      </c>
      <c r="Z35" s="51">
        <f>SUM(Z5:Z31)</f>
        <v>200338.77077760003</v>
      </c>
      <c r="AA35" s="51"/>
    </row>
    <row r="37" spans="1:27" ht="15" x14ac:dyDescent="0.2">
      <c r="A37" s="44"/>
      <c r="B37" s="124"/>
      <c r="C37" s="124"/>
      <c r="D37" s="124"/>
      <c r="M37" s="44" t="s">
        <v>13</v>
      </c>
      <c r="P37" s="44" t="s">
        <v>13</v>
      </c>
      <c r="T37" s="44" t="s">
        <v>13</v>
      </c>
      <c r="V37" s="44" t="s">
        <v>13</v>
      </c>
      <c r="Z37" s="44"/>
      <c r="AA37" s="44"/>
    </row>
    <row r="38" spans="1:27" x14ac:dyDescent="0.25">
      <c r="V38" s="44" t="s">
        <v>13</v>
      </c>
      <c r="Y38" s="54"/>
    </row>
    <row r="39" spans="1:27" x14ac:dyDescent="0.25">
      <c r="U39" s="44" t="s">
        <v>13</v>
      </c>
      <c r="Y39" s="54"/>
    </row>
    <row r="40" spans="1:27" x14ac:dyDescent="0.25">
      <c r="Y40" s="54"/>
    </row>
    <row r="41" spans="1:27" x14ac:dyDescent="0.25">
      <c r="Y41" s="54"/>
    </row>
    <row r="52" spans="1:27" ht="15" x14ac:dyDescent="0.2">
      <c r="A52" s="44"/>
      <c r="B52" s="124"/>
      <c r="C52" s="124"/>
      <c r="D52" s="124"/>
      <c r="Z52" s="44"/>
      <c r="AA52" s="44"/>
    </row>
  </sheetData>
  <mergeCells count="1">
    <mergeCell ref="A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BreakPreview" zoomScale="55" zoomScaleNormal="55" zoomScaleSheetLayoutView="55" workbookViewId="0">
      <selection activeCell="B33" sqref="B33:B34"/>
    </sheetView>
  </sheetViews>
  <sheetFormatPr defaultRowHeight="23.25" x14ac:dyDescent="0.35"/>
  <cols>
    <col min="1" max="1" width="37.140625" style="20" customWidth="1"/>
    <col min="2" max="2" width="37.140625" customWidth="1"/>
    <col min="3" max="3" width="37.140625" style="132" customWidth="1"/>
    <col min="4" max="5" width="8.5703125" bestFit="1" customWidth="1"/>
    <col min="7" max="7" width="8.5703125" bestFit="1" customWidth="1"/>
  </cols>
  <sheetData>
    <row r="1" spans="1:9" ht="33" customHeight="1" thickBot="1" x14ac:dyDescent="0.25">
      <c r="A1" s="182" t="s">
        <v>140</v>
      </c>
      <c r="B1" s="182"/>
      <c r="C1" s="182"/>
    </row>
    <row r="2" spans="1:9" ht="24" thickBot="1" x14ac:dyDescent="0.4">
      <c r="A2" s="62" t="s">
        <v>0</v>
      </c>
      <c r="B2" s="63" t="s">
        <v>48</v>
      </c>
      <c r="C2" s="64" t="s">
        <v>31</v>
      </c>
    </row>
    <row r="3" spans="1:9" ht="24" thickBot="1" x14ac:dyDescent="0.4">
      <c r="A3" s="62" t="s">
        <v>12</v>
      </c>
      <c r="B3" s="65">
        <v>15346378</v>
      </c>
      <c r="C3" s="66"/>
    </row>
    <row r="4" spans="1:9" ht="24" thickBot="1" x14ac:dyDescent="0.4">
      <c r="A4" s="62">
        <v>43556</v>
      </c>
      <c r="B4" s="65">
        <v>15350325</v>
      </c>
      <c r="C4" s="131">
        <f>IF((B4-B3)&lt;0,"0",(B4-B3))</f>
        <v>3947</v>
      </c>
    </row>
    <row r="5" spans="1:9" ht="24" thickBot="1" x14ac:dyDescent="0.4">
      <c r="A5" s="62">
        <v>43557</v>
      </c>
      <c r="B5" s="65">
        <v>15354489</v>
      </c>
      <c r="C5" s="131">
        <f t="shared" ref="C5:C34" si="0">IF((B5-B4)&lt;0,"0",(B5-B4))</f>
        <v>4164</v>
      </c>
    </row>
    <row r="6" spans="1:9" ht="24" thickBot="1" x14ac:dyDescent="0.4">
      <c r="A6" s="62">
        <v>43558</v>
      </c>
      <c r="B6" s="65">
        <v>15358089</v>
      </c>
      <c r="C6" s="131">
        <f t="shared" si="0"/>
        <v>3600</v>
      </c>
    </row>
    <row r="7" spans="1:9" ht="24" thickBot="1" x14ac:dyDescent="0.4">
      <c r="A7" s="62">
        <v>43559</v>
      </c>
      <c r="B7" s="65">
        <v>15361793</v>
      </c>
      <c r="C7" s="131">
        <f t="shared" si="0"/>
        <v>3704</v>
      </c>
    </row>
    <row r="8" spans="1:9" ht="24" thickBot="1" x14ac:dyDescent="0.4">
      <c r="A8" s="62">
        <v>43560</v>
      </c>
      <c r="B8" s="65">
        <v>15365561</v>
      </c>
      <c r="C8" s="131">
        <f t="shared" si="0"/>
        <v>3768</v>
      </c>
    </row>
    <row r="9" spans="1:9" ht="24" thickBot="1" x14ac:dyDescent="0.4">
      <c r="A9" s="62">
        <v>43561</v>
      </c>
      <c r="B9" s="65">
        <v>15369335</v>
      </c>
      <c r="C9" s="131">
        <f t="shared" si="0"/>
        <v>3774</v>
      </c>
    </row>
    <row r="10" spans="1:9" ht="24" thickBot="1" x14ac:dyDescent="0.4">
      <c r="A10" s="62">
        <v>43562</v>
      </c>
      <c r="B10" s="65">
        <v>15372749</v>
      </c>
      <c r="C10" s="131">
        <f t="shared" si="0"/>
        <v>3414</v>
      </c>
    </row>
    <row r="11" spans="1:9" ht="24" thickBot="1" x14ac:dyDescent="0.4">
      <c r="A11" s="62">
        <v>43563</v>
      </c>
      <c r="B11" s="65">
        <v>15376056</v>
      </c>
      <c r="C11" s="131">
        <f t="shared" si="0"/>
        <v>3307</v>
      </c>
    </row>
    <row r="12" spans="1:9" ht="24" thickBot="1" x14ac:dyDescent="0.4">
      <c r="A12" s="62">
        <v>43564</v>
      </c>
      <c r="B12" s="65">
        <v>15379544</v>
      </c>
      <c r="C12" s="131">
        <f t="shared" si="0"/>
        <v>3488</v>
      </c>
    </row>
    <row r="13" spans="1:9" ht="24" thickBot="1" x14ac:dyDescent="0.4">
      <c r="A13" s="62">
        <v>43565</v>
      </c>
      <c r="B13" s="65">
        <v>15383257</v>
      </c>
      <c r="C13" s="131">
        <f t="shared" si="0"/>
        <v>3713</v>
      </c>
    </row>
    <row r="14" spans="1:9" ht="24" thickBot="1" x14ac:dyDescent="0.4">
      <c r="A14" s="62">
        <v>43566</v>
      </c>
      <c r="B14" s="65">
        <v>15387049</v>
      </c>
      <c r="C14" s="131">
        <f t="shared" si="0"/>
        <v>3792</v>
      </c>
    </row>
    <row r="15" spans="1:9" ht="24" thickBot="1" x14ac:dyDescent="0.4">
      <c r="A15" s="62">
        <v>43567</v>
      </c>
      <c r="B15" s="65">
        <v>15390758</v>
      </c>
      <c r="C15" s="131">
        <f t="shared" si="0"/>
        <v>3709</v>
      </c>
    </row>
    <row r="16" spans="1:9" ht="24" thickBot="1" x14ac:dyDescent="0.4">
      <c r="A16" s="62">
        <v>43568</v>
      </c>
      <c r="B16" s="65">
        <v>15394290</v>
      </c>
      <c r="C16" s="131">
        <f t="shared" si="0"/>
        <v>3532</v>
      </c>
      <c r="I16" t="s">
        <v>13</v>
      </c>
    </row>
    <row r="17" spans="1:9" ht="24" thickBot="1" x14ac:dyDescent="0.4">
      <c r="A17" s="62">
        <v>43569</v>
      </c>
      <c r="B17" s="65">
        <v>15397607</v>
      </c>
      <c r="C17" s="131">
        <f t="shared" si="0"/>
        <v>3317</v>
      </c>
    </row>
    <row r="18" spans="1:9" ht="24" thickBot="1" x14ac:dyDescent="0.4">
      <c r="A18" s="62">
        <v>43570</v>
      </c>
      <c r="B18" s="65">
        <v>15401163</v>
      </c>
      <c r="C18" s="131">
        <f>IF((B18-B17)&lt;0,"0",(B18-B17))</f>
        <v>3556</v>
      </c>
    </row>
    <row r="19" spans="1:9" ht="24" thickBot="1" x14ac:dyDescent="0.4">
      <c r="A19" s="62">
        <v>43571</v>
      </c>
      <c r="B19" s="65">
        <v>15404987</v>
      </c>
      <c r="C19" s="131">
        <f>IF((B19-B18)&lt;0,"0",(B19-B18))</f>
        <v>3824</v>
      </c>
    </row>
    <row r="20" spans="1:9" ht="24" thickBot="1" x14ac:dyDescent="0.4">
      <c r="A20" s="62">
        <v>43572</v>
      </c>
      <c r="B20" s="65">
        <v>15408859</v>
      </c>
      <c r="C20" s="131">
        <f>IF((B20-B19)&lt;0,"0",(B20-B19))</f>
        <v>3872</v>
      </c>
    </row>
    <row r="21" spans="1:9" ht="24" thickBot="1" x14ac:dyDescent="0.4">
      <c r="A21" s="62">
        <v>43573</v>
      </c>
      <c r="B21" s="65">
        <v>15412658</v>
      </c>
      <c r="C21" s="131">
        <f>IF((B21-B20)&lt;0,"0",(B21-B20))</f>
        <v>3799</v>
      </c>
    </row>
    <row r="22" spans="1:9" ht="24" thickBot="1" x14ac:dyDescent="0.4">
      <c r="A22" s="62">
        <v>43574</v>
      </c>
      <c r="B22" s="65">
        <v>15416281</v>
      </c>
      <c r="C22" s="131">
        <f t="shared" si="0"/>
        <v>3623</v>
      </c>
    </row>
    <row r="23" spans="1:9" ht="24" thickBot="1" x14ac:dyDescent="0.4">
      <c r="A23" s="62">
        <v>43575</v>
      </c>
      <c r="B23" s="65">
        <v>15420161</v>
      </c>
      <c r="C23" s="131">
        <f t="shared" si="0"/>
        <v>3880</v>
      </c>
    </row>
    <row r="24" spans="1:9" ht="24" thickBot="1" x14ac:dyDescent="0.4">
      <c r="A24" s="62">
        <v>43576</v>
      </c>
      <c r="B24" s="65">
        <v>15423844</v>
      </c>
      <c r="C24" s="131">
        <f t="shared" si="0"/>
        <v>3683</v>
      </c>
      <c r="F24" t="s">
        <v>13</v>
      </c>
    </row>
    <row r="25" spans="1:9" ht="24" thickBot="1" x14ac:dyDescent="0.4">
      <c r="A25" s="62">
        <v>43577</v>
      </c>
      <c r="B25" s="65">
        <v>15427583</v>
      </c>
      <c r="C25" s="131">
        <f t="shared" si="0"/>
        <v>3739</v>
      </c>
      <c r="E25" t="s">
        <v>13</v>
      </c>
    </row>
    <row r="26" spans="1:9" ht="24" thickBot="1" x14ac:dyDescent="0.4">
      <c r="A26" s="62">
        <v>43578</v>
      </c>
      <c r="B26" s="65">
        <v>15431116</v>
      </c>
      <c r="C26" s="131">
        <f t="shared" si="0"/>
        <v>3533</v>
      </c>
    </row>
    <row r="27" spans="1:9" ht="24" thickBot="1" x14ac:dyDescent="0.4">
      <c r="A27" s="62">
        <v>43579</v>
      </c>
      <c r="B27" s="65">
        <v>15434409</v>
      </c>
      <c r="C27" s="131">
        <f t="shared" si="0"/>
        <v>3293</v>
      </c>
    </row>
    <row r="28" spans="1:9" ht="24" thickBot="1" x14ac:dyDescent="0.4">
      <c r="A28" s="62">
        <v>43580</v>
      </c>
      <c r="B28" s="65">
        <v>15438595</v>
      </c>
      <c r="C28" s="131">
        <f t="shared" si="0"/>
        <v>4186</v>
      </c>
    </row>
    <row r="29" spans="1:9" ht="24" thickBot="1" x14ac:dyDescent="0.4">
      <c r="A29" s="62">
        <v>43581</v>
      </c>
      <c r="B29" s="65">
        <v>15442199</v>
      </c>
      <c r="C29" s="131">
        <f t="shared" si="0"/>
        <v>3604</v>
      </c>
      <c r="I29" t="s">
        <v>13</v>
      </c>
    </row>
    <row r="30" spans="1:9" ht="24" thickBot="1" x14ac:dyDescent="0.4">
      <c r="A30" s="62">
        <v>43582</v>
      </c>
      <c r="B30" s="65">
        <v>15445784</v>
      </c>
      <c r="C30" s="131">
        <f t="shared" si="0"/>
        <v>3585</v>
      </c>
    </row>
    <row r="31" spans="1:9" ht="24" thickBot="1" x14ac:dyDescent="0.4">
      <c r="A31" s="62">
        <v>43583</v>
      </c>
      <c r="B31" s="65">
        <v>15449020</v>
      </c>
      <c r="C31" s="131">
        <f t="shared" si="0"/>
        <v>3236</v>
      </c>
    </row>
    <row r="32" spans="1:9" ht="24" thickBot="1" x14ac:dyDescent="0.4">
      <c r="A32" s="62">
        <v>43584</v>
      </c>
      <c r="B32" s="65">
        <v>15452325</v>
      </c>
      <c r="C32" s="131">
        <f t="shared" si="0"/>
        <v>3305</v>
      </c>
    </row>
    <row r="33" spans="1:3" ht="24" thickBot="1" x14ac:dyDescent="0.4">
      <c r="A33" s="62">
        <v>43585</v>
      </c>
      <c r="B33" s="65">
        <v>15455257</v>
      </c>
      <c r="C33" s="131">
        <f t="shared" si="0"/>
        <v>2932</v>
      </c>
    </row>
    <row r="34" spans="1:3" ht="24" thickBot="1" x14ac:dyDescent="0.4">
      <c r="A34" s="62"/>
      <c r="B34" s="65">
        <v>15455257</v>
      </c>
      <c r="C34" s="131">
        <f t="shared" si="0"/>
        <v>0</v>
      </c>
    </row>
    <row r="35" spans="1:3" ht="24" thickBot="1" x14ac:dyDescent="0.4">
      <c r="A35" s="183" t="s">
        <v>28</v>
      </c>
      <c r="B35" s="184"/>
      <c r="C35" s="67">
        <f>SUM(C4:C34)</f>
        <v>108879</v>
      </c>
    </row>
  </sheetData>
  <mergeCells count="2">
    <mergeCell ref="A1:C1"/>
    <mergeCell ref="A35:B35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9"/>
  <sheetViews>
    <sheetView topLeftCell="H1" zoomScale="90" zoomScaleNormal="90" workbookViewId="0">
      <selection activeCell="J34" sqref="J34"/>
    </sheetView>
  </sheetViews>
  <sheetFormatPr defaultRowHeight="12.75" x14ac:dyDescent="0.2"/>
  <cols>
    <col min="1" max="1" width="20.85546875" bestFit="1" customWidth="1"/>
    <col min="2" max="2" width="12.5703125" bestFit="1" customWidth="1"/>
    <col min="3" max="3" width="17" style="120" bestFit="1" customWidth="1"/>
    <col min="4" max="4" width="15.140625" bestFit="1" customWidth="1"/>
    <col min="5" max="5" width="12.5703125" bestFit="1" customWidth="1"/>
    <col min="6" max="6" width="17" style="120" bestFit="1" customWidth="1"/>
    <col min="7" max="7" width="15.140625" customWidth="1"/>
    <col min="8" max="8" width="17.7109375" customWidth="1"/>
    <col min="9" max="9" width="12.85546875" style="120" bestFit="1" customWidth="1"/>
    <col min="10" max="10" width="11.42578125" bestFit="1" customWidth="1"/>
    <col min="11" max="11" width="15.7109375" bestFit="1" customWidth="1"/>
    <col min="12" max="12" width="12.85546875" style="120" bestFit="1" customWidth="1"/>
    <col min="13" max="13" width="12.7109375" bestFit="1" customWidth="1"/>
    <col min="14" max="14" width="11.28515625" bestFit="1" customWidth="1"/>
    <col min="15" max="15" width="12.85546875" style="120" bestFit="1" customWidth="1"/>
    <col min="16" max="16" width="15.140625" bestFit="1" customWidth="1"/>
    <col min="17" max="17" width="13.85546875" bestFit="1" customWidth="1"/>
    <col min="18" max="18" width="16.28515625" style="120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3" t="s">
        <v>0</v>
      </c>
      <c r="B1" s="4" t="s">
        <v>1</v>
      </c>
      <c r="C1" s="127" t="s">
        <v>2</v>
      </c>
      <c r="D1" s="71" t="s">
        <v>3</v>
      </c>
      <c r="E1" s="4" t="s">
        <v>4</v>
      </c>
      <c r="F1" s="127" t="s">
        <v>2</v>
      </c>
      <c r="G1" s="71" t="s">
        <v>3</v>
      </c>
      <c r="H1" s="4" t="s">
        <v>5</v>
      </c>
      <c r="I1" s="127" t="s">
        <v>6</v>
      </c>
      <c r="J1" s="71" t="s">
        <v>135</v>
      </c>
      <c r="K1" s="4" t="s">
        <v>7</v>
      </c>
      <c r="L1" s="127" t="s">
        <v>6</v>
      </c>
      <c r="M1" s="71" t="s">
        <v>3</v>
      </c>
      <c r="N1" s="5" t="s">
        <v>8</v>
      </c>
      <c r="O1" s="127" t="s">
        <v>6</v>
      </c>
      <c r="P1" s="71" t="s">
        <v>3</v>
      </c>
      <c r="Q1" s="5" t="s">
        <v>9</v>
      </c>
      <c r="R1" s="127" t="s">
        <v>6</v>
      </c>
      <c r="S1" s="71" t="s">
        <v>3</v>
      </c>
      <c r="T1" s="6" t="s">
        <v>10</v>
      </c>
      <c r="U1" s="74" t="s">
        <v>11</v>
      </c>
    </row>
    <row r="2" spans="1:25" ht="16.5" thickBot="1" x14ac:dyDescent="0.25">
      <c r="A2" s="7" t="s">
        <v>12</v>
      </c>
      <c r="B2" s="1">
        <v>14052.22</v>
      </c>
      <c r="C2" s="133"/>
      <c r="D2" s="72">
        <f>C2*1.9*1000</f>
        <v>0</v>
      </c>
      <c r="E2" s="1">
        <v>2110.1210000000001</v>
      </c>
      <c r="F2" s="133"/>
      <c r="G2" s="72">
        <f>F2*1.9*1000</f>
        <v>0</v>
      </c>
      <c r="H2" s="1">
        <v>855.77300000000002</v>
      </c>
      <c r="I2" s="133"/>
      <c r="J2" s="72">
        <f>I2*1.9*1000</f>
        <v>0</v>
      </c>
      <c r="K2" s="8">
        <v>12689.35</v>
      </c>
      <c r="L2" s="133"/>
      <c r="M2" s="72">
        <f>L2*1.9*1000</f>
        <v>0</v>
      </c>
      <c r="N2" s="8">
        <v>1740.251</v>
      </c>
      <c r="O2" s="133"/>
      <c r="P2" s="72">
        <f>O2*1.9*1000</f>
        <v>0</v>
      </c>
      <c r="Q2" s="8">
        <v>3839.1</v>
      </c>
      <c r="R2" s="133"/>
      <c r="S2" s="72">
        <v>0</v>
      </c>
      <c r="T2" s="9">
        <f>C2+F2+I2+L2+O2+R2</f>
        <v>0</v>
      </c>
      <c r="U2" s="75"/>
    </row>
    <row r="3" spans="1:25" ht="21" thickBot="1" x14ac:dyDescent="0.25">
      <c r="A3" s="10">
        <v>43556</v>
      </c>
      <c r="B3" s="1">
        <v>14064.725</v>
      </c>
      <c r="C3" s="129">
        <f>IF((B3-B2)&lt;0,"0",(B3-B2))</f>
        <v>12.505000000001019</v>
      </c>
      <c r="D3" s="72">
        <f>C3*1.9*1000</f>
        <v>23759.500000001935</v>
      </c>
      <c r="E3" s="1">
        <v>2110.9229999999998</v>
      </c>
      <c r="F3" s="129">
        <f>IF((E3-E2)&lt;0,"0",(E3-E2))</f>
        <v>0.80199999999967986</v>
      </c>
      <c r="G3" s="72">
        <f>F3*1.9*1000</f>
        <v>1523.7999999993917</v>
      </c>
      <c r="H3" s="1">
        <v>855.89800000000002</v>
      </c>
      <c r="I3" s="129">
        <f>IF((H3-H2)&lt;0,"0",(H3-H2))</f>
        <v>0.125</v>
      </c>
      <c r="J3" s="72">
        <f>I3*1.9*1000</f>
        <v>237.5</v>
      </c>
      <c r="K3" s="8">
        <v>12691.24</v>
      </c>
      <c r="L3" s="129">
        <f>IF((K3-K2)&lt;0,"0",(K3-K2))</f>
        <v>1.8899999999994179</v>
      </c>
      <c r="M3" s="72">
        <f>L3*1.9*1000</f>
        <v>3590.9999999988941</v>
      </c>
      <c r="N3" s="8">
        <v>1743.0219999999999</v>
      </c>
      <c r="O3" s="129">
        <f>IF((N3-N2)&lt;0,"0",(N3-N2))</f>
        <v>2.7709999999999582</v>
      </c>
      <c r="P3" s="72">
        <f>O3*1.9*1000</f>
        <v>5264.8999999999196</v>
      </c>
      <c r="Q3" s="8">
        <v>3839.1</v>
      </c>
      <c r="R3" s="129">
        <f>IF((Q3-Q2)&lt;0,"0",(Q3-Q2))</f>
        <v>0</v>
      </c>
      <c r="S3" s="72">
        <f>R3*1.9*1000</f>
        <v>0</v>
      </c>
      <c r="T3" s="9">
        <f>C3+F3+I3+L3+O3+R3</f>
        <v>18.093000000000075</v>
      </c>
      <c r="U3" s="76">
        <f>T3*1.9*1000</f>
        <v>34376.700000000143</v>
      </c>
    </row>
    <row r="4" spans="1:25" ht="21" thickBot="1" x14ac:dyDescent="0.25">
      <c r="A4" s="10">
        <v>43557</v>
      </c>
      <c r="B4" s="1">
        <v>14069.616</v>
      </c>
      <c r="C4" s="129">
        <f t="shared" ref="C4:C33" si="0">IF((B4-B3)&lt;0,"0",(B4-B3))</f>
        <v>4.8909999999996217</v>
      </c>
      <c r="D4" s="72">
        <f t="shared" ref="D4:D31" si="1">C4*1.9*1000</f>
        <v>9292.8999999992793</v>
      </c>
      <c r="E4" s="1">
        <v>2112.183</v>
      </c>
      <c r="F4" s="129">
        <f t="shared" ref="F4:F33" si="2">IF((E4-E3)&lt;0,"0",(E4-E3))</f>
        <v>1.2600000000002183</v>
      </c>
      <c r="G4" s="72">
        <f t="shared" ref="G4:G31" si="3">F4*1.9*1000</f>
        <v>2394.0000000004143</v>
      </c>
      <c r="H4" s="1">
        <v>856.14300000000003</v>
      </c>
      <c r="I4" s="129">
        <f t="shared" ref="I4:I33" si="4">IF((H4-H3)&lt;0,"0",(H4-H3))</f>
        <v>0.24500000000000455</v>
      </c>
      <c r="J4" s="72">
        <f t="shared" ref="J4:J31" si="5">I4*1.9*1000</f>
        <v>465.50000000000864</v>
      </c>
      <c r="K4" s="8">
        <v>12692.3</v>
      </c>
      <c r="L4" s="129">
        <f t="shared" ref="L4:L33" si="6">IF((K4-K3)&lt;0,"0",(K4-K3))</f>
        <v>1.0599999999994907</v>
      </c>
      <c r="M4" s="72">
        <f t="shared" ref="M4:M31" si="7">L4*1.9*1000</f>
        <v>2013.9999999990321</v>
      </c>
      <c r="N4" s="8">
        <v>1744.241</v>
      </c>
      <c r="O4" s="129">
        <f t="shared" ref="O4:O33" si="8">IF((N4-N3)&lt;0,"0",(N4-N3))</f>
        <v>1.2190000000000509</v>
      </c>
      <c r="P4" s="72">
        <f t="shared" ref="P4:P31" si="9">O4*1.9*1000</f>
        <v>2316.1000000000968</v>
      </c>
      <c r="Q4" s="8">
        <v>3839.1</v>
      </c>
      <c r="R4" s="129">
        <f t="shared" ref="R4:R33" si="10">IF((Q4-Q3)&lt;0,"0",(Q4-Q3))</f>
        <v>0</v>
      </c>
      <c r="S4" s="72">
        <f t="shared" ref="S4:S31" si="11">R4*1.9*1000</f>
        <v>0</v>
      </c>
      <c r="T4" s="9">
        <f t="shared" ref="T4:T31" si="12">C4+F4+I4+L4+O4+R4</f>
        <v>8.6749999999993861</v>
      </c>
      <c r="U4" s="76">
        <f t="shared" ref="U4:U31" si="13">T4*1.9*1000</f>
        <v>16482.499999998832</v>
      </c>
    </row>
    <row r="5" spans="1:25" ht="21" thickBot="1" x14ac:dyDescent="0.25">
      <c r="A5" s="10">
        <v>43558</v>
      </c>
      <c r="B5" s="1">
        <v>14075.392</v>
      </c>
      <c r="C5" s="129">
        <f t="shared" si="0"/>
        <v>5.7759999999998399</v>
      </c>
      <c r="D5" s="72">
        <f t="shared" si="1"/>
        <v>10974.399999999696</v>
      </c>
      <c r="E5" s="1">
        <v>2113.5810000000001</v>
      </c>
      <c r="F5" s="129">
        <f t="shared" si="2"/>
        <v>1.3980000000001382</v>
      </c>
      <c r="G5" s="72">
        <f t="shared" si="3"/>
        <v>2656.2000000002627</v>
      </c>
      <c r="H5" s="1">
        <v>856.19500000000005</v>
      </c>
      <c r="I5" s="129">
        <f t="shared" si="4"/>
        <v>5.2000000000020918E-2</v>
      </c>
      <c r="J5" s="72">
        <f t="shared" si="5"/>
        <v>98.800000000039745</v>
      </c>
      <c r="K5" s="8">
        <v>12692.45</v>
      </c>
      <c r="L5" s="129">
        <f t="shared" si="6"/>
        <v>0.15000000000145519</v>
      </c>
      <c r="M5" s="72">
        <f t="shared" si="7"/>
        <v>285.00000000276486</v>
      </c>
      <c r="N5" s="8">
        <v>1745.499</v>
      </c>
      <c r="O5" s="129">
        <f t="shared" si="8"/>
        <v>1.2580000000000382</v>
      </c>
      <c r="P5" s="72">
        <f t="shared" si="9"/>
        <v>2390.2000000000726</v>
      </c>
      <c r="Q5" s="8">
        <v>3839.1</v>
      </c>
      <c r="R5" s="129">
        <f t="shared" si="10"/>
        <v>0</v>
      </c>
      <c r="S5" s="72">
        <f t="shared" si="11"/>
        <v>0</v>
      </c>
      <c r="T5" s="9">
        <f t="shared" si="12"/>
        <v>8.6340000000014925</v>
      </c>
      <c r="U5" s="76">
        <f t="shared" si="13"/>
        <v>16404.600000002833</v>
      </c>
    </row>
    <row r="6" spans="1:25" ht="21" thickBot="1" x14ac:dyDescent="0.25">
      <c r="A6" s="10">
        <v>43559</v>
      </c>
      <c r="B6" s="1">
        <v>14082.169</v>
      </c>
      <c r="C6" s="129">
        <f t="shared" si="0"/>
        <v>6.7770000000000437</v>
      </c>
      <c r="D6" s="72">
        <f t="shared" si="1"/>
        <v>12876.300000000083</v>
      </c>
      <c r="E6" s="1">
        <v>2114.9520000000002</v>
      </c>
      <c r="F6" s="129">
        <f t="shared" si="2"/>
        <v>1.3710000000000946</v>
      </c>
      <c r="G6" s="72">
        <f t="shared" si="3"/>
        <v>2604.9000000001797</v>
      </c>
      <c r="H6" s="1">
        <v>856.23800000000006</v>
      </c>
      <c r="I6" s="129">
        <f t="shared" si="4"/>
        <v>4.3000000000006366E-2</v>
      </c>
      <c r="J6" s="72">
        <f t="shared" si="5"/>
        <v>81.700000000012096</v>
      </c>
      <c r="K6" s="8">
        <v>12694.61</v>
      </c>
      <c r="L6" s="129">
        <f t="shared" si="6"/>
        <v>2.1599999999998545</v>
      </c>
      <c r="M6" s="72">
        <f t="shared" si="7"/>
        <v>4103.9999999997226</v>
      </c>
      <c r="N6" s="8">
        <v>1747.163</v>
      </c>
      <c r="O6" s="129">
        <f t="shared" si="8"/>
        <v>1.6639999999999873</v>
      </c>
      <c r="P6" s="72">
        <f t="shared" si="9"/>
        <v>3161.5999999999754</v>
      </c>
      <c r="Q6" s="8">
        <v>3839.1</v>
      </c>
      <c r="R6" s="129">
        <f t="shared" si="10"/>
        <v>0</v>
      </c>
      <c r="S6" s="72">
        <f t="shared" si="11"/>
        <v>0</v>
      </c>
      <c r="T6" s="9">
        <f t="shared" si="12"/>
        <v>12.014999999999986</v>
      </c>
      <c r="U6" s="76">
        <f t="shared" si="13"/>
        <v>22828.499999999975</v>
      </c>
    </row>
    <row r="7" spans="1:25" ht="21" thickBot="1" x14ac:dyDescent="0.25">
      <c r="A7" s="10">
        <v>43560</v>
      </c>
      <c r="B7" s="1">
        <v>14088.405000000001</v>
      </c>
      <c r="C7" s="129">
        <f t="shared" si="0"/>
        <v>6.2360000000007858</v>
      </c>
      <c r="D7" s="72">
        <f t="shared" si="1"/>
        <v>11848.400000001491</v>
      </c>
      <c r="E7" s="1">
        <v>2115.5540000000001</v>
      </c>
      <c r="F7" s="129">
        <f t="shared" si="2"/>
        <v>0.60199999999986176</v>
      </c>
      <c r="G7" s="72">
        <f t="shared" si="3"/>
        <v>1143.7999999997373</v>
      </c>
      <c r="H7" s="1">
        <v>856.25</v>
      </c>
      <c r="I7" s="129">
        <f t="shared" si="4"/>
        <v>1.1999999999943611E-2</v>
      </c>
      <c r="J7" s="72">
        <f t="shared" si="5"/>
        <v>22.799999999892862</v>
      </c>
      <c r="K7" s="8">
        <v>12695.75</v>
      </c>
      <c r="L7" s="129">
        <f t="shared" si="6"/>
        <v>1.1399999999994179</v>
      </c>
      <c r="M7" s="72">
        <f t="shared" si="7"/>
        <v>2165.9999999988941</v>
      </c>
      <c r="N7" s="8">
        <v>1748.7560000000001</v>
      </c>
      <c r="O7" s="129">
        <f t="shared" si="8"/>
        <v>1.5930000000000746</v>
      </c>
      <c r="P7" s="72">
        <f t="shared" si="9"/>
        <v>3026.7000000001417</v>
      </c>
      <c r="Q7" s="8">
        <v>3839.1</v>
      </c>
      <c r="R7" s="129">
        <f t="shared" si="10"/>
        <v>0</v>
      </c>
      <c r="S7" s="72">
        <f t="shared" si="11"/>
        <v>0</v>
      </c>
      <c r="T7" s="9">
        <f t="shared" si="12"/>
        <v>9.5830000000000837</v>
      </c>
      <c r="U7" s="76">
        <f t="shared" si="13"/>
        <v>18207.700000000157</v>
      </c>
    </row>
    <row r="8" spans="1:25" ht="21" thickBot="1" x14ac:dyDescent="0.25">
      <c r="A8" s="10">
        <v>43561</v>
      </c>
      <c r="B8" s="1">
        <v>14094.786</v>
      </c>
      <c r="C8" s="129">
        <f t="shared" si="0"/>
        <v>6.3809999999994034</v>
      </c>
      <c r="D8" s="72">
        <f t="shared" si="1"/>
        <v>12123.899999998866</v>
      </c>
      <c r="E8" s="1">
        <v>2116.2220000000002</v>
      </c>
      <c r="F8" s="129">
        <f t="shared" si="2"/>
        <v>0.66800000000012005</v>
      </c>
      <c r="G8" s="72">
        <f t="shared" si="3"/>
        <v>1269.2000000002281</v>
      </c>
      <c r="H8" s="1">
        <v>856.29200000000003</v>
      </c>
      <c r="I8" s="129">
        <f t="shared" si="4"/>
        <v>4.2000000000030013E-2</v>
      </c>
      <c r="J8" s="72">
        <f t="shared" si="5"/>
        <v>79.800000000057025</v>
      </c>
      <c r="K8" s="8">
        <v>12696.85</v>
      </c>
      <c r="L8" s="129">
        <f t="shared" si="6"/>
        <v>1.1000000000003638</v>
      </c>
      <c r="M8" s="72">
        <f t="shared" si="7"/>
        <v>2090.0000000006912</v>
      </c>
      <c r="N8" s="8">
        <v>1750.556</v>
      </c>
      <c r="O8" s="129">
        <f t="shared" si="8"/>
        <v>1.7999999999999545</v>
      </c>
      <c r="P8" s="72">
        <f t="shared" si="9"/>
        <v>3419.9999999999131</v>
      </c>
      <c r="Q8" s="8">
        <v>3839.1</v>
      </c>
      <c r="R8" s="129">
        <f t="shared" si="10"/>
        <v>0</v>
      </c>
      <c r="S8" s="72">
        <f t="shared" si="11"/>
        <v>0</v>
      </c>
      <c r="T8" s="9">
        <f t="shared" si="12"/>
        <v>9.9909999999998718</v>
      </c>
      <c r="U8" s="76">
        <f t="shared" si="13"/>
        <v>18982.899999999754</v>
      </c>
    </row>
    <row r="9" spans="1:25" ht="21" thickBot="1" x14ac:dyDescent="0.25">
      <c r="A9" s="10">
        <v>43562</v>
      </c>
      <c r="B9" s="1">
        <v>14103.267</v>
      </c>
      <c r="C9" s="129">
        <f t="shared" si="0"/>
        <v>8.4809999999997672</v>
      </c>
      <c r="D9" s="72">
        <f t="shared" si="1"/>
        <v>16113.899999999558</v>
      </c>
      <c r="E9" s="1">
        <v>2118.3020000000001</v>
      </c>
      <c r="F9" s="129">
        <f t="shared" si="2"/>
        <v>2.0799999999999272</v>
      </c>
      <c r="G9" s="72">
        <f t="shared" si="3"/>
        <v>3951.9999999998613</v>
      </c>
      <c r="H9" s="1">
        <v>856.29200000000003</v>
      </c>
      <c r="I9" s="129">
        <f t="shared" si="4"/>
        <v>0</v>
      </c>
      <c r="J9" s="72">
        <f t="shared" si="5"/>
        <v>0</v>
      </c>
      <c r="K9" s="8">
        <v>12698.05</v>
      </c>
      <c r="L9" s="129">
        <f t="shared" si="6"/>
        <v>1.1999999999989086</v>
      </c>
      <c r="M9" s="72">
        <f t="shared" si="7"/>
        <v>2279.9999999979264</v>
      </c>
      <c r="N9" s="8">
        <v>1752.242</v>
      </c>
      <c r="O9" s="129">
        <f t="shared" si="8"/>
        <v>1.6859999999999218</v>
      </c>
      <c r="P9" s="72">
        <f t="shared" si="9"/>
        <v>3203.3999999998509</v>
      </c>
      <c r="Q9" s="8">
        <v>3839.1</v>
      </c>
      <c r="R9" s="129">
        <f t="shared" si="10"/>
        <v>0</v>
      </c>
      <c r="S9" s="72">
        <f t="shared" si="11"/>
        <v>0</v>
      </c>
      <c r="T9" s="9">
        <f t="shared" si="12"/>
        <v>13.446999999998525</v>
      </c>
      <c r="U9" s="76">
        <f t="shared" si="13"/>
        <v>25549.299999997194</v>
      </c>
    </row>
    <row r="10" spans="1:25" ht="21" thickBot="1" x14ac:dyDescent="0.25">
      <c r="A10" s="10">
        <v>43563</v>
      </c>
      <c r="B10" s="1">
        <v>14109.602999999999</v>
      </c>
      <c r="C10" s="129">
        <f t="shared" si="0"/>
        <v>6.3359999999993306</v>
      </c>
      <c r="D10" s="72">
        <f t="shared" si="1"/>
        <v>12038.399999998728</v>
      </c>
      <c r="E10" s="1">
        <v>2119.9470000000001</v>
      </c>
      <c r="F10" s="129">
        <f t="shared" si="2"/>
        <v>1.6449999999999818</v>
      </c>
      <c r="G10" s="72">
        <f t="shared" si="3"/>
        <v>3125.499999999965</v>
      </c>
      <c r="H10" s="1">
        <v>856.29499999999996</v>
      </c>
      <c r="I10" s="129">
        <f t="shared" si="4"/>
        <v>2.9999999999290594E-3</v>
      </c>
      <c r="J10" s="72">
        <f t="shared" si="5"/>
        <v>5.699999999865212</v>
      </c>
      <c r="K10" s="8">
        <v>12699.05</v>
      </c>
      <c r="L10" s="129">
        <f t="shared" si="6"/>
        <v>1</v>
      </c>
      <c r="M10" s="72">
        <f t="shared" si="7"/>
        <v>1900</v>
      </c>
      <c r="N10" s="8">
        <v>1753.4870000000001</v>
      </c>
      <c r="O10" s="129">
        <f t="shared" si="8"/>
        <v>1.2450000000001182</v>
      </c>
      <c r="P10" s="72">
        <f t="shared" si="9"/>
        <v>2365.5000000002246</v>
      </c>
      <c r="Q10" s="8">
        <v>3841.12</v>
      </c>
      <c r="R10" s="129">
        <f t="shared" si="10"/>
        <v>2.0199999999999818</v>
      </c>
      <c r="S10" s="72">
        <f t="shared" si="11"/>
        <v>3837.9999999999654</v>
      </c>
      <c r="T10" s="9">
        <f t="shared" si="12"/>
        <v>12.248999999999342</v>
      </c>
      <c r="U10" s="76">
        <f t="shared" si="13"/>
        <v>23273.099999998747</v>
      </c>
    </row>
    <row r="11" spans="1:25" ht="21" thickBot="1" x14ac:dyDescent="0.25">
      <c r="A11" s="10">
        <v>43564</v>
      </c>
      <c r="B11" s="1">
        <v>14116.909</v>
      </c>
      <c r="C11" s="129">
        <f t="shared" si="0"/>
        <v>7.3060000000004948</v>
      </c>
      <c r="D11" s="72">
        <f t="shared" si="1"/>
        <v>13881.400000000938</v>
      </c>
      <c r="E11" s="1">
        <v>2122.098</v>
      </c>
      <c r="F11" s="129">
        <f t="shared" si="2"/>
        <v>2.1509999999998399</v>
      </c>
      <c r="G11" s="72">
        <f t="shared" si="3"/>
        <v>4086.8999999996954</v>
      </c>
      <c r="H11" s="1">
        <v>856.29600000000005</v>
      </c>
      <c r="I11" s="129">
        <f t="shared" si="4"/>
        <v>1.00000000009004E-3</v>
      </c>
      <c r="J11" s="72">
        <f t="shared" si="5"/>
        <v>1.9000000001710757</v>
      </c>
      <c r="K11" s="8">
        <v>12700.16</v>
      </c>
      <c r="L11" s="129">
        <f t="shared" si="6"/>
        <v>1.1100000000005821</v>
      </c>
      <c r="M11" s="72">
        <f t="shared" si="7"/>
        <v>2109.0000000011059</v>
      </c>
      <c r="N11" s="8">
        <v>1754.877</v>
      </c>
      <c r="O11" s="129">
        <f t="shared" si="8"/>
        <v>1.3899999999998727</v>
      </c>
      <c r="P11" s="72">
        <f t="shared" si="9"/>
        <v>2640.9999999997581</v>
      </c>
      <c r="Q11" s="8">
        <v>3841.28</v>
      </c>
      <c r="R11" s="129">
        <f t="shared" si="10"/>
        <v>0.16000000000030923</v>
      </c>
      <c r="S11" s="72">
        <f t="shared" si="11"/>
        <v>304.00000000058753</v>
      </c>
      <c r="T11" s="9">
        <f t="shared" si="12"/>
        <v>12.118000000001189</v>
      </c>
      <c r="U11" s="76">
        <f t="shared" si="13"/>
        <v>23024.200000002256</v>
      </c>
    </row>
    <row r="12" spans="1:25" ht="21" thickBot="1" x14ac:dyDescent="0.25">
      <c r="A12" s="10">
        <v>43565</v>
      </c>
      <c r="B12" s="1">
        <v>14124.063</v>
      </c>
      <c r="C12" s="129">
        <f t="shared" si="0"/>
        <v>7.1540000000004511</v>
      </c>
      <c r="D12" s="72">
        <f t="shared" si="1"/>
        <v>13592.600000000857</v>
      </c>
      <c r="E12" s="1">
        <v>2123.8119999999999</v>
      </c>
      <c r="F12" s="129">
        <f t="shared" si="2"/>
        <v>1.7139999999999418</v>
      </c>
      <c r="G12" s="72">
        <f t="shared" si="3"/>
        <v>3256.599999999889</v>
      </c>
      <c r="H12" s="1">
        <v>856.29899999999998</v>
      </c>
      <c r="I12" s="129">
        <f t="shared" si="4"/>
        <v>2.9999999999290594E-3</v>
      </c>
      <c r="J12" s="72">
        <f t="shared" si="5"/>
        <v>5.699999999865212</v>
      </c>
      <c r="K12" s="8">
        <v>12701.26</v>
      </c>
      <c r="L12" s="129">
        <f t="shared" si="6"/>
        <v>1.1000000000003638</v>
      </c>
      <c r="M12" s="72">
        <f t="shared" si="7"/>
        <v>2090.0000000006912</v>
      </c>
      <c r="N12" s="8">
        <v>1756.425</v>
      </c>
      <c r="O12" s="129">
        <f t="shared" si="8"/>
        <v>1.5480000000000018</v>
      </c>
      <c r="P12" s="72">
        <f t="shared" si="9"/>
        <v>2941.2000000000035</v>
      </c>
      <c r="Q12" s="8">
        <v>3841.46</v>
      </c>
      <c r="R12" s="129">
        <f t="shared" si="10"/>
        <v>0.17999999999983629</v>
      </c>
      <c r="S12" s="72">
        <f t="shared" si="11"/>
        <v>341.99999999968895</v>
      </c>
      <c r="T12" s="9">
        <f t="shared" si="12"/>
        <v>11.699000000000524</v>
      </c>
      <c r="U12" s="76">
        <f t="shared" si="13"/>
        <v>22228.100000000995</v>
      </c>
    </row>
    <row r="13" spans="1:25" ht="21" thickBot="1" x14ac:dyDescent="0.25">
      <c r="A13" s="10">
        <v>43566</v>
      </c>
      <c r="B13" s="1">
        <v>14131.315000000001</v>
      </c>
      <c r="C13" s="129">
        <f t="shared" si="0"/>
        <v>7.2520000000004075</v>
      </c>
      <c r="D13" s="72">
        <f t="shared" si="1"/>
        <v>13778.800000000772</v>
      </c>
      <c r="E13" s="1">
        <v>2125.6280000000002</v>
      </c>
      <c r="F13" s="129">
        <f t="shared" si="2"/>
        <v>1.8160000000002583</v>
      </c>
      <c r="G13" s="72">
        <f t="shared" si="3"/>
        <v>3450.4000000004903</v>
      </c>
      <c r="H13" s="1">
        <v>856.31600000000003</v>
      </c>
      <c r="I13" s="129">
        <f t="shared" si="4"/>
        <v>1.7000000000052751E-2</v>
      </c>
      <c r="J13" s="72">
        <f t="shared" si="5"/>
        <v>32.300000000100226</v>
      </c>
      <c r="K13" s="8">
        <v>12702.45</v>
      </c>
      <c r="L13" s="129">
        <f t="shared" si="6"/>
        <v>1.1900000000005093</v>
      </c>
      <c r="M13" s="72">
        <f t="shared" si="7"/>
        <v>2261.0000000009677</v>
      </c>
      <c r="N13" s="8">
        <v>1757.7629999999999</v>
      </c>
      <c r="O13" s="129">
        <f t="shared" si="8"/>
        <v>1.3379999999999654</v>
      </c>
      <c r="P13" s="72">
        <f t="shared" si="9"/>
        <v>2542.1999999999339</v>
      </c>
      <c r="Q13" s="8">
        <v>3841.69</v>
      </c>
      <c r="R13" s="129">
        <f t="shared" si="10"/>
        <v>0.23000000000001819</v>
      </c>
      <c r="S13" s="72">
        <f t="shared" si="11"/>
        <v>437.0000000000345</v>
      </c>
      <c r="T13" s="9">
        <f t="shared" si="12"/>
        <v>11.843000000001211</v>
      </c>
      <c r="U13" s="76">
        <f t="shared" si="13"/>
        <v>22501.700000002304</v>
      </c>
    </row>
    <row r="14" spans="1:25" ht="21" thickBot="1" x14ac:dyDescent="0.25">
      <c r="A14" s="10">
        <v>43567</v>
      </c>
      <c r="B14" s="1">
        <v>14138.841</v>
      </c>
      <c r="C14" s="129">
        <f t="shared" si="0"/>
        <v>7.5259999999998399</v>
      </c>
      <c r="D14" s="72">
        <f t="shared" si="1"/>
        <v>14299.399999999694</v>
      </c>
      <c r="E14" s="1">
        <v>2126.598</v>
      </c>
      <c r="F14" s="129">
        <f>IF((E14-E13)&lt;0,"0",(E14-E13))</f>
        <v>0.96999999999979991</v>
      </c>
      <c r="G14" s="72">
        <f t="shared" si="3"/>
        <v>1842.9999999996198</v>
      </c>
      <c r="H14" s="1">
        <v>856.54899999999998</v>
      </c>
      <c r="I14" s="129">
        <f t="shared" si="4"/>
        <v>0.23299999999994725</v>
      </c>
      <c r="J14" s="72">
        <f t="shared" si="5"/>
        <v>442.69999999989972</v>
      </c>
      <c r="K14" s="8">
        <v>12703.63</v>
      </c>
      <c r="L14" s="129">
        <f t="shared" si="6"/>
        <v>1.179999999998472</v>
      </c>
      <c r="M14" s="72">
        <f t="shared" si="7"/>
        <v>2241.9999999970969</v>
      </c>
      <c r="N14" s="8">
        <v>1759.242</v>
      </c>
      <c r="O14" s="129">
        <f t="shared" si="8"/>
        <v>1.4790000000000418</v>
      </c>
      <c r="P14" s="72">
        <f t="shared" si="9"/>
        <v>2810.1000000000795</v>
      </c>
      <c r="Q14" s="8">
        <v>3841.81</v>
      </c>
      <c r="R14" s="129">
        <f t="shared" si="10"/>
        <v>0.11999999999989086</v>
      </c>
      <c r="S14" s="72">
        <f t="shared" si="11"/>
        <v>227.99999999979261</v>
      </c>
      <c r="T14" s="9">
        <f t="shared" si="12"/>
        <v>11.507999999997992</v>
      </c>
      <c r="U14" s="76">
        <f t="shared" si="13"/>
        <v>21865.199999996181</v>
      </c>
    </row>
    <row r="15" spans="1:25" ht="21" thickBot="1" x14ac:dyDescent="0.25">
      <c r="A15" s="10">
        <v>43568</v>
      </c>
      <c r="B15" s="1">
        <v>14146.888000000001</v>
      </c>
      <c r="C15" s="129">
        <f t="shared" si="0"/>
        <v>8.0470000000004802</v>
      </c>
      <c r="D15" s="72">
        <f t="shared" si="1"/>
        <v>15289.300000000912</v>
      </c>
      <c r="E15" s="1">
        <v>2127.3409999999999</v>
      </c>
      <c r="F15" s="129">
        <f>IF((E15-E14)&lt;0,"0",(E15-E14))</f>
        <v>0.74299999999993815</v>
      </c>
      <c r="G15" s="72">
        <f t="shared" si="3"/>
        <v>1411.6999999998825</v>
      </c>
      <c r="H15" s="1">
        <v>857.20299999999997</v>
      </c>
      <c r="I15" s="129">
        <f t="shared" si="4"/>
        <v>0.65399999999999636</v>
      </c>
      <c r="J15" s="72">
        <f t="shared" si="5"/>
        <v>1242.5999999999931</v>
      </c>
      <c r="K15" s="8">
        <v>12704.68</v>
      </c>
      <c r="L15" s="129">
        <f t="shared" si="6"/>
        <v>1.0500000000010914</v>
      </c>
      <c r="M15" s="72">
        <f t="shared" si="7"/>
        <v>1995.0000000020736</v>
      </c>
      <c r="N15" s="8">
        <v>1760.5930000000001</v>
      </c>
      <c r="O15" s="129">
        <f t="shared" si="8"/>
        <v>1.3510000000001128</v>
      </c>
      <c r="P15" s="72">
        <f t="shared" si="9"/>
        <v>2566.9000000002138</v>
      </c>
      <c r="Q15" s="8">
        <v>3842.11</v>
      </c>
      <c r="R15" s="129">
        <f t="shared" si="10"/>
        <v>0.3000000000001819</v>
      </c>
      <c r="S15" s="72">
        <f t="shared" si="11"/>
        <v>570.00000000034561</v>
      </c>
      <c r="T15" s="9">
        <f t="shared" si="12"/>
        <v>12.145000000001801</v>
      </c>
      <c r="U15" s="76">
        <f t="shared" si="13"/>
        <v>23075.50000000342</v>
      </c>
      <c r="W15" t="s">
        <v>13</v>
      </c>
    </row>
    <row r="16" spans="1:25" ht="21" thickBot="1" x14ac:dyDescent="0.25">
      <c r="A16" s="10">
        <v>43569</v>
      </c>
      <c r="B16" s="1">
        <v>14154.728999999999</v>
      </c>
      <c r="C16" s="129">
        <f t="shared" si="0"/>
        <v>7.8409999999985303</v>
      </c>
      <c r="D16" s="72">
        <f t="shared" si="1"/>
        <v>14897.899999997207</v>
      </c>
      <c r="E16" s="1">
        <v>2129.674</v>
      </c>
      <c r="F16" s="129">
        <f>IF((E16-E15)&lt;0,"0",(E16-E15))</f>
        <v>2.3330000000000837</v>
      </c>
      <c r="G16" s="72">
        <f t="shared" si="3"/>
        <v>4432.700000000159</v>
      </c>
      <c r="H16" s="1">
        <v>857.53399999999999</v>
      </c>
      <c r="I16" s="129">
        <f t="shared" si="4"/>
        <v>0.33100000000001728</v>
      </c>
      <c r="J16" s="72">
        <f t="shared" si="5"/>
        <v>628.90000000003272</v>
      </c>
      <c r="K16" s="8">
        <v>12705.96</v>
      </c>
      <c r="L16" s="129">
        <f t="shared" si="6"/>
        <v>1.2799999999988358</v>
      </c>
      <c r="M16" s="72">
        <f t="shared" si="7"/>
        <v>2431.9999999977881</v>
      </c>
      <c r="N16" s="8">
        <v>1761.97</v>
      </c>
      <c r="O16" s="129">
        <f t="shared" si="8"/>
        <v>1.3769999999999527</v>
      </c>
      <c r="P16" s="72">
        <f t="shared" si="9"/>
        <v>2616.2999999999101</v>
      </c>
      <c r="Q16" s="8">
        <v>3842.41</v>
      </c>
      <c r="R16" s="129">
        <f t="shared" si="10"/>
        <v>0.29999999999972715</v>
      </c>
      <c r="S16" s="72">
        <f t="shared" si="11"/>
        <v>569.99999999948159</v>
      </c>
      <c r="T16" s="9">
        <f t="shared" si="12"/>
        <v>13.461999999997147</v>
      </c>
      <c r="U16" s="76">
        <f t="shared" si="13"/>
        <v>25577.799999994579</v>
      </c>
      <c r="Y16" t="s">
        <v>13</v>
      </c>
    </row>
    <row r="17" spans="1:24" ht="21" thickBot="1" x14ac:dyDescent="0.25">
      <c r="A17" s="10">
        <v>43570</v>
      </c>
      <c r="B17" s="1">
        <v>14160.536</v>
      </c>
      <c r="C17" s="129">
        <f t="shared" si="0"/>
        <v>5.8070000000006985</v>
      </c>
      <c r="D17" s="72">
        <f t="shared" si="1"/>
        <v>11033.300000001327</v>
      </c>
      <c r="E17" s="1">
        <v>2131.0549999999998</v>
      </c>
      <c r="F17" s="129">
        <f t="shared" si="2"/>
        <v>1.3809999999998581</v>
      </c>
      <c r="G17" s="72">
        <f t="shared" si="3"/>
        <v>2623.8999999997304</v>
      </c>
      <c r="H17" s="1">
        <v>857.53499999999997</v>
      </c>
      <c r="I17" s="129">
        <f t="shared" si="4"/>
        <v>9.9999999997635314E-4</v>
      </c>
      <c r="J17" s="72">
        <f t="shared" si="5"/>
        <v>1.899999999955071</v>
      </c>
      <c r="K17" s="8">
        <v>12707.19</v>
      </c>
      <c r="L17" s="129">
        <f t="shared" si="6"/>
        <v>1.2300000000013824</v>
      </c>
      <c r="M17" s="72">
        <f t="shared" si="7"/>
        <v>2337.0000000026266</v>
      </c>
      <c r="N17" s="8">
        <v>1763.5170000000001</v>
      </c>
      <c r="O17" s="129">
        <f t="shared" si="8"/>
        <v>1.5470000000000255</v>
      </c>
      <c r="P17" s="72">
        <f t="shared" si="9"/>
        <v>2939.3000000000484</v>
      </c>
      <c r="Q17" s="8">
        <v>3843.63</v>
      </c>
      <c r="R17" s="129">
        <f t="shared" si="10"/>
        <v>1.2200000000002547</v>
      </c>
      <c r="S17" s="72">
        <f t="shared" si="11"/>
        <v>2318.0000000004839</v>
      </c>
      <c r="T17" s="9">
        <f t="shared" si="12"/>
        <v>11.186000000002196</v>
      </c>
      <c r="U17" s="76">
        <f t="shared" si="13"/>
        <v>21253.400000004171</v>
      </c>
    </row>
    <row r="18" spans="1:24" ht="21" thickBot="1" x14ac:dyDescent="0.25">
      <c r="A18" s="10">
        <v>43571</v>
      </c>
      <c r="B18" s="1">
        <v>14167.495000000001</v>
      </c>
      <c r="C18" s="129">
        <f t="shared" si="0"/>
        <v>6.9590000000007421</v>
      </c>
      <c r="D18" s="72">
        <f t="shared" si="1"/>
        <v>13222.10000000141</v>
      </c>
      <c r="E18" s="1">
        <v>2132.89</v>
      </c>
      <c r="F18" s="129">
        <f t="shared" si="2"/>
        <v>1.8350000000000364</v>
      </c>
      <c r="G18" s="72">
        <f t="shared" si="3"/>
        <v>3486.5000000000687</v>
      </c>
      <c r="H18" s="1">
        <v>857.53800000000001</v>
      </c>
      <c r="I18" s="129">
        <f t="shared" si="4"/>
        <v>3.0000000000427463E-3</v>
      </c>
      <c r="J18" s="72">
        <f t="shared" si="5"/>
        <v>5.700000000081217</v>
      </c>
      <c r="K18" s="8">
        <v>12708.38</v>
      </c>
      <c r="L18" s="129">
        <f t="shared" si="6"/>
        <v>1.1899999999986903</v>
      </c>
      <c r="M18" s="72">
        <f t="shared" si="7"/>
        <v>2260.9999999975116</v>
      </c>
      <c r="N18" s="8">
        <v>1764.94</v>
      </c>
      <c r="O18" s="129">
        <f t="shared" si="8"/>
        <v>1.4230000000000018</v>
      </c>
      <c r="P18" s="72">
        <f t="shared" si="9"/>
        <v>2703.7000000000035</v>
      </c>
      <c r="Q18" s="8">
        <v>3844.76</v>
      </c>
      <c r="R18" s="129">
        <f t="shared" si="10"/>
        <v>1.1300000000001091</v>
      </c>
      <c r="S18" s="72">
        <f t="shared" si="11"/>
        <v>2147.0000000002074</v>
      </c>
      <c r="T18" s="9">
        <f t="shared" si="12"/>
        <v>12.539999999999623</v>
      </c>
      <c r="U18" s="76">
        <f t="shared" si="13"/>
        <v>23825.999999999283</v>
      </c>
    </row>
    <row r="19" spans="1:24" ht="21" thickBot="1" x14ac:dyDescent="0.25">
      <c r="A19" s="10">
        <v>43572</v>
      </c>
      <c r="B19" s="1">
        <v>14173.731</v>
      </c>
      <c r="C19" s="129">
        <f t="shared" si="0"/>
        <v>6.2359999999989668</v>
      </c>
      <c r="D19" s="72">
        <f t="shared" si="1"/>
        <v>11848.399999998037</v>
      </c>
      <c r="E19" s="1">
        <v>2134.5169999999998</v>
      </c>
      <c r="F19" s="129">
        <f t="shared" si="2"/>
        <v>1.6269999999999527</v>
      </c>
      <c r="G19" s="72">
        <f t="shared" si="3"/>
        <v>3091.2999999999097</v>
      </c>
      <c r="H19" s="1">
        <v>857.53800000000001</v>
      </c>
      <c r="I19" s="129">
        <f t="shared" si="4"/>
        <v>0</v>
      </c>
      <c r="J19" s="72">
        <f t="shared" si="5"/>
        <v>0</v>
      </c>
      <c r="K19" s="8">
        <v>12709.28</v>
      </c>
      <c r="L19" s="129">
        <f t="shared" si="6"/>
        <v>0.90000000000145519</v>
      </c>
      <c r="M19" s="72">
        <f t="shared" si="7"/>
        <v>1710.0000000027649</v>
      </c>
      <c r="N19" s="8">
        <v>1766.2840000000001</v>
      </c>
      <c r="O19" s="129">
        <f t="shared" si="8"/>
        <v>1.3440000000000509</v>
      </c>
      <c r="P19" s="72">
        <f t="shared" si="9"/>
        <v>2553.6000000000968</v>
      </c>
      <c r="Q19" s="8">
        <v>3845.83</v>
      </c>
      <c r="R19" s="129">
        <f t="shared" si="10"/>
        <v>1.069999999999709</v>
      </c>
      <c r="S19" s="72">
        <f t="shared" si="11"/>
        <v>2032.999999999447</v>
      </c>
      <c r="T19" s="9">
        <f t="shared" si="12"/>
        <v>11.177000000000135</v>
      </c>
      <c r="U19" s="76">
        <f t="shared" si="13"/>
        <v>21236.300000000258</v>
      </c>
    </row>
    <row r="20" spans="1:24" ht="21" thickBot="1" x14ac:dyDescent="0.25">
      <c r="A20" s="10">
        <v>43573</v>
      </c>
      <c r="B20" s="1">
        <v>14179.909</v>
      </c>
      <c r="C20" s="129">
        <f t="shared" si="0"/>
        <v>6.1779999999998836</v>
      </c>
      <c r="D20" s="72">
        <f t="shared" si="1"/>
        <v>11738.199999999779</v>
      </c>
      <c r="E20" s="1">
        <v>2135.9789999999998</v>
      </c>
      <c r="F20" s="129">
        <f t="shared" si="2"/>
        <v>1.4619999999999891</v>
      </c>
      <c r="G20" s="72">
        <f t="shared" si="3"/>
        <v>2777.7999999999793</v>
      </c>
      <c r="H20" s="1">
        <v>857.53800000000001</v>
      </c>
      <c r="I20" s="129">
        <f t="shared" si="4"/>
        <v>0</v>
      </c>
      <c r="J20" s="72">
        <f t="shared" si="5"/>
        <v>0</v>
      </c>
      <c r="K20" s="8">
        <v>12709.94</v>
      </c>
      <c r="L20" s="129">
        <f t="shared" si="6"/>
        <v>0.65999999999985448</v>
      </c>
      <c r="M20" s="72">
        <f t="shared" si="7"/>
        <v>1253.9999999997235</v>
      </c>
      <c r="N20" s="8">
        <v>1768.027</v>
      </c>
      <c r="O20" s="129">
        <f t="shared" si="8"/>
        <v>1.7429999999999382</v>
      </c>
      <c r="P20" s="72">
        <f t="shared" si="9"/>
        <v>3311.6999999998825</v>
      </c>
      <c r="Q20" s="8">
        <v>3845.83</v>
      </c>
      <c r="R20" s="129">
        <f t="shared" si="10"/>
        <v>0</v>
      </c>
      <c r="S20" s="72">
        <f t="shared" si="11"/>
        <v>0</v>
      </c>
      <c r="T20" s="9">
        <f t="shared" si="12"/>
        <v>10.042999999999665</v>
      </c>
      <c r="U20" s="76">
        <f t="shared" si="13"/>
        <v>19081.69999999936</v>
      </c>
      <c r="X20" t="s">
        <v>13</v>
      </c>
    </row>
    <row r="21" spans="1:24" ht="21" thickBot="1" x14ac:dyDescent="0.25">
      <c r="A21" s="10">
        <v>43574</v>
      </c>
      <c r="B21" s="1">
        <v>14185.837</v>
      </c>
      <c r="C21" s="129">
        <f t="shared" si="0"/>
        <v>5.9279999999998836</v>
      </c>
      <c r="D21" s="72">
        <f t="shared" si="1"/>
        <v>11263.199999999779</v>
      </c>
      <c r="E21" s="1">
        <v>2136.4119999999998</v>
      </c>
      <c r="F21" s="129">
        <f t="shared" si="2"/>
        <v>0.43299999999999272</v>
      </c>
      <c r="G21" s="72">
        <f t="shared" si="3"/>
        <v>822.69999999998606</v>
      </c>
      <c r="H21" s="1">
        <v>857.55700000000002</v>
      </c>
      <c r="I21" s="129">
        <f t="shared" si="4"/>
        <v>1.9000000000005457E-2</v>
      </c>
      <c r="J21" s="72">
        <f t="shared" si="5"/>
        <v>36.100000000010368</v>
      </c>
      <c r="K21" s="8">
        <v>12710.61</v>
      </c>
      <c r="L21" s="129">
        <f t="shared" si="6"/>
        <v>0.67000000000007276</v>
      </c>
      <c r="M21" s="72">
        <f t="shared" si="7"/>
        <v>1273.0000000001382</v>
      </c>
      <c r="N21" s="8">
        <v>1769.5060000000001</v>
      </c>
      <c r="O21" s="129">
        <f t="shared" si="8"/>
        <v>1.4790000000000418</v>
      </c>
      <c r="P21" s="72">
        <f t="shared" si="9"/>
        <v>2810.1000000000795</v>
      </c>
      <c r="Q21" s="8">
        <v>3848.01</v>
      </c>
      <c r="R21" s="129">
        <f t="shared" si="10"/>
        <v>2.180000000000291</v>
      </c>
      <c r="S21" s="72">
        <f t="shared" si="11"/>
        <v>4142.000000000553</v>
      </c>
      <c r="T21" s="9">
        <f t="shared" si="12"/>
        <v>10.709000000000287</v>
      </c>
      <c r="U21" s="76">
        <f t="shared" si="13"/>
        <v>20347.100000000544</v>
      </c>
    </row>
    <row r="22" spans="1:24" ht="21" thickBot="1" x14ac:dyDescent="0.25">
      <c r="A22" s="10">
        <v>43575</v>
      </c>
      <c r="B22" s="1">
        <v>14190.585999999999</v>
      </c>
      <c r="C22" s="129">
        <f t="shared" si="0"/>
        <v>4.7489999999997963</v>
      </c>
      <c r="D22" s="72">
        <f t="shared" si="1"/>
        <v>9023.0999999996129</v>
      </c>
      <c r="E22" s="1">
        <v>2137.2080000000001</v>
      </c>
      <c r="F22" s="129">
        <f t="shared" si="2"/>
        <v>0.79600000000027649</v>
      </c>
      <c r="G22" s="72">
        <f t="shared" si="3"/>
        <v>1512.4000000005253</v>
      </c>
      <c r="H22" s="1">
        <v>857.55700000000002</v>
      </c>
      <c r="I22" s="129">
        <f t="shared" si="4"/>
        <v>0</v>
      </c>
      <c r="J22" s="72">
        <f t="shared" si="5"/>
        <v>0</v>
      </c>
      <c r="K22" s="8">
        <v>12711.15</v>
      </c>
      <c r="L22" s="129">
        <f t="shared" si="6"/>
        <v>0.53999999999905413</v>
      </c>
      <c r="M22" s="72">
        <f t="shared" si="7"/>
        <v>1025.9999999982028</v>
      </c>
      <c r="N22" s="8">
        <v>1770.8409999999999</v>
      </c>
      <c r="O22" s="129">
        <f t="shared" si="8"/>
        <v>1.334999999999809</v>
      </c>
      <c r="P22" s="72">
        <f t="shared" si="9"/>
        <v>2536.4999999996371</v>
      </c>
      <c r="Q22" s="8">
        <v>3849.22</v>
      </c>
      <c r="R22" s="129">
        <f t="shared" si="10"/>
        <v>1.2099999999995816</v>
      </c>
      <c r="S22" s="72">
        <f t="shared" si="11"/>
        <v>2298.9999999992051</v>
      </c>
      <c r="T22" s="9">
        <f t="shared" si="12"/>
        <v>8.6299999999985175</v>
      </c>
      <c r="U22" s="76">
        <f t="shared" si="13"/>
        <v>16396.999999997181</v>
      </c>
    </row>
    <row r="23" spans="1:24" ht="21" thickBot="1" x14ac:dyDescent="0.25">
      <c r="A23" s="10">
        <v>43576</v>
      </c>
      <c r="B23" s="1">
        <v>14197.047</v>
      </c>
      <c r="C23" s="129">
        <f t="shared" si="0"/>
        <v>6.4610000000011496</v>
      </c>
      <c r="D23" s="72">
        <f t="shared" si="1"/>
        <v>12275.900000002182</v>
      </c>
      <c r="E23" s="1">
        <v>2138.3380000000002</v>
      </c>
      <c r="F23" s="129">
        <f t="shared" si="2"/>
        <v>1.1300000000001091</v>
      </c>
      <c r="G23" s="72">
        <f t="shared" si="3"/>
        <v>2147.0000000002074</v>
      </c>
      <c r="H23" s="1">
        <v>857.55700000000002</v>
      </c>
      <c r="I23" s="129">
        <f t="shared" si="4"/>
        <v>0</v>
      </c>
      <c r="J23" s="72">
        <f t="shared" si="5"/>
        <v>0</v>
      </c>
      <c r="K23" s="8">
        <v>12711.41</v>
      </c>
      <c r="L23" s="129">
        <f t="shared" si="6"/>
        <v>0.26000000000021828</v>
      </c>
      <c r="M23" s="72">
        <f t="shared" si="7"/>
        <v>494.00000000041473</v>
      </c>
      <c r="N23" s="8">
        <v>1772.498</v>
      </c>
      <c r="O23" s="129">
        <f t="shared" si="8"/>
        <v>1.6570000000001528</v>
      </c>
      <c r="P23" s="72">
        <f t="shared" si="9"/>
        <v>3148.3000000002903</v>
      </c>
      <c r="Q23" s="8">
        <v>3850</v>
      </c>
      <c r="R23" s="129">
        <f t="shared" si="10"/>
        <v>0.78000000000020009</v>
      </c>
      <c r="S23" s="72">
        <f t="shared" si="11"/>
        <v>1482.0000000003802</v>
      </c>
      <c r="T23" s="9">
        <f t="shared" si="12"/>
        <v>10.28800000000183</v>
      </c>
      <c r="U23" s="76">
        <f t="shared" si="13"/>
        <v>19547.200000003475</v>
      </c>
    </row>
    <row r="24" spans="1:24" ht="21" thickBot="1" x14ac:dyDescent="0.25">
      <c r="A24" s="10">
        <v>43577</v>
      </c>
      <c r="B24" s="1">
        <v>14200.78</v>
      </c>
      <c r="C24" s="129">
        <f t="shared" si="0"/>
        <v>3.7330000000001746</v>
      </c>
      <c r="D24" s="72">
        <f t="shared" si="1"/>
        <v>7092.7000000003309</v>
      </c>
      <c r="E24" s="1">
        <v>2140.3249999999998</v>
      </c>
      <c r="F24" s="129">
        <f t="shared" si="2"/>
        <v>1.9869999999996253</v>
      </c>
      <c r="G24" s="72">
        <f t="shared" si="3"/>
        <v>3775.2999999992876</v>
      </c>
      <c r="H24" s="1">
        <v>857.55700000000002</v>
      </c>
      <c r="I24" s="129">
        <f t="shared" si="4"/>
        <v>0</v>
      </c>
      <c r="J24" s="72">
        <f t="shared" si="5"/>
        <v>0</v>
      </c>
      <c r="K24" s="8">
        <v>12711.92</v>
      </c>
      <c r="L24" s="129">
        <f t="shared" si="6"/>
        <v>0.51000000000021828</v>
      </c>
      <c r="M24" s="72">
        <f t="shared" si="7"/>
        <v>969.00000000041462</v>
      </c>
      <c r="N24" s="8">
        <v>1773.92</v>
      </c>
      <c r="O24" s="129">
        <f t="shared" si="8"/>
        <v>1.4220000000000255</v>
      </c>
      <c r="P24" s="72">
        <f t="shared" si="9"/>
        <v>2701.8000000000484</v>
      </c>
      <c r="Q24" s="8">
        <v>3850.98</v>
      </c>
      <c r="R24" s="129">
        <f t="shared" si="10"/>
        <v>0.98000000000001819</v>
      </c>
      <c r="S24" s="72">
        <f t="shared" si="11"/>
        <v>1862.0000000000346</v>
      </c>
      <c r="T24" s="9">
        <f t="shared" si="12"/>
        <v>8.6320000000000618</v>
      </c>
      <c r="U24" s="76">
        <f t="shared" si="13"/>
        <v>16400.800000000119</v>
      </c>
    </row>
    <row r="25" spans="1:24" ht="21" thickBot="1" x14ac:dyDescent="0.25">
      <c r="A25" s="10">
        <v>43578</v>
      </c>
      <c r="B25" s="1">
        <v>14207.082</v>
      </c>
      <c r="C25" s="129">
        <f t="shared" si="0"/>
        <v>6.3019999999996799</v>
      </c>
      <c r="D25" s="72">
        <f t="shared" si="1"/>
        <v>11973.799999999392</v>
      </c>
      <c r="E25" s="1">
        <v>2142.2640000000001</v>
      </c>
      <c r="F25" s="129">
        <f t="shared" si="2"/>
        <v>1.9390000000003056</v>
      </c>
      <c r="G25" s="72">
        <f t="shared" si="3"/>
        <v>3684.1000000005802</v>
      </c>
      <c r="H25" s="1">
        <v>857.55700000000002</v>
      </c>
      <c r="I25" s="129">
        <f t="shared" si="4"/>
        <v>0</v>
      </c>
      <c r="J25" s="72">
        <f t="shared" si="5"/>
        <v>0</v>
      </c>
      <c r="K25" s="8">
        <v>12712.52</v>
      </c>
      <c r="L25" s="129">
        <f t="shared" si="6"/>
        <v>0.6000000000003638</v>
      </c>
      <c r="M25" s="72">
        <f t="shared" si="7"/>
        <v>1140.0000000006912</v>
      </c>
      <c r="N25" s="8">
        <v>1775.3</v>
      </c>
      <c r="O25" s="129">
        <f t="shared" si="8"/>
        <v>1.3799999999998818</v>
      </c>
      <c r="P25" s="72">
        <f t="shared" si="9"/>
        <v>2621.9999999997754</v>
      </c>
      <c r="Q25" s="8">
        <v>3852.05</v>
      </c>
      <c r="R25" s="129">
        <f t="shared" si="10"/>
        <v>1.0700000000001637</v>
      </c>
      <c r="S25" s="72">
        <f t="shared" si="11"/>
        <v>2033.0000000003108</v>
      </c>
      <c r="T25" s="9">
        <f t="shared" si="12"/>
        <v>11.291000000000395</v>
      </c>
      <c r="U25" s="76">
        <f t="shared" si="13"/>
        <v>21452.900000000751</v>
      </c>
    </row>
    <row r="26" spans="1:24" ht="21" thickBot="1" x14ac:dyDescent="0.25">
      <c r="A26" s="10">
        <v>43579</v>
      </c>
      <c r="B26" s="1">
        <v>14212.253000000001</v>
      </c>
      <c r="C26" s="129">
        <f t="shared" si="0"/>
        <v>5.1710000000002765</v>
      </c>
      <c r="D26" s="72">
        <f t="shared" si="1"/>
        <v>9824.9000000005253</v>
      </c>
      <c r="E26" s="1">
        <v>2143.998</v>
      </c>
      <c r="F26" s="129">
        <f t="shared" si="2"/>
        <v>1.7339999999999236</v>
      </c>
      <c r="G26" s="72">
        <f t="shared" si="3"/>
        <v>3294.5999999998548</v>
      </c>
      <c r="H26" s="1">
        <v>857.55700000000002</v>
      </c>
      <c r="I26" s="129">
        <f t="shared" si="4"/>
        <v>0</v>
      </c>
      <c r="J26" s="72">
        <f t="shared" si="5"/>
        <v>0</v>
      </c>
      <c r="K26" s="8">
        <v>12713.13</v>
      </c>
      <c r="L26" s="129">
        <f t="shared" si="6"/>
        <v>0.60999999999876309</v>
      </c>
      <c r="M26" s="72">
        <f t="shared" si="7"/>
        <v>1158.9999999976499</v>
      </c>
      <c r="N26" s="8">
        <v>1776.7329999999999</v>
      </c>
      <c r="O26" s="129">
        <f t="shared" si="8"/>
        <v>1.4329999999999927</v>
      </c>
      <c r="P26" s="72">
        <f t="shared" si="9"/>
        <v>2722.6999999999857</v>
      </c>
      <c r="Q26" s="8">
        <v>3853.34</v>
      </c>
      <c r="R26" s="129">
        <f t="shared" si="10"/>
        <v>1.2899999999999636</v>
      </c>
      <c r="S26" s="72">
        <f t="shared" si="11"/>
        <v>2450.9999999999309</v>
      </c>
      <c r="T26" s="9">
        <f t="shared" si="12"/>
        <v>10.23799999999892</v>
      </c>
      <c r="U26" s="76">
        <f t="shared" si="13"/>
        <v>19452.199999997949</v>
      </c>
      <c r="V26" t="s">
        <v>13</v>
      </c>
    </row>
    <row r="27" spans="1:24" ht="21" thickBot="1" x14ac:dyDescent="0.25">
      <c r="A27" s="10">
        <v>43580</v>
      </c>
      <c r="B27" s="1">
        <v>14218.099</v>
      </c>
      <c r="C27" s="129">
        <f t="shared" si="0"/>
        <v>5.8459999999995489</v>
      </c>
      <c r="D27" s="72">
        <f t="shared" si="1"/>
        <v>11107.399999999143</v>
      </c>
      <c r="E27" s="1">
        <v>2144.8739999999998</v>
      </c>
      <c r="F27" s="129">
        <f t="shared" si="2"/>
        <v>0.87599999999974898</v>
      </c>
      <c r="G27" s="72">
        <f t="shared" si="3"/>
        <v>1664.3999999995228</v>
      </c>
      <c r="H27" s="1">
        <v>857.55700000000002</v>
      </c>
      <c r="I27" s="129">
        <f t="shared" si="4"/>
        <v>0</v>
      </c>
      <c r="J27" s="72">
        <f t="shared" si="5"/>
        <v>0</v>
      </c>
      <c r="K27" s="8">
        <v>12713.94</v>
      </c>
      <c r="L27" s="129">
        <f t="shared" si="6"/>
        <v>0.81000000000130967</v>
      </c>
      <c r="M27" s="72">
        <f t="shared" si="7"/>
        <v>1539.0000000024884</v>
      </c>
      <c r="N27" s="8">
        <v>1777.979</v>
      </c>
      <c r="O27" s="129">
        <f t="shared" si="8"/>
        <v>1.2460000000000946</v>
      </c>
      <c r="P27" s="72">
        <f t="shared" si="9"/>
        <v>2367.4000000001797</v>
      </c>
      <c r="Q27" s="8">
        <v>3854.75</v>
      </c>
      <c r="R27" s="129">
        <f t="shared" si="10"/>
        <v>1.4099999999998545</v>
      </c>
      <c r="S27" s="72">
        <f t="shared" si="11"/>
        <v>2678.9999999997235</v>
      </c>
      <c r="T27" s="9">
        <f t="shared" si="12"/>
        <v>10.188000000000557</v>
      </c>
      <c r="U27" s="76">
        <f t="shared" si="13"/>
        <v>19357.200000001059</v>
      </c>
      <c r="V27" t="s">
        <v>13</v>
      </c>
    </row>
    <row r="28" spans="1:24" ht="21" thickBot="1" x14ac:dyDescent="0.25">
      <c r="A28" s="10">
        <v>43581</v>
      </c>
      <c r="B28" s="1">
        <v>14224.406999999999</v>
      </c>
      <c r="C28" s="129">
        <f t="shared" si="0"/>
        <v>6.3079999999990832</v>
      </c>
      <c r="D28" s="72">
        <f t="shared" si="1"/>
        <v>11985.199999998258</v>
      </c>
      <c r="E28" s="1">
        <v>2145.683</v>
      </c>
      <c r="F28" s="129">
        <f t="shared" si="2"/>
        <v>0.80900000000019645</v>
      </c>
      <c r="G28" s="72">
        <f t="shared" si="3"/>
        <v>1537.1000000003733</v>
      </c>
      <c r="H28" s="1">
        <v>857.55700000000002</v>
      </c>
      <c r="I28" s="129">
        <f t="shared" si="4"/>
        <v>0</v>
      </c>
      <c r="J28" s="72">
        <f t="shared" si="5"/>
        <v>0</v>
      </c>
      <c r="K28" s="8">
        <v>12714.94</v>
      </c>
      <c r="L28" s="129">
        <f t="shared" si="6"/>
        <v>1</v>
      </c>
      <c r="M28" s="72">
        <f t="shared" si="7"/>
        <v>1900</v>
      </c>
      <c r="N28" s="8">
        <v>1779.4649999999999</v>
      </c>
      <c r="O28" s="129">
        <f t="shared" si="8"/>
        <v>1.4859999999998763</v>
      </c>
      <c r="P28" s="72">
        <f t="shared" si="9"/>
        <v>2823.399999999765</v>
      </c>
      <c r="Q28" s="8">
        <v>3854.78</v>
      </c>
      <c r="R28" s="129">
        <f t="shared" si="10"/>
        <v>3.0000000000200089E-2</v>
      </c>
      <c r="S28" s="72">
        <f t="shared" si="11"/>
        <v>57.000000000380162</v>
      </c>
      <c r="T28" s="9">
        <f t="shared" si="12"/>
        <v>9.6329999999993561</v>
      </c>
      <c r="U28" s="76">
        <f t="shared" si="13"/>
        <v>18302.699999998775</v>
      </c>
    </row>
    <row r="29" spans="1:24" ht="21" thickBot="1" x14ac:dyDescent="0.25">
      <c r="A29" s="10">
        <v>43582</v>
      </c>
      <c r="B29" s="1">
        <v>14230.534</v>
      </c>
      <c r="C29" s="129">
        <f t="shared" si="0"/>
        <v>6.1270000000004075</v>
      </c>
      <c r="D29" s="72">
        <f t="shared" si="1"/>
        <v>11641.300000000774</v>
      </c>
      <c r="E29" s="1">
        <v>2146.4140000000002</v>
      </c>
      <c r="F29" s="129">
        <f t="shared" si="2"/>
        <v>0.73100000000022192</v>
      </c>
      <c r="G29" s="72">
        <f t="shared" si="3"/>
        <v>1388.9000000004216</v>
      </c>
      <c r="H29" s="1">
        <v>857.55700000000002</v>
      </c>
      <c r="I29" s="129">
        <f t="shared" si="4"/>
        <v>0</v>
      </c>
      <c r="J29" s="72">
        <f t="shared" si="5"/>
        <v>0</v>
      </c>
      <c r="K29" s="8">
        <v>12716.07</v>
      </c>
      <c r="L29" s="129">
        <f t="shared" si="6"/>
        <v>1.1299999999991996</v>
      </c>
      <c r="M29" s="72">
        <f t="shared" si="7"/>
        <v>2146.9999999984793</v>
      </c>
      <c r="N29" s="8">
        <v>1780.819</v>
      </c>
      <c r="O29" s="129">
        <f t="shared" si="8"/>
        <v>1.3540000000000418</v>
      </c>
      <c r="P29" s="72">
        <f t="shared" si="9"/>
        <v>2572.6000000000795</v>
      </c>
      <c r="Q29" s="8">
        <v>3855.31</v>
      </c>
      <c r="R29" s="129">
        <f t="shared" si="10"/>
        <v>0.52999999999974534</v>
      </c>
      <c r="S29" s="72">
        <f t="shared" si="11"/>
        <v>1006.999999999516</v>
      </c>
      <c r="T29" s="9">
        <f t="shared" si="12"/>
        <v>9.8719999999996162</v>
      </c>
      <c r="U29" s="76">
        <f t="shared" si="13"/>
        <v>18756.799999999272</v>
      </c>
    </row>
    <row r="30" spans="1:24" ht="21" thickBot="1" x14ac:dyDescent="0.25">
      <c r="A30" s="10">
        <v>43583</v>
      </c>
      <c r="B30" s="1">
        <v>14239.117</v>
      </c>
      <c r="C30" s="129">
        <f t="shared" si="0"/>
        <v>8.5830000000005384</v>
      </c>
      <c r="D30" s="72">
        <f t="shared" si="1"/>
        <v>16307.700000001023</v>
      </c>
      <c r="E30" s="1">
        <v>2147.665</v>
      </c>
      <c r="F30" s="129">
        <f t="shared" si="2"/>
        <v>1.250999999999749</v>
      </c>
      <c r="G30" s="72">
        <f t="shared" si="3"/>
        <v>2376.8999999995231</v>
      </c>
      <c r="H30" s="1">
        <v>857.57600000000002</v>
      </c>
      <c r="I30" s="129">
        <f t="shared" si="4"/>
        <v>1.9000000000005457E-2</v>
      </c>
      <c r="J30" s="72">
        <f t="shared" si="5"/>
        <v>36.100000000010368</v>
      </c>
      <c r="K30" s="8">
        <v>12717.19</v>
      </c>
      <c r="L30" s="129">
        <f t="shared" si="6"/>
        <v>1.1200000000008004</v>
      </c>
      <c r="M30" s="72">
        <f t="shared" si="7"/>
        <v>2128.0000000015207</v>
      </c>
      <c r="N30" s="8">
        <v>1782.1179999999999</v>
      </c>
      <c r="O30" s="129">
        <f t="shared" si="8"/>
        <v>1.2989999999999782</v>
      </c>
      <c r="P30" s="72">
        <f t="shared" si="9"/>
        <v>2468.0999999999585</v>
      </c>
      <c r="Q30" s="8">
        <v>3859.12</v>
      </c>
      <c r="R30" s="129">
        <f t="shared" si="10"/>
        <v>3.8099999999999454</v>
      </c>
      <c r="S30" s="72">
        <f t="shared" si="11"/>
        <v>7238.9999999998963</v>
      </c>
      <c r="T30" s="9">
        <f t="shared" si="12"/>
        <v>16.082000000001017</v>
      </c>
      <c r="U30" s="76">
        <f t="shared" si="13"/>
        <v>30555.800000001931</v>
      </c>
    </row>
    <row r="31" spans="1:24" ht="21" thickBot="1" x14ac:dyDescent="0.25">
      <c r="A31" s="10">
        <v>43584</v>
      </c>
      <c r="B31" s="1">
        <v>14247.721</v>
      </c>
      <c r="C31" s="129">
        <f t="shared" si="0"/>
        <v>8.6039999999993597</v>
      </c>
      <c r="D31" s="72">
        <f t="shared" si="1"/>
        <v>16347.599999998782</v>
      </c>
      <c r="E31" s="1">
        <v>2148.7620000000002</v>
      </c>
      <c r="F31" s="129">
        <f t="shared" si="2"/>
        <v>1.0970000000002074</v>
      </c>
      <c r="G31" s="72">
        <f t="shared" si="3"/>
        <v>2084.3000000003935</v>
      </c>
      <c r="H31" s="1">
        <v>857.57600000000002</v>
      </c>
      <c r="I31" s="129">
        <f t="shared" si="4"/>
        <v>0</v>
      </c>
      <c r="J31" s="72">
        <f t="shared" si="5"/>
        <v>0</v>
      </c>
      <c r="K31" s="8">
        <v>12718.54</v>
      </c>
      <c r="L31" s="129">
        <f t="shared" si="6"/>
        <v>1.3500000000003638</v>
      </c>
      <c r="M31" s="72">
        <f t="shared" si="7"/>
        <v>2565.0000000006908</v>
      </c>
      <c r="N31" s="8">
        <v>1783.4549999999999</v>
      </c>
      <c r="O31" s="129">
        <f t="shared" si="8"/>
        <v>1.3369999999999891</v>
      </c>
      <c r="P31" s="72">
        <f t="shared" si="9"/>
        <v>2540.2999999999793</v>
      </c>
      <c r="Q31" s="8">
        <v>3859.11</v>
      </c>
      <c r="R31" s="129" t="str">
        <f t="shared" si="10"/>
        <v>0</v>
      </c>
      <c r="S31" s="72">
        <f t="shared" si="11"/>
        <v>0</v>
      </c>
      <c r="T31" s="9">
        <f t="shared" si="12"/>
        <v>12.38799999999992</v>
      </c>
      <c r="U31" s="76">
        <f t="shared" si="13"/>
        <v>23537.199999999844</v>
      </c>
    </row>
    <row r="32" spans="1:24" ht="21" thickBot="1" x14ac:dyDescent="0.25">
      <c r="A32" s="10">
        <v>43585</v>
      </c>
      <c r="B32" s="1">
        <v>14254.981</v>
      </c>
      <c r="C32" s="129">
        <f t="shared" si="0"/>
        <v>7.2600000000002183</v>
      </c>
      <c r="D32" s="72">
        <f>C32*1.9*1000</f>
        <v>13794.000000000415</v>
      </c>
      <c r="E32" s="1">
        <v>2151.183</v>
      </c>
      <c r="F32" s="129">
        <f t="shared" si="2"/>
        <v>2.4209999999998217</v>
      </c>
      <c r="G32" s="72">
        <f>F32*1.9*1000</f>
        <v>4599.8999999996613</v>
      </c>
      <c r="H32" s="1">
        <v>857.57600000000002</v>
      </c>
      <c r="I32" s="129">
        <f t="shared" si="4"/>
        <v>0</v>
      </c>
      <c r="J32" s="72">
        <f>I32*1.9*1000</f>
        <v>0</v>
      </c>
      <c r="K32" s="8">
        <v>12719.78</v>
      </c>
      <c r="L32" s="129">
        <f t="shared" si="6"/>
        <v>1.2399999999997817</v>
      </c>
      <c r="M32" s="72">
        <f>L32*1.9*1000</f>
        <v>2355.9999999995853</v>
      </c>
      <c r="N32" s="8">
        <v>1784.885</v>
      </c>
      <c r="O32" s="129">
        <f t="shared" si="8"/>
        <v>1.4300000000000637</v>
      </c>
      <c r="P32" s="72">
        <f>O32*1.9*1000</f>
        <v>2717.000000000121</v>
      </c>
      <c r="Q32" s="8">
        <v>3862.89</v>
      </c>
      <c r="R32" s="129">
        <f t="shared" si="10"/>
        <v>3.7799999999997453</v>
      </c>
      <c r="S32" s="72">
        <f>R32*1.9*1000</f>
        <v>7181.9999999995152</v>
      </c>
      <c r="T32" s="9">
        <f>C32+F32+I32+L32+O32+R32</f>
        <v>16.130999999999631</v>
      </c>
      <c r="U32" s="76">
        <f>T32*1.9*1000</f>
        <v>30648.899999999299</v>
      </c>
    </row>
    <row r="33" spans="1:21" ht="21" thickBot="1" x14ac:dyDescent="0.25">
      <c r="A33" s="10"/>
      <c r="B33" s="1"/>
      <c r="C33" s="129" t="str">
        <f t="shared" si="0"/>
        <v>0</v>
      </c>
      <c r="D33" s="72">
        <f>C33*1.9*1000</f>
        <v>0</v>
      </c>
      <c r="E33" s="1"/>
      <c r="F33" s="129" t="str">
        <f t="shared" si="2"/>
        <v>0</v>
      </c>
      <c r="G33" s="72">
        <f>F33*1.9*1000</f>
        <v>0</v>
      </c>
      <c r="H33" s="1"/>
      <c r="I33" s="129" t="str">
        <f t="shared" si="4"/>
        <v>0</v>
      </c>
      <c r="J33" s="72">
        <f>I33*1.9*1000</f>
        <v>0</v>
      </c>
      <c r="K33" s="8"/>
      <c r="L33" s="129" t="str">
        <f t="shared" si="6"/>
        <v>0</v>
      </c>
      <c r="M33" s="72">
        <f>L33*1.9*1000</f>
        <v>0</v>
      </c>
      <c r="N33" s="8"/>
      <c r="O33" s="129" t="str">
        <f t="shared" si="8"/>
        <v>0</v>
      </c>
      <c r="P33" s="72">
        <f>O33*1.9*1000</f>
        <v>0</v>
      </c>
      <c r="Q33" s="8"/>
      <c r="R33" s="129" t="str">
        <f t="shared" si="10"/>
        <v>0</v>
      </c>
      <c r="S33" s="72">
        <f>R33*1.9*1000</f>
        <v>0</v>
      </c>
      <c r="T33" s="9">
        <f>C33+F33+I33+L33+O33+R33</f>
        <v>0</v>
      </c>
      <c r="U33" s="76">
        <f>T33*1.9*1000</f>
        <v>0</v>
      </c>
    </row>
    <row r="34" spans="1:21" ht="16.5" thickBot="1" x14ac:dyDescent="0.3">
      <c r="A34" s="11"/>
      <c r="B34" s="1"/>
      <c r="C34" s="130">
        <f>SUM(C3:C33)</f>
        <v>202.76100000000042</v>
      </c>
      <c r="D34" s="73">
        <f>SUM(D3:D33)</f>
        <v>385245.90000000072</v>
      </c>
      <c r="E34" s="1"/>
      <c r="F34" s="130">
        <f>SUM(F3:F33)</f>
        <v>41.061999999999898</v>
      </c>
      <c r="G34" s="73">
        <f>SUM(G2:G33)</f>
        <v>78017.799999999799</v>
      </c>
      <c r="H34" s="1"/>
      <c r="I34" s="130">
        <f>SUM(I3:I33)</f>
        <v>1.8029999999999973</v>
      </c>
      <c r="J34" s="73">
        <f>SUM(J2:J33)</f>
        <v>3425.6999999999948</v>
      </c>
      <c r="K34" s="8"/>
      <c r="L34" s="130">
        <f>SUM(L3:L33)</f>
        <v>30.430000000000291</v>
      </c>
      <c r="M34" s="73">
        <f>SUM(M2:M33)</f>
        <v>57817.000000000553</v>
      </c>
      <c r="N34" s="8"/>
      <c r="O34" s="130">
        <f>SUM(O3:O33)</f>
        <v>44.634000000000015</v>
      </c>
      <c r="P34" s="73">
        <f>SUM(P2:P33)</f>
        <v>84804.6</v>
      </c>
      <c r="Q34" s="8"/>
      <c r="R34" s="130">
        <f>SUM(R3:R33)</f>
        <v>23.799999999999727</v>
      </c>
      <c r="S34" s="73">
        <f>SUM(S2:S33)</f>
        <v>45219.999999999476</v>
      </c>
      <c r="T34" s="13">
        <f>SUM(T2:T33)</f>
        <v>344.49000000000035</v>
      </c>
      <c r="U34" s="77">
        <f>SUM(U3:U33)</f>
        <v>654531.00000000081</v>
      </c>
    </row>
    <row r="39" spans="1:21" x14ac:dyDescent="0.2">
      <c r="R39" s="120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90" zoomScaleNormal="90" workbookViewId="0">
      <selection activeCell="M19" sqref="M19:M29"/>
    </sheetView>
  </sheetViews>
  <sheetFormatPr defaultRowHeight="12.75" x14ac:dyDescent="0.2"/>
  <cols>
    <col min="1" max="1" width="9.140625" style="2"/>
    <col min="2" max="2" width="16.85546875" style="2" bestFit="1" customWidth="1"/>
    <col min="3" max="4" width="15.28515625" style="2" bestFit="1" customWidth="1"/>
    <col min="5" max="5" width="12.85546875" style="2" customWidth="1"/>
    <col min="6" max="6" width="54.140625" style="2" customWidth="1"/>
    <col min="7" max="7" width="9" style="2" customWidth="1"/>
    <col min="8" max="8" width="15.140625" style="2" bestFit="1" customWidth="1"/>
    <col min="9" max="10" width="10" style="2" bestFit="1" customWidth="1"/>
    <col min="11" max="11" width="15.5703125" style="2" bestFit="1" customWidth="1"/>
    <col min="12" max="16384" width="9.140625" style="2"/>
  </cols>
  <sheetData>
    <row r="1" spans="1:13" ht="24" thickBot="1" x14ac:dyDescent="0.25">
      <c r="A1" s="185" t="s">
        <v>144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M1" s="55"/>
    </row>
    <row r="2" spans="1:13" ht="13.5" thickBot="1" x14ac:dyDescent="0.25">
      <c r="A2" s="78"/>
      <c r="B2" s="79" t="s">
        <v>49</v>
      </c>
      <c r="C2" s="80">
        <f>K8+K9+K14</f>
        <v>427406</v>
      </c>
      <c r="D2" s="80">
        <f>C2*1.15</f>
        <v>491516.89999999997</v>
      </c>
      <c r="E2" s="107"/>
      <c r="F2" s="78"/>
      <c r="G2" s="78"/>
      <c r="H2" s="81" t="s">
        <v>50</v>
      </c>
      <c r="I2" s="82"/>
      <c r="J2" s="82"/>
      <c r="K2" s="82"/>
    </row>
    <row r="3" spans="1:13" ht="13.5" thickBot="1" x14ac:dyDescent="0.25">
      <c r="A3" s="78"/>
      <c r="B3" s="78"/>
      <c r="C3" s="78"/>
      <c r="D3" s="78"/>
      <c r="E3" s="78"/>
      <c r="F3" s="78"/>
      <c r="G3" s="78"/>
      <c r="H3" s="83" t="s">
        <v>51</v>
      </c>
      <c r="I3" s="84">
        <f>ELECT.!E3</f>
        <v>16372454</v>
      </c>
      <c r="J3" s="84">
        <f>ELECT.!E34</f>
        <v>16655010</v>
      </c>
      <c r="K3" s="85">
        <f>J3-I3</f>
        <v>282556</v>
      </c>
    </row>
    <row r="4" spans="1:13" ht="13.5" thickBot="1" x14ac:dyDescent="0.25">
      <c r="A4" s="78"/>
      <c r="B4" s="86" t="s">
        <v>52</v>
      </c>
      <c r="C4" s="87" t="s">
        <v>53</v>
      </c>
      <c r="D4" s="87" t="s">
        <v>54</v>
      </c>
      <c r="E4" s="87"/>
      <c r="F4" s="78"/>
      <c r="G4" s="78"/>
      <c r="H4" s="83" t="s">
        <v>55</v>
      </c>
      <c r="I4" s="84">
        <f>ELECT.!G3</f>
        <v>43524507</v>
      </c>
      <c r="J4" s="84">
        <f>ELECT.!G34</f>
        <v>45047485</v>
      </c>
      <c r="K4" s="85">
        <f>J4-I4</f>
        <v>1522978</v>
      </c>
    </row>
    <row r="5" spans="1:13" ht="13.5" thickBot="1" x14ac:dyDescent="0.25">
      <c r="A5" s="78"/>
      <c r="B5" s="83" t="s">
        <v>33</v>
      </c>
      <c r="C5" s="88">
        <f>(K10+K12)*0.842284+K26</f>
        <v>935986.53993600002</v>
      </c>
      <c r="D5" s="89">
        <f>C5*1.15</f>
        <v>1076384.5209263999</v>
      </c>
      <c r="E5" s="108"/>
      <c r="F5" s="78"/>
      <c r="G5" s="78"/>
      <c r="H5" s="83" t="s">
        <v>28</v>
      </c>
      <c r="I5" s="90"/>
      <c r="J5" s="90"/>
      <c r="K5" s="91">
        <f>K3+K4</f>
        <v>1805534</v>
      </c>
    </row>
    <row r="6" spans="1:13" ht="13.5" thickBot="1" x14ac:dyDescent="0.25">
      <c r="A6" s="78"/>
      <c r="B6" s="83" t="s">
        <v>56</v>
      </c>
      <c r="C6" s="89">
        <f>(K10+K12+K26)*0.1488</f>
        <v>164707.31519999998</v>
      </c>
      <c r="D6" s="89">
        <f t="shared" ref="D6:D11" si="0">C6*1.15</f>
        <v>189413.41247999997</v>
      </c>
      <c r="E6" s="108"/>
      <c r="F6" s="78"/>
      <c r="G6" s="78"/>
      <c r="H6" s="83" t="s">
        <v>57</v>
      </c>
      <c r="I6" s="92">
        <f>ELECT.!J3</f>
        <v>3720138</v>
      </c>
      <c r="J6" s="90">
        <f>ELECT.!J34</f>
        <v>3869359</v>
      </c>
      <c r="K6" s="85">
        <f>J6-I6</f>
        <v>149221</v>
      </c>
    </row>
    <row r="7" spans="1:13" ht="13.5" thickBot="1" x14ac:dyDescent="0.25">
      <c r="A7" s="78"/>
      <c r="B7" s="83" t="s">
        <v>58</v>
      </c>
      <c r="C7" s="88">
        <f>(K6+K7)-(C8+C9+C10+C11+K26)</f>
        <v>229056</v>
      </c>
      <c r="D7" s="89">
        <f t="shared" si="0"/>
        <v>263414.39999999997</v>
      </c>
      <c r="E7" s="108"/>
      <c r="F7" s="78"/>
      <c r="G7" s="78"/>
      <c r="H7" s="83" t="s">
        <v>59</v>
      </c>
      <c r="I7" s="92">
        <f>ELECT.!L3</f>
        <v>3930918</v>
      </c>
      <c r="J7" s="90">
        <f>ELECT.!L34</f>
        <v>4076121</v>
      </c>
      <c r="K7" s="85">
        <f>J7-I7</f>
        <v>145203</v>
      </c>
      <c r="L7" s="56"/>
    </row>
    <row r="8" spans="1:13" ht="13.5" thickBot="1" x14ac:dyDescent="0.25">
      <c r="A8" s="78"/>
      <c r="B8" s="83" t="s">
        <v>60</v>
      </c>
      <c r="C8" s="88">
        <f>K21+K22+K23+K24</f>
        <v>36146</v>
      </c>
      <c r="D8" s="89">
        <f t="shared" si="0"/>
        <v>41567.899999999994</v>
      </c>
      <c r="E8" s="108"/>
      <c r="F8" s="78"/>
      <c r="G8" s="78"/>
      <c r="H8" s="83" t="s">
        <v>61</v>
      </c>
      <c r="I8" s="92">
        <f>ELECT.!N3</f>
        <v>2470813</v>
      </c>
      <c r="J8" s="90">
        <f>ELECT.!N34</f>
        <v>2537554</v>
      </c>
      <c r="K8" s="85">
        <f>(J8-I8)*2</f>
        <v>133482</v>
      </c>
    </row>
    <row r="9" spans="1:13" ht="13.5" thickBot="1" x14ac:dyDescent="0.25">
      <c r="A9" s="78"/>
      <c r="B9" s="83" t="s">
        <v>62</v>
      </c>
      <c r="C9" s="88">
        <f>K25</f>
        <v>91</v>
      </c>
      <c r="D9" s="89">
        <f t="shared" si="0"/>
        <v>104.64999999999999</v>
      </c>
      <c r="E9" s="108"/>
      <c r="F9" s="78"/>
      <c r="G9" s="78"/>
      <c r="H9" s="83" t="s">
        <v>63</v>
      </c>
      <c r="I9" s="92">
        <f>ELECT.!P3</f>
        <v>4919848</v>
      </c>
      <c r="J9" s="90">
        <f>ELECT.!P34</f>
        <v>5174422</v>
      </c>
      <c r="K9" s="85">
        <f>J9-I9</f>
        <v>254574</v>
      </c>
    </row>
    <row r="10" spans="1:13" ht="13.5" thickBot="1" x14ac:dyDescent="0.25">
      <c r="A10" s="78"/>
      <c r="B10" s="83" t="s">
        <v>64</v>
      </c>
      <c r="C10" s="88">
        <f>K17+K18</f>
        <v>123</v>
      </c>
      <c r="D10" s="89">
        <f t="shared" si="0"/>
        <v>141.44999999999999</v>
      </c>
      <c r="E10" s="108"/>
      <c r="F10" s="78"/>
      <c r="G10" s="78"/>
      <c r="H10" s="83" t="s">
        <v>65</v>
      </c>
      <c r="I10" s="92">
        <f>ELECT.!R3</f>
        <v>9860830</v>
      </c>
      <c r="J10" s="90">
        <f>ELECT.!R34</f>
        <v>10188644</v>
      </c>
      <c r="K10" s="85">
        <f>J10-I10</f>
        <v>327814</v>
      </c>
    </row>
    <row r="11" spans="1:13" ht="13.5" thickBot="1" x14ac:dyDescent="0.25">
      <c r="A11" s="78"/>
      <c r="B11" s="83" t="s">
        <v>66</v>
      </c>
      <c r="C11" s="88">
        <f>K19+K20</f>
        <v>5808</v>
      </c>
      <c r="D11" s="89">
        <f t="shared" si="0"/>
        <v>6679.2</v>
      </c>
      <c r="E11" s="108"/>
      <c r="F11" s="78"/>
      <c r="G11" s="78"/>
      <c r="H11" s="83" t="s">
        <v>67</v>
      </c>
      <c r="I11" s="92">
        <v>0</v>
      </c>
      <c r="J11" s="90">
        <v>0</v>
      </c>
      <c r="K11" s="85">
        <f>J11-I11</f>
        <v>0</v>
      </c>
    </row>
    <row r="12" spans="1:13" ht="13.5" thickBot="1" x14ac:dyDescent="0.25">
      <c r="A12" s="78"/>
      <c r="B12" s="78"/>
      <c r="C12" s="93"/>
      <c r="D12" s="93"/>
      <c r="E12" s="93"/>
      <c r="F12" s="78"/>
      <c r="G12" s="78"/>
      <c r="H12" s="83" t="s">
        <v>68</v>
      </c>
      <c r="I12" s="92">
        <f>ELECT.!V3</f>
        <v>6353860</v>
      </c>
      <c r="J12" s="90">
        <f>ELECT.!V34</f>
        <v>6731805</v>
      </c>
      <c r="K12" s="85">
        <f>(J12-I12)*2</f>
        <v>755890</v>
      </c>
    </row>
    <row r="13" spans="1:13" ht="13.5" thickBot="1" x14ac:dyDescent="0.25">
      <c r="A13" s="78"/>
      <c r="B13" s="94" t="s">
        <v>69</v>
      </c>
      <c r="C13" s="95" t="s">
        <v>70</v>
      </c>
      <c r="D13" s="95" t="s">
        <v>54</v>
      </c>
      <c r="E13" s="95"/>
      <c r="F13" s="78"/>
      <c r="G13" s="78"/>
      <c r="H13" s="83" t="s">
        <v>71</v>
      </c>
      <c r="I13" s="96"/>
      <c r="J13" s="97"/>
      <c r="K13" s="98">
        <f>SUM(K6:K12)</f>
        <v>1766184</v>
      </c>
    </row>
    <row r="14" spans="1:13" ht="13.5" thickBot="1" x14ac:dyDescent="0.25">
      <c r="A14" s="78"/>
      <c r="B14" s="83" t="s">
        <v>48</v>
      </c>
      <c r="C14" s="88">
        <f>K29</f>
        <v>31060</v>
      </c>
      <c r="D14" s="99">
        <f>C14*9.12</f>
        <v>283267.19999999995</v>
      </c>
      <c r="E14" s="109"/>
      <c r="F14" s="78"/>
      <c r="G14" s="78"/>
      <c r="H14" s="83" t="s">
        <v>72</v>
      </c>
      <c r="I14" s="96"/>
      <c r="J14" s="97"/>
      <c r="K14" s="100">
        <f>K5-K13</f>
        <v>39350</v>
      </c>
    </row>
    <row r="15" spans="1:13" ht="13.5" thickBot="1" x14ac:dyDescent="0.25">
      <c r="A15" s="78"/>
      <c r="B15" s="83" t="s">
        <v>73</v>
      </c>
      <c r="C15" s="101">
        <f>K30</f>
        <v>132.57</v>
      </c>
      <c r="D15" s="99">
        <f t="shared" ref="D15:D22" si="1">C15*9.12</f>
        <v>1209.0383999999999</v>
      </c>
      <c r="E15" s="109"/>
      <c r="F15" s="78"/>
      <c r="G15" s="78"/>
      <c r="H15" s="78"/>
      <c r="I15" s="78"/>
      <c r="J15" s="78"/>
      <c r="K15" s="78"/>
    </row>
    <row r="16" spans="1:13" ht="13.5" thickBot="1" x14ac:dyDescent="0.25">
      <c r="A16" s="78"/>
      <c r="B16" s="83" t="s">
        <v>56</v>
      </c>
      <c r="C16" s="101">
        <f>(C14-C15-C18-C19-C20-C21)*0.1318</f>
        <v>3496.315274</v>
      </c>
      <c r="D16" s="99">
        <f t="shared" si="1"/>
        <v>31886.395298879997</v>
      </c>
      <c r="E16" s="109"/>
      <c r="F16" s="78"/>
      <c r="G16" s="78"/>
      <c r="H16" s="78"/>
      <c r="I16" s="78"/>
      <c r="J16" s="78"/>
      <c r="K16" s="78"/>
    </row>
    <row r="17" spans="1:11" ht="13.5" thickBot="1" x14ac:dyDescent="0.25">
      <c r="A17" s="78"/>
      <c r="B17" s="83" t="s">
        <v>60</v>
      </c>
      <c r="C17" s="101">
        <v>1420</v>
      </c>
      <c r="D17" s="99">
        <f t="shared" si="1"/>
        <v>12950.4</v>
      </c>
      <c r="E17" s="109"/>
      <c r="F17" s="78"/>
      <c r="G17" s="78"/>
      <c r="H17" s="102" t="s">
        <v>20</v>
      </c>
      <c r="I17" s="59">
        <f>'Mall, Citadel, Rotana'!J3</f>
        <v>303515</v>
      </c>
      <c r="J17" s="59">
        <f>'Mall, Citadel, Rotana'!J34</f>
        <v>303517</v>
      </c>
      <c r="K17" s="103">
        <f>J17-I17</f>
        <v>2</v>
      </c>
    </row>
    <row r="18" spans="1:11" ht="13.5" thickBot="1" x14ac:dyDescent="0.25">
      <c r="A18" s="78"/>
      <c r="B18" s="83" t="s">
        <v>66</v>
      </c>
      <c r="C18" s="101">
        <v>200</v>
      </c>
      <c r="D18" s="99">
        <f t="shared" si="1"/>
        <v>1823.9999999999998</v>
      </c>
      <c r="E18" s="109"/>
      <c r="F18" s="78"/>
      <c r="G18" s="78"/>
      <c r="H18" s="102" t="s">
        <v>21</v>
      </c>
      <c r="I18" s="59">
        <f>'Mall, Citadel, Rotana'!L3</f>
        <v>22032</v>
      </c>
      <c r="J18" s="59">
        <f>'Mall, Citadel, Rotana'!L34</f>
        <v>22153</v>
      </c>
      <c r="K18" s="103">
        <f>J18-I18</f>
        <v>121</v>
      </c>
    </row>
    <row r="19" spans="1:11" ht="13.5" customHeight="1" thickBot="1" x14ac:dyDescent="0.25">
      <c r="A19" s="78"/>
      <c r="B19" s="83" t="s">
        <v>62</v>
      </c>
      <c r="C19" s="101">
        <v>600</v>
      </c>
      <c r="D19" s="99">
        <f t="shared" si="1"/>
        <v>5471.9999999999991</v>
      </c>
      <c r="E19" s="186" t="s">
        <v>101</v>
      </c>
      <c r="F19" s="187"/>
      <c r="G19" s="78"/>
      <c r="H19" s="102" t="s">
        <v>74</v>
      </c>
      <c r="I19" s="59">
        <f>'Mall, Citadel, Rotana'!P3</f>
        <v>977975</v>
      </c>
      <c r="J19" s="59">
        <f>'Mall, Citadel, Rotana'!P34</f>
        <v>983783</v>
      </c>
      <c r="K19" s="103">
        <f>J19-I19</f>
        <v>5808</v>
      </c>
    </row>
    <row r="20" spans="1:11" ht="13.5" thickBot="1" x14ac:dyDescent="0.25">
      <c r="A20" s="78"/>
      <c r="B20" s="83" t="s">
        <v>64</v>
      </c>
      <c r="C20" s="101">
        <v>600</v>
      </c>
      <c r="D20" s="99">
        <f t="shared" si="1"/>
        <v>5471.9999999999991</v>
      </c>
      <c r="E20" s="109"/>
      <c r="F20" s="78"/>
      <c r="G20" s="78"/>
      <c r="H20" s="102" t="s">
        <v>75</v>
      </c>
      <c r="I20" s="59">
        <f>'Mall, Citadel, Rotana'!R3</f>
        <v>55047</v>
      </c>
      <c r="J20" s="59">
        <f>'Mall, Citadel, Rotana'!R34</f>
        <v>55047</v>
      </c>
      <c r="K20" s="103">
        <f>J20-I20</f>
        <v>0</v>
      </c>
    </row>
    <row r="21" spans="1:11" ht="13.5" thickBot="1" x14ac:dyDescent="0.25">
      <c r="A21" s="78"/>
      <c r="B21" s="83" t="s">
        <v>49</v>
      </c>
      <c r="C21" s="101">
        <v>3000</v>
      </c>
      <c r="D21" s="99">
        <f t="shared" si="1"/>
        <v>27359.999999999996</v>
      </c>
      <c r="E21" s="109"/>
      <c r="F21" s="78"/>
      <c r="G21" s="78"/>
      <c r="H21" s="102" t="s">
        <v>14</v>
      </c>
      <c r="I21" s="59">
        <f>'Mall, Citadel, Rotana'!B3</f>
        <v>41690</v>
      </c>
      <c r="J21" s="59">
        <f>'Mall, Citadel, Rotana'!B34</f>
        <v>41865</v>
      </c>
      <c r="K21" s="103">
        <f>(J21-I21)*120</f>
        <v>21000</v>
      </c>
    </row>
    <row r="22" spans="1:11" ht="13.5" thickBot="1" x14ac:dyDescent="0.25">
      <c r="A22" s="78"/>
      <c r="B22" s="83" t="s">
        <v>76</v>
      </c>
      <c r="C22" s="99">
        <f>C14-(C15+C16+C17+C18+C19+C20+C21)</f>
        <v>21611.114726</v>
      </c>
      <c r="D22" s="99">
        <f t="shared" si="1"/>
        <v>197093.36630111997</v>
      </c>
      <c r="E22" s="109"/>
      <c r="F22" s="78"/>
      <c r="G22" s="78"/>
      <c r="H22" s="102" t="s">
        <v>16</v>
      </c>
      <c r="I22" s="59">
        <f>'Mall, Citadel, Rotana'!D3</f>
        <v>37348</v>
      </c>
      <c r="J22" s="59">
        <f>'Mall, Citadel, Rotana'!D34</f>
        <v>37448</v>
      </c>
      <c r="K22" s="103">
        <f>(J22-I22)*120</f>
        <v>12000</v>
      </c>
    </row>
    <row r="23" spans="1:11" x14ac:dyDescent="0.2">
      <c r="A23" s="78"/>
      <c r="B23" s="78"/>
      <c r="C23" s="93"/>
      <c r="D23" s="111"/>
      <c r="E23" s="109"/>
      <c r="F23" s="78"/>
      <c r="G23" s="78"/>
      <c r="H23" s="102" t="s">
        <v>18</v>
      </c>
      <c r="I23" s="59">
        <f>'Mall, Citadel, Rotana'!F3</f>
        <v>17539</v>
      </c>
      <c r="J23" s="59">
        <f>'Mall, Citadel, Rotana'!F34</f>
        <v>17666</v>
      </c>
      <c r="K23" s="104">
        <f>(J23-I23)*20</f>
        <v>2540</v>
      </c>
    </row>
    <row r="24" spans="1:11" x14ac:dyDescent="0.2">
      <c r="A24" s="78"/>
      <c r="B24" s="94" t="s">
        <v>77</v>
      </c>
      <c r="C24" s="93"/>
      <c r="D24" s="93"/>
      <c r="E24" s="93"/>
      <c r="F24" s="78"/>
      <c r="G24" s="78"/>
      <c r="H24" s="102" t="s">
        <v>19</v>
      </c>
      <c r="I24" s="59">
        <f>'Mall, Citadel, Rotana'!H3</f>
        <v>214373</v>
      </c>
      <c r="J24" s="59">
        <f>'Mall, Citadel, Rotana'!H34</f>
        <v>214979</v>
      </c>
      <c r="K24" s="104">
        <f>J24-I24</f>
        <v>606</v>
      </c>
    </row>
    <row r="25" spans="1:11" ht="13.5" thickBot="1" x14ac:dyDescent="0.25">
      <c r="A25" s="78"/>
      <c r="B25" s="78"/>
      <c r="C25" s="95" t="s">
        <v>70</v>
      </c>
      <c r="D25" s="95" t="s">
        <v>78</v>
      </c>
      <c r="E25" s="95"/>
      <c r="F25" s="78"/>
      <c r="G25" s="78"/>
      <c r="H25" s="102" t="s">
        <v>79</v>
      </c>
      <c r="I25" s="59">
        <f>'Mall, Citadel, Rotana'!N3</f>
        <v>168057</v>
      </c>
      <c r="J25" s="59">
        <f>'Mall, Citadel, Rotana'!N34</f>
        <v>168148</v>
      </c>
      <c r="K25" s="103">
        <f>J25-I25</f>
        <v>91</v>
      </c>
    </row>
    <row r="26" spans="1:11" ht="13.5" thickBot="1" x14ac:dyDescent="0.25">
      <c r="A26" s="78"/>
      <c r="B26" s="83" t="s">
        <v>48</v>
      </c>
      <c r="C26" s="105">
        <f>K35</f>
        <v>108879</v>
      </c>
      <c r="D26" s="88">
        <f>C26*2.25</f>
        <v>244977.75</v>
      </c>
      <c r="E26" s="110"/>
      <c r="F26" s="78"/>
      <c r="G26" s="78"/>
      <c r="H26" s="102" t="s">
        <v>80</v>
      </c>
      <c r="I26" s="59">
        <v>15337</v>
      </c>
      <c r="J26" s="59">
        <v>15482</v>
      </c>
      <c r="K26" s="103">
        <f>(J26-I26)*160</f>
        <v>23200</v>
      </c>
    </row>
    <row r="27" spans="1:11" ht="13.5" thickBot="1" x14ac:dyDescent="0.25">
      <c r="A27" s="78"/>
      <c r="B27" s="79" t="s">
        <v>81</v>
      </c>
      <c r="C27" s="105">
        <f>C26</f>
        <v>108879</v>
      </c>
      <c r="D27" s="88">
        <f>C27*2.25</f>
        <v>244977.75</v>
      </c>
      <c r="E27" s="110"/>
      <c r="F27" s="78"/>
      <c r="G27" s="78"/>
      <c r="H27" s="94"/>
      <c r="I27" s="106"/>
      <c r="J27" s="78"/>
      <c r="K27" s="78"/>
    </row>
    <row r="28" spans="1:11" x14ac:dyDescent="0.2">
      <c r="A28" s="78"/>
      <c r="B28" s="78"/>
      <c r="C28" s="78"/>
      <c r="D28" s="78"/>
      <c r="E28" s="78"/>
      <c r="F28" s="78"/>
      <c r="G28" s="78"/>
      <c r="H28" s="94" t="s">
        <v>69</v>
      </c>
      <c r="I28" s="106"/>
      <c r="J28" s="78"/>
      <c r="K28" s="78"/>
    </row>
    <row r="29" spans="1:11" x14ac:dyDescent="0.2">
      <c r="A29" s="78"/>
      <c r="B29" s="78"/>
      <c r="C29" s="78"/>
      <c r="D29" s="78"/>
      <c r="E29" s="78"/>
      <c r="F29" s="78"/>
      <c r="G29" s="78" t="s">
        <v>13</v>
      </c>
      <c r="H29" s="102" t="s">
        <v>30</v>
      </c>
      <c r="I29" s="59">
        <f>Water!B3</f>
        <v>348554</v>
      </c>
      <c r="J29" s="59">
        <f>Water!B34</f>
        <v>351660</v>
      </c>
      <c r="K29" s="103">
        <f>(J29-I29)*10</f>
        <v>31060</v>
      </c>
    </row>
    <row r="30" spans="1:11" x14ac:dyDescent="0.2">
      <c r="A30" s="78"/>
      <c r="B30" s="78"/>
      <c r="C30" s="78"/>
      <c r="D30" s="78"/>
      <c r="E30" s="78"/>
      <c r="F30" s="78"/>
      <c r="G30" s="78"/>
      <c r="H30" s="102" t="s">
        <v>82</v>
      </c>
      <c r="I30" s="59">
        <f>Water!H3</f>
        <v>604325</v>
      </c>
      <c r="J30" s="59">
        <f>Water!H34</f>
        <v>609235</v>
      </c>
      <c r="K30" s="103">
        <f>(J30-I30)*0.027</f>
        <v>132.57</v>
      </c>
    </row>
    <row r="31" spans="1:11" x14ac:dyDescent="0.2">
      <c r="A31" s="78"/>
      <c r="B31" s="78"/>
      <c r="C31" s="78"/>
      <c r="D31" s="78"/>
      <c r="E31" s="78"/>
      <c r="F31" s="78"/>
      <c r="G31" s="78"/>
      <c r="H31" s="102" t="s">
        <v>83</v>
      </c>
      <c r="I31" s="59">
        <f>Water!D3</f>
        <v>93163800</v>
      </c>
      <c r="J31" s="59">
        <f>Water!D34</f>
        <v>93796800</v>
      </c>
      <c r="K31" s="103">
        <f>(J31-I31)*0.027</f>
        <v>17091</v>
      </c>
    </row>
    <row r="32" spans="1:11" x14ac:dyDescent="0.2">
      <c r="A32" s="78"/>
      <c r="B32" s="78"/>
      <c r="C32" s="78"/>
      <c r="D32" s="78"/>
      <c r="E32" s="78"/>
      <c r="F32" s="78"/>
      <c r="G32" s="78"/>
      <c r="H32" s="102" t="s">
        <v>84</v>
      </c>
      <c r="I32" s="59">
        <f>Water!F3</f>
        <v>92909900</v>
      </c>
      <c r="J32" s="59">
        <f>Water!F34</f>
        <v>93388700</v>
      </c>
      <c r="K32" s="103">
        <f>(J32-I32)*0.027</f>
        <v>12927.6</v>
      </c>
    </row>
    <row r="34" spans="7:11" x14ac:dyDescent="0.2">
      <c r="H34" s="2" t="s">
        <v>77</v>
      </c>
    </row>
    <row r="35" spans="7:11" x14ac:dyDescent="0.2">
      <c r="G35" s="57"/>
      <c r="H35" s="58" t="s">
        <v>48</v>
      </c>
      <c r="I35" s="61">
        <f>Gas!B3</f>
        <v>15346378</v>
      </c>
      <c r="J35" s="61">
        <f>Gas!B34</f>
        <v>15455257</v>
      </c>
      <c r="K35" s="60">
        <f>J35-I35</f>
        <v>108879</v>
      </c>
    </row>
  </sheetData>
  <mergeCells count="2">
    <mergeCell ref="A1:K1"/>
    <mergeCell ref="E19:F19"/>
  </mergeCells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K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8"/>
  <sheetViews>
    <sheetView topLeftCell="A52" zoomScale="90" zoomScaleNormal="90" workbookViewId="0">
      <selection activeCell="J77" sqref="J77"/>
    </sheetView>
  </sheetViews>
  <sheetFormatPr defaultColWidth="17.140625" defaultRowHeight="12.75" x14ac:dyDescent="0.2"/>
  <cols>
    <col min="1" max="1" width="17.140625" customWidth="1"/>
    <col min="2" max="5" width="11.140625" customWidth="1"/>
    <col min="6" max="6" width="9.42578125" bestFit="1" customWidth="1"/>
    <col min="7" max="12" width="11.140625" customWidth="1"/>
    <col min="13" max="13" width="15.85546875" bestFit="1" customWidth="1"/>
    <col min="14" max="15" width="11.140625" customWidth="1"/>
    <col min="16" max="16" width="5.85546875" bestFit="1" customWidth="1"/>
  </cols>
  <sheetData>
    <row r="1" spans="2:15" x14ac:dyDescent="0.2">
      <c r="B1" s="31"/>
      <c r="C1" s="147"/>
      <c r="D1" s="147"/>
      <c r="E1" s="199">
        <v>43555</v>
      </c>
      <c r="F1" s="199"/>
      <c r="G1" s="147"/>
      <c r="H1" s="147"/>
      <c r="J1" s="31"/>
      <c r="K1" s="31"/>
      <c r="L1" s="195">
        <v>43583</v>
      </c>
      <c r="M1" s="195"/>
      <c r="N1" s="31"/>
      <c r="O1" s="31"/>
    </row>
    <row r="2" spans="2:15" ht="18" x14ac:dyDescent="0.2">
      <c r="B2" s="31"/>
      <c r="C2" s="196" t="s">
        <v>85</v>
      </c>
      <c r="D2" s="197"/>
      <c r="E2" s="197"/>
      <c r="F2" s="197"/>
      <c r="G2" s="197"/>
      <c r="H2" s="198"/>
      <c r="J2" s="196" t="s">
        <v>85</v>
      </c>
      <c r="K2" s="197"/>
      <c r="L2" s="197"/>
      <c r="M2" s="197"/>
      <c r="N2" s="197"/>
      <c r="O2" s="198"/>
    </row>
    <row r="3" spans="2:15" ht="60" x14ac:dyDescent="0.2">
      <c r="B3" s="31"/>
      <c r="C3" s="148" t="s">
        <v>86</v>
      </c>
      <c r="D3" s="149" t="s">
        <v>87</v>
      </c>
      <c r="E3" s="149" t="s">
        <v>136</v>
      </c>
      <c r="F3" s="149" t="s">
        <v>145</v>
      </c>
      <c r="G3" s="149" t="s">
        <v>141</v>
      </c>
      <c r="H3" s="150" t="s">
        <v>88</v>
      </c>
      <c r="J3" s="148" t="s">
        <v>86</v>
      </c>
      <c r="K3" s="149" t="s">
        <v>87</v>
      </c>
      <c r="L3" s="149" t="s">
        <v>145</v>
      </c>
      <c r="M3" s="149" t="s">
        <v>146</v>
      </c>
      <c r="N3" s="149" t="s">
        <v>147</v>
      </c>
      <c r="O3" s="150" t="s">
        <v>88</v>
      </c>
    </row>
    <row r="4" spans="2:15" ht="15" x14ac:dyDescent="0.2">
      <c r="B4" s="31"/>
      <c r="C4" s="189">
        <v>6</v>
      </c>
      <c r="D4" s="151" t="s">
        <v>89</v>
      </c>
      <c r="E4" s="152">
        <v>247779</v>
      </c>
      <c r="F4" s="152">
        <v>248958</v>
      </c>
      <c r="G4" s="153">
        <f>F4-E4</f>
        <v>1179</v>
      </c>
      <c r="H4" s="154"/>
      <c r="J4" s="189">
        <v>6</v>
      </c>
      <c r="K4" s="151" t="s">
        <v>89</v>
      </c>
      <c r="L4" s="152">
        <v>248958</v>
      </c>
      <c r="M4" s="152">
        <v>251152</v>
      </c>
      <c r="N4" s="153">
        <f>M4-L4</f>
        <v>2194</v>
      </c>
      <c r="O4" s="154"/>
    </row>
    <row r="5" spans="2:15" ht="15" x14ac:dyDescent="0.2">
      <c r="B5" s="31"/>
      <c r="C5" s="190"/>
      <c r="D5" s="151" t="s">
        <v>90</v>
      </c>
      <c r="E5" s="152">
        <v>210173</v>
      </c>
      <c r="F5" s="152">
        <v>211264</v>
      </c>
      <c r="G5" s="155">
        <f t="shared" ref="G5:G45" si="0">F5-E5</f>
        <v>1091</v>
      </c>
      <c r="H5" s="154"/>
      <c r="J5" s="190"/>
      <c r="K5" s="151" t="s">
        <v>90</v>
      </c>
      <c r="L5" s="152">
        <v>211264</v>
      </c>
      <c r="M5" s="152">
        <v>212959</v>
      </c>
      <c r="N5" s="155">
        <f t="shared" ref="N5:N45" si="1">M5-L5</f>
        <v>1695</v>
      </c>
      <c r="O5" s="154"/>
    </row>
    <row r="6" spans="2:15" ht="15" x14ac:dyDescent="0.2">
      <c r="B6" s="31"/>
      <c r="C6" s="194"/>
      <c r="D6" s="151" t="s">
        <v>91</v>
      </c>
      <c r="E6" s="152">
        <v>167451</v>
      </c>
      <c r="F6" s="152">
        <v>168324</v>
      </c>
      <c r="G6" s="156">
        <f t="shared" si="0"/>
        <v>873</v>
      </c>
      <c r="H6" s="154"/>
      <c r="J6" s="194"/>
      <c r="K6" s="151" t="s">
        <v>91</v>
      </c>
      <c r="L6" s="152">
        <v>168324</v>
      </c>
      <c r="M6" s="152">
        <v>169211</v>
      </c>
      <c r="N6" s="156">
        <f t="shared" si="1"/>
        <v>887</v>
      </c>
      <c r="O6" s="154"/>
    </row>
    <row r="7" spans="2:15" ht="15" x14ac:dyDescent="0.2">
      <c r="B7" s="31"/>
      <c r="C7" s="189">
        <v>7</v>
      </c>
      <c r="D7" s="151" t="s">
        <v>89</v>
      </c>
      <c r="E7" s="152">
        <v>203896</v>
      </c>
      <c r="F7" s="152">
        <v>205132</v>
      </c>
      <c r="G7" s="153">
        <f t="shared" si="0"/>
        <v>1236</v>
      </c>
      <c r="H7" s="154"/>
      <c r="J7" s="189">
        <v>7</v>
      </c>
      <c r="K7" s="151" t="s">
        <v>89</v>
      </c>
      <c r="L7" s="152">
        <v>205132</v>
      </c>
      <c r="M7" s="152">
        <v>206660</v>
      </c>
      <c r="N7" s="153">
        <f t="shared" si="1"/>
        <v>1528</v>
      </c>
      <c r="O7" s="154"/>
    </row>
    <row r="8" spans="2:15" ht="15" x14ac:dyDescent="0.2">
      <c r="B8" s="31"/>
      <c r="C8" s="190"/>
      <c r="D8" s="151" t="s">
        <v>90</v>
      </c>
      <c r="E8" s="152">
        <v>142891</v>
      </c>
      <c r="F8" s="152">
        <v>143166</v>
      </c>
      <c r="G8" s="156">
        <f t="shared" si="0"/>
        <v>275</v>
      </c>
      <c r="H8" s="154"/>
      <c r="J8" s="190"/>
      <c r="K8" s="151" t="s">
        <v>90</v>
      </c>
      <c r="L8" s="152">
        <v>143166</v>
      </c>
      <c r="M8" s="152">
        <v>144593</v>
      </c>
      <c r="N8" s="156">
        <f t="shared" si="1"/>
        <v>1427</v>
      </c>
      <c r="O8" s="154"/>
    </row>
    <row r="9" spans="2:15" ht="15" x14ac:dyDescent="0.2">
      <c r="B9" s="31"/>
      <c r="C9" s="194"/>
      <c r="D9" s="151" t="s">
        <v>91</v>
      </c>
      <c r="E9" s="152">
        <v>103928</v>
      </c>
      <c r="F9" s="152">
        <v>103928</v>
      </c>
      <c r="G9" s="157">
        <f t="shared" si="0"/>
        <v>0</v>
      </c>
      <c r="H9" s="154"/>
      <c r="J9" s="194"/>
      <c r="K9" s="151" t="s">
        <v>91</v>
      </c>
      <c r="L9" s="152">
        <v>103928</v>
      </c>
      <c r="M9" s="152">
        <v>103990</v>
      </c>
      <c r="N9" s="157">
        <f t="shared" si="1"/>
        <v>62</v>
      </c>
      <c r="O9" s="154"/>
    </row>
    <row r="10" spans="2:15" ht="15" x14ac:dyDescent="0.2">
      <c r="B10" s="31"/>
      <c r="C10" s="189">
        <v>8</v>
      </c>
      <c r="D10" s="151" t="s">
        <v>89</v>
      </c>
      <c r="E10" s="152">
        <v>67734</v>
      </c>
      <c r="F10" s="152">
        <v>67895</v>
      </c>
      <c r="G10" s="153">
        <f t="shared" si="0"/>
        <v>161</v>
      </c>
      <c r="H10" s="154"/>
      <c r="J10" s="189">
        <v>8</v>
      </c>
      <c r="K10" s="151" t="s">
        <v>89</v>
      </c>
      <c r="L10" s="152">
        <v>67895</v>
      </c>
      <c r="M10" s="152">
        <v>68089</v>
      </c>
      <c r="N10" s="153">
        <f t="shared" si="1"/>
        <v>194</v>
      </c>
      <c r="O10" s="154"/>
    </row>
    <row r="11" spans="2:15" ht="15" x14ac:dyDescent="0.2">
      <c r="B11" s="31"/>
      <c r="C11" s="190"/>
      <c r="D11" s="151" t="s">
        <v>90</v>
      </c>
      <c r="E11" s="152">
        <v>158</v>
      </c>
      <c r="F11" s="152">
        <v>158</v>
      </c>
      <c r="G11" s="153">
        <f t="shared" si="0"/>
        <v>0</v>
      </c>
      <c r="H11" s="158" t="s">
        <v>13</v>
      </c>
      <c r="J11" s="190"/>
      <c r="K11" s="151" t="s">
        <v>90</v>
      </c>
      <c r="L11" s="152">
        <v>158</v>
      </c>
      <c r="M11" s="152">
        <v>158</v>
      </c>
      <c r="N11" s="153">
        <f t="shared" si="1"/>
        <v>0</v>
      </c>
      <c r="O11" s="158" t="s">
        <v>13</v>
      </c>
    </row>
    <row r="12" spans="2:15" ht="15" x14ac:dyDescent="0.2">
      <c r="B12" s="31"/>
      <c r="C12" s="194"/>
      <c r="D12" s="151" t="s">
        <v>91</v>
      </c>
      <c r="E12" s="152">
        <v>76657</v>
      </c>
      <c r="F12" s="152">
        <v>77178</v>
      </c>
      <c r="G12" s="156">
        <f t="shared" si="0"/>
        <v>521</v>
      </c>
      <c r="H12" s="154"/>
      <c r="J12" s="194"/>
      <c r="K12" s="151" t="s">
        <v>91</v>
      </c>
      <c r="L12" s="152">
        <v>77178</v>
      </c>
      <c r="M12" s="152">
        <v>77917</v>
      </c>
      <c r="N12" s="156">
        <f t="shared" si="1"/>
        <v>739</v>
      </c>
      <c r="O12" s="154"/>
    </row>
    <row r="13" spans="2:15" ht="15" x14ac:dyDescent="0.2">
      <c r="B13" s="31"/>
      <c r="C13" s="189">
        <v>9</v>
      </c>
      <c r="D13" s="151" t="s">
        <v>89</v>
      </c>
      <c r="E13" s="152">
        <v>33209</v>
      </c>
      <c r="F13" s="152">
        <v>33372</v>
      </c>
      <c r="G13" s="156">
        <f t="shared" si="0"/>
        <v>163</v>
      </c>
      <c r="H13" s="154"/>
      <c r="J13" s="189">
        <v>9</v>
      </c>
      <c r="K13" s="151" t="s">
        <v>89</v>
      </c>
      <c r="L13" s="152">
        <v>33372</v>
      </c>
      <c r="M13" s="152">
        <v>33512</v>
      </c>
      <c r="N13" s="156">
        <f t="shared" si="1"/>
        <v>140</v>
      </c>
      <c r="O13" s="154"/>
    </row>
    <row r="14" spans="2:15" ht="15" x14ac:dyDescent="0.2">
      <c r="B14" s="31"/>
      <c r="C14" s="190"/>
      <c r="D14" s="151" t="s">
        <v>90</v>
      </c>
      <c r="E14" s="152">
        <v>0</v>
      </c>
      <c r="F14" s="152">
        <v>0</v>
      </c>
      <c r="G14" s="153">
        <f t="shared" si="0"/>
        <v>0</v>
      </c>
      <c r="H14" s="158" t="s">
        <v>13</v>
      </c>
      <c r="I14" s="117"/>
      <c r="J14" s="190"/>
      <c r="K14" s="151" t="s">
        <v>90</v>
      </c>
      <c r="L14" s="152">
        <v>0</v>
      </c>
      <c r="M14" s="152">
        <v>0</v>
      </c>
      <c r="N14" s="153">
        <f t="shared" si="1"/>
        <v>0</v>
      </c>
      <c r="O14" s="158" t="s">
        <v>13</v>
      </c>
    </row>
    <row r="15" spans="2:15" ht="15" x14ac:dyDescent="0.2">
      <c r="B15" s="31"/>
      <c r="C15" s="194"/>
      <c r="D15" s="151" t="s">
        <v>91</v>
      </c>
      <c r="E15" s="152">
        <v>26164</v>
      </c>
      <c r="F15" s="152">
        <v>26446</v>
      </c>
      <c r="G15" s="156">
        <f t="shared" si="0"/>
        <v>282</v>
      </c>
      <c r="H15" s="154"/>
      <c r="I15" s="32"/>
      <c r="J15" s="194"/>
      <c r="K15" s="151" t="s">
        <v>91</v>
      </c>
      <c r="L15" s="152">
        <v>26446</v>
      </c>
      <c r="M15" s="152">
        <v>26642</v>
      </c>
      <c r="N15" s="156">
        <f t="shared" si="1"/>
        <v>196</v>
      </c>
      <c r="O15" s="154"/>
    </row>
    <row r="16" spans="2:15" ht="15" x14ac:dyDescent="0.2">
      <c r="B16" s="31"/>
      <c r="C16" s="189">
        <v>10</v>
      </c>
      <c r="D16" s="151" t="s">
        <v>89</v>
      </c>
      <c r="E16" s="152">
        <v>143292</v>
      </c>
      <c r="F16" s="152">
        <v>144956</v>
      </c>
      <c r="G16" s="156">
        <f t="shared" si="0"/>
        <v>1664</v>
      </c>
      <c r="H16" s="154"/>
      <c r="I16" s="32"/>
      <c r="J16" s="189">
        <v>10</v>
      </c>
      <c r="K16" s="151" t="s">
        <v>89</v>
      </c>
      <c r="L16" s="152">
        <v>144956</v>
      </c>
      <c r="M16" s="152">
        <v>146983</v>
      </c>
      <c r="N16" s="156">
        <f t="shared" si="1"/>
        <v>2027</v>
      </c>
      <c r="O16" s="154"/>
    </row>
    <row r="17" spans="2:15" ht="15" x14ac:dyDescent="0.2">
      <c r="B17" s="31"/>
      <c r="C17" s="190"/>
      <c r="D17" s="151" t="s">
        <v>90</v>
      </c>
      <c r="E17" s="152">
        <v>7589</v>
      </c>
      <c r="F17" s="152">
        <v>7591</v>
      </c>
      <c r="G17" s="153">
        <f t="shared" si="0"/>
        <v>2</v>
      </c>
      <c r="H17" s="154"/>
      <c r="I17" s="32"/>
      <c r="J17" s="190"/>
      <c r="K17" s="151" t="s">
        <v>90</v>
      </c>
      <c r="L17" s="152">
        <v>7591</v>
      </c>
      <c r="M17" s="152">
        <v>7943</v>
      </c>
      <c r="N17" s="156">
        <f t="shared" si="1"/>
        <v>352</v>
      </c>
      <c r="O17" s="154"/>
    </row>
    <row r="18" spans="2:15" ht="15" x14ac:dyDescent="0.2">
      <c r="B18" s="31"/>
      <c r="C18" s="194"/>
      <c r="D18" s="151" t="s">
        <v>91</v>
      </c>
      <c r="E18" s="152">
        <v>140515</v>
      </c>
      <c r="F18" s="152">
        <v>141523</v>
      </c>
      <c r="G18" s="156">
        <f t="shared" si="0"/>
        <v>1008</v>
      </c>
      <c r="H18" s="154"/>
      <c r="I18" s="32"/>
      <c r="J18" s="194"/>
      <c r="K18" s="151" t="s">
        <v>91</v>
      </c>
      <c r="L18" s="152">
        <v>141523</v>
      </c>
      <c r="M18" s="152">
        <v>142505</v>
      </c>
      <c r="N18" s="156">
        <f t="shared" si="1"/>
        <v>982</v>
      </c>
      <c r="O18" s="154"/>
    </row>
    <row r="19" spans="2:15" ht="15" x14ac:dyDescent="0.2">
      <c r="B19" s="31"/>
      <c r="C19" s="189">
        <v>11</v>
      </c>
      <c r="D19" s="151" t="s">
        <v>89</v>
      </c>
      <c r="E19" s="159">
        <v>60732</v>
      </c>
      <c r="F19" s="159">
        <v>60851</v>
      </c>
      <c r="G19" s="156">
        <f t="shared" si="0"/>
        <v>119</v>
      </c>
      <c r="H19" s="154"/>
      <c r="I19" s="32"/>
      <c r="J19" s="189">
        <v>11</v>
      </c>
      <c r="K19" s="151" t="s">
        <v>89</v>
      </c>
      <c r="L19" s="159">
        <v>60851</v>
      </c>
      <c r="M19" s="159">
        <v>60999</v>
      </c>
      <c r="N19" s="156">
        <f t="shared" si="1"/>
        <v>148</v>
      </c>
      <c r="O19" s="154"/>
    </row>
    <row r="20" spans="2:15" ht="15" x14ac:dyDescent="0.2">
      <c r="B20" s="31"/>
      <c r="C20" s="190"/>
      <c r="D20" s="151" t="s">
        <v>90</v>
      </c>
      <c r="E20" s="159">
        <v>179823</v>
      </c>
      <c r="F20" s="159">
        <v>181018</v>
      </c>
      <c r="G20" s="156">
        <f t="shared" si="0"/>
        <v>1195</v>
      </c>
      <c r="H20" s="154"/>
      <c r="I20" s="32"/>
      <c r="J20" s="190"/>
      <c r="K20" s="151" t="s">
        <v>90</v>
      </c>
      <c r="L20" s="159">
        <v>181018</v>
      </c>
      <c r="M20" s="159">
        <v>181997</v>
      </c>
      <c r="N20" s="156">
        <f t="shared" si="1"/>
        <v>979</v>
      </c>
      <c r="O20" s="154"/>
    </row>
    <row r="21" spans="2:15" ht="15" x14ac:dyDescent="0.2">
      <c r="B21" s="31"/>
      <c r="C21" s="194"/>
      <c r="D21" s="151" t="s">
        <v>91</v>
      </c>
      <c r="E21" s="152">
        <v>29198</v>
      </c>
      <c r="F21" s="152">
        <v>29244</v>
      </c>
      <c r="G21" s="156">
        <f t="shared" si="0"/>
        <v>46</v>
      </c>
      <c r="H21" s="154"/>
      <c r="I21" s="32"/>
      <c r="J21" s="194"/>
      <c r="K21" s="151" t="s">
        <v>91</v>
      </c>
      <c r="L21" s="152">
        <v>29244</v>
      </c>
      <c r="M21" s="152">
        <v>29304</v>
      </c>
      <c r="N21" s="156">
        <f t="shared" si="1"/>
        <v>60</v>
      </c>
      <c r="O21" s="154"/>
    </row>
    <row r="22" spans="2:15" ht="15" x14ac:dyDescent="0.2">
      <c r="B22" s="31"/>
      <c r="C22" s="189">
        <v>12</v>
      </c>
      <c r="D22" s="151" t="s">
        <v>89</v>
      </c>
      <c r="E22" s="159">
        <v>140289</v>
      </c>
      <c r="F22" s="159">
        <v>141429</v>
      </c>
      <c r="G22" s="153">
        <f t="shared" si="0"/>
        <v>1140</v>
      </c>
      <c r="H22" s="154"/>
      <c r="I22" s="33" t="s">
        <v>13</v>
      </c>
      <c r="J22" s="189">
        <v>12</v>
      </c>
      <c r="K22" s="151" t="s">
        <v>89</v>
      </c>
      <c r="L22" s="159">
        <v>141429</v>
      </c>
      <c r="M22" s="159">
        <v>143096</v>
      </c>
      <c r="N22" s="153">
        <f t="shared" si="1"/>
        <v>1667</v>
      </c>
      <c r="O22" s="154"/>
    </row>
    <row r="23" spans="2:15" ht="15" x14ac:dyDescent="0.2">
      <c r="B23" s="31"/>
      <c r="C23" s="190"/>
      <c r="D23" s="151" t="s">
        <v>90</v>
      </c>
      <c r="E23" s="152">
        <v>17749</v>
      </c>
      <c r="F23" s="152">
        <v>17780</v>
      </c>
      <c r="G23" s="153">
        <f t="shared" si="0"/>
        <v>31</v>
      </c>
      <c r="H23" s="154"/>
      <c r="I23" s="32"/>
      <c r="J23" s="190"/>
      <c r="K23" s="151" t="s">
        <v>90</v>
      </c>
      <c r="L23" s="152">
        <v>17780</v>
      </c>
      <c r="M23" s="152">
        <v>17943</v>
      </c>
      <c r="N23" s="153">
        <f t="shared" si="1"/>
        <v>163</v>
      </c>
      <c r="O23" s="154"/>
    </row>
    <row r="24" spans="2:15" ht="15" x14ac:dyDescent="0.2">
      <c r="B24" s="31"/>
      <c r="C24" s="194"/>
      <c r="D24" s="151" t="s">
        <v>91</v>
      </c>
      <c r="E24" s="152">
        <v>198251</v>
      </c>
      <c r="F24" s="152">
        <v>200206</v>
      </c>
      <c r="G24" s="153">
        <f t="shared" si="0"/>
        <v>1955</v>
      </c>
      <c r="H24" s="154"/>
      <c r="I24" s="32"/>
      <c r="J24" s="194"/>
      <c r="K24" s="151" t="s">
        <v>91</v>
      </c>
      <c r="L24" s="152">
        <v>200206</v>
      </c>
      <c r="M24" s="152">
        <v>203015</v>
      </c>
      <c r="N24" s="153">
        <f t="shared" si="1"/>
        <v>2809</v>
      </c>
      <c r="O24" s="154"/>
    </row>
    <row r="25" spans="2:15" ht="15" x14ac:dyDescent="0.2">
      <c r="B25" s="31"/>
      <c r="C25" s="189">
        <v>14</v>
      </c>
      <c r="D25" s="151" t="s">
        <v>89</v>
      </c>
      <c r="E25" s="152">
        <v>109846</v>
      </c>
      <c r="F25" s="152">
        <v>109996</v>
      </c>
      <c r="G25" s="156">
        <f t="shared" si="0"/>
        <v>150</v>
      </c>
      <c r="H25" s="154"/>
      <c r="I25" s="32"/>
      <c r="J25" s="189">
        <v>14</v>
      </c>
      <c r="K25" s="151" t="s">
        <v>89</v>
      </c>
      <c r="L25" s="152">
        <v>109996</v>
      </c>
      <c r="M25" s="152">
        <v>110156</v>
      </c>
      <c r="N25" s="156">
        <f t="shared" si="1"/>
        <v>160</v>
      </c>
      <c r="O25" s="154"/>
    </row>
    <row r="26" spans="2:15" ht="15" x14ac:dyDescent="0.2">
      <c r="B26" s="31"/>
      <c r="C26" s="190"/>
      <c r="D26" s="151" t="s">
        <v>90</v>
      </c>
      <c r="E26" s="160">
        <v>20379</v>
      </c>
      <c r="F26" s="160">
        <v>20584</v>
      </c>
      <c r="G26" s="156">
        <f t="shared" si="0"/>
        <v>205</v>
      </c>
      <c r="H26" s="154"/>
      <c r="I26" s="32"/>
      <c r="J26" s="190"/>
      <c r="K26" s="151" t="s">
        <v>90</v>
      </c>
      <c r="L26" s="160">
        <v>20584</v>
      </c>
      <c r="M26" s="160">
        <v>20602</v>
      </c>
      <c r="N26" s="156">
        <f t="shared" si="1"/>
        <v>18</v>
      </c>
      <c r="O26" s="154"/>
    </row>
    <row r="27" spans="2:15" ht="15" x14ac:dyDescent="0.2">
      <c r="B27" s="31"/>
      <c r="C27" s="194"/>
      <c r="D27" s="151" t="s">
        <v>91</v>
      </c>
      <c r="E27" s="152">
        <v>953</v>
      </c>
      <c r="F27" s="152">
        <v>984</v>
      </c>
      <c r="G27" s="156">
        <f t="shared" si="0"/>
        <v>31</v>
      </c>
      <c r="H27" s="154"/>
      <c r="I27" s="33" t="s">
        <v>13</v>
      </c>
      <c r="J27" s="194"/>
      <c r="K27" s="151" t="s">
        <v>91</v>
      </c>
      <c r="L27" s="152">
        <v>984</v>
      </c>
      <c r="M27" s="152">
        <v>1006</v>
      </c>
      <c r="N27" s="156">
        <f t="shared" si="1"/>
        <v>22</v>
      </c>
      <c r="O27" s="154"/>
    </row>
    <row r="28" spans="2:15" ht="15" x14ac:dyDescent="0.2">
      <c r="B28" s="31"/>
      <c r="C28" s="189">
        <v>15</v>
      </c>
      <c r="D28" s="151" t="s">
        <v>89</v>
      </c>
      <c r="E28" s="159">
        <v>39008</v>
      </c>
      <c r="F28" s="159">
        <v>39008</v>
      </c>
      <c r="G28" s="156">
        <f t="shared" si="0"/>
        <v>0</v>
      </c>
      <c r="H28" s="154"/>
      <c r="I28" s="33" t="s">
        <v>13</v>
      </c>
      <c r="J28" s="189">
        <v>15</v>
      </c>
      <c r="K28" s="151" t="s">
        <v>89</v>
      </c>
      <c r="L28" s="159">
        <v>39008</v>
      </c>
      <c r="M28" s="159">
        <v>39008</v>
      </c>
      <c r="N28" s="156">
        <f t="shared" si="1"/>
        <v>0</v>
      </c>
      <c r="O28" s="154"/>
    </row>
    <row r="29" spans="2:15" ht="15" x14ac:dyDescent="0.2">
      <c r="B29" s="31"/>
      <c r="C29" s="190"/>
      <c r="D29" s="151" t="s">
        <v>90</v>
      </c>
      <c r="E29" s="152">
        <v>69952</v>
      </c>
      <c r="F29" s="152">
        <v>70135</v>
      </c>
      <c r="G29" s="153">
        <f t="shared" si="0"/>
        <v>183</v>
      </c>
      <c r="H29" s="154"/>
      <c r="I29" s="32"/>
      <c r="J29" s="190"/>
      <c r="K29" s="151" t="s">
        <v>90</v>
      </c>
      <c r="L29" s="152">
        <v>70135</v>
      </c>
      <c r="M29" s="152">
        <v>70264</v>
      </c>
      <c r="N29" s="153">
        <f t="shared" si="1"/>
        <v>129</v>
      </c>
      <c r="O29" s="154"/>
    </row>
    <row r="30" spans="2:15" ht="15" x14ac:dyDescent="0.2">
      <c r="B30" s="31"/>
      <c r="C30" s="194"/>
      <c r="D30" s="151" t="s">
        <v>91</v>
      </c>
      <c r="E30" s="152">
        <v>130905</v>
      </c>
      <c r="F30" s="152">
        <v>131415</v>
      </c>
      <c r="G30" s="153">
        <f t="shared" si="0"/>
        <v>510</v>
      </c>
      <c r="H30" s="154"/>
      <c r="I30" s="32"/>
      <c r="J30" s="194"/>
      <c r="K30" s="151" t="s">
        <v>91</v>
      </c>
      <c r="L30" s="152">
        <v>131415</v>
      </c>
      <c r="M30" s="152">
        <v>132028</v>
      </c>
      <c r="N30" s="153">
        <f t="shared" si="1"/>
        <v>613</v>
      </c>
      <c r="O30" s="154"/>
    </row>
    <row r="31" spans="2:15" ht="15" x14ac:dyDescent="0.2">
      <c r="B31" s="31"/>
      <c r="C31" s="189">
        <v>16</v>
      </c>
      <c r="D31" s="151" t="s">
        <v>89</v>
      </c>
      <c r="E31" s="159">
        <v>87800</v>
      </c>
      <c r="F31" s="159">
        <v>88952</v>
      </c>
      <c r="G31" s="156">
        <f t="shared" si="0"/>
        <v>1152</v>
      </c>
      <c r="H31" s="158" t="s">
        <v>13</v>
      </c>
      <c r="I31" s="32"/>
      <c r="J31" s="189">
        <v>16</v>
      </c>
      <c r="K31" s="151" t="s">
        <v>89</v>
      </c>
      <c r="L31" s="159">
        <v>88952</v>
      </c>
      <c r="M31" s="159">
        <v>90585</v>
      </c>
      <c r="N31" s="156">
        <f t="shared" si="1"/>
        <v>1633</v>
      </c>
      <c r="O31" s="158" t="s">
        <v>13</v>
      </c>
    </row>
    <row r="32" spans="2:15" ht="15" x14ac:dyDescent="0.2">
      <c r="B32" s="31"/>
      <c r="C32" s="190"/>
      <c r="D32" s="151" t="s">
        <v>90</v>
      </c>
      <c r="E32" s="152">
        <v>51524</v>
      </c>
      <c r="F32" s="152">
        <v>51666</v>
      </c>
      <c r="G32" s="156">
        <f t="shared" si="0"/>
        <v>142</v>
      </c>
      <c r="H32" s="154"/>
      <c r="I32" s="32"/>
      <c r="J32" s="190"/>
      <c r="K32" s="151" t="s">
        <v>90</v>
      </c>
      <c r="L32" s="152">
        <v>51666</v>
      </c>
      <c r="M32" s="152">
        <v>51886</v>
      </c>
      <c r="N32" s="156">
        <f t="shared" si="1"/>
        <v>220</v>
      </c>
      <c r="O32" s="154"/>
    </row>
    <row r="33" spans="2:15" ht="15" x14ac:dyDescent="0.2">
      <c r="B33" s="31"/>
      <c r="C33" s="194"/>
      <c r="D33" s="151" t="s">
        <v>91</v>
      </c>
      <c r="E33" s="152">
        <v>60448</v>
      </c>
      <c r="F33" s="152">
        <v>63198</v>
      </c>
      <c r="G33" s="153">
        <f t="shared" si="0"/>
        <v>2750</v>
      </c>
      <c r="H33" s="161"/>
      <c r="I33" s="32"/>
      <c r="J33" s="194"/>
      <c r="K33" s="151" t="s">
        <v>91</v>
      </c>
      <c r="L33" s="152">
        <v>63198</v>
      </c>
      <c r="M33" s="152">
        <v>65528</v>
      </c>
      <c r="N33" s="153">
        <f t="shared" si="1"/>
        <v>2330</v>
      </c>
      <c r="O33" s="161"/>
    </row>
    <row r="34" spans="2:15" ht="15" x14ac:dyDescent="0.2">
      <c r="B34" s="31"/>
      <c r="C34" s="189">
        <v>17</v>
      </c>
      <c r="D34" s="151" t="s">
        <v>89</v>
      </c>
      <c r="E34" s="152">
        <v>19222</v>
      </c>
      <c r="F34" s="152">
        <v>20871</v>
      </c>
      <c r="G34" s="156">
        <f t="shared" si="0"/>
        <v>1649</v>
      </c>
      <c r="H34" s="154"/>
      <c r="I34" s="32"/>
      <c r="J34" s="189">
        <v>17</v>
      </c>
      <c r="K34" s="151" t="s">
        <v>89</v>
      </c>
      <c r="L34" s="152">
        <v>20871</v>
      </c>
      <c r="M34" s="152">
        <v>206511</v>
      </c>
      <c r="N34" s="156">
        <f t="shared" si="1"/>
        <v>185640</v>
      </c>
      <c r="O34" s="154"/>
    </row>
    <row r="35" spans="2:15" ht="15" x14ac:dyDescent="0.2">
      <c r="B35" s="31"/>
      <c r="C35" s="190"/>
      <c r="D35" s="151" t="s">
        <v>90</v>
      </c>
      <c r="E35" s="152">
        <v>63268</v>
      </c>
      <c r="F35" s="152">
        <v>63375</v>
      </c>
      <c r="G35" s="156">
        <f t="shared" si="0"/>
        <v>107</v>
      </c>
      <c r="H35" s="154"/>
      <c r="I35" s="32"/>
      <c r="J35" s="190"/>
      <c r="K35" s="151" t="s">
        <v>90</v>
      </c>
      <c r="L35" s="152">
        <v>63375</v>
      </c>
      <c r="M35" s="152">
        <v>63431</v>
      </c>
      <c r="N35" s="156">
        <f t="shared" si="1"/>
        <v>56</v>
      </c>
      <c r="O35" s="154"/>
    </row>
    <row r="36" spans="2:15" ht="15" x14ac:dyDescent="0.2">
      <c r="B36" s="31"/>
      <c r="C36" s="194"/>
      <c r="D36" s="151" t="s">
        <v>91</v>
      </c>
      <c r="E36" s="152">
        <v>11165</v>
      </c>
      <c r="F36" s="152">
        <v>11165</v>
      </c>
      <c r="G36" s="162">
        <f t="shared" si="0"/>
        <v>0</v>
      </c>
      <c r="H36" s="161"/>
      <c r="I36" s="32"/>
      <c r="J36" s="194"/>
      <c r="K36" s="151" t="s">
        <v>91</v>
      </c>
      <c r="L36" s="152">
        <v>11165</v>
      </c>
      <c r="M36" s="152">
        <v>11165</v>
      </c>
      <c r="N36" s="162">
        <f t="shared" si="1"/>
        <v>0</v>
      </c>
      <c r="O36" s="161"/>
    </row>
    <row r="37" spans="2:15" ht="15" x14ac:dyDescent="0.2">
      <c r="B37" s="31"/>
      <c r="C37" s="189">
        <v>18</v>
      </c>
      <c r="D37" s="151" t="s">
        <v>89</v>
      </c>
      <c r="E37" s="152">
        <v>203900</v>
      </c>
      <c r="F37" s="152">
        <v>204613</v>
      </c>
      <c r="G37" s="156">
        <f t="shared" si="0"/>
        <v>713</v>
      </c>
      <c r="H37" s="161"/>
      <c r="I37" s="32"/>
      <c r="J37" s="189">
        <v>18</v>
      </c>
      <c r="K37" s="151" t="s">
        <v>89</v>
      </c>
      <c r="L37" s="152">
        <v>204613</v>
      </c>
      <c r="M37" s="152">
        <v>205611</v>
      </c>
      <c r="N37" s="156">
        <f t="shared" si="1"/>
        <v>998</v>
      </c>
      <c r="O37" s="161"/>
    </row>
    <row r="38" spans="2:15" ht="15" x14ac:dyDescent="0.2">
      <c r="B38" s="31"/>
      <c r="C38" s="190"/>
      <c r="D38" s="151" t="s">
        <v>90</v>
      </c>
      <c r="E38" s="160">
        <v>15563</v>
      </c>
      <c r="F38" s="160">
        <v>15620</v>
      </c>
      <c r="G38" s="156">
        <f t="shared" si="0"/>
        <v>57</v>
      </c>
      <c r="H38" s="154"/>
      <c r="I38" s="32"/>
      <c r="J38" s="190"/>
      <c r="K38" s="151" t="s">
        <v>90</v>
      </c>
      <c r="L38" s="160">
        <v>15620</v>
      </c>
      <c r="M38" s="160">
        <v>15682</v>
      </c>
      <c r="N38" s="156">
        <f t="shared" si="1"/>
        <v>62</v>
      </c>
      <c r="O38" s="154"/>
    </row>
    <row r="39" spans="2:15" ht="15" x14ac:dyDescent="0.2">
      <c r="B39" s="31"/>
      <c r="C39" s="194"/>
      <c r="D39" s="151" t="s">
        <v>91</v>
      </c>
      <c r="E39" s="152">
        <v>61784</v>
      </c>
      <c r="F39" s="152">
        <v>61937</v>
      </c>
      <c r="G39" s="153">
        <f t="shared" si="0"/>
        <v>153</v>
      </c>
      <c r="H39" s="154"/>
      <c r="I39" s="32"/>
      <c r="J39" s="194"/>
      <c r="K39" s="151" t="s">
        <v>91</v>
      </c>
      <c r="L39" s="152">
        <v>61937</v>
      </c>
      <c r="M39" s="152">
        <v>61942</v>
      </c>
      <c r="N39" s="153">
        <f t="shared" si="1"/>
        <v>5</v>
      </c>
      <c r="O39" s="154"/>
    </row>
    <row r="40" spans="2:15" ht="15" x14ac:dyDescent="0.2">
      <c r="B40" s="31"/>
      <c r="C40" s="189">
        <v>19</v>
      </c>
      <c r="D40" s="151" t="s">
        <v>89</v>
      </c>
      <c r="E40" s="152">
        <v>15384</v>
      </c>
      <c r="F40" s="152">
        <v>15532</v>
      </c>
      <c r="G40" s="153">
        <f t="shared" si="0"/>
        <v>148</v>
      </c>
      <c r="H40" s="154"/>
      <c r="I40" s="32"/>
      <c r="J40" s="189">
        <v>19</v>
      </c>
      <c r="K40" s="151" t="s">
        <v>89</v>
      </c>
      <c r="L40" s="152">
        <v>15532</v>
      </c>
      <c r="M40" s="152">
        <v>15728</v>
      </c>
      <c r="N40" s="153">
        <f t="shared" si="1"/>
        <v>196</v>
      </c>
      <c r="O40" s="154"/>
    </row>
    <row r="41" spans="2:15" ht="15" x14ac:dyDescent="0.2">
      <c r="B41" s="31"/>
      <c r="C41" s="190"/>
      <c r="D41" s="151" t="s">
        <v>90</v>
      </c>
      <c r="E41" s="159">
        <v>74799</v>
      </c>
      <c r="F41" s="159">
        <v>76074</v>
      </c>
      <c r="G41" s="156">
        <f t="shared" si="0"/>
        <v>1275</v>
      </c>
      <c r="H41" s="161"/>
      <c r="I41" s="32"/>
      <c r="J41" s="190"/>
      <c r="K41" s="151" t="s">
        <v>90</v>
      </c>
      <c r="L41" s="159">
        <v>76074</v>
      </c>
      <c r="M41" s="159">
        <v>77243</v>
      </c>
      <c r="N41" s="156">
        <f t="shared" si="1"/>
        <v>1169</v>
      </c>
      <c r="O41" s="161"/>
    </row>
    <row r="42" spans="2:15" ht="15" x14ac:dyDescent="0.2">
      <c r="B42" s="31"/>
      <c r="C42" s="194"/>
      <c r="D42" s="151" t="s">
        <v>91</v>
      </c>
      <c r="E42" s="152">
        <v>50077</v>
      </c>
      <c r="F42" s="152">
        <v>50241</v>
      </c>
      <c r="G42" s="156">
        <f t="shared" si="0"/>
        <v>164</v>
      </c>
      <c r="H42" s="154"/>
      <c r="I42" s="32"/>
      <c r="J42" s="194"/>
      <c r="K42" s="151" t="s">
        <v>91</v>
      </c>
      <c r="L42" s="152">
        <v>50241</v>
      </c>
      <c r="M42" s="152">
        <v>50474</v>
      </c>
      <c r="N42" s="156">
        <f t="shared" si="1"/>
        <v>233</v>
      </c>
      <c r="O42" s="154"/>
    </row>
    <row r="43" spans="2:15" ht="15" x14ac:dyDescent="0.2">
      <c r="B43" s="31"/>
      <c r="C43" s="189">
        <v>20</v>
      </c>
      <c r="D43" s="151" t="s">
        <v>89</v>
      </c>
      <c r="E43" s="152">
        <v>104966</v>
      </c>
      <c r="F43" s="152">
        <v>105421</v>
      </c>
      <c r="G43" s="153">
        <f t="shared" si="0"/>
        <v>455</v>
      </c>
      <c r="H43" s="154"/>
      <c r="J43" s="189">
        <v>20</v>
      </c>
      <c r="K43" s="151" t="s">
        <v>89</v>
      </c>
      <c r="L43" s="152">
        <v>105421</v>
      </c>
      <c r="M43" s="152">
        <v>105941</v>
      </c>
      <c r="N43" s="153">
        <f t="shared" si="1"/>
        <v>520</v>
      </c>
      <c r="O43" s="154"/>
    </row>
    <row r="44" spans="2:15" ht="15" x14ac:dyDescent="0.2">
      <c r="B44" s="31"/>
      <c r="C44" s="190"/>
      <c r="D44" s="151" t="s">
        <v>90</v>
      </c>
      <c r="E44" s="159">
        <v>61687</v>
      </c>
      <c r="F44" s="159">
        <v>61740</v>
      </c>
      <c r="G44" s="156">
        <f t="shared" si="0"/>
        <v>53</v>
      </c>
      <c r="H44" s="154"/>
      <c r="J44" s="190"/>
      <c r="K44" s="151" t="s">
        <v>90</v>
      </c>
      <c r="L44" s="159">
        <v>61740</v>
      </c>
      <c r="M44" s="159">
        <v>62092</v>
      </c>
      <c r="N44" s="156">
        <f t="shared" si="1"/>
        <v>352</v>
      </c>
      <c r="O44" s="154"/>
    </row>
    <row r="45" spans="2:15" ht="15" x14ac:dyDescent="0.2">
      <c r="B45" s="31"/>
      <c r="C45" s="194"/>
      <c r="D45" s="151" t="s">
        <v>91</v>
      </c>
      <c r="E45" s="152">
        <v>3128</v>
      </c>
      <c r="F45" s="152">
        <v>3128</v>
      </c>
      <c r="G45" s="153">
        <f t="shared" si="0"/>
        <v>0</v>
      </c>
      <c r="H45" s="154"/>
      <c r="J45" s="194"/>
      <c r="K45" s="151" t="s">
        <v>91</v>
      </c>
      <c r="L45" s="152">
        <v>3128</v>
      </c>
      <c r="M45" s="152">
        <v>3128</v>
      </c>
      <c r="N45" s="153">
        <f t="shared" si="1"/>
        <v>0</v>
      </c>
      <c r="O45" s="154"/>
    </row>
    <row r="46" spans="2:15" ht="15" x14ac:dyDescent="0.2">
      <c r="B46" s="31"/>
      <c r="C46" s="163"/>
      <c r="D46" s="164"/>
      <c r="E46" s="165"/>
      <c r="F46" s="165"/>
      <c r="G46" s="165"/>
      <c r="H46" s="166"/>
      <c r="J46" s="163"/>
      <c r="K46" s="164"/>
      <c r="L46" s="164"/>
      <c r="M46" s="164"/>
      <c r="N46" s="165"/>
      <c r="O46" s="166"/>
    </row>
    <row r="47" spans="2:15" ht="15" x14ac:dyDescent="0.2">
      <c r="B47" s="31"/>
      <c r="C47" s="189">
        <v>21</v>
      </c>
      <c r="D47" s="167" t="s">
        <v>92</v>
      </c>
      <c r="E47" s="152">
        <v>2129</v>
      </c>
      <c r="F47" s="152">
        <v>2487</v>
      </c>
      <c r="G47" s="156">
        <f t="shared" ref="G47:G52" si="2">F47-E47</f>
        <v>358</v>
      </c>
      <c r="H47" s="158" t="s">
        <v>13</v>
      </c>
      <c r="J47" s="189">
        <v>21</v>
      </c>
      <c r="K47" s="167" t="s">
        <v>92</v>
      </c>
      <c r="L47" s="152">
        <v>2487</v>
      </c>
      <c r="M47" s="152">
        <v>2622</v>
      </c>
      <c r="N47" s="156">
        <f t="shared" ref="N47:N52" si="3">M47-L47</f>
        <v>135</v>
      </c>
      <c r="O47" s="158" t="s">
        <v>13</v>
      </c>
    </row>
    <row r="48" spans="2:15" ht="15" x14ac:dyDescent="0.2">
      <c r="B48" s="31"/>
      <c r="C48" s="190"/>
      <c r="D48" s="167" t="s">
        <v>91</v>
      </c>
      <c r="E48" s="152">
        <v>37982</v>
      </c>
      <c r="F48" s="152">
        <v>37982</v>
      </c>
      <c r="G48" s="156">
        <f t="shared" si="2"/>
        <v>0</v>
      </c>
      <c r="H48" s="154"/>
      <c r="I48" t="s">
        <v>13</v>
      </c>
      <c r="J48" s="190"/>
      <c r="K48" s="167" t="s">
        <v>91</v>
      </c>
      <c r="L48" s="152">
        <v>37982</v>
      </c>
      <c r="M48" s="152">
        <v>37982</v>
      </c>
      <c r="N48" s="156">
        <f t="shared" si="3"/>
        <v>0</v>
      </c>
      <c r="O48" s="154"/>
    </row>
    <row r="49" spans="1:15" ht="15" x14ac:dyDescent="0.2">
      <c r="B49" s="31"/>
      <c r="C49" s="189">
        <v>22</v>
      </c>
      <c r="D49" s="167" t="s">
        <v>92</v>
      </c>
      <c r="E49" s="168">
        <v>11353</v>
      </c>
      <c r="F49" s="168">
        <v>11494</v>
      </c>
      <c r="G49" s="156">
        <f t="shared" si="2"/>
        <v>141</v>
      </c>
      <c r="H49" s="154"/>
      <c r="J49" s="189">
        <v>22</v>
      </c>
      <c r="K49" s="167" t="s">
        <v>92</v>
      </c>
      <c r="L49" s="168">
        <v>11494</v>
      </c>
      <c r="M49" s="168">
        <v>11494</v>
      </c>
      <c r="N49" s="156">
        <f t="shared" si="3"/>
        <v>0</v>
      </c>
      <c r="O49" s="154"/>
    </row>
    <row r="50" spans="1:15" ht="15" x14ac:dyDescent="0.2">
      <c r="B50" s="31"/>
      <c r="C50" s="190"/>
      <c r="D50" s="167" t="s">
        <v>91</v>
      </c>
      <c r="E50" s="168">
        <v>16460</v>
      </c>
      <c r="F50" s="168">
        <v>16580</v>
      </c>
      <c r="G50" s="156">
        <f t="shared" si="2"/>
        <v>120</v>
      </c>
      <c r="H50" s="154"/>
      <c r="J50" s="190"/>
      <c r="K50" s="167" t="s">
        <v>91</v>
      </c>
      <c r="L50" s="168">
        <v>16580</v>
      </c>
      <c r="M50" s="168">
        <v>16580</v>
      </c>
      <c r="N50" s="156">
        <f t="shared" si="3"/>
        <v>0</v>
      </c>
      <c r="O50" s="154"/>
    </row>
    <row r="51" spans="1:15" ht="15" x14ac:dyDescent="0.2">
      <c r="B51" s="31"/>
      <c r="C51" s="189">
        <v>23</v>
      </c>
      <c r="D51" s="151" t="s">
        <v>92</v>
      </c>
      <c r="E51" s="168"/>
      <c r="F51" s="168"/>
      <c r="G51" s="153">
        <f t="shared" si="2"/>
        <v>0</v>
      </c>
      <c r="H51" s="154"/>
      <c r="J51" s="189">
        <v>23</v>
      </c>
      <c r="K51" s="151" t="s">
        <v>92</v>
      </c>
      <c r="L51" s="168"/>
      <c r="M51" s="168"/>
      <c r="N51" s="153">
        <f t="shared" si="3"/>
        <v>0</v>
      </c>
      <c r="O51" s="154"/>
    </row>
    <row r="52" spans="1:15" ht="15" x14ac:dyDescent="0.2">
      <c r="B52" s="31"/>
      <c r="C52" s="190"/>
      <c r="D52" s="151" t="s">
        <v>91</v>
      </c>
      <c r="E52" s="168"/>
      <c r="F52" s="168"/>
      <c r="G52" s="153">
        <f t="shared" si="2"/>
        <v>0</v>
      </c>
      <c r="H52" s="154"/>
      <c r="J52" s="190"/>
      <c r="K52" s="151" t="s">
        <v>91</v>
      </c>
      <c r="L52" s="168"/>
      <c r="M52" s="168"/>
      <c r="N52" s="153">
        <f t="shared" si="3"/>
        <v>0</v>
      </c>
      <c r="O52" s="154"/>
    </row>
    <row r="53" spans="1:15" ht="15" x14ac:dyDescent="0.2">
      <c r="B53" s="31"/>
      <c r="C53" s="169"/>
      <c r="D53" s="164"/>
      <c r="E53" s="165"/>
      <c r="F53" s="165"/>
      <c r="G53" s="165"/>
      <c r="H53" s="166"/>
      <c r="J53" s="169"/>
      <c r="K53" s="164"/>
      <c r="L53" s="165"/>
      <c r="M53" s="165"/>
      <c r="N53" s="165"/>
      <c r="O53" s="166"/>
    </row>
    <row r="54" spans="1:15" ht="15" x14ac:dyDescent="0.2">
      <c r="B54" s="31"/>
      <c r="C54" s="191">
        <v>24</v>
      </c>
      <c r="D54" s="151" t="s">
        <v>93</v>
      </c>
      <c r="E54" s="159">
        <v>221581</v>
      </c>
      <c r="F54" s="159">
        <v>221661</v>
      </c>
      <c r="G54" s="156">
        <f>F54-E54</f>
        <v>80</v>
      </c>
      <c r="H54" s="170"/>
      <c r="J54" s="191">
        <v>24</v>
      </c>
      <c r="K54" s="151" t="s">
        <v>93</v>
      </c>
      <c r="L54" s="159">
        <v>221661</v>
      </c>
      <c r="M54" s="159">
        <v>221661</v>
      </c>
      <c r="N54" s="156">
        <f>M54-L54</f>
        <v>0</v>
      </c>
      <c r="O54" s="170"/>
    </row>
    <row r="55" spans="1:15" ht="15" x14ac:dyDescent="0.2">
      <c r="B55" s="31"/>
      <c r="C55" s="192"/>
      <c r="D55" s="151" t="s">
        <v>94</v>
      </c>
      <c r="E55" s="159">
        <v>520483</v>
      </c>
      <c r="F55" s="159">
        <v>521137</v>
      </c>
      <c r="G55" s="156">
        <f t="shared" ref="G55:G62" si="4">F55-E55</f>
        <v>654</v>
      </c>
      <c r="H55" s="161"/>
      <c r="J55" s="192"/>
      <c r="K55" s="151" t="s">
        <v>94</v>
      </c>
      <c r="L55" s="159">
        <v>521137</v>
      </c>
      <c r="M55" s="159">
        <v>521898</v>
      </c>
      <c r="N55" s="156">
        <f t="shared" ref="N55:N62" si="5">M55-L55</f>
        <v>761</v>
      </c>
      <c r="O55" s="161"/>
    </row>
    <row r="56" spans="1:15" ht="15" x14ac:dyDescent="0.2">
      <c r="B56" s="31"/>
      <c r="C56" s="193"/>
      <c r="D56" s="151" t="s">
        <v>93</v>
      </c>
      <c r="E56" s="159">
        <v>33706</v>
      </c>
      <c r="F56" s="159">
        <v>34543</v>
      </c>
      <c r="G56" s="156">
        <f t="shared" si="4"/>
        <v>837</v>
      </c>
      <c r="H56" s="171" t="s">
        <v>13</v>
      </c>
      <c r="J56" s="193"/>
      <c r="K56" s="151" t="s">
        <v>93</v>
      </c>
      <c r="L56" s="159">
        <v>34543</v>
      </c>
      <c r="M56" s="159">
        <v>34243</v>
      </c>
      <c r="N56" s="177">
        <f t="shared" si="5"/>
        <v>-300</v>
      </c>
      <c r="O56" s="171" t="s">
        <v>13</v>
      </c>
    </row>
    <row r="57" spans="1:15" ht="15" x14ac:dyDescent="0.2">
      <c r="B57" s="31"/>
      <c r="C57" s="189">
        <v>25</v>
      </c>
      <c r="D57" s="151" t="s">
        <v>93</v>
      </c>
      <c r="E57" s="168">
        <v>318</v>
      </c>
      <c r="F57" s="168">
        <v>318</v>
      </c>
      <c r="G57" s="162">
        <f t="shared" si="4"/>
        <v>0</v>
      </c>
      <c r="H57" s="154"/>
      <c r="J57" s="189">
        <v>25</v>
      </c>
      <c r="K57" s="151" t="s">
        <v>93</v>
      </c>
      <c r="L57" s="168">
        <v>318</v>
      </c>
      <c r="M57" s="168">
        <v>318</v>
      </c>
      <c r="N57" s="162">
        <f t="shared" si="5"/>
        <v>0</v>
      </c>
      <c r="O57" s="154"/>
    </row>
    <row r="58" spans="1:15" ht="15" x14ac:dyDescent="0.2">
      <c r="B58" s="31"/>
      <c r="C58" s="194"/>
      <c r="D58" s="151" t="s">
        <v>94</v>
      </c>
      <c r="E58" s="168">
        <v>3</v>
      </c>
      <c r="F58" s="168">
        <v>3</v>
      </c>
      <c r="G58" s="172">
        <f t="shared" si="4"/>
        <v>0</v>
      </c>
      <c r="H58" s="154"/>
      <c r="J58" s="194"/>
      <c r="K58" s="151" t="s">
        <v>94</v>
      </c>
      <c r="L58" s="168">
        <v>3</v>
      </c>
      <c r="M58" s="168">
        <v>3</v>
      </c>
      <c r="N58" s="172">
        <f t="shared" si="5"/>
        <v>0</v>
      </c>
      <c r="O58" s="154"/>
    </row>
    <row r="59" spans="1:15" ht="15" x14ac:dyDescent="0.2">
      <c r="A59" s="32"/>
      <c r="B59" s="31"/>
      <c r="C59" s="189">
        <v>26</v>
      </c>
      <c r="D59" s="151" t="s">
        <v>93</v>
      </c>
      <c r="E59" s="152">
        <v>596375</v>
      </c>
      <c r="F59" s="152">
        <v>600314</v>
      </c>
      <c r="G59" s="153">
        <f t="shared" si="4"/>
        <v>3939</v>
      </c>
      <c r="H59" s="154"/>
      <c r="I59" s="32"/>
      <c r="J59" s="189">
        <v>26</v>
      </c>
      <c r="K59" s="151" t="s">
        <v>93</v>
      </c>
      <c r="L59" s="152">
        <v>600314</v>
      </c>
      <c r="M59" s="152">
        <v>604748</v>
      </c>
      <c r="N59" s="153">
        <f t="shared" si="5"/>
        <v>4434</v>
      </c>
      <c r="O59" s="154"/>
    </row>
    <row r="60" spans="1:15" ht="15" x14ac:dyDescent="0.2">
      <c r="A60" s="32"/>
      <c r="B60" s="31"/>
      <c r="C60" s="194"/>
      <c r="D60" s="151" t="s">
        <v>94</v>
      </c>
      <c r="E60" s="152">
        <v>657741</v>
      </c>
      <c r="F60" s="152">
        <v>660994</v>
      </c>
      <c r="G60" s="153">
        <f t="shared" si="4"/>
        <v>3253</v>
      </c>
      <c r="H60" s="161"/>
      <c r="I60" s="32"/>
      <c r="J60" s="194"/>
      <c r="K60" s="151" t="s">
        <v>94</v>
      </c>
      <c r="L60" s="152">
        <v>660994</v>
      </c>
      <c r="M60" s="152">
        <v>665609</v>
      </c>
      <c r="N60" s="153">
        <f t="shared" si="5"/>
        <v>4615</v>
      </c>
      <c r="O60" s="161"/>
    </row>
    <row r="61" spans="1:15" ht="15" x14ac:dyDescent="0.2">
      <c r="A61" s="32"/>
      <c r="B61" s="31"/>
      <c r="C61" s="189">
        <v>27</v>
      </c>
      <c r="D61" s="151" t="s">
        <v>93</v>
      </c>
      <c r="E61" s="152">
        <v>205860</v>
      </c>
      <c r="F61" s="152">
        <v>206967</v>
      </c>
      <c r="G61" s="153">
        <f t="shared" si="4"/>
        <v>1107</v>
      </c>
      <c r="H61" s="154"/>
      <c r="I61" s="32"/>
      <c r="J61" s="189">
        <v>27</v>
      </c>
      <c r="K61" s="151" t="s">
        <v>93</v>
      </c>
      <c r="L61" s="152">
        <v>206967</v>
      </c>
      <c r="M61" s="152">
        <v>208164</v>
      </c>
      <c r="N61" s="153">
        <f t="shared" si="5"/>
        <v>1197</v>
      </c>
      <c r="O61" s="154"/>
    </row>
    <row r="62" spans="1:15" ht="15" x14ac:dyDescent="0.2">
      <c r="A62" s="32"/>
      <c r="B62" s="31"/>
      <c r="C62" s="194"/>
      <c r="D62" s="151" t="s">
        <v>94</v>
      </c>
      <c r="E62" s="152">
        <v>71885</v>
      </c>
      <c r="F62" s="152">
        <v>72354</v>
      </c>
      <c r="G62" s="156">
        <f t="shared" si="4"/>
        <v>469</v>
      </c>
      <c r="H62" s="154"/>
      <c r="I62" s="32"/>
      <c r="J62" s="194"/>
      <c r="K62" s="151" t="s">
        <v>94</v>
      </c>
      <c r="L62" s="152">
        <v>72354</v>
      </c>
      <c r="M62" s="152">
        <v>72912</v>
      </c>
      <c r="N62" s="156">
        <f t="shared" si="5"/>
        <v>558</v>
      </c>
      <c r="O62" s="154"/>
    </row>
    <row r="63" spans="1:15" ht="15" x14ac:dyDescent="0.2">
      <c r="A63" s="32"/>
      <c r="B63" s="31"/>
      <c r="C63" s="163"/>
      <c r="D63" s="164"/>
      <c r="E63" s="152"/>
      <c r="F63" s="152"/>
      <c r="G63" s="173"/>
      <c r="H63" s="166"/>
      <c r="I63" s="32"/>
      <c r="J63" s="163"/>
      <c r="K63" s="164"/>
      <c r="L63" s="152"/>
      <c r="M63" s="152"/>
      <c r="N63" s="173"/>
      <c r="O63" s="166"/>
    </row>
    <row r="64" spans="1:15" ht="15" x14ac:dyDescent="0.2">
      <c r="A64" s="32"/>
      <c r="B64" s="31"/>
      <c r="C64" s="189">
        <v>28</v>
      </c>
      <c r="D64" s="206" t="s">
        <v>95</v>
      </c>
      <c r="E64" s="152"/>
      <c r="F64" s="152"/>
      <c r="G64" s="153">
        <v>0</v>
      </c>
      <c r="H64" s="208" t="s">
        <v>96</v>
      </c>
      <c r="I64" s="32"/>
      <c r="J64" s="189">
        <v>28</v>
      </c>
      <c r="K64" s="206" t="s">
        <v>95</v>
      </c>
      <c r="L64" s="152"/>
      <c r="M64" s="152"/>
      <c r="N64" s="153">
        <v>0</v>
      </c>
      <c r="O64" s="208" t="s">
        <v>96</v>
      </c>
    </row>
    <row r="65" spans="1:17" ht="15" x14ac:dyDescent="0.2">
      <c r="A65" s="32"/>
      <c r="B65" s="31"/>
      <c r="C65" s="194"/>
      <c r="D65" s="207"/>
      <c r="E65" s="152"/>
      <c r="F65" s="152"/>
      <c r="G65" s="153">
        <v>0</v>
      </c>
      <c r="H65" s="209"/>
      <c r="I65" s="32"/>
      <c r="J65" s="194"/>
      <c r="K65" s="207"/>
      <c r="L65" s="152"/>
      <c r="M65" s="152"/>
      <c r="N65" s="153">
        <v>0</v>
      </c>
      <c r="O65" s="209"/>
    </row>
    <row r="66" spans="1:17" x14ac:dyDescent="0.2">
      <c r="A66" s="32"/>
      <c r="B66" s="31"/>
      <c r="C66" s="188" t="s">
        <v>97</v>
      </c>
      <c r="D66" s="188"/>
      <c r="E66" s="188"/>
      <c r="F66" s="188"/>
      <c r="G66" s="174">
        <f>SUM(G4:G65)</f>
        <v>33796</v>
      </c>
      <c r="H66" s="175"/>
      <c r="I66" s="32"/>
      <c r="J66" s="188" t="s">
        <v>97</v>
      </c>
      <c r="K66" s="188"/>
      <c r="L66" s="188"/>
      <c r="M66" s="188"/>
      <c r="N66" s="174">
        <f>SUM(N4:N65)</f>
        <v>224005</v>
      </c>
      <c r="O66" s="175"/>
    </row>
    <row r="70" spans="1:17" ht="13.5" thickBot="1" x14ac:dyDescent="0.25">
      <c r="A70" s="34"/>
      <c r="B70" s="34"/>
      <c r="C70" s="34"/>
      <c r="D70" s="35" t="s">
        <v>13</v>
      </c>
      <c r="E70" s="34"/>
      <c r="F70" s="34"/>
      <c r="G70" s="34"/>
      <c r="H70" s="34"/>
    </row>
    <row r="71" spans="1:17" s="113" customFormat="1" ht="23.25" customHeight="1" thickBot="1" x14ac:dyDescent="0.25">
      <c r="A71" s="112"/>
      <c r="B71" s="203" t="s">
        <v>142</v>
      </c>
      <c r="C71" s="204"/>
      <c r="D71" s="204"/>
      <c r="E71" s="205"/>
      <c r="F71" s="112"/>
      <c r="G71" s="203" t="s">
        <v>143</v>
      </c>
      <c r="H71" s="204"/>
      <c r="I71" s="204"/>
      <c r="J71" s="205"/>
      <c r="K71" s="112"/>
      <c r="L71" s="200" t="s">
        <v>31</v>
      </c>
      <c r="M71" s="201"/>
      <c r="N71" s="201"/>
      <c r="O71" s="202"/>
      <c r="P71" s="112"/>
    </row>
    <row r="72" spans="1:17" ht="23.25" customHeight="1" thickBot="1" x14ac:dyDescent="0.25">
      <c r="A72" s="34"/>
      <c r="B72" s="36" t="s">
        <v>86</v>
      </c>
      <c r="C72" s="36">
        <v>30</v>
      </c>
      <c r="D72" s="36" t="s">
        <v>98</v>
      </c>
      <c r="E72" s="36" t="s">
        <v>99</v>
      </c>
      <c r="F72" s="34"/>
      <c r="G72" s="36" t="s">
        <v>86</v>
      </c>
      <c r="H72" s="36">
        <v>30</v>
      </c>
      <c r="I72" s="36" t="s">
        <v>98</v>
      </c>
      <c r="J72" s="36" t="s">
        <v>99</v>
      </c>
      <c r="K72" s="34"/>
      <c r="L72" s="37" t="s">
        <v>86</v>
      </c>
      <c r="M72" s="37">
        <v>30</v>
      </c>
      <c r="N72" s="37" t="s">
        <v>98</v>
      </c>
      <c r="O72" s="37" t="s">
        <v>99</v>
      </c>
    </row>
    <row r="73" spans="1:17" ht="23.25" customHeight="1" thickBot="1" x14ac:dyDescent="0.25">
      <c r="A73" s="34"/>
      <c r="B73" s="38">
        <v>6</v>
      </c>
      <c r="C73" s="39">
        <v>84873</v>
      </c>
      <c r="D73" s="40">
        <v>50117</v>
      </c>
      <c r="E73" s="41">
        <v>78515</v>
      </c>
      <c r="F73" s="34"/>
      <c r="G73" s="38">
        <v>6</v>
      </c>
      <c r="H73" s="39">
        <v>85314</v>
      </c>
      <c r="I73" s="40">
        <v>50358</v>
      </c>
      <c r="J73" s="41">
        <v>78515</v>
      </c>
      <c r="K73" s="34"/>
      <c r="L73" s="37">
        <v>6</v>
      </c>
      <c r="M73" s="42">
        <f>H73-C73</f>
        <v>441</v>
      </c>
      <c r="N73" s="42">
        <f>I73-D73</f>
        <v>241</v>
      </c>
      <c r="O73" s="42">
        <f>J73-E73</f>
        <v>0</v>
      </c>
    </row>
    <row r="74" spans="1:17" ht="23.25" customHeight="1" thickBot="1" x14ac:dyDescent="0.25">
      <c r="A74" s="34"/>
      <c r="B74" s="38">
        <v>7</v>
      </c>
      <c r="C74" s="39">
        <v>86025</v>
      </c>
      <c r="D74" s="40">
        <v>96513</v>
      </c>
      <c r="E74" s="41">
        <v>53063</v>
      </c>
      <c r="F74" s="34"/>
      <c r="G74" s="38">
        <v>7</v>
      </c>
      <c r="H74" s="39">
        <v>86861</v>
      </c>
      <c r="I74" s="40">
        <v>98928</v>
      </c>
      <c r="J74" s="41">
        <v>54180</v>
      </c>
      <c r="K74" s="34"/>
      <c r="L74" s="37">
        <v>7</v>
      </c>
      <c r="M74" s="42">
        <f t="shared" ref="M74:O96" si="6">H74-C74</f>
        <v>836</v>
      </c>
      <c r="N74" s="42">
        <f t="shared" si="6"/>
        <v>2415</v>
      </c>
      <c r="O74" s="42">
        <f t="shared" si="6"/>
        <v>1117</v>
      </c>
    </row>
    <row r="75" spans="1:17" ht="23.25" customHeight="1" thickBot="1" x14ac:dyDescent="0.25">
      <c r="A75" s="34"/>
      <c r="B75" s="38">
        <v>8</v>
      </c>
      <c r="C75" s="39">
        <v>96606</v>
      </c>
      <c r="D75" s="40">
        <v>215327</v>
      </c>
      <c r="E75" s="41">
        <v>93020</v>
      </c>
      <c r="F75" s="34"/>
      <c r="G75" s="38">
        <v>8</v>
      </c>
      <c r="H75" s="39">
        <v>97542</v>
      </c>
      <c r="I75" s="40">
        <v>218960</v>
      </c>
      <c r="J75" s="41">
        <v>95892</v>
      </c>
      <c r="K75" s="34"/>
      <c r="L75" s="37">
        <v>8</v>
      </c>
      <c r="M75" s="42">
        <f t="shared" si="6"/>
        <v>936</v>
      </c>
      <c r="N75" s="42">
        <f t="shared" si="6"/>
        <v>3633</v>
      </c>
      <c r="O75" s="42">
        <f t="shared" si="6"/>
        <v>2872</v>
      </c>
    </row>
    <row r="76" spans="1:17" ht="23.25" customHeight="1" thickBot="1" x14ac:dyDescent="0.25">
      <c r="A76" s="34"/>
      <c r="B76" s="38">
        <v>9</v>
      </c>
      <c r="C76" s="39">
        <v>63772</v>
      </c>
      <c r="D76" s="40">
        <v>125396</v>
      </c>
      <c r="E76" s="41">
        <v>116440</v>
      </c>
      <c r="F76" s="34"/>
      <c r="G76" s="38">
        <v>9</v>
      </c>
      <c r="H76" s="39">
        <v>63958</v>
      </c>
      <c r="I76" s="40">
        <v>126852</v>
      </c>
      <c r="J76" s="41">
        <v>118089</v>
      </c>
      <c r="K76" s="34"/>
      <c r="L76" s="37">
        <v>9</v>
      </c>
      <c r="M76" s="42">
        <f t="shared" si="6"/>
        <v>186</v>
      </c>
      <c r="N76" s="42">
        <f t="shared" si="6"/>
        <v>1456</v>
      </c>
      <c r="O76" s="42">
        <f t="shared" si="6"/>
        <v>1649</v>
      </c>
    </row>
    <row r="77" spans="1:17" ht="23.25" customHeight="1" thickBot="1" x14ac:dyDescent="0.25">
      <c r="A77" s="34"/>
      <c r="B77" s="38">
        <v>10</v>
      </c>
      <c r="C77" s="39">
        <v>55165</v>
      </c>
      <c r="D77" s="40">
        <v>81445</v>
      </c>
      <c r="E77" s="41">
        <v>124851</v>
      </c>
      <c r="F77" s="34"/>
      <c r="G77" s="38">
        <v>10</v>
      </c>
      <c r="H77" s="39">
        <v>55284</v>
      </c>
      <c r="I77" s="40">
        <v>84073</v>
      </c>
      <c r="J77" s="41">
        <v>125840</v>
      </c>
      <c r="K77" s="34"/>
      <c r="L77" s="37">
        <v>10</v>
      </c>
      <c r="M77" s="42">
        <f t="shared" si="6"/>
        <v>119</v>
      </c>
      <c r="N77" s="42">
        <f t="shared" si="6"/>
        <v>2628</v>
      </c>
      <c r="O77" s="42">
        <f t="shared" si="6"/>
        <v>989</v>
      </c>
    </row>
    <row r="78" spans="1:17" ht="23.25" customHeight="1" thickBot="1" x14ac:dyDescent="0.25">
      <c r="A78" s="34"/>
      <c r="B78" s="38">
        <v>11</v>
      </c>
      <c r="C78" s="39">
        <v>135122</v>
      </c>
      <c r="D78" s="40">
        <v>167743</v>
      </c>
      <c r="E78" s="41">
        <v>186653</v>
      </c>
      <c r="F78" s="34"/>
      <c r="G78" s="38">
        <v>11</v>
      </c>
      <c r="H78" s="39">
        <v>137387</v>
      </c>
      <c r="I78" s="40">
        <v>168772</v>
      </c>
      <c r="J78" s="41">
        <v>187661</v>
      </c>
      <c r="K78" s="34"/>
      <c r="L78" s="37">
        <v>11</v>
      </c>
      <c r="M78" s="42">
        <f t="shared" si="6"/>
        <v>2265</v>
      </c>
      <c r="N78" s="42">
        <f t="shared" si="6"/>
        <v>1029</v>
      </c>
      <c r="O78" s="42">
        <f t="shared" si="6"/>
        <v>1008</v>
      </c>
    </row>
    <row r="79" spans="1:17" ht="23.25" customHeight="1" thickBot="1" x14ac:dyDescent="0.25">
      <c r="A79" s="34"/>
      <c r="B79" s="38">
        <v>12</v>
      </c>
      <c r="C79" s="39">
        <v>124463</v>
      </c>
      <c r="D79" s="40">
        <v>82855</v>
      </c>
      <c r="E79" s="41">
        <v>92626</v>
      </c>
      <c r="F79" s="34"/>
      <c r="G79" s="38">
        <v>12</v>
      </c>
      <c r="H79" s="39">
        <v>127224</v>
      </c>
      <c r="I79" s="40">
        <v>85373</v>
      </c>
      <c r="J79" s="41">
        <v>93440</v>
      </c>
      <c r="K79" s="34"/>
      <c r="L79" s="37">
        <v>12</v>
      </c>
      <c r="M79" s="42">
        <f t="shared" si="6"/>
        <v>2761</v>
      </c>
      <c r="N79" s="42">
        <f t="shared" si="6"/>
        <v>2518</v>
      </c>
      <c r="O79" s="42">
        <f t="shared" si="6"/>
        <v>814</v>
      </c>
      <c r="Q79" t="s">
        <v>13</v>
      </c>
    </row>
    <row r="80" spans="1:17" ht="23.25" customHeight="1" thickBot="1" x14ac:dyDescent="0.25">
      <c r="A80" s="34"/>
      <c r="B80" s="38">
        <v>14</v>
      </c>
      <c r="C80" s="39">
        <v>115077</v>
      </c>
      <c r="D80" s="40">
        <v>45084</v>
      </c>
      <c r="E80" s="41">
        <v>46612</v>
      </c>
      <c r="F80" s="34"/>
      <c r="G80" s="38">
        <v>14</v>
      </c>
      <c r="H80" s="39">
        <v>116027</v>
      </c>
      <c r="I80" s="40">
        <v>46901</v>
      </c>
      <c r="J80" s="41">
        <v>46919</v>
      </c>
      <c r="K80" s="34"/>
      <c r="L80" s="37">
        <v>14</v>
      </c>
      <c r="M80" s="42">
        <f t="shared" si="6"/>
        <v>950</v>
      </c>
      <c r="N80" s="42">
        <f t="shared" si="6"/>
        <v>1817</v>
      </c>
      <c r="O80" s="42">
        <f t="shared" si="6"/>
        <v>307</v>
      </c>
    </row>
    <row r="81" spans="1:15" ht="23.25" customHeight="1" thickBot="1" x14ac:dyDescent="0.25">
      <c r="A81" s="34"/>
      <c r="B81" s="38">
        <v>15</v>
      </c>
      <c r="C81" s="39">
        <v>146681</v>
      </c>
      <c r="D81" s="40">
        <v>120993</v>
      </c>
      <c r="E81" s="41">
        <v>143858</v>
      </c>
      <c r="F81" s="34"/>
      <c r="G81" s="38">
        <v>15</v>
      </c>
      <c r="H81" s="39">
        <v>147958</v>
      </c>
      <c r="I81" s="40">
        <v>121990</v>
      </c>
      <c r="J81" s="41">
        <v>144583</v>
      </c>
      <c r="K81" s="34"/>
      <c r="L81" s="37">
        <v>15</v>
      </c>
      <c r="M81" s="42">
        <f t="shared" si="6"/>
        <v>1277</v>
      </c>
      <c r="N81" s="42">
        <f t="shared" si="6"/>
        <v>997</v>
      </c>
      <c r="O81" s="42">
        <f t="shared" si="6"/>
        <v>725</v>
      </c>
    </row>
    <row r="82" spans="1:15" ht="23.25" customHeight="1" thickBot="1" x14ac:dyDescent="0.25">
      <c r="A82" s="34"/>
      <c r="B82" s="38">
        <v>16</v>
      </c>
      <c r="C82" s="39">
        <v>113029</v>
      </c>
      <c r="D82" s="40">
        <v>127210</v>
      </c>
      <c r="E82" s="41">
        <v>193983</v>
      </c>
      <c r="F82" s="34"/>
      <c r="G82" s="38">
        <v>16</v>
      </c>
      <c r="H82" s="39">
        <v>114576</v>
      </c>
      <c r="I82" s="40">
        <v>129068</v>
      </c>
      <c r="J82" s="41">
        <v>196503</v>
      </c>
      <c r="K82" s="34"/>
      <c r="L82" s="37">
        <v>16</v>
      </c>
      <c r="M82" s="42">
        <f t="shared" si="6"/>
        <v>1547</v>
      </c>
      <c r="N82" s="42">
        <f t="shared" si="6"/>
        <v>1858</v>
      </c>
      <c r="O82" s="42">
        <f t="shared" si="6"/>
        <v>2520</v>
      </c>
    </row>
    <row r="83" spans="1:15" ht="23.25" customHeight="1" thickBot="1" x14ac:dyDescent="0.25">
      <c r="A83" s="34"/>
      <c r="B83" s="38">
        <v>17</v>
      </c>
      <c r="C83" s="39">
        <v>38475</v>
      </c>
      <c r="D83" s="40">
        <v>76704</v>
      </c>
      <c r="E83" s="41">
        <v>181057</v>
      </c>
      <c r="F83" s="34"/>
      <c r="G83" s="38">
        <v>17</v>
      </c>
      <c r="H83" s="39">
        <v>38476</v>
      </c>
      <c r="I83" s="40">
        <v>77324</v>
      </c>
      <c r="J83" s="41">
        <v>182639</v>
      </c>
      <c r="K83" s="34"/>
      <c r="L83" s="37">
        <v>17</v>
      </c>
      <c r="M83" s="42">
        <f t="shared" si="6"/>
        <v>1</v>
      </c>
      <c r="N83" s="42">
        <f t="shared" si="6"/>
        <v>620</v>
      </c>
      <c r="O83" s="42">
        <f t="shared" si="6"/>
        <v>1582</v>
      </c>
    </row>
    <row r="84" spans="1:15" ht="23.25" customHeight="1" thickBot="1" x14ac:dyDescent="0.25">
      <c r="A84" s="34"/>
      <c r="B84" s="38">
        <v>18</v>
      </c>
      <c r="C84" s="39">
        <v>123503</v>
      </c>
      <c r="D84" s="40">
        <v>64800</v>
      </c>
      <c r="E84" s="41">
        <v>153845</v>
      </c>
      <c r="F84" s="34"/>
      <c r="G84" s="38">
        <v>18</v>
      </c>
      <c r="H84" s="39">
        <v>124995</v>
      </c>
      <c r="I84" s="40">
        <v>65212</v>
      </c>
      <c r="J84" s="41">
        <v>154500</v>
      </c>
      <c r="K84" s="34"/>
      <c r="L84" s="37">
        <v>18</v>
      </c>
      <c r="M84" s="42">
        <f t="shared" si="6"/>
        <v>1492</v>
      </c>
      <c r="N84" s="42">
        <f t="shared" si="6"/>
        <v>412</v>
      </c>
      <c r="O84" s="42">
        <f t="shared" si="6"/>
        <v>655</v>
      </c>
    </row>
    <row r="85" spans="1:15" ht="23.25" customHeight="1" thickBot="1" x14ac:dyDescent="0.25">
      <c r="A85" s="34"/>
      <c r="B85" s="38">
        <v>19</v>
      </c>
      <c r="C85" s="39">
        <v>63436</v>
      </c>
      <c r="D85" s="40">
        <v>153444</v>
      </c>
      <c r="E85" s="41">
        <v>104637</v>
      </c>
      <c r="F85" s="34"/>
      <c r="G85" s="38">
        <v>19</v>
      </c>
      <c r="H85" s="39">
        <v>64269</v>
      </c>
      <c r="I85" s="40">
        <v>154448</v>
      </c>
      <c r="J85" s="41">
        <v>105894</v>
      </c>
      <c r="K85" s="34"/>
      <c r="L85" s="37">
        <v>19</v>
      </c>
      <c r="M85" s="42">
        <f t="shared" si="6"/>
        <v>833</v>
      </c>
      <c r="N85" s="42">
        <f t="shared" si="6"/>
        <v>1004</v>
      </c>
      <c r="O85" s="42">
        <f t="shared" si="6"/>
        <v>1257</v>
      </c>
    </row>
    <row r="86" spans="1:15" ht="23.25" customHeight="1" thickBot="1" x14ac:dyDescent="0.25">
      <c r="A86" s="34"/>
      <c r="B86" s="38">
        <v>20</v>
      </c>
      <c r="C86" s="39">
        <v>131239</v>
      </c>
      <c r="D86" s="40">
        <v>155274</v>
      </c>
      <c r="E86" s="41">
        <v>80542</v>
      </c>
      <c r="F86" s="34"/>
      <c r="G86" s="38">
        <v>20</v>
      </c>
      <c r="H86" s="39">
        <v>133459</v>
      </c>
      <c r="I86" s="40">
        <v>155963</v>
      </c>
      <c r="J86" s="41">
        <v>82327</v>
      </c>
      <c r="K86" s="34"/>
      <c r="L86" s="37">
        <v>20</v>
      </c>
      <c r="M86" s="42">
        <f>H86-C86</f>
        <v>2220</v>
      </c>
      <c r="N86" s="42">
        <f t="shared" si="6"/>
        <v>689</v>
      </c>
      <c r="O86" s="42">
        <f t="shared" si="6"/>
        <v>1785</v>
      </c>
    </row>
    <row r="87" spans="1:15" ht="23.25" customHeight="1" thickBot="1" x14ac:dyDescent="0.25">
      <c r="A87" s="34"/>
      <c r="B87" s="38">
        <v>21</v>
      </c>
      <c r="C87" s="39">
        <v>181364</v>
      </c>
      <c r="D87" s="40">
        <v>81888</v>
      </c>
      <c r="E87" s="41">
        <v>88512</v>
      </c>
      <c r="F87" s="34"/>
      <c r="G87" s="38">
        <v>21</v>
      </c>
      <c r="H87" s="39">
        <v>182094</v>
      </c>
      <c r="I87" s="40">
        <v>82273</v>
      </c>
      <c r="J87" s="41">
        <v>89117</v>
      </c>
      <c r="K87" s="34"/>
      <c r="L87" s="37">
        <v>21</v>
      </c>
      <c r="M87" s="42">
        <f t="shared" si="6"/>
        <v>730</v>
      </c>
      <c r="N87" s="42">
        <f t="shared" si="6"/>
        <v>385</v>
      </c>
      <c r="O87" s="42">
        <f t="shared" si="6"/>
        <v>605</v>
      </c>
    </row>
    <row r="88" spans="1:15" ht="23.25" customHeight="1" thickBot="1" x14ac:dyDescent="0.25">
      <c r="A88" s="34"/>
      <c r="B88" s="38">
        <v>22</v>
      </c>
      <c r="C88" s="39">
        <v>103813</v>
      </c>
      <c r="D88" s="40">
        <v>78969</v>
      </c>
      <c r="E88" s="41">
        <v>96378</v>
      </c>
      <c r="F88" s="34"/>
      <c r="G88" s="38">
        <v>22</v>
      </c>
      <c r="H88" s="39">
        <v>105365</v>
      </c>
      <c r="I88" s="40">
        <v>79435</v>
      </c>
      <c r="J88" s="41">
        <v>97194</v>
      </c>
      <c r="K88" s="34"/>
      <c r="L88" s="37">
        <v>22</v>
      </c>
      <c r="M88" s="42">
        <f t="shared" si="6"/>
        <v>1552</v>
      </c>
      <c r="N88" s="42">
        <f t="shared" si="6"/>
        <v>466</v>
      </c>
      <c r="O88" s="42">
        <f t="shared" si="6"/>
        <v>816</v>
      </c>
    </row>
    <row r="89" spans="1:15" ht="23.25" customHeight="1" thickBot="1" x14ac:dyDescent="0.25">
      <c r="A89" s="34"/>
      <c r="B89" s="38">
        <v>23</v>
      </c>
      <c r="C89" s="39">
        <v>116542</v>
      </c>
      <c r="D89" s="40">
        <v>139557</v>
      </c>
      <c r="E89" s="41">
        <v>265425</v>
      </c>
      <c r="F89" s="34"/>
      <c r="G89" s="38">
        <v>23</v>
      </c>
      <c r="H89" s="39">
        <v>117452</v>
      </c>
      <c r="I89" s="40">
        <v>140085</v>
      </c>
      <c r="J89" s="41">
        <v>267799</v>
      </c>
      <c r="K89" s="34"/>
      <c r="L89" s="37">
        <v>23</v>
      </c>
      <c r="M89" s="42">
        <f t="shared" si="6"/>
        <v>910</v>
      </c>
      <c r="N89" s="42">
        <f t="shared" si="6"/>
        <v>528</v>
      </c>
      <c r="O89" s="42">
        <f t="shared" si="6"/>
        <v>2374</v>
      </c>
    </row>
    <row r="90" spans="1:15" ht="23.25" customHeight="1" thickBot="1" x14ac:dyDescent="0.25">
      <c r="A90" s="34"/>
      <c r="B90" s="38">
        <v>24</v>
      </c>
      <c r="C90" s="39">
        <v>74454</v>
      </c>
      <c r="D90" s="40">
        <v>136159</v>
      </c>
      <c r="E90" s="41">
        <v>94980</v>
      </c>
      <c r="F90" s="34"/>
      <c r="G90" s="38">
        <v>24</v>
      </c>
      <c r="H90" s="39">
        <v>74834</v>
      </c>
      <c r="I90" s="40">
        <v>137425</v>
      </c>
      <c r="J90" s="41">
        <v>97194</v>
      </c>
      <c r="K90" s="34"/>
      <c r="L90" s="37">
        <v>24</v>
      </c>
      <c r="M90" s="42">
        <f t="shared" si="6"/>
        <v>380</v>
      </c>
      <c r="N90" s="42">
        <f t="shared" si="6"/>
        <v>1266</v>
      </c>
      <c r="O90" s="42">
        <f>J90-E90</f>
        <v>2214</v>
      </c>
    </row>
    <row r="91" spans="1:15" ht="23.25" customHeight="1" thickBot="1" x14ac:dyDescent="0.25">
      <c r="A91" s="34"/>
      <c r="B91" s="38">
        <v>25</v>
      </c>
      <c r="C91" s="39">
        <v>109527</v>
      </c>
      <c r="D91" s="40">
        <v>168171</v>
      </c>
      <c r="E91" s="41">
        <v>135330</v>
      </c>
      <c r="F91" s="34"/>
      <c r="G91" s="38">
        <v>25</v>
      </c>
      <c r="H91" s="39">
        <v>111623</v>
      </c>
      <c r="I91" s="40">
        <v>168815</v>
      </c>
      <c r="J91" s="41">
        <v>137988</v>
      </c>
      <c r="K91" s="34"/>
      <c r="L91" s="37">
        <v>25</v>
      </c>
      <c r="M91" s="42">
        <f t="shared" si="6"/>
        <v>2096</v>
      </c>
      <c r="N91" s="42">
        <f t="shared" si="6"/>
        <v>644</v>
      </c>
      <c r="O91" s="42">
        <f>J91-E91</f>
        <v>2658</v>
      </c>
    </row>
    <row r="92" spans="1:15" ht="23.25" customHeight="1" thickBot="1" x14ac:dyDescent="0.25">
      <c r="A92" s="34"/>
      <c r="B92" s="38">
        <v>26</v>
      </c>
      <c r="C92" s="39">
        <v>106346</v>
      </c>
      <c r="D92" s="40">
        <v>46589</v>
      </c>
      <c r="E92" s="40">
        <v>45896</v>
      </c>
      <c r="F92" s="34"/>
      <c r="G92" s="38">
        <v>26</v>
      </c>
      <c r="H92" s="39">
        <v>106949</v>
      </c>
      <c r="I92" s="40">
        <v>46835</v>
      </c>
      <c r="J92" s="40">
        <v>47028</v>
      </c>
      <c r="K92" s="34"/>
      <c r="L92" s="37">
        <v>26</v>
      </c>
      <c r="M92" s="42">
        <f t="shared" si="6"/>
        <v>603</v>
      </c>
      <c r="N92" s="42">
        <f t="shared" si="6"/>
        <v>246</v>
      </c>
      <c r="O92" s="42">
        <f t="shared" si="6"/>
        <v>1132</v>
      </c>
    </row>
    <row r="93" spans="1:15" ht="23.25" customHeight="1" thickBot="1" x14ac:dyDescent="0.25">
      <c r="A93" s="34"/>
      <c r="B93" s="38">
        <v>27</v>
      </c>
      <c r="C93" s="39">
        <v>94966</v>
      </c>
      <c r="D93" s="40">
        <v>102734</v>
      </c>
      <c r="E93" s="41">
        <v>111563</v>
      </c>
      <c r="F93" s="34"/>
      <c r="G93" s="38">
        <v>27</v>
      </c>
      <c r="H93" s="39">
        <v>95543</v>
      </c>
      <c r="I93" s="40">
        <v>103423</v>
      </c>
      <c r="J93" s="41">
        <v>112800</v>
      </c>
      <c r="K93" s="34"/>
      <c r="L93" s="37">
        <v>27</v>
      </c>
      <c r="M93" s="42">
        <f t="shared" si="6"/>
        <v>577</v>
      </c>
      <c r="N93" s="42">
        <f t="shared" si="6"/>
        <v>689</v>
      </c>
      <c r="O93" s="42">
        <f t="shared" si="6"/>
        <v>1237</v>
      </c>
    </row>
    <row r="94" spans="1:15" ht="23.25" customHeight="1" thickBot="1" x14ac:dyDescent="0.25">
      <c r="A94" s="34"/>
      <c r="B94" s="38">
        <v>28</v>
      </c>
      <c r="C94" s="39">
        <v>171501</v>
      </c>
      <c r="D94" s="40">
        <v>99131</v>
      </c>
      <c r="E94" s="41">
        <v>98677</v>
      </c>
      <c r="F94" s="34"/>
      <c r="G94" s="38">
        <v>28</v>
      </c>
      <c r="H94" s="39">
        <v>171867</v>
      </c>
      <c r="I94" s="40">
        <v>99416</v>
      </c>
      <c r="J94" s="41">
        <v>99086</v>
      </c>
      <c r="K94" s="34"/>
      <c r="L94" s="37">
        <v>28</v>
      </c>
      <c r="M94" s="42">
        <f t="shared" si="6"/>
        <v>366</v>
      </c>
      <c r="N94" s="42">
        <f t="shared" si="6"/>
        <v>285</v>
      </c>
      <c r="O94" s="42">
        <f t="shared" si="6"/>
        <v>409</v>
      </c>
    </row>
    <row r="95" spans="1:15" ht="23.25" customHeight="1" thickBot="1" x14ac:dyDescent="0.25">
      <c r="A95" s="34"/>
      <c r="B95" s="176">
        <v>29</v>
      </c>
      <c r="C95" s="39">
        <v>69396</v>
      </c>
      <c r="D95" s="40"/>
      <c r="E95" s="41"/>
      <c r="F95" s="34"/>
      <c r="G95" s="38">
        <v>29</v>
      </c>
      <c r="H95" s="39">
        <v>71496</v>
      </c>
      <c r="I95" s="40"/>
      <c r="J95" s="41"/>
      <c r="K95" s="34"/>
      <c r="L95" s="37">
        <v>29</v>
      </c>
      <c r="M95" s="42">
        <f t="shared" si="6"/>
        <v>2100</v>
      </c>
      <c r="N95" s="42">
        <f t="shared" si="6"/>
        <v>0</v>
      </c>
      <c r="O95" s="42"/>
    </row>
    <row r="96" spans="1:15" ht="23.25" customHeight="1" thickBot="1" x14ac:dyDescent="0.25">
      <c r="A96" s="34"/>
      <c r="B96" s="38">
        <v>30</v>
      </c>
      <c r="C96" s="39">
        <v>14818</v>
      </c>
      <c r="D96" s="40"/>
      <c r="E96" s="41"/>
      <c r="F96" s="34"/>
      <c r="G96" s="38">
        <v>30</v>
      </c>
      <c r="H96" s="39">
        <v>14818</v>
      </c>
      <c r="I96" s="40"/>
      <c r="J96" s="41"/>
      <c r="K96" s="34"/>
      <c r="L96" s="37">
        <v>30</v>
      </c>
      <c r="M96" s="42">
        <f t="shared" si="6"/>
        <v>0</v>
      </c>
      <c r="N96" s="42"/>
      <c r="O96" s="34"/>
    </row>
    <row r="97" spans="2:16" ht="23.25" customHeight="1" thickBot="1" x14ac:dyDescent="0.25">
      <c r="B97" s="38"/>
      <c r="C97" s="39"/>
      <c r="D97" s="40"/>
      <c r="E97" s="41"/>
      <c r="F97" s="43"/>
      <c r="H97" s="43"/>
      <c r="I97" s="43"/>
      <c r="J97" s="43"/>
      <c r="K97" s="43"/>
      <c r="L97" s="34"/>
      <c r="M97" s="34"/>
      <c r="N97" s="34"/>
      <c r="O97" s="34"/>
      <c r="P97" s="34"/>
    </row>
    <row r="98" spans="2:16" ht="23.25" customHeight="1" x14ac:dyDescent="0.2"/>
  </sheetData>
  <mergeCells count="57">
    <mergeCell ref="D64:D65"/>
    <mergeCell ref="H64:H65"/>
    <mergeCell ref="K64:K65"/>
    <mergeCell ref="O64:O65"/>
    <mergeCell ref="C64:C65"/>
    <mergeCell ref="C47:C48"/>
    <mergeCell ref="C49:C50"/>
    <mergeCell ref="C51:C52"/>
    <mergeCell ref="C54:C56"/>
    <mergeCell ref="C57:C58"/>
    <mergeCell ref="C34:C36"/>
    <mergeCell ref="C37:C39"/>
    <mergeCell ref="C40:C42"/>
    <mergeCell ref="C43:C45"/>
    <mergeCell ref="C59:C60"/>
    <mergeCell ref="C61:C62"/>
    <mergeCell ref="L71:O71"/>
    <mergeCell ref="G71:J71"/>
    <mergeCell ref="B71:E71"/>
    <mergeCell ref="C66:F66"/>
    <mergeCell ref="C4:C6"/>
    <mergeCell ref="C7:C9"/>
    <mergeCell ref="C10:C12"/>
    <mergeCell ref="C13:C15"/>
    <mergeCell ref="C25:C27"/>
    <mergeCell ref="C31:C33"/>
    <mergeCell ref="E1:F1"/>
    <mergeCell ref="C2:H2"/>
    <mergeCell ref="C28:C30"/>
    <mergeCell ref="C16:C18"/>
    <mergeCell ref="C19:C21"/>
    <mergeCell ref="C22:C24"/>
    <mergeCell ref="L1:M1"/>
    <mergeCell ref="J2:O2"/>
    <mergeCell ref="J4:J6"/>
    <mergeCell ref="J7:J9"/>
    <mergeCell ref="J10:J12"/>
    <mergeCell ref="J13:J15"/>
    <mergeCell ref="J16:J18"/>
    <mergeCell ref="J19:J21"/>
    <mergeCell ref="J22:J24"/>
    <mergeCell ref="J25:J27"/>
    <mergeCell ref="J28:J30"/>
    <mergeCell ref="J31:J33"/>
    <mergeCell ref="J34:J36"/>
    <mergeCell ref="J37:J39"/>
    <mergeCell ref="J40:J42"/>
    <mergeCell ref="J43:J45"/>
    <mergeCell ref="J47:J48"/>
    <mergeCell ref="J49:J50"/>
    <mergeCell ref="J66:M66"/>
    <mergeCell ref="J51:J52"/>
    <mergeCell ref="J54:J56"/>
    <mergeCell ref="J57:J58"/>
    <mergeCell ref="J59:J60"/>
    <mergeCell ref="J61:J62"/>
    <mergeCell ref="J64:J65"/>
  </mergeCells>
  <phoneticPr fontId="0" type="noConversion"/>
  <pageMargins left="0.75" right="0.75" top="1" bottom="1" header="0.5" footer="0.5"/>
  <pageSetup paperSize="9"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statment</vt:lpstr>
      <vt:lpstr>Plaza and Residential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2018-07-02T08:24:59Z</cp:lastPrinted>
  <dcterms:created xsi:type="dcterms:W3CDTF">2017-07-31T14:40:49Z</dcterms:created>
  <dcterms:modified xsi:type="dcterms:W3CDTF">2020-01-31T07:43:16Z</dcterms:modified>
</cp:coreProperties>
</file>