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0" i="7" l="1"/>
  <c r="Q8" i="7"/>
  <c r="Q9" i="7"/>
  <c r="Q10" i="7"/>
  <c r="Q11" i="7"/>
  <c r="Q12" i="7"/>
  <c r="Q13" i="7"/>
  <c r="Q14" i="7"/>
  <c r="Q15" i="7"/>
  <c r="Q16" i="7"/>
  <c r="Q17" i="7"/>
  <c r="Q18" i="7"/>
  <c r="Q19" i="7"/>
  <c r="AV8" i="7" l="1"/>
  <c r="AV9" i="7"/>
  <c r="AV10" i="7"/>
  <c r="AV11" i="7"/>
  <c r="AV12" i="7"/>
  <c r="AV13" i="7"/>
  <c r="R27" i="9" l="1"/>
  <c r="R28" i="9"/>
  <c r="R29" i="9"/>
  <c r="R30" i="9"/>
  <c r="R31" i="9"/>
  <c r="R32" i="9"/>
  <c r="Q27" i="9"/>
  <c r="Q28" i="9"/>
  <c r="Q29" i="9"/>
  <c r="Q30" i="9"/>
  <c r="Q31" i="9"/>
  <c r="Q32" i="9"/>
  <c r="P27" i="9"/>
  <c r="P28" i="9"/>
  <c r="P29" i="9"/>
  <c r="P30" i="9"/>
  <c r="P31" i="9"/>
  <c r="P32" i="9"/>
  <c r="O27" i="9"/>
  <c r="O28" i="9"/>
  <c r="O29" i="9"/>
  <c r="O30" i="9"/>
  <c r="O31" i="9"/>
  <c r="O32" i="9"/>
  <c r="N27" i="9"/>
  <c r="N28" i="9"/>
  <c r="N29" i="9"/>
  <c r="N30" i="9"/>
  <c r="N31" i="9"/>
  <c r="M27" i="9"/>
  <c r="M28" i="9"/>
  <c r="M29" i="9"/>
  <c r="M30" i="9"/>
  <c r="M31" i="9"/>
  <c r="M32" i="9"/>
  <c r="L27" i="9"/>
  <c r="L28" i="9"/>
  <c r="L29" i="9"/>
  <c r="L30" i="9"/>
  <c r="L31" i="9"/>
  <c r="L32" i="9"/>
  <c r="K27" i="9"/>
  <c r="K28" i="9"/>
  <c r="K29" i="9"/>
  <c r="K30" i="9"/>
  <c r="K31" i="9"/>
  <c r="K32" i="9"/>
  <c r="J27" i="9"/>
  <c r="J28" i="9"/>
  <c r="J29" i="9"/>
  <c r="J30" i="9"/>
  <c r="J31" i="9"/>
  <c r="J32" i="9"/>
  <c r="I27" i="9"/>
  <c r="I28" i="9"/>
  <c r="I29" i="9"/>
  <c r="I30" i="9"/>
  <c r="I31" i="9"/>
  <c r="I32" i="9"/>
  <c r="H27" i="9"/>
  <c r="H28" i="9"/>
  <c r="H29" i="9"/>
  <c r="H30" i="9"/>
  <c r="H31" i="9"/>
  <c r="H32" i="9"/>
  <c r="G27" i="9"/>
  <c r="G28" i="9"/>
  <c r="G29" i="9"/>
  <c r="G30" i="9"/>
  <c r="G31" i="9"/>
  <c r="G32" i="9"/>
  <c r="F27" i="9"/>
  <c r="F28" i="9"/>
  <c r="F29" i="9"/>
  <c r="F30" i="9"/>
  <c r="F31" i="9"/>
  <c r="F32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AB33" i="7"/>
  <c r="AB36" i="7"/>
  <c r="AB37" i="7"/>
  <c r="AC31" i="7" l="1"/>
  <c r="Q26" i="9" s="1"/>
  <c r="AC32" i="7"/>
  <c r="AC33" i="7"/>
  <c r="AC34" i="7"/>
  <c r="AC35" i="7"/>
  <c r="AC36" i="7"/>
  <c r="AC37" i="7"/>
  <c r="I29" i="5" l="1"/>
  <c r="S29" i="9"/>
  <c r="Q35" i="7" l="1"/>
  <c r="Q34" i="7"/>
  <c r="Q31" i="7"/>
  <c r="E26" i="9" s="1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W32" i="7" s="1"/>
  <c r="AV33" i="7"/>
  <c r="AW33" i="7" s="1"/>
  <c r="AV34" i="7"/>
  <c r="AW34" i="7" s="1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E4" i="9"/>
  <c r="E6" i="9"/>
  <c r="E10" i="9"/>
  <c r="E12" i="9"/>
  <c r="E13" i="9"/>
  <c r="E14" i="9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E3" i="9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1" i="7" l="1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G23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O26" i="7"/>
  <c r="N21" i="9"/>
  <c r="AK26" i="7"/>
  <c r="J21" i="9"/>
  <c r="AG26" i="7"/>
  <c r="F21" i="9"/>
  <c r="AR26" i="7"/>
  <c r="Q21" i="9"/>
  <c r="AL26" i="7"/>
  <c r="K21" i="9"/>
  <c r="AH26" i="7"/>
  <c r="G21" i="9"/>
  <c r="R20" i="9"/>
  <c r="G20" i="5" s="1"/>
  <c r="AL25" i="7"/>
  <c r="K20" i="9"/>
  <c r="AG25" i="7"/>
  <c r="F20" i="9"/>
  <c r="AR25" i="7"/>
  <c r="Q20" i="9"/>
  <c r="AJ25" i="7"/>
  <c r="I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<sst xmlns="http://schemas.openxmlformats.org/spreadsheetml/2006/main" count="128" uniqueCount="49">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</sst>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Submetering!R6</f>
        <v>850.20308599999998</v>
      </c>
      <c r="H6" s="11">
        <v>0.52800000000000002</v>
      </c>
      <c r="I6" s="12">
        <f>Hotel!B11</f>
        <v>70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Submetering!R7</f>
        <v>424.34446100000002</v>
      </c>
      <c r="H7" s="11">
        <v>0.52800000000000002</v>
      </c>
      <c r="I7" s="12">
        <f>Hotel!B12</f>
        <v>66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52996</v>
      </c>
      <c r="F8" s="11">
        <v>5.0000000000000001E-3</v>
      </c>
      <c r="G8" s="12">
        <f>Submetering!R8</f>
        <v>697.27252199999998</v>
      </c>
      <c r="H8" s="11">
        <v>0.52800000000000002</v>
      </c>
      <c r="I8" s="12">
        <f>Hotel!B13</f>
        <v>114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57744</v>
      </c>
      <c r="F9" s="11">
        <v>5.0000000000000001E-3</v>
      </c>
      <c r="G9" s="12">
        <f>Submetering!R9</f>
        <v>595.44499299999995</v>
      </c>
      <c r="H9" s="11">
        <v>0.52800000000000002</v>
      </c>
      <c r="I9" s="12">
        <f>Hotel!B14</f>
        <v>133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44940</v>
      </c>
      <c r="F10" s="11">
        <v>5.0000000000000001E-3</v>
      </c>
      <c r="G10" s="12">
        <f>Submetering!R10</f>
        <v>865.34472600000004</v>
      </c>
      <c r="H10" s="11">
        <v>0.52800000000000002</v>
      </c>
      <c r="I10" s="12">
        <f>Hotel!B15</f>
        <v>80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50180</v>
      </c>
      <c r="F11" s="11">
        <v>5.0000000000000001E-3</v>
      </c>
      <c r="G11" s="12">
        <f>Submetering!R11</f>
        <v>497.78141499999992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51830</v>
      </c>
      <c r="F12" s="11">
        <v>5.0000000000000001E-3</v>
      </c>
      <c r="G12" s="12">
        <f>Submetering!R12</f>
        <v>782.82278799999995</v>
      </c>
      <c r="H12" s="11">
        <v>0.52800000000000002</v>
      </c>
      <c r="I12" s="12">
        <f>Hotel!B17</f>
        <v>63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53020</v>
      </c>
      <c r="F13" s="11">
        <v>5.0000000000000001E-3</v>
      </c>
      <c r="G13" s="12">
        <f>Submetering!R13</f>
        <v>696.5154399999999</v>
      </c>
      <c r="H13" s="11">
        <v>0.52800000000000002</v>
      </c>
      <c r="I13" s="12">
        <f>Hotel!B18</f>
        <v>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51160</v>
      </c>
      <c r="F14" s="11">
        <v>5.0000000000000001E-3</v>
      </c>
      <c r="G14" s="12">
        <f>Submetering!R14</f>
        <v>107.505644</v>
      </c>
      <c r="H14" s="11">
        <v>0.52800000000000002</v>
      </c>
      <c r="I14" s="12">
        <f>Hotel!B19</f>
        <v>60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53850</v>
      </c>
      <c r="F15" s="11">
        <v>5.0000000000000001E-3</v>
      </c>
      <c r="G15" s="12">
        <f>Submetering!R15</f>
        <v>1097.0118179999999</v>
      </c>
      <c r="H15" s="11">
        <v>0.52800000000000002</v>
      </c>
      <c r="I15" s="12">
        <f>Hotel!B20</f>
        <v>97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53180</v>
      </c>
      <c r="F16" s="11">
        <v>5.0000000000000001E-3</v>
      </c>
      <c r="G16" s="12">
        <f>Submetering!R16</f>
        <v>675.69568500000003</v>
      </c>
      <c r="H16" s="11">
        <v>0.52800000000000002</v>
      </c>
      <c r="I16" s="12">
        <f>Hotel!B21</f>
        <v>121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52370</v>
      </c>
      <c r="F17" s="11">
        <v>5.0000000000000001E-3</v>
      </c>
      <c r="G17" s="12">
        <f>Submetering!R17</f>
        <v>701.43647299999998</v>
      </c>
      <c r="H17" s="11">
        <v>0.52800000000000002</v>
      </c>
      <c r="I17" s="12">
        <f>Hotel!B22</f>
        <v>67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51640</v>
      </c>
      <c r="F18" s="11">
        <v>5.0000000000000001E-3</v>
      </c>
      <c r="G18" s="12">
        <f>Submetering!R18</f>
        <v>702.95063700000003</v>
      </c>
      <c r="H18" s="11">
        <v>0.52800000000000002</v>
      </c>
      <c r="I18" s="12">
        <f>Hotel!B23</f>
        <v>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51910</v>
      </c>
      <c r="F19" s="11">
        <v>5.0000000000000001E-3</v>
      </c>
      <c r="G19" s="12">
        <f>Submetering!R19</f>
        <v>578.41064800000004</v>
      </c>
      <c r="H19" s="11">
        <v>0.52800000000000002</v>
      </c>
      <c r="I19" s="12">
        <f>Hotel!B24</f>
        <v>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48530</v>
      </c>
      <c r="F20" s="11">
        <v>5.0000000000000001E-3</v>
      </c>
      <c r="G20" s="12">
        <f>Submetering!R20</f>
        <v>673.42443900000001</v>
      </c>
      <c r="H20" s="11">
        <v>0.52800000000000002</v>
      </c>
      <c r="I20" s="12">
        <f>Hotel!B25</f>
        <v>47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50480</v>
      </c>
      <c r="F21" s="11">
        <v>5.0000000000000001E-3</v>
      </c>
      <c r="G21" s="12">
        <f>Submetering!R21</f>
        <v>571.59690999999998</v>
      </c>
      <c r="H21" s="11">
        <v>0.52800000000000002</v>
      </c>
      <c r="I21" s="12">
        <f>Hotel!B26</f>
        <v>55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55740</v>
      </c>
      <c r="F22" s="11">
        <v>5.0000000000000001E-3</v>
      </c>
      <c r="G22" s="12">
        <f>Submetering!R22</f>
        <v>582.95313999999996</v>
      </c>
      <c r="H22" s="11">
        <v>0.52800000000000002</v>
      </c>
      <c r="I22" s="12">
        <f>Hotel!B27</f>
        <v>110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53540</v>
      </c>
      <c r="F23" s="11">
        <v>5.0000000000000001E-3</v>
      </c>
      <c r="G23" s="12">
        <f>Submetering!R23</f>
        <v>738.15494999999999</v>
      </c>
      <c r="H23" s="11">
        <v>0.52800000000000002</v>
      </c>
      <c r="I23" s="12">
        <f>Hotel!B28</f>
        <v>126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54830</v>
      </c>
      <c r="F24" s="11">
        <v>5.0000000000000001E-3</v>
      </c>
      <c r="G24" s="12">
        <f>Submetering!R24</f>
        <v>631.02784700000007</v>
      </c>
      <c r="H24" s="11">
        <v>0.52800000000000002</v>
      </c>
      <c r="I24" s="12">
        <f>Hotel!B29</f>
        <v>68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51560</v>
      </c>
      <c r="F25" s="11">
        <v>5.0000000000000001E-3</v>
      </c>
      <c r="G25" s="12">
        <f>Submetering!R25</f>
        <v>492.86038200000002</v>
      </c>
      <c r="H25" s="11">
        <v>0.52800000000000002</v>
      </c>
      <c r="I25" s="12">
        <f>Hotel!B30</f>
        <v>85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Hotel!AV11*0.00378541*100</f>
        <v>850.20308599999998</v>
      </c>
      <c r="S6" s="4">
        <f>Hotel!B11</f>
        <v>70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Hotel!AV12*0.00378541*100</f>
        <v>424.34446100000002</v>
      </c>
      <c r="S7" s="4">
        <f>Hotel!B12</f>
        <v>66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200</v>
      </c>
      <c r="F8" s="4">
        <f>Hotel!R13</f>
        <v>2711</v>
      </c>
      <c r="G8" s="4">
        <f>Hotel!S13</f>
        <v>3200</v>
      </c>
      <c r="H8" s="4">
        <f>Hotel!T13</f>
        <v>912</v>
      </c>
      <c r="I8" s="4">
        <f>Hotel!U13</f>
        <v>5891</v>
      </c>
      <c r="J8" s="4">
        <f>Hotel!V13</f>
        <v>3980</v>
      </c>
      <c r="K8" s="4">
        <f>Hotel!W13</f>
        <v>2031</v>
      </c>
      <c r="L8" s="4">
        <f>Hotel!X13</f>
        <v>2292</v>
      </c>
      <c r="M8" s="4">
        <f>Hotel!Y13</f>
        <v>9322</v>
      </c>
      <c r="N8" s="4">
        <f>Hotel!Z13</f>
        <v>1201</v>
      </c>
      <c r="O8" s="4">
        <f>Hotel!AA13</f>
        <v>4582</v>
      </c>
      <c r="P8" s="4">
        <f>Hotel!AB13</f>
        <v>3953</v>
      </c>
      <c r="Q8" s="4">
        <f>Hotel!AC13</f>
        <v>12721</v>
      </c>
      <c r="R8" s="4">
        <f>Hotel!AV13*0.00378541*100</f>
        <v>697.27252199999998</v>
      </c>
      <c r="S8" s="4">
        <f>Hotel!B13</f>
        <v>114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920</v>
      </c>
      <c r="F9" s="4">
        <f>Hotel!R14</f>
        <v>1119</v>
      </c>
      <c r="G9" s="4">
        <f>Hotel!S14</f>
        <v>2040</v>
      </c>
      <c r="H9" s="4">
        <f>Hotel!T14</f>
        <v>2068</v>
      </c>
      <c r="I9" s="4">
        <f>Hotel!U14</f>
        <v>10439</v>
      </c>
      <c r="J9" s="4">
        <f>Hotel!V14</f>
        <v>3080</v>
      </c>
      <c r="K9" s="4">
        <f>Hotel!W14</f>
        <v>2769</v>
      </c>
      <c r="L9" s="4">
        <f>Hotel!X14</f>
        <v>5858</v>
      </c>
      <c r="M9" s="4">
        <f>Hotel!Y14</f>
        <v>2368</v>
      </c>
      <c r="N9" s="4">
        <f>Hotel!Z14</f>
        <v>4179</v>
      </c>
      <c r="O9" s="4">
        <f>Hotel!AA14</f>
        <v>2698</v>
      </c>
      <c r="P9" s="4">
        <f>Hotel!AB14</f>
        <v>9707</v>
      </c>
      <c r="Q9" s="4">
        <f>Hotel!AC14</f>
        <v>10499</v>
      </c>
      <c r="R9" s="4">
        <f>Hotel!AV14*0.00378541*100</f>
        <v>595.44499299999995</v>
      </c>
      <c r="S9" s="4">
        <f>Hotel!B14</f>
        <v>133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520</v>
      </c>
      <c r="F10" s="4">
        <f>Hotel!R15</f>
        <v>1830</v>
      </c>
      <c r="G10" s="4">
        <f>Hotel!S15</f>
        <v>2440</v>
      </c>
      <c r="H10" s="4">
        <f>Hotel!T15</f>
        <v>1400</v>
      </c>
      <c r="I10" s="4">
        <f>Hotel!U15</f>
        <v>500</v>
      </c>
      <c r="J10" s="4">
        <f>Hotel!V15</f>
        <v>3470</v>
      </c>
      <c r="K10" s="4">
        <f>Hotel!W15</f>
        <v>2260</v>
      </c>
      <c r="L10" s="4">
        <f>Hotel!X15</f>
        <v>3710</v>
      </c>
      <c r="M10" s="4">
        <f>Hotel!Y15</f>
        <v>5550</v>
      </c>
      <c r="N10" s="4">
        <f>Hotel!Z15</f>
        <v>2470</v>
      </c>
      <c r="O10" s="4">
        <f>Hotel!AA15</f>
        <v>3480</v>
      </c>
      <c r="P10" s="4">
        <f>Hotel!AB15</f>
        <v>6460</v>
      </c>
      <c r="Q10" s="4">
        <f>Hotel!AC15</f>
        <v>10850</v>
      </c>
      <c r="R10" s="4">
        <f>Hotel!AV15*0.00378541*100</f>
        <v>865.34472600000004</v>
      </c>
      <c r="S10" s="4">
        <f>Hotel!B15</f>
        <v>80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560</v>
      </c>
      <c r="F11" s="4">
        <f>Hotel!R16</f>
        <v>1910</v>
      </c>
      <c r="G11" s="4">
        <f>Hotel!S16</f>
        <v>2560</v>
      </c>
      <c r="H11" s="4">
        <f>Hotel!T16</f>
        <v>1470</v>
      </c>
      <c r="I11" s="4">
        <f>Hotel!U16</f>
        <v>5410</v>
      </c>
      <c r="J11" s="4">
        <f>Hotel!V16</f>
        <v>3480</v>
      </c>
      <c r="K11" s="4">
        <f>Hotel!W16</f>
        <v>2390</v>
      </c>
      <c r="L11" s="4">
        <f>Hotel!X16</f>
        <v>3650</v>
      </c>
      <c r="M11" s="4">
        <f>Hotel!Y16</f>
        <v>5370</v>
      </c>
      <c r="N11" s="4">
        <f>Hotel!Z16</f>
        <v>2630</v>
      </c>
      <c r="O11" s="4">
        <f>Hotel!AA16</f>
        <v>3590</v>
      </c>
      <c r="P11" s="4">
        <f>Hotel!AB16</f>
        <v>6560</v>
      </c>
      <c r="Q11" s="4">
        <f>Hotel!AC16</f>
        <v>10600</v>
      </c>
      <c r="R11" s="4">
        <f>Hotel!AV16*0.00378541*100</f>
        <v>497.78141499999992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540</v>
      </c>
      <c r="F12" s="4">
        <f>Hotel!R17</f>
        <v>1880</v>
      </c>
      <c r="G12" s="4">
        <f>Hotel!S17</f>
        <v>2480</v>
      </c>
      <c r="H12" s="4">
        <f>Hotel!T17</f>
        <v>1470</v>
      </c>
      <c r="I12" s="4">
        <f>Hotel!U17</f>
        <v>4960</v>
      </c>
      <c r="J12" s="4">
        <f>Hotel!V17</f>
        <v>3520</v>
      </c>
      <c r="K12" s="4">
        <f>Hotel!W17</f>
        <v>2370</v>
      </c>
      <c r="L12" s="4">
        <f>Hotel!X17</f>
        <v>4030</v>
      </c>
      <c r="M12" s="4">
        <f>Hotel!Y17</f>
        <v>5670</v>
      </c>
      <c r="N12" s="4">
        <f>Hotel!Z17</f>
        <v>2500</v>
      </c>
      <c r="O12" s="4">
        <f>Hotel!AA17</f>
        <v>3470</v>
      </c>
      <c r="P12" s="4">
        <f>Hotel!AB17</f>
        <v>6490</v>
      </c>
      <c r="Q12" s="4">
        <f>Hotel!AC17</f>
        <v>12450</v>
      </c>
      <c r="R12" s="4">
        <f>Hotel!AV17*0.00378541*100</f>
        <v>782.82278799999995</v>
      </c>
      <c r="S12" s="4">
        <f>Hotel!B17</f>
        <v>63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540</v>
      </c>
      <c r="F13" s="4">
        <f>Hotel!R18</f>
        <v>1840</v>
      </c>
      <c r="G13" s="4">
        <f>Hotel!S18</f>
        <v>2430</v>
      </c>
      <c r="H13" s="4">
        <f>Hotel!T18</f>
        <v>1410</v>
      </c>
      <c r="I13" s="4">
        <f>Hotel!U18</f>
        <v>5150</v>
      </c>
      <c r="J13" s="4">
        <f>Hotel!V18</f>
        <v>3400</v>
      </c>
      <c r="K13" s="4">
        <f>Hotel!W18</f>
        <v>2330</v>
      </c>
      <c r="L13" s="4">
        <f>Hotel!X18</f>
        <v>3830</v>
      </c>
      <c r="M13" s="4">
        <f>Hotel!Y18</f>
        <v>5600</v>
      </c>
      <c r="N13" s="4">
        <f>Hotel!Z18</f>
        <v>2290</v>
      </c>
      <c r="O13" s="4">
        <f>Hotel!AA18</f>
        <v>3370</v>
      </c>
      <c r="P13" s="4">
        <f>Hotel!AB18</f>
        <v>6440</v>
      </c>
      <c r="Q13" s="4">
        <f>Hotel!AC18</f>
        <v>14390</v>
      </c>
      <c r="R13" s="4">
        <f>Hotel!AV18*0.00378541*100</f>
        <v>696.5154399999999</v>
      </c>
      <c r="S13" s="4">
        <f>Hotel!B18</f>
        <v>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540</v>
      </c>
      <c r="F14" s="4">
        <f>Hotel!R19</f>
        <v>1890</v>
      </c>
      <c r="G14" s="4">
        <f>Hotel!S19</f>
        <v>1620</v>
      </c>
      <c r="H14" s="4">
        <f>Hotel!T19</f>
        <v>2420</v>
      </c>
      <c r="I14" s="4">
        <f>Hotel!U19</f>
        <v>5230</v>
      </c>
      <c r="J14" s="4">
        <f>Hotel!V19</f>
        <v>3370</v>
      </c>
      <c r="K14" s="4">
        <f>Hotel!W19</f>
        <v>2410</v>
      </c>
      <c r="L14" s="4">
        <f>Hotel!X19</f>
        <v>3670</v>
      </c>
      <c r="M14" s="4">
        <f>Hotel!Y19</f>
        <v>5400</v>
      </c>
      <c r="N14" s="4">
        <f>Hotel!Z19</f>
        <v>2390</v>
      </c>
      <c r="O14" s="4">
        <f>Hotel!AA19</f>
        <v>3540</v>
      </c>
      <c r="P14" s="4">
        <f>Hotel!AB19</f>
        <v>6580</v>
      </c>
      <c r="Q14" s="4">
        <f>Hotel!AC19</f>
        <v>12100</v>
      </c>
      <c r="R14" s="4">
        <f>Hotel!AV19*0.00378541*100</f>
        <v>107.505644</v>
      </c>
      <c r="S14" s="4">
        <f>Hotel!B19</f>
        <v>60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560</v>
      </c>
      <c r="F15" s="4">
        <f>Hotel!R20</f>
        <v>1950</v>
      </c>
      <c r="G15" s="4">
        <f>Hotel!S20</f>
        <v>30</v>
      </c>
      <c r="H15" s="4">
        <f>Hotel!T20</f>
        <v>4200</v>
      </c>
      <c r="I15" s="4">
        <f>Hotel!U20</f>
        <v>5590</v>
      </c>
      <c r="J15" s="4">
        <f>Hotel!V20</f>
        <v>3480</v>
      </c>
      <c r="K15" s="4">
        <f>Hotel!W20</f>
        <v>2470</v>
      </c>
      <c r="L15" s="4">
        <f>Hotel!X20</f>
        <v>3910</v>
      </c>
      <c r="M15" s="4">
        <f>Hotel!Y20</f>
        <v>5880</v>
      </c>
      <c r="N15" s="4">
        <f>Hotel!Z20</f>
        <v>2640</v>
      </c>
      <c r="O15" s="4">
        <f>Hotel!AA20</f>
        <v>3810</v>
      </c>
      <c r="P15" s="4">
        <f>Hotel!AB20</f>
        <v>6900</v>
      </c>
      <c r="Q15" s="4">
        <f>Hotel!AC20</f>
        <v>12430</v>
      </c>
      <c r="R15" s="4">
        <f>Hotel!AV20*0.00378541*100</f>
        <v>1097.0118179999999</v>
      </c>
      <c r="S15" s="4">
        <f>Hotel!B20</f>
        <v>97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530</v>
      </c>
      <c r="F16" s="4">
        <f>Hotel!R21</f>
        <v>1860</v>
      </c>
      <c r="G16" s="4">
        <f>Hotel!S21</f>
        <v>20</v>
      </c>
      <c r="H16" s="4">
        <f>Hotel!T21</f>
        <v>4110</v>
      </c>
      <c r="I16" s="4">
        <f>Hotel!U21</f>
        <v>5430</v>
      </c>
      <c r="J16" s="4">
        <f>Hotel!V21</f>
        <v>3320</v>
      </c>
      <c r="K16" s="4">
        <f>Hotel!W21</f>
        <v>2370</v>
      </c>
      <c r="L16" s="4">
        <f>Hotel!X21</f>
        <v>4050</v>
      </c>
      <c r="M16" s="4">
        <f>Hotel!Y21</f>
        <v>5990</v>
      </c>
      <c r="N16" s="4">
        <f>Hotel!Z21</f>
        <v>2610</v>
      </c>
      <c r="O16" s="4">
        <f>Hotel!AA21</f>
        <v>3740</v>
      </c>
      <c r="P16" s="4">
        <f>Hotel!AB21</f>
        <v>6910</v>
      </c>
      <c r="Q16" s="4">
        <f>Hotel!AC21</f>
        <v>12240</v>
      </c>
      <c r="R16" s="4">
        <f>Hotel!AV21*0.00378541*100</f>
        <v>675.69568500000003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540</v>
      </c>
      <c r="F17" s="4">
        <f>Hotel!R22</f>
        <v>1860</v>
      </c>
      <c r="G17" s="4">
        <f>Hotel!S22</f>
        <v>1860</v>
      </c>
      <c r="H17" s="4">
        <f>Hotel!T22</f>
        <v>2260</v>
      </c>
      <c r="I17" s="4">
        <f>Hotel!U22</f>
        <v>5580</v>
      </c>
      <c r="J17" s="4">
        <f>Hotel!V22</f>
        <v>3370</v>
      </c>
      <c r="K17" s="4">
        <f>Hotel!W22</f>
        <v>2370</v>
      </c>
      <c r="L17" s="4">
        <f>Hotel!X22</f>
        <v>3850</v>
      </c>
      <c r="M17" s="4">
        <f>Hotel!Y22</f>
        <v>6030</v>
      </c>
      <c r="N17" s="4">
        <f>Hotel!Z22</f>
        <v>2580</v>
      </c>
      <c r="O17" s="4">
        <f>Hotel!AA22</f>
        <v>3740</v>
      </c>
      <c r="P17" s="4">
        <f>Hotel!AB22</f>
        <v>6860</v>
      </c>
      <c r="Q17" s="4">
        <f>Hotel!AC22</f>
        <v>11470</v>
      </c>
      <c r="R17" s="4">
        <f>Hotel!AV22*0.00378541*100</f>
        <v>701.43647299999998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560</v>
      </c>
      <c r="F18" s="4">
        <f>Hotel!R23</f>
        <v>1910</v>
      </c>
      <c r="G18" s="4">
        <f>Hotel!S23</f>
        <v>2860</v>
      </c>
      <c r="H18" s="4">
        <f>Hotel!T23</f>
        <v>1470</v>
      </c>
      <c r="I18" s="4">
        <f>Hotel!U23</f>
        <v>5390</v>
      </c>
      <c r="J18" s="4">
        <f>Hotel!V23</f>
        <v>3410</v>
      </c>
      <c r="K18" s="4">
        <f>Hotel!W23</f>
        <v>2430</v>
      </c>
      <c r="L18" s="4">
        <f>Hotel!X23</f>
        <v>3730</v>
      </c>
      <c r="M18" s="4">
        <f>Hotel!Y23</f>
        <v>5880</v>
      </c>
      <c r="N18" s="4">
        <f>Hotel!Z23</f>
        <v>2610</v>
      </c>
      <c r="O18" s="4">
        <f>Hotel!AA23</f>
        <v>3580</v>
      </c>
      <c r="P18" s="4">
        <f>Hotel!AB23</f>
        <v>6940</v>
      </c>
      <c r="Q18" s="4">
        <f>Hotel!AC23</f>
        <v>10870</v>
      </c>
      <c r="R18" s="4">
        <f>Hotel!AV23*0.00378541*100</f>
        <v>702.95063700000003</v>
      </c>
      <c r="S18" s="4">
        <f>Hotel!B23</f>
        <v>38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550</v>
      </c>
      <c r="F19" s="4">
        <f>Hotel!R24</f>
        <v>1910</v>
      </c>
      <c r="G19" s="4">
        <f>Hotel!S24</f>
        <v>2710</v>
      </c>
      <c r="H19" s="4">
        <f>Hotel!T24</f>
        <v>1450</v>
      </c>
      <c r="I19" s="4">
        <f>Hotel!U24</f>
        <v>5060</v>
      </c>
      <c r="J19" s="4">
        <f>Hotel!V24</f>
        <v>3330</v>
      </c>
      <c r="K19" s="4">
        <f>Hotel!W24</f>
        <v>2430</v>
      </c>
      <c r="L19" s="4">
        <f>Hotel!X24</f>
        <v>3920</v>
      </c>
      <c r="M19" s="4">
        <f>Hotel!Y24</f>
        <v>5740</v>
      </c>
      <c r="N19" s="4">
        <f>Hotel!Z24</f>
        <v>2620</v>
      </c>
      <c r="O19" s="4">
        <f>Hotel!AA24</f>
        <v>3260</v>
      </c>
      <c r="P19" s="4">
        <f>Hotel!AB24</f>
        <v>6850</v>
      </c>
      <c r="Q19" s="4">
        <f>Hotel!AC24</f>
        <v>12080</v>
      </c>
      <c r="R19" s="4">
        <f>Hotel!AV24*0.00378541*100</f>
        <v>578.41064800000004</v>
      </c>
      <c r="S19" s="4">
        <f>Hotel!B24</f>
        <v>53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520</v>
      </c>
      <c r="F20" s="4">
        <f>Hotel!R25</f>
        <v>1810</v>
      </c>
      <c r="G20" s="4">
        <f>Hotel!S25</f>
        <v>2520</v>
      </c>
      <c r="H20" s="4">
        <f>Hotel!T25</f>
        <v>1520</v>
      </c>
      <c r="I20" s="4">
        <f>Hotel!U25</f>
        <v>4870</v>
      </c>
      <c r="J20" s="4">
        <f>Hotel!V25</f>
        <v>3110</v>
      </c>
      <c r="K20" s="4">
        <f>Hotel!W25</f>
        <v>2330</v>
      </c>
      <c r="L20" s="4">
        <f>Hotel!X25</f>
        <v>3830</v>
      </c>
      <c r="M20" s="4">
        <f>Hotel!Y25</f>
        <v>5240</v>
      </c>
      <c r="N20" s="4">
        <f>Hotel!Z25</f>
        <v>2490</v>
      </c>
      <c r="O20" s="4">
        <f>Hotel!AA25</f>
        <v>3170</v>
      </c>
      <c r="P20" s="4">
        <f>Hotel!AB25</f>
        <v>6650</v>
      </c>
      <c r="Q20" s="4">
        <f>Hotel!AC25</f>
        <v>10470</v>
      </c>
      <c r="R20" s="4">
        <f>Hotel!AV25*0.00378541*100</f>
        <v>673.42443900000001</v>
      </c>
      <c r="S20" s="4">
        <f>Hotel!B25</f>
        <v>47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550</v>
      </c>
      <c r="F21" s="4">
        <f>Hotel!R26</f>
        <v>1890</v>
      </c>
      <c r="G21" s="4">
        <f>Hotel!S26</f>
        <v>2630</v>
      </c>
      <c r="H21" s="4">
        <f>Hotel!T26</f>
        <v>1430</v>
      </c>
      <c r="I21" s="4">
        <f>Hotel!U26</f>
        <v>4880</v>
      </c>
      <c r="J21" s="4">
        <f>Hotel!V26</f>
        <v>3150</v>
      </c>
      <c r="K21" s="4">
        <f>Hotel!W26</f>
        <v>2380</v>
      </c>
      <c r="L21" s="4">
        <f>Hotel!X26</f>
        <v>4160</v>
      </c>
      <c r="M21" s="4">
        <f>Hotel!Y26</f>
        <v>5630</v>
      </c>
      <c r="N21" s="4">
        <f>Hotel!Z26</f>
        <v>2590</v>
      </c>
      <c r="O21" s="4">
        <f>Hotel!AA26</f>
        <v>3320</v>
      </c>
      <c r="P21" s="4">
        <f>Hotel!AB26</f>
        <v>6720</v>
      </c>
      <c r="Q21" s="4">
        <f>Hotel!AC26</f>
        <v>11150</v>
      </c>
      <c r="R21" s="4">
        <f>Hotel!AV26*0.00378541*100</f>
        <v>571.59690999999998</v>
      </c>
      <c r="S21" s="4">
        <f>Hotel!B26</f>
        <v>55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560</v>
      </c>
      <c r="F22" s="4">
        <f>Hotel!R27</f>
        <v>1940</v>
      </c>
      <c r="G22" s="4">
        <f>Hotel!S27</f>
        <v>2370</v>
      </c>
      <c r="H22" s="4">
        <f>Hotel!T27</f>
        <v>1600</v>
      </c>
      <c r="I22" s="4">
        <f>Hotel!U27</f>
        <v>5390</v>
      </c>
      <c r="J22" s="4">
        <f>Hotel!V27</f>
        <v>3540</v>
      </c>
      <c r="K22" s="4">
        <f>Hotel!W27</f>
        <v>2500</v>
      </c>
      <c r="L22" s="4">
        <f>Hotel!X27</f>
        <v>4550</v>
      </c>
      <c r="M22" s="4">
        <f>Hotel!Y27</f>
        <v>6080</v>
      </c>
      <c r="N22" s="4">
        <f>Hotel!Z27</f>
        <v>2660</v>
      </c>
      <c r="O22" s="4">
        <f>Hotel!AA27</f>
        <v>3620</v>
      </c>
      <c r="P22" s="4">
        <f>Hotel!AB27</f>
        <v>6860</v>
      </c>
      <c r="Q22" s="4">
        <f>Hotel!AC27</f>
        <v>14070</v>
      </c>
      <c r="R22" s="4">
        <f>Hotel!AV27*0.00378541*100</f>
        <v>582.95313999999996</v>
      </c>
      <c r="S22" s="4">
        <f>Hotel!B27</f>
        <v>110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530</v>
      </c>
      <c r="F23" s="4">
        <f>Hotel!R28</f>
        <v>1800</v>
      </c>
      <c r="G23" s="4">
        <f>Hotel!S28</f>
        <v>2280</v>
      </c>
      <c r="H23" s="4">
        <f>Hotel!T28</f>
        <v>1470</v>
      </c>
      <c r="I23" s="4">
        <f>Hotel!U28</f>
        <v>5550</v>
      </c>
      <c r="J23" s="4">
        <f>Hotel!V28</f>
        <v>3400</v>
      </c>
      <c r="K23" s="4">
        <f>Hotel!W28</f>
        <v>2280</v>
      </c>
      <c r="L23" s="4">
        <f>Hotel!X28</f>
        <v>4350</v>
      </c>
      <c r="M23" s="4">
        <f>Hotel!Y28</f>
        <v>5660</v>
      </c>
      <c r="N23" s="4">
        <f>Hotel!Z28</f>
        <v>2560</v>
      </c>
      <c r="O23" s="4">
        <f>Hotel!AA28</f>
        <v>3500</v>
      </c>
      <c r="P23" s="4">
        <f>Hotel!AB28</f>
        <v>6620</v>
      </c>
      <c r="Q23" s="4">
        <f>Hotel!AC28</f>
        <v>13540</v>
      </c>
      <c r="R23" s="4">
        <f>Hotel!AV28*0.00378541*100</f>
        <v>738.15494999999999</v>
      </c>
      <c r="S23" s="4">
        <f>Hotel!B28</f>
        <v>126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540</v>
      </c>
      <c r="F24" s="4">
        <f>Hotel!R29</f>
        <v>1870</v>
      </c>
      <c r="G24" s="4">
        <f>Hotel!S29</f>
        <v>2290</v>
      </c>
      <c r="H24" s="4">
        <f>Hotel!T29</f>
        <v>1320</v>
      </c>
      <c r="I24" s="4">
        <f>Hotel!U29</f>
        <v>5650</v>
      </c>
      <c r="J24" s="4">
        <f>Hotel!V29</f>
        <v>3430</v>
      </c>
      <c r="K24" s="4">
        <f>Hotel!W29</f>
        <v>2340</v>
      </c>
      <c r="L24" s="4">
        <f>Hotel!X29</f>
        <v>4390</v>
      </c>
      <c r="M24" s="4">
        <f>Hotel!Y29</f>
        <v>5640</v>
      </c>
      <c r="N24" s="4">
        <f>Hotel!Z29</f>
        <v>2660</v>
      </c>
      <c r="O24" s="4">
        <f>Hotel!AA29</f>
        <v>3640</v>
      </c>
      <c r="P24" s="4">
        <f>Hotel!AB29</f>
        <v>7040</v>
      </c>
      <c r="Q24" s="4">
        <f>Hotel!AC29</f>
        <v>14020</v>
      </c>
      <c r="R24" s="4">
        <f>Hotel!AV29*0.00378541*100</f>
        <v>631.02784700000007</v>
      </c>
      <c r="S24" s="4">
        <f>Hotel!B29</f>
        <v>68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540</v>
      </c>
      <c r="F25" s="4">
        <f>Hotel!R30</f>
        <v>1860</v>
      </c>
      <c r="G25" s="4">
        <f>Hotel!S30</f>
        <v>2320</v>
      </c>
      <c r="H25" s="4">
        <f>Hotel!T30</f>
        <v>1420</v>
      </c>
      <c r="I25" s="4">
        <f>Hotel!U30</f>
        <v>5380</v>
      </c>
      <c r="J25" s="4">
        <f>Hotel!V30</f>
        <v>3260</v>
      </c>
      <c r="K25" s="4">
        <f>Hotel!W30</f>
        <v>2360</v>
      </c>
      <c r="L25" s="4">
        <f>Hotel!X30</f>
        <v>4110</v>
      </c>
      <c r="M25" s="4">
        <f>Hotel!Y30</f>
        <v>5200</v>
      </c>
      <c r="N25" s="4">
        <f>Hotel!Z30</f>
        <v>2500</v>
      </c>
      <c r="O25" s="4">
        <f>Hotel!AA30</f>
        <v>3480</v>
      </c>
      <c r="P25" s="4">
        <f>Hotel!AB30</f>
        <v>6810</v>
      </c>
      <c r="Q25" s="4">
        <f>Hotel!AC30</f>
        <v>12320</v>
      </c>
      <c r="R25" s="4">
        <f>Hotel!AV30*0.00378541*100</f>
        <v>492.86038200000002</v>
      </c>
      <c r="S25" s="4">
        <f>Hotel!B30</f>
        <v>85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 t="str">
        <f>Hotel!Q31</f>
        <v>0</v>
      </c>
      <c r="F26" s="4" t="str">
        <f>Hotel!R31</f>
        <v>0</v>
      </c>
      <c r="G26" s="4" t="str">
        <f>Hotel!S31</f>
        <v>0</v>
      </c>
      <c r="H26" s="4" t="str">
        <f>Hotel!T31</f>
        <v>0</v>
      </c>
      <c r="I26" s="4" t="str">
        <f>Hotel!U31</f>
        <v>0</v>
      </c>
      <c r="J26" s="4" t="str">
        <f>Hotel!V31</f>
        <v>0</v>
      </c>
      <c r="K26" s="4" t="str">
        <f>Hotel!W31</f>
        <v>0</v>
      </c>
      <c r="L26" s="4" t="str">
        <f>Hotel!X31</f>
        <v>0</v>
      </c>
      <c r="M26" s="4" t="str">
        <f>Hotel!Y31</f>
        <v>0</v>
      </c>
      <c r="N26" s="4" t="str">
        <f>Hotel!Z31</f>
        <v>0</v>
      </c>
      <c r="O26" s="4" t="str">
        <f>Hotel!AA31</f>
        <v>0</v>
      </c>
      <c r="P26" s="4" t="str">
        <f>Hotel!AB31</f>
        <v>0</v>
      </c>
      <c r="Q26" s="4" t="str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P31" sqref="AP31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16"/>
        <v>510</v>
      </c>
      <c r="R11" s="37">
        <f t="shared" si="17"/>
        <v>1800</v>
      </c>
      <c r="S11" s="37">
        <f t="shared" si="15"/>
        <v>2500</v>
      </c>
      <c r="T11" s="37">
        <f t="shared" si="18"/>
        <v>1390</v>
      </c>
      <c r="U11" s="37">
        <f t="shared" si="19"/>
        <v>4830</v>
      </c>
      <c r="V11" s="37">
        <f t="shared" si="20"/>
        <v>3230</v>
      </c>
      <c r="W11" s="37">
        <f t="shared" si="21"/>
        <v>2270</v>
      </c>
      <c r="X11" s="37">
        <f t="shared" si="22"/>
        <v>3750</v>
      </c>
      <c r="Y11" s="37">
        <f t="shared" si="23"/>
        <v>5480</v>
      </c>
      <c r="Z11" s="37">
        <f t="shared" si="24"/>
        <v>2330</v>
      </c>
      <c r="AA11" s="37">
        <f t="shared" si="25"/>
        <v>3150</v>
      </c>
      <c r="AB11" s="37">
        <f t="shared" si="26"/>
        <v>6250</v>
      </c>
      <c r="AC11" s="37">
        <f t="shared" si="27"/>
        <v>10800</v>
      </c>
      <c r="AD11" s="35">
        <f t="shared" si="28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29"/>
        <v>241.45000000000002</v>
      </c>
      <c r="AU11" s="47">
        <v>392160</v>
      </c>
      <c r="AV11" s="37">
        <f t="shared" si="31"/>
        <v>2246</v>
      </c>
      <c r="AW11" s="35">
        <f t="shared" si="30"/>
        <v>4.492</v>
      </c>
    </row>
    <row r="12" spans="1:49" x14ac:dyDescent="0.25">
      <c r="A12" s="23">
        <v>44202</v>
      </c>
      <c r="B12" s="40">
        <v>66</v>
      </c>
      <c r="C12" s="49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16"/>
        <v>550</v>
      </c>
      <c r="R12" s="37">
        <f t="shared" si="17"/>
        <v>1930</v>
      </c>
      <c r="S12" s="37">
        <f t="shared" si="15"/>
        <v>2670</v>
      </c>
      <c r="T12" s="37">
        <f t="shared" ref="T12:W14" si="32">IF((F12-F11&lt;0), "0",F12-F11)</f>
        <v>1480</v>
      </c>
      <c r="U12" s="37">
        <f t="shared" si="32"/>
        <v>5600</v>
      </c>
      <c r="V12" s="37">
        <f t="shared" si="32"/>
        <v>3430</v>
      </c>
      <c r="W12" s="37">
        <f t="shared" si="32"/>
        <v>2410</v>
      </c>
      <c r="X12" s="37">
        <f t="shared" si="22"/>
        <v>3880</v>
      </c>
      <c r="Y12" s="37">
        <f t="shared" si="23"/>
        <v>5760</v>
      </c>
      <c r="Z12" s="37">
        <f>IF((L12-L11&lt;0), "0",L12-L11)</f>
        <v>2600</v>
      </c>
      <c r="AA12" s="37">
        <f t="shared" si="25"/>
        <v>3390</v>
      </c>
      <c r="AB12" s="37">
        <f t="shared" si="26"/>
        <v>6710</v>
      </c>
      <c r="AC12" s="37">
        <f t="shared" si="27"/>
        <v>11110</v>
      </c>
      <c r="AD12" s="35">
        <f t="shared" si="28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29"/>
        <v>257.60000000000002</v>
      </c>
      <c r="AU12" s="47">
        <v>393281</v>
      </c>
      <c r="AV12" s="37">
        <f t="shared" si="31"/>
        <v>1121</v>
      </c>
      <c r="AW12" s="35">
        <f t="shared" si="30"/>
        <v>2.242</v>
      </c>
    </row>
    <row r="13" spans="1:49" x14ac:dyDescent="0.25">
      <c r="A13" s="23">
        <v>44203</v>
      </c>
      <c r="B13" s="40">
        <v>114</v>
      </c>
      <c r="C13" s="24">
        <v>6510930</v>
      </c>
      <c r="D13" s="24">
        <v>15048821</v>
      </c>
      <c r="E13" s="24">
        <v>2286540</v>
      </c>
      <c r="F13" s="24">
        <v>3235842</v>
      </c>
      <c r="G13" s="24">
        <v>9738561</v>
      </c>
      <c r="H13" s="24">
        <v>5042120</v>
      </c>
      <c r="I13" s="24">
        <v>4726921</v>
      </c>
      <c r="J13" s="24">
        <v>5409532</v>
      </c>
      <c r="K13" s="24">
        <v>8479832</v>
      </c>
      <c r="L13" s="24">
        <v>3459411</v>
      </c>
      <c r="M13" s="24">
        <v>7405782</v>
      </c>
      <c r="N13" s="24">
        <v>11009523</v>
      </c>
      <c r="O13" s="24">
        <v>15073521</v>
      </c>
      <c r="Q13" s="37">
        <f t="shared" si="16"/>
        <v>200</v>
      </c>
      <c r="R13" s="37">
        <f t="shared" si="17"/>
        <v>2711</v>
      </c>
      <c r="S13" s="37">
        <f t="shared" si="15"/>
        <v>3200</v>
      </c>
      <c r="T13" s="37">
        <f t="shared" si="32"/>
        <v>912</v>
      </c>
      <c r="U13" s="37">
        <f t="shared" si="32"/>
        <v>5891</v>
      </c>
      <c r="V13" s="37">
        <f t="shared" si="32"/>
        <v>3980</v>
      </c>
      <c r="W13" s="37">
        <f t="shared" si="32"/>
        <v>2031</v>
      </c>
      <c r="X13" s="37">
        <f t="shared" si="22"/>
        <v>2292</v>
      </c>
      <c r="Y13" s="37">
        <f t="shared" si="23"/>
        <v>9322</v>
      </c>
      <c r="Z13" s="37">
        <f>IF((L13-L12&lt;0), "0",L13-L12)</f>
        <v>1201</v>
      </c>
      <c r="AA13" s="37">
        <f t="shared" si="25"/>
        <v>4582</v>
      </c>
      <c r="AB13" s="37">
        <f t="shared" si="26"/>
        <v>3953</v>
      </c>
      <c r="AC13" s="37">
        <f t="shared" si="27"/>
        <v>12721</v>
      </c>
      <c r="AD13" s="35">
        <f t="shared" si="28"/>
        <v>52996</v>
      </c>
      <c r="AF13" s="20">
        <f t="shared" si="1"/>
        <v>1</v>
      </c>
      <c r="AG13" s="20">
        <f t="shared" si="2"/>
        <v>13.555</v>
      </c>
      <c r="AH13" s="20">
        <f t="shared" si="3"/>
        <v>16</v>
      </c>
      <c r="AI13" s="20">
        <f t="shared" si="4"/>
        <v>4.5600000000000005</v>
      </c>
      <c r="AJ13" s="20">
        <f t="shared" si="5"/>
        <v>29.455000000000002</v>
      </c>
      <c r="AK13" s="20">
        <f t="shared" si="6"/>
        <v>19.900000000000002</v>
      </c>
      <c r="AL13" s="20">
        <f t="shared" si="7"/>
        <v>10.154999999999999</v>
      </c>
      <c r="AM13" s="20">
        <f t="shared" si="8"/>
        <v>11.46</v>
      </c>
      <c r="AN13" s="20">
        <f t="shared" si="9"/>
        <v>46.61</v>
      </c>
      <c r="AO13" s="20">
        <f t="shared" si="10"/>
        <v>6.0049999999999999</v>
      </c>
      <c r="AP13" s="20">
        <f t="shared" si="11"/>
        <v>22.91</v>
      </c>
      <c r="AQ13" s="20">
        <f t="shared" si="12"/>
        <v>19.765000000000001</v>
      </c>
      <c r="AR13" s="20">
        <f t="shared" si="13"/>
        <v>63.605000000000004</v>
      </c>
      <c r="AS13" s="35">
        <f t="shared" si="29"/>
        <v>264.98</v>
      </c>
      <c r="AU13" s="47">
        <v>395123</v>
      </c>
      <c r="AV13" s="37">
        <f t="shared" si="31"/>
        <v>1842</v>
      </c>
      <c r="AW13" s="35">
        <f t="shared" si="30"/>
        <v>3.6840000000000002</v>
      </c>
    </row>
    <row r="14" spans="1:49" x14ac:dyDescent="0.25">
      <c r="A14" s="23">
        <v>44204</v>
      </c>
      <c r="B14" s="40">
        <v>133</v>
      </c>
      <c r="C14" s="24">
        <v>6511850</v>
      </c>
      <c r="D14" s="24">
        <v>15049940</v>
      </c>
      <c r="E14" s="24">
        <v>2288580</v>
      </c>
      <c r="F14" s="24">
        <v>3237910</v>
      </c>
      <c r="G14" s="24">
        <v>9749000</v>
      </c>
      <c r="H14" s="24">
        <v>5045200</v>
      </c>
      <c r="I14" s="24">
        <v>4729690</v>
      </c>
      <c r="J14" s="24">
        <v>5415390</v>
      </c>
      <c r="K14" s="24">
        <v>8482200</v>
      </c>
      <c r="L14" s="24">
        <v>3463590</v>
      </c>
      <c r="M14" s="24">
        <v>7408480</v>
      </c>
      <c r="N14" s="24">
        <v>11019230</v>
      </c>
      <c r="O14" s="24">
        <v>15084020</v>
      </c>
      <c r="P14" s="54"/>
      <c r="Q14" s="37">
        <f t="shared" si="16"/>
        <v>920</v>
      </c>
      <c r="R14" s="37">
        <f t="shared" si="17"/>
        <v>1119</v>
      </c>
      <c r="S14" s="37">
        <f t="shared" si="15"/>
        <v>2040</v>
      </c>
      <c r="T14" s="37">
        <f t="shared" si="32"/>
        <v>2068</v>
      </c>
      <c r="U14" s="37">
        <f t="shared" si="32"/>
        <v>10439</v>
      </c>
      <c r="V14" s="37">
        <f t="shared" si="32"/>
        <v>3080</v>
      </c>
      <c r="W14" s="37">
        <f t="shared" si="32"/>
        <v>2769</v>
      </c>
      <c r="X14" s="37">
        <f t="shared" si="22"/>
        <v>5858</v>
      </c>
      <c r="Y14" s="37">
        <f t="shared" si="23"/>
        <v>2368</v>
      </c>
      <c r="Z14" s="37">
        <f>IF((L14-L13&lt;0), "0",L14-L13)</f>
        <v>4179</v>
      </c>
      <c r="AA14" s="37">
        <f t="shared" si="25"/>
        <v>2698</v>
      </c>
      <c r="AB14" s="37">
        <f t="shared" si="26"/>
        <v>9707</v>
      </c>
      <c r="AC14" s="37">
        <f t="shared" si="27"/>
        <v>10499</v>
      </c>
      <c r="AD14" s="35">
        <f t="shared" si="28"/>
        <v>57744</v>
      </c>
      <c r="AF14" s="20">
        <f t="shared" si="1"/>
        <v>4.6000000000000005</v>
      </c>
      <c r="AG14" s="20">
        <f t="shared" si="2"/>
        <v>5.5949999999999998</v>
      </c>
      <c r="AH14" s="20">
        <f t="shared" si="3"/>
        <v>10.200000000000001</v>
      </c>
      <c r="AI14" s="20">
        <f t="shared" si="4"/>
        <v>10.34</v>
      </c>
      <c r="AJ14" s="20">
        <f t="shared" si="5"/>
        <v>52.195</v>
      </c>
      <c r="AK14" s="20">
        <f t="shared" si="6"/>
        <v>15.4</v>
      </c>
      <c r="AL14" s="20">
        <f t="shared" si="7"/>
        <v>13.845000000000001</v>
      </c>
      <c r="AM14" s="20">
        <f t="shared" si="8"/>
        <v>29.29</v>
      </c>
      <c r="AN14" s="20">
        <f t="shared" si="9"/>
        <v>11.84</v>
      </c>
      <c r="AO14" s="20">
        <f t="shared" si="10"/>
        <v>20.895</v>
      </c>
      <c r="AP14" s="20">
        <f t="shared" si="11"/>
        <v>13.49</v>
      </c>
      <c r="AQ14" s="20">
        <f t="shared" si="12"/>
        <v>48.535000000000004</v>
      </c>
      <c r="AR14" s="20">
        <f t="shared" si="13"/>
        <v>52.495000000000005</v>
      </c>
      <c r="AS14" s="35">
        <f t="shared" si="29"/>
        <v>288.72000000000003</v>
      </c>
      <c r="AU14" s="47">
        <v>396696</v>
      </c>
      <c r="AV14" s="37">
        <f t="shared" si="31"/>
        <v>1573</v>
      </c>
      <c r="AW14" s="35">
        <f t="shared" si="30"/>
        <v>3.1459999999999999</v>
      </c>
    </row>
    <row r="15" spans="1:49" x14ac:dyDescent="0.25">
      <c r="A15" s="23">
        <v>44205</v>
      </c>
      <c r="B15" s="40">
        <v>80</v>
      </c>
      <c r="C15" s="24">
        <v>6512370</v>
      </c>
      <c r="D15" s="24">
        <v>15051770</v>
      </c>
      <c r="E15" s="24">
        <v>2291020</v>
      </c>
      <c r="F15" s="24">
        <v>3239310</v>
      </c>
      <c r="G15" s="24">
        <v>9749500</v>
      </c>
      <c r="H15" s="24">
        <v>5048670</v>
      </c>
      <c r="I15" s="24">
        <v>4731950</v>
      </c>
      <c r="J15" s="24">
        <v>5419100</v>
      </c>
      <c r="K15" s="24">
        <v>8487750</v>
      </c>
      <c r="L15" s="24">
        <v>3466060</v>
      </c>
      <c r="M15" s="24">
        <v>7411960</v>
      </c>
      <c r="N15" s="24">
        <v>11025690</v>
      </c>
      <c r="O15" s="24">
        <v>15094870</v>
      </c>
      <c r="Q15" s="37">
        <f t="shared" si="16"/>
        <v>520</v>
      </c>
      <c r="R15" s="37">
        <f t="shared" si="17"/>
        <v>1830</v>
      </c>
      <c r="S15" s="37">
        <f t="shared" si="15"/>
        <v>2440</v>
      </c>
      <c r="T15" s="37">
        <f t="shared" si="18"/>
        <v>1400</v>
      </c>
      <c r="U15" s="37">
        <f t="shared" si="19"/>
        <v>500</v>
      </c>
      <c r="V15" s="37">
        <f t="shared" si="20"/>
        <v>3470</v>
      </c>
      <c r="W15" s="37">
        <f t="shared" si="21"/>
        <v>2260</v>
      </c>
      <c r="X15" s="37">
        <f t="shared" si="22"/>
        <v>3710</v>
      </c>
      <c r="Y15" s="37">
        <f t="shared" si="23"/>
        <v>5550</v>
      </c>
      <c r="Z15" s="37">
        <f t="shared" si="24"/>
        <v>2470</v>
      </c>
      <c r="AA15" s="37">
        <f t="shared" si="25"/>
        <v>3480</v>
      </c>
      <c r="AB15" s="37">
        <f t="shared" si="26"/>
        <v>6460</v>
      </c>
      <c r="AC15" s="37">
        <f t="shared" si="27"/>
        <v>10850</v>
      </c>
      <c r="AD15" s="35">
        <f t="shared" si="28"/>
        <v>44940</v>
      </c>
      <c r="AF15" s="20">
        <f t="shared" si="1"/>
        <v>2.6</v>
      </c>
      <c r="AG15" s="20">
        <f t="shared" si="2"/>
        <v>9.15</v>
      </c>
      <c r="AH15" s="20">
        <f t="shared" si="3"/>
        <v>12.200000000000001</v>
      </c>
      <c r="AI15" s="20">
        <f t="shared" si="4"/>
        <v>7</v>
      </c>
      <c r="AJ15" s="20">
        <f t="shared" si="5"/>
        <v>2.5</v>
      </c>
      <c r="AK15" s="20">
        <f t="shared" si="6"/>
        <v>17.350000000000001</v>
      </c>
      <c r="AL15" s="20">
        <f t="shared" si="7"/>
        <v>11.3</v>
      </c>
      <c r="AM15" s="20">
        <f t="shared" si="8"/>
        <v>18.55</v>
      </c>
      <c r="AN15" s="20">
        <f t="shared" si="9"/>
        <v>27.75</v>
      </c>
      <c r="AO15" s="20">
        <f t="shared" si="10"/>
        <v>12.35</v>
      </c>
      <c r="AP15" s="20">
        <f t="shared" si="11"/>
        <v>17.400000000000002</v>
      </c>
      <c r="AQ15" s="20">
        <f t="shared" si="12"/>
        <v>32.299999999999997</v>
      </c>
      <c r="AR15" s="20">
        <f t="shared" si="13"/>
        <v>54.25</v>
      </c>
      <c r="AS15" s="35">
        <f t="shared" si="29"/>
        <v>224.7</v>
      </c>
      <c r="AU15" s="47">
        <v>398982</v>
      </c>
      <c r="AV15" s="37">
        <f t="shared" si="31"/>
        <v>2286</v>
      </c>
      <c r="AW15" s="35">
        <f t="shared" si="30"/>
        <v>4.5720000000000001</v>
      </c>
    </row>
    <row r="16" spans="1:49" x14ac:dyDescent="0.25">
      <c r="A16" s="23">
        <v>44206</v>
      </c>
      <c r="B16" s="40">
        <v>65</v>
      </c>
      <c r="C16" s="24">
        <v>6512930</v>
      </c>
      <c r="D16" s="24">
        <v>15053680</v>
      </c>
      <c r="E16" s="24">
        <v>2293580</v>
      </c>
      <c r="F16" s="24">
        <v>3240780</v>
      </c>
      <c r="G16" s="24">
        <v>9754910</v>
      </c>
      <c r="H16" s="24">
        <v>5052150</v>
      </c>
      <c r="I16" s="24">
        <v>4734340</v>
      </c>
      <c r="J16" s="24">
        <v>5422750</v>
      </c>
      <c r="K16" s="24">
        <v>8493120</v>
      </c>
      <c r="L16" s="24">
        <v>3468690</v>
      </c>
      <c r="M16" s="24">
        <v>7415550</v>
      </c>
      <c r="N16" s="24">
        <v>11032250</v>
      </c>
      <c r="O16" s="24">
        <v>15105470</v>
      </c>
      <c r="Q16" s="37">
        <f t="shared" si="16"/>
        <v>560</v>
      </c>
      <c r="R16" s="37">
        <f t="shared" si="17"/>
        <v>1910</v>
      </c>
      <c r="S16" s="37">
        <f t="shared" si="15"/>
        <v>2560</v>
      </c>
      <c r="T16" s="37">
        <f t="shared" si="18"/>
        <v>1470</v>
      </c>
      <c r="U16" s="37">
        <f t="shared" si="19"/>
        <v>5410</v>
      </c>
      <c r="V16" s="37">
        <f t="shared" si="20"/>
        <v>3480</v>
      </c>
      <c r="W16" s="37">
        <f t="shared" si="21"/>
        <v>2390</v>
      </c>
      <c r="X16" s="37">
        <f t="shared" si="22"/>
        <v>3650</v>
      </c>
      <c r="Y16" s="37">
        <f t="shared" si="23"/>
        <v>5370</v>
      </c>
      <c r="Z16" s="37">
        <f t="shared" si="24"/>
        <v>2630</v>
      </c>
      <c r="AA16" s="37">
        <f t="shared" si="25"/>
        <v>3590</v>
      </c>
      <c r="AB16" s="37">
        <f t="shared" si="26"/>
        <v>6560</v>
      </c>
      <c r="AC16" s="37">
        <f t="shared" si="27"/>
        <v>10600</v>
      </c>
      <c r="AD16" s="35">
        <f t="shared" si="28"/>
        <v>50180</v>
      </c>
      <c r="AF16" s="20">
        <f t="shared" si="1"/>
        <v>2.8000000000000003</v>
      </c>
      <c r="AG16" s="20">
        <f t="shared" si="2"/>
        <v>9.5500000000000007</v>
      </c>
      <c r="AH16" s="20">
        <f t="shared" si="3"/>
        <v>12.8</v>
      </c>
      <c r="AI16" s="20">
        <f t="shared" si="4"/>
        <v>7.3500000000000005</v>
      </c>
      <c r="AJ16" s="20">
        <f t="shared" si="5"/>
        <v>27.05</v>
      </c>
      <c r="AK16" s="20">
        <f t="shared" si="6"/>
        <v>17.400000000000002</v>
      </c>
      <c r="AL16" s="20">
        <f t="shared" si="7"/>
        <v>11.950000000000001</v>
      </c>
      <c r="AM16" s="20">
        <f t="shared" si="8"/>
        <v>18.25</v>
      </c>
      <c r="AN16" s="20">
        <f t="shared" si="9"/>
        <v>26.85</v>
      </c>
      <c r="AO16" s="20">
        <f t="shared" si="10"/>
        <v>13.15</v>
      </c>
      <c r="AP16" s="20">
        <f t="shared" si="11"/>
        <v>17.95</v>
      </c>
      <c r="AQ16" s="20">
        <f t="shared" si="12"/>
        <v>32.799999999999997</v>
      </c>
      <c r="AR16" s="20">
        <f t="shared" si="13"/>
        <v>53</v>
      </c>
      <c r="AS16" s="35">
        <f t="shared" si="29"/>
        <v>250.89999999999998</v>
      </c>
      <c r="AU16" s="47">
        <v>400297</v>
      </c>
      <c r="AV16" s="37">
        <f t="shared" si="31"/>
        <v>1315</v>
      </c>
      <c r="AW16" s="35">
        <f t="shared" si="30"/>
        <v>2.63</v>
      </c>
    </row>
    <row r="17" spans="1:49" x14ac:dyDescent="0.25">
      <c r="A17" s="23">
        <v>44207</v>
      </c>
      <c r="B17" s="40">
        <v>63</v>
      </c>
      <c r="C17" s="24">
        <v>6513470</v>
      </c>
      <c r="D17" s="24">
        <v>15055560</v>
      </c>
      <c r="E17" s="24">
        <v>2296060</v>
      </c>
      <c r="F17" s="24">
        <v>3242250</v>
      </c>
      <c r="G17" s="24">
        <v>9759870</v>
      </c>
      <c r="H17" s="24">
        <v>5055670</v>
      </c>
      <c r="I17" s="24">
        <v>4736710</v>
      </c>
      <c r="J17" s="24">
        <v>5426780</v>
      </c>
      <c r="K17" s="24">
        <v>8498790</v>
      </c>
      <c r="L17" s="24">
        <v>3471190</v>
      </c>
      <c r="M17" s="24">
        <v>7419020</v>
      </c>
      <c r="N17" s="24">
        <v>11038740</v>
      </c>
      <c r="O17" s="24">
        <v>15117920</v>
      </c>
      <c r="Q17" s="37">
        <f t="shared" si="16"/>
        <v>540</v>
      </c>
      <c r="R17" s="37">
        <f t="shared" si="17"/>
        <v>1880</v>
      </c>
      <c r="S17" s="37">
        <f t="shared" si="15"/>
        <v>2480</v>
      </c>
      <c r="T17" s="37">
        <f t="shared" si="18"/>
        <v>1470</v>
      </c>
      <c r="U17" s="37">
        <f t="shared" si="19"/>
        <v>4960</v>
      </c>
      <c r="V17" s="37">
        <f t="shared" si="20"/>
        <v>3520</v>
      </c>
      <c r="W17" s="37">
        <f t="shared" si="21"/>
        <v>2370</v>
      </c>
      <c r="X17" s="37">
        <f t="shared" si="22"/>
        <v>4030</v>
      </c>
      <c r="Y17" s="37">
        <f t="shared" si="23"/>
        <v>5670</v>
      </c>
      <c r="Z17" s="37">
        <f t="shared" si="24"/>
        <v>2500</v>
      </c>
      <c r="AA17" s="37">
        <f t="shared" si="25"/>
        <v>3470</v>
      </c>
      <c r="AB17" s="37">
        <f t="shared" si="26"/>
        <v>6490</v>
      </c>
      <c r="AC17" s="37">
        <f t="shared" si="27"/>
        <v>12450</v>
      </c>
      <c r="AD17" s="35">
        <f t="shared" si="28"/>
        <v>51830</v>
      </c>
      <c r="AF17" s="20">
        <f t="shared" si="1"/>
        <v>2.7</v>
      </c>
      <c r="AG17" s="20">
        <f t="shared" si="2"/>
        <v>9.4</v>
      </c>
      <c r="AH17" s="20">
        <f t="shared" si="3"/>
        <v>12.4</v>
      </c>
      <c r="AI17" s="20">
        <f t="shared" si="4"/>
        <v>7.3500000000000005</v>
      </c>
      <c r="AJ17" s="20">
        <f t="shared" si="5"/>
        <v>24.8</v>
      </c>
      <c r="AK17" s="20">
        <f t="shared" si="6"/>
        <v>17.600000000000001</v>
      </c>
      <c r="AL17" s="20">
        <f t="shared" si="7"/>
        <v>11.85</v>
      </c>
      <c r="AM17" s="20">
        <f t="shared" si="8"/>
        <v>20.150000000000002</v>
      </c>
      <c r="AN17" s="20">
        <f t="shared" si="9"/>
        <v>28.35</v>
      </c>
      <c r="AO17" s="20">
        <f t="shared" si="10"/>
        <v>12.5</v>
      </c>
      <c r="AP17" s="20">
        <f t="shared" si="11"/>
        <v>17.350000000000001</v>
      </c>
      <c r="AQ17" s="20">
        <f t="shared" si="12"/>
        <v>32.450000000000003</v>
      </c>
      <c r="AR17" s="20">
        <f t="shared" si="13"/>
        <v>62.25</v>
      </c>
      <c r="AS17" s="35">
        <f t="shared" si="29"/>
        <v>259.14999999999998</v>
      </c>
      <c r="AU17" s="47">
        <v>402365</v>
      </c>
      <c r="AV17" s="37">
        <f t="shared" si="31"/>
        <v>2068</v>
      </c>
      <c r="AW17" s="35">
        <f t="shared" si="30"/>
        <v>4.1360000000000001</v>
      </c>
    </row>
    <row r="18" spans="1:49" x14ac:dyDescent="0.25">
      <c r="A18" s="23">
        <v>44208</v>
      </c>
      <c r="B18" s="40">
        <v>61</v>
      </c>
      <c r="C18" s="24">
        <v>6514010</v>
      </c>
      <c r="D18" s="24">
        <v>15057400</v>
      </c>
      <c r="E18" s="24">
        <v>2298490</v>
      </c>
      <c r="F18" s="24">
        <v>3243660</v>
      </c>
      <c r="G18" s="24">
        <v>9765020</v>
      </c>
      <c r="H18" s="24">
        <v>5059070</v>
      </c>
      <c r="I18" s="24">
        <v>4739040</v>
      </c>
      <c r="J18" s="24">
        <v>5430610</v>
      </c>
      <c r="K18" s="24">
        <v>8504390</v>
      </c>
      <c r="L18" s="24">
        <v>3473480</v>
      </c>
      <c r="M18" s="24">
        <v>7422390</v>
      </c>
      <c r="N18" s="24">
        <v>11045180</v>
      </c>
      <c r="O18" s="24">
        <v>15132310</v>
      </c>
      <c r="Q18" s="37">
        <f t="shared" si="16"/>
        <v>540</v>
      </c>
      <c r="R18" s="37">
        <f t="shared" si="17"/>
        <v>1840</v>
      </c>
      <c r="S18" s="37">
        <f t="shared" si="15"/>
        <v>2430</v>
      </c>
      <c r="T18" s="37">
        <f t="shared" si="18"/>
        <v>1410</v>
      </c>
      <c r="U18" s="37">
        <f t="shared" si="19"/>
        <v>5150</v>
      </c>
      <c r="V18" s="37">
        <f t="shared" si="20"/>
        <v>3400</v>
      </c>
      <c r="W18" s="37">
        <f t="shared" si="21"/>
        <v>2330</v>
      </c>
      <c r="X18" s="37">
        <f t="shared" si="22"/>
        <v>3830</v>
      </c>
      <c r="Y18" s="37">
        <f t="shared" si="23"/>
        <v>5600</v>
      </c>
      <c r="Z18" s="37">
        <f t="shared" si="24"/>
        <v>2290</v>
      </c>
      <c r="AA18" s="37">
        <f t="shared" si="25"/>
        <v>3370</v>
      </c>
      <c r="AB18" s="37">
        <f t="shared" si="26"/>
        <v>6440</v>
      </c>
      <c r="AC18" s="37">
        <f t="shared" si="27"/>
        <v>14390</v>
      </c>
      <c r="AD18" s="35">
        <f t="shared" si="28"/>
        <v>53020</v>
      </c>
      <c r="AF18" s="20">
        <f t="shared" si="1"/>
        <v>2.7</v>
      </c>
      <c r="AG18" s="20">
        <f t="shared" si="2"/>
        <v>9.2000000000000011</v>
      </c>
      <c r="AH18" s="20">
        <f t="shared" si="3"/>
        <v>12.15</v>
      </c>
      <c r="AI18" s="20">
        <f t="shared" si="4"/>
        <v>7.05</v>
      </c>
      <c r="AJ18" s="20">
        <f t="shared" si="5"/>
        <v>25.75</v>
      </c>
      <c r="AK18" s="20">
        <f t="shared" si="6"/>
        <v>17</v>
      </c>
      <c r="AL18" s="20">
        <f t="shared" si="7"/>
        <v>11.65</v>
      </c>
      <c r="AM18" s="20">
        <f t="shared" si="8"/>
        <v>19.150000000000002</v>
      </c>
      <c r="AN18" s="20">
        <f t="shared" si="9"/>
        <v>28</v>
      </c>
      <c r="AO18" s="20">
        <f t="shared" si="10"/>
        <v>11.450000000000001</v>
      </c>
      <c r="AP18" s="20">
        <f t="shared" si="11"/>
        <v>16.850000000000001</v>
      </c>
      <c r="AQ18" s="20">
        <f t="shared" si="12"/>
        <v>32.200000000000003</v>
      </c>
      <c r="AR18" s="20">
        <f t="shared" si="13"/>
        <v>71.95</v>
      </c>
      <c r="AS18" s="35">
        <f t="shared" si="29"/>
        <v>265.10000000000002</v>
      </c>
      <c r="AU18" s="47">
        <v>404205</v>
      </c>
      <c r="AV18" s="37">
        <f t="shared" si="31"/>
        <v>1840</v>
      </c>
      <c r="AW18" s="35">
        <f t="shared" si="30"/>
        <v>3.68</v>
      </c>
    </row>
    <row r="19" spans="1:49" x14ac:dyDescent="0.25">
      <c r="A19" s="23">
        <v>44209</v>
      </c>
      <c r="B19" s="40">
        <v>60</v>
      </c>
      <c r="C19" s="24">
        <v>6514550</v>
      </c>
      <c r="D19" s="24">
        <v>15059290</v>
      </c>
      <c r="E19" s="24">
        <v>2300110</v>
      </c>
      <c r="F19" s="24">
        <v>3246080</v>
      </c>
      <c r="G19" s="24">
        <v>9770250</v>
      </c>
      <c r="H19" s="24">
        <v>5062440</v>
      </c>
      <c r="I19" s="24">
        <v>4741450</v>
      </c>
      <c r="J19" s="24">
        <v>5434280</v>
      </c>
      <c r="K19" s="24">
        <v>8509790</v>
      </c>
      <c r="L19" s="24">
        <v>3475870</v>
      </c>
      <c r="M19" s="24">
        <v>7425930</v>
      </c>
      <c r="N19" s="24">
        <v>11051760</v>
      </c>
      <c r="O19" s="24">
        <v>15144410</v>
      </c>
      <c r="Q19" s="37">
        <f t="shared" si="16"/>
        <v>540</v>
      </c>
      <c r="R19" s="37">
        <f t="shared" si="17"/>
        <v>1890</v>
      </c>
      <c r="S19" s="37">
        <f t="shared" si="15"/>
        <v>1620</v>
      </c>
      <c r="T19" s="37">
        <f t="shared" si="18"/>
        <v>2420</v>
      </c>
      <c r="U19" s="37">
        <f t="shared" si="19"/>
        <v>5230</v>
      </c>
      <c r="V19" s="37">
        <f t="shared" si="20"/>
        <v>3370</v>
      </c>
      <c r="W19" s="37">
        <f t="shared" si="21"/>
        <v>2410</v>
      </c>
      <c r="X19" s="37">
        <f t="shared" si="22"/>
        <v>3670</v>
      </c>
      <c r="Y19" s="37">
        <f t="shared" si="23"/>
        <v>5400</v>
      </c>
      <c r="Z19" s="37">
        <f t="shared" si="24"/>
        <v>2390</v>
      </c>
      <c r="AA19" s="37">
        <f t="shared" si="25"/>
        <v>3540</v>
      </c>
      <c r="AB19" s="37">
        <f t="shared" si="26"/>
        <v>6580</v>
      </c>
      <c r="AC19" s="37">
        <f t="shared" si="27"/>
        <v>12100</v>
      </c>
      <c r="AD19" s="35">
        <f t="shared" si="28"/>
        <v>51160</v>
      </c>
      <c r="AF19" s="20">
        <f t="shared" si="1"/>
        <v>2.7</v>
      </c>
      <c r="AG19" s="20">
        <f t="shared" si="2"/>
        <v>9.4500000000000011</v>
      </c>
      <c r="AH19" s="20">
        <f t="shared" si="3"/>
        <v>8.1</v>
      </c>
      <c r="AI19" s="20">
        <f t="shared" si="4"/>
        <v>12.1</v>
      </c>
      <c r="AJ19" s="20">
        <f t="shared" si="5"/>
        <v>26.150000000000002</v>
      </c>
      <c r="AK19" s="20">
        <f t="shared" si="6"/>
        <v>16.850000000000001</v>
      </c>
      <c r="AL19" s="20">
        <f t="shared" si="7"/>
        <v>12.05</v>
      </c>
      <c r="AM19" s="20">
        <f t="shared" si="8"/>
        <v>18.350000000000001</v>
      </c>
      <c r="AN19" s="20">
        <f t="shared" si="9"/>
        <v>27</v>
      </c>
      <c r="AO19" s="20">
        <f t="shared" si="10"/>
        <v>11.950000000000001</v>
      </c>
      <c r="AP19" s="20">
        <f t="shared" si="11"/>
        <v>17.7</v>
      </c>
      <c r="AQ19" s="20">
        <f t="shared" si="12"/>
        <v>32.9</v>
      </c>
      <c r="AR19" s="20">
        <f t="shared" si="13"/>
        <v>60.5</v>
      </c>
      <c r="AS19" s="35">
        <f t="shared" si="29"/>
        <v>255.79999999999998</v>
      </c>
      <c r="AU19" s="47">
        <v>404489</v>
      </c>
      <c r="AV19" s="37">
        <f t="shared" si="31"/>
        <v>284</v>
      </c>
      <c r="AW19" s="35">
        <f t="shared" si="30"/>
        <v>0.56800000000000006</v>
      </c>
    </row>
    <row r="20" spans="1:49" x14ac:dyDescent="0.25">
      <c r="A20" s="23">
        <v>44210</v>
      </c>
      <c r="B20" s="40">
        <v>97</v>
      </c>
      <c r="C20" s="24">
        <v>6515110</v>
      </c>
      <c r="D20" s="24">
        <v>15061240</v>
      </c>
      <c r="E20" s="24">
        <v>2300140</v>
      </c>
      <c r="F20" s="24">
        <v>3250280</v>
      </c>
      <c r="G20" s="24">
        <v>9775840</v>
      </c>
      <c r="H20" s="24">
        <v>5065920</v>
      </c>
      <c r="I20" s="24">
        <v>4743920</v>
      </c>
      <c r="J20" s="24">
        <v>5438190</v>
      </c>
      <c r="K20" s="24">
        <v>8515670</v>
      </c>
      <c r="L20" s="24">
        <v>3478510</v>
      </c>
      <c r="M20" s="24">
        <v>7429740</v>
      </c>
      <c r="N20" s="24">
        <v>11058660</v>
      </c>
      <c r="O20" s="24">
        <v>15156840</v>
      </c>
      <c r="Q20" s="37">
        <f t="shared" si="16"/>
        <v>560</v>
      </c>
      <c r="R20" s="37">
        <f t="shared" si="17"/>
        <v>1950</v>
      </c>
      <c r="S20" s="37">
        <f t="shared" si="15"/>
        <v>30</v>
      </c>
      <c r="T20" s="37">
        <f t="shared" si="18"/>
        <v>4200</v>
      </c>
      <c r="U20" s="37">
        <f t="shared" si="19"/>
        <v>5590</v>
      </c>
      <c r="V20" s="37">
        <f t="shared" si="20"/>
        <v>3480</v>
      </c>
      <c r="W20" s="37">
        <f t="shared" si="21"/>
        <v>2470</v>
      </c>
      <c r="X20" s="37">
        <f t="shared" si="22"/>
        <v>3910</v>
      </c>
      <c r="Y20" s="37">
        <f t="shared" si="23"/>
        <v>5880</v>
      </c>
      <c r="Z20" s="37">
        <f t="shared" si="24"/>
        <v>2640</v>
      </c>
      <c r="AA20" s="37">
        <f t="shared" si="25"/>
        <v>3810</v>
      </c>
      <c r="AB20" s="37">
        <f t="shared" si="26"/>
        <v>6900</v>
      </c>
      <c r="AC20" s="37">
        <f t="shared" si="27"/>
        <v>12430</v>
      </c>
      <c r="AD20" s="35">
        <f t="shared" si="28"/>
        <v>53850</v>
      </c>
      <c r="AF20" s="20">
        <f t="shared" si="1"/>
        <v>2.8000000000000003</v>
      </c>
      <c r="AG20" s="20">
        <f t="shared" si="2"/>
        <v>9.75</v>
      </c>
      <c r="AH20" s="20">
        <f t="shared" si="3"/>
        <v>0.15</v>
      </c>
      <c r="AI20" s="20">
        <f t="shared" si="4"/>
        <v>21</v>
      </c>
      <c r="AJ20" s="20">
        <f t="shared" si="5"/>
        <v>27.95</v>
      </c>
      <c r="AK20" s="20">
        <f t="shared" si="6"/>
        <v>17.400000000000002</v>
      </c>
      <c r="AL20" s="20">
        <f t="shared" si="7"/>
        <v>12.35</v>
      </c>
      <c r="AM20" s="20">
        <f t="shared" si="8"/>
        <v>19.55</v>
      </c>
      <c r="AN20" s="20">
        <f t="shared" si="9"/>
        <v>29.400000000000002</v>
      </c>
      <c r="AO20" s="20">
        <f t="shared" si="10"/>
        <v>13.200000000000001</v>
      </c>
      <c r="AP20" s="20">
        <f t="shared" si="11"/>
        <v>19.05</v>
      </c>
      <c r="AQ20" s="20">
        <f t="shared" si="12"/>
        <v>34.5</v>
      </c>
      <c r="AR20" s="20">
        <f t="shared" si="13"/>
        <v>62.15</v>
      </c>
      <c r="AS20" s="35">
        <f t="shared" si="29"/>
        <v>269.25</v>
      </c>
      <c r="AU20" s="47">
        <v>407387</v>
      </c>
      <c r="AV20" s="37">
        <f t="shared" si="31"/>
        <v>2898</v>
      </c>
      <c r="AW20" s="35">
        <f t="shared" si="30"/>
        <v>5.7960000000000003</v>
      </c>
    </row>
    <row r="21" spans="1:49" x14ac:dyDescent="0.25">
      <c r="A21" s="23">
        <v>44211</v>
      </c>
      <c r="B21" s="40">
        <v>121</v>
      </c>
      <c r="C21" s="24">
        <v>6515640</v>
      </c>
      <c r="D21" s="24">
        <v>15063100</v>
      </c>
      <c r="E21" s="24">
        <v>2300160</v>
      </c>
      <c r="F21" s="24">
        <v>3254390</v>
      </c>
      <c r="G21" s="24">
        <v>9781270</v>
      </c>
      <c r="H21" s="24">
        <v>5069240</v>
      </c>
      <c r="I21" s="24">
        <v>4746290</v>
      </c>
      <c r="J21" s="24">
        <v>5442240</v>
      </c>
      <c r="K21" s="24">
        <v>8521660</v>
      </c>
      <c r="L21" s="24">
        <v>3481120</v>
      </c>
      <c r="M21" s="24">
        <v>7433480</v>
      </c>
      <c r="N21" s="24">
        <v>11065570</v>
      </c>
      <c r="O21" s="24">
        <v>15169080</v>
      </c>
      <c r="Q21" s="37">
        <f t="shared" si="16"/>
        <v>530</v>
      </c>
      <c r="R21" s="37">
        <f t="shared" si="17"/>
        <v>1860</v>
      </c>
      <c r="S21" s="37">
        <f t="shared" si="15"/>
        <v>20</v>
      </c>
      <c r="T21" s="37">
        <f t="shared" si="18"/>
        <v>4110</v>
      </c>
      <c r="U21" s="37">
        <f t="shared" si="19"/>
        <v>5430</v>
      </c>
      <c r="V21" s="37">
        <f t="shared" si="20"/>
        <v>3320</v>
      </c>
      <c r="W21" s="37">
        <f t="shared" si="21"/>
        <v>2370</v>
      </c>
      <c r="X21" s="37">
        <f t="shared" si="22"/>
        <v>4050</v>
      </c>
      <c r="Y21" s="37">
        <f t="shared" si="23"/>
        <v>5990</v>
      </c>
      <c r="Z21" s="37">
        <f t="shared" si="24"/>
        <v>2610</v>
      </c>
      <c r="AA21" s="37">
        <f t="shared" si="25"/>
        <v>3740</v>
      </c>
      <c r="AB21" s="37">
        <f t="shared" si="26"/>
        <v>6910</v>
      </c>
      <c r="AC21" s="37">
        <f t="shared" si="27"/>
        <v>12240</v>
      </c>
      <c r="AD21" s="35">
        <f t="shared" si="28"/>
        <v>53180</v>
      </c>
      <c r="AF21" s="20">
        <f t="shared" si="1"/>
        <v>2.65</v>
      </c>
      <c r="AG21" s="20">
        <f t="shared" si="2"/>
        <v>9.3000000000000007</v>
      </c>
      <c r="AH21" s="20">
        <f t="shared" si="3"/>
        <v>0.1</v>
      </c>
      <c r="AI21" s="20">
        <f t="shared" si="4"/>
        <v>20.55</v>
      </c>
      <c r="AJ21" s="20">
        <f t="shared" si="5"/>
        <v>27.150000000000002</v>
      </c>
      <c r="AK21" s="20">
        <f t="shared" si="6"/>
        <v>16.600000000000001</v>
      </c>
      <c r="AL21" s="20">
        <f t="shared" si="7"/>
        <v>11.85</v>
      </c>
      <c r="AM21" s="20">
        <f t="shared" si="8"/>
        <v>20.25</v>
      </c>
      <c r="AN21" s="20">
        <f t="shared" si="9"/>
        <v>29.95</v>
      </c>
      <c r="AO21" s="20">
        <f t="shared" si="10"/>
        <v>13.05</v>
      </c>
      <c r="AP21" s="20">
        <f t="shared" si="11"/>
        <v>18.7</v>
      </c>
      <c r="AQ21" s="20">
        <f t="shared" si="12"/>
        <v>34.550000000000004</v>
      </c>
      <c r="AR21" s="20">
        <f t="shared" si="13"/>
        <v>61.2</v>
      </c>
      <c r="AS21" s="35">
        <f t="shared" si="29"/>
        <v>265.89999999999998</v>
      </c>
      <c r="AU21" s="47">
        <v>409172</v>
      </c>
      <c r="AV21" s="37">
        <f t="shared" si="31"/>
        <v>1785</v>
      </c>
      <c r="AW21" s="35">
        <f t="shared" si="30"/>
        <v>3.5700000000000003</v>
      </c>
    </row>
    <row r="22" spans="1:49" x14ac:dyDescent="0.25">
      <c r="A22" s="23">
        <v>44212</v>
      </c>
      <c r="B22" s="40">
        <v>67</v>
      </c>
      <c r="C22" s="24">
        <v>6516180</v>
      </c>
      <c r="D22" s="24">
        <v>15064960</v>
      </c>
      <c r="E22" s="24">
        <v>2302020</v>
      </c>
      <c r="F22" s="24">
        <v>3256650</v>
      </c>
      <c r="G22" s="24">
        <v>9786850</v>
      </c>
      <c r="H22" s="24">
        <v>5072610</v>
      </c>
      <c r="I22" s="24">
        <v>4748660</v>
      </c>
      <c r="J22" s="44">
        <v>5446090</v>
      </c>
      <c r="K22" s="24">
        <v>8527690</v>
      </c>
      <c r="L22" s="24">
        <v>3483700</v>
      </c>
      <c r="M22" s="24">
        <v>7437220</v>
      </c>
      <c r="N22" s="24">
        <v>11072430</v>
      </c>
      <c r="O22" s="44">
        <v>15180550</v>
      </c>
      <c r="Q22" s="37">
        <f t="shared" si="16"/>
        <v>540</v>
      </c>
      <c r="R22" s="37">
        <f t="shared" si="17"/>
        <v>1860</v>
      </c>
      <c r="S22" s="37">
        <f t="shared" si="15"/>
        <v>1860</v>
      </c>
      <c r="T22" s="37">
        <f t="shared" si="18"/>
        <v>2260</v>
      </c>
      <c r="U22" s="37">
        <f t="shared" si="19"/>
        <v>5580</v>
      </c>
      <c r="V22" s="37">
        <f t="shared" si="20"/>
        <v>3370</v>
      </c>
      <c r="W22" s="37">
        <f t="shared" si="21"/>
        <v>2370</v>
      </c>
      <c r="X22" s="37">
        <f t="shared" si="22"/>
        <v>3850</v>
      </c>
      <c r="Y22" s="37">
        <f t="shared" si="23"/>
        <v>6030</v>
      </c>
      <c r="Z22" s="37">
        <f t="shared" si="24"/>
        <v>2580</v>
      </c>
      <c r="AA22" s="37">
        <f t="shared" si="25"/>
        <v>3740</v>
      </c>
      <c r="AB22" s="37">
        <f t="shared" si="26"/>
        <v>6860</v>
      </c>
      <c r="AC22" s="37">
        <f t="shared" si="27"/>
        <v>11470</v>
      </c>
      <c r="AD22" s="35">
        <f t="shared" si="28"/>
        <v>52370</v>
      </c>
      <c r="AF22" s="20">
        <f t="shared" si="1"/>
        <v>2.7</v>
      </c>
      <c r="AG22" s="20">
        <f t="shared" si="2"/>
        <v>9.3000000000000007</v>
      </c>
      <c r="AH22" s="20">
        <f t="shared" si="3"/>
        <v>9.3000000000000007</v>
      </c>
      <c r="AI22" s="20">
        <f t="shared" si="4"/>
        <v>11.3</v>
      </c>
      <c r="AJ22" s="20">
        <f t="shared" si="5"/>
        <v>27.900000000000002</v>
      </c>
      <c r="AK22" s="20">
        <f t="shared" si="6"/>
        <v>16.850000000000001</v>
      </c>
      <c r="AL22" s="20">
        <f t="shared" si="7"/>
        <v>11.85</v>
      </c>
      <c r="AM22" s="20">
        <f t="shared" si="8"/>
        <v>19.25</v>
      </c>
      <c r="AN22" s="20">
        <f t="shared" si="9"/>
        <v>30.150000000000002</v>
      </c>
      <c r="AO22" s="20">
        <f t="shared" si="10"/>
        <v>12.9</v>
      </c>
      <c r="AP22" s="20">
        <f t="shared" si="11"/>
        <v>18.7</v>
      </c>
      <c r="AQ22" s="20">
        <f t="shared" si="12"/>
        <v>34.300000000000004</v>
      </c>
      <c r="AR22" s="20">
        <f t="shared" si="13"/>
        <v>57.35</v>
      </c>
      <c r="AS22" s="35">
        <f t="shared" si="29"/>
        <v>261.85000000000002</v>
      </c>
      <c r="AU22" s="47">
        <v>411025</v>
      </c>
      <c r="AV22" s="37">
        <f t="shared" si="31"/>
        <v>1853</v>
      </c>
      <c r="AW22" s="35">
        <f t="shared" si="30"/>
        <v>3.706</v>
      </c>
    </row>
    <row r="23" spans="1:49" x14ac:dyDescent="0.25">
      <c r="A23" s="23">
        <v>44213</v>
      </c>
      <c r="B23" s="40">
        <v>38</v>
      </c>
      <c r="C23" s="24">
        <v>6516740</v>
      </c>
      <c r="D23" s="24">
        <v>15066870</v>
      </c>
      <c r="E23" s="24">
        <v>2304880</v>
      </c>
      <c r="F23" s="24">
        <v>3258120</v>
      </c>
      <c r="G23" s="24">
        <v>9792240</v>
      </c>
      <c r="H23" s="24">
        <v>5076020</v>
      </c>
      <c r="I23" s="24">
        <v>4751090</v>
      </c>
      <c r="J23" s="24">
        <v>5449820</v>
      </c>
      <c r="K23" s="24">
        <v>8533570</v>
      </c>
      <c r="L23" s="24">
        <v>3486310</v>
      </c>
      <c r="M23" s="24">
        <v>7440800</v>
      </c>
      <c r="N23" s="24">
        <v>11079370</v>
      </c>
      <c r="O23" s="24">
        <v>15191420</v>
      </c>
      <c r="Q23" s="37">
        <f t="shared" si="16"/>
        <v>560</v>
      </c>
      <c r="R23" s="37">
        <f t="shared" si="17"/>
        <v>1910</v>
      </c>
      <c r="S23" s="37">
        <f t="shared" si="15"/>
        <v>2860</v>
      </c>
      <c r="T23" s="37">
        <f t="shared" si="18"/>
        <v>1470</v>
      </c>
      <c r="U23" s="37">
        <f t="shared" si="19"/>
        <v>5390</v>
      </c>
      <c r="V23" s="37">
        <f t="shared" si="20"/>
        <v>3410</v>
      </c>
      <c r="W23" s="37">
        <f t="shared" si="21"/>
        <v>2430</v>
      </c>
      <c r="X23" s="37">
        <f t="shared" si="22"/>
        <v>3730</v>
      </c>
      <c r="Y23" s="37">
        <f t="shared" si="23"/>
        <v>5880</v>
      </c>
      <c r="Z23" s="37">
        <f t="shared" si="24"/>
        <v>2610</v>
      </c>
      <c r="AA23" s="37">
        <f t="shared" si="25"/>
        <v>3580</v>
      </c>
      <c r="AB23" s="37">
        <f t="shared" si="26"/>
        <v>6940</v>
      </c>
      <c r="AC23" s="37">
        <f t="shared" si="27"/>
        <v>10870</v>
      </c>
      <c r="AD23" s="35">
        <f t="shared" si="28"/>
        <v>51640</v>
      </c>
      <c r="AF23" s="20">
        <f t="shared" si="1"/>
        <v>2.8000000000000003</v>
      </c>
      <c r="AG23" s="20">
        <f t="shared" si="2"/>
        <v>9.5500000000000007</v>
      </c>
      <c r="AH23" s="20">
        <f t="shared" si="3"/>
        <v>14.3</v>
      </c>
      <c r="AI23" s="20">
        <f t="shared" si="4"/>
        <v>7.3500000000000005</v>
      </c>
      <c r="AJ23" s="20">
        <f t="shared" si="5"/>
        <v>26.95</v>
      </c>
      <c r="AK23" s="20">
        <f t="shared" si="6"/>
        <v>17.05</v>
      </c>
      <c r="AL23" s="20">
        <f t="shared" si="7"/>
        <v>12.15</v>
      </c>
      <c r="AM23" s="20">
        <f t="shared" si="8"/>
        <v>18.650000000000002</v>
      </c>
      <c r="AN23" s="20">
        <f t="shared" si="9"/>
        <v>29.400000000000002</v>
      </c>
      <c r="AO23" s="20">
        <f t="shared" si="10"/>
        <v>13.05</v>
      </c>
      <c r="AP23" s="20">
        <f t="shared" si="11"/>
        <v>17.900000000000002</v>
      </c>
      <c r="AQ23" s="20">
        <f t="shared" si="12"/>
        <v>34.700000000000003</v>
      </c>
      <c r="AR23" s="20">
        <f t="shared" si="13"/>
        <v>54.35</v>
      </c>
      <c r="AS23" s="35">
        <f t="shared" si="29"/>
        <v>258.20000000000005</v>
      </c>
      <c r="AU23" s="47">
        <v>412882</v>
      </c>
      <c r="AV23" s="37">
        <f t="shared" si="31"/>
        <v>1857</v>
      </c>
      <c r="AW23" s="35">
        <f t="shared" si="30"/>
        <v>3.714</v>
      </c>
    </row>
    <row r="24" spans="1:49" x14ac:dyDescent="0.25">
      <c r="A24" s="23">
        <v>44214</v>
      </c>
      <c r="B24" s="40">
        <v>53</v>
      </c>
      <c r="C24" s="24">
        <v>6517290</v>
      </c>
      <c r="D24" s="24">
        <v>15068780</v>
      </c>
      <c r="E24" s="24">
        <v>2307590</v>
      </c>
      <c r="F24" s="24">
        <v>3259570</v>
      </c>
      <c r="G24" s="24">
        <v>9797300</v>
      </c>
      <c r="H24" s="24">
        <v>5079350</v>
      </c>
      <c r="I24" s="24">
        <v>4753520</v>
      </c>
      <c r="J24" s="24">
        <v>5453740</v>
      </c>
      <c r="K24" s="24">
        <v>8539310</v>
      </c>
      <c r="L24" s="24">
        <v>3488930</v>
      </c>
      <c r="M24" s="24">
        <v>7444060</v>
      </c>
      <c r="N24" s="24">
        <v>11086220</v>
      </c>
      <c r="O24" s="24">
        <v>15203500</v>
      </c>
      <c r="Q24" s="37">
        <f t="shared" si="16"/>
        <v>550</v>
      </c>
      <c r="R24" s="37">
        <f t="shared" si="17"/>
        <v>1910</v>
      </c>
      <c r="S24" s="37">
        <f t="shared" si="15"/>
        <v>2710</v>
      </c>
      <c r="T24" s="37">
        <f t="shared" si="18"/>
        <v>1450</v>
      </c>
      <c r="U24" s="37">
        <f t="shared" si="19"/>
        <v>5060</v>
      </c>
      <c r="V24" s="37">
        <f t="shared" si="20"/>
        <v>3330</v>
      </c>
      <c r="W24" s="37">
        <f t="shared" si="21"/>
        <v>2430</v>
      </c>
      <c r="X24" s="37">
        <f t="shared" si="22"/>
        <v>3920</v>
      </c>
      <c r="Y24" s="37">
        <f t="shared" si="23"/>
        <v>5740</v>
      </c>
      <c r="Z24" s="37">
        <f t="shared" si="24"/>
        <v>2620</v>
      </c>
      <c r="AA24" s="37">
        <f t="shared" si="25"/>
        <v>3260</v>
      </c>
      <c r="AB24" s="37">
        <f t="shared" si="26"/>
        <v>6850</v>
      </c>
      <c r="AC24" s="37">
        <f t="shared" si="27"/>
        <v>12080</v>
      </c>
      <c r="AD24" s="35">
        <f t="shared" si="28"/>
        <v>51910</v>
      </c>
      <c r="AF24" s="20">
        <f t="shared" si="1"/>
        <v>2.75</v>
      </c>
      <c r="AG24" s="20">
        <f t="shared" si="2"/>
        <v>9.5500000000000007</v>
      </c>
      <c r="AH24" s="20">
        <f t="shared" si="3"/>
        <v>13.55</v>
      </c>
      <c r="AI24" s="20">
        <f t="shared" si="4"/>
        <v>7.25</v>
      </c>
      <c r="AJ24" s="20">
        <f t="shared" si="5"/>
        <v>25.3</v>
      </c>
      <c r="AK24" s="20">
        <f t="shared" si="6"/>
        <v>16.649999999999999</v>
      </c>
      <c r="AL24" s="20">
        <f t="shared" si="7"/>
        <v>12.15</v>
      </c>
      <c r="AM24" s="20">
        <f t="shared" si="8"/>
        <v>19.600000000000001</v>
      </c>
      <c r="AN24" s="20">
        <f t="shared" si="9"/>
        <v>28.7</v>
      </c>
      <c r="AO24" s="20">
        <f t="shared" si="10"/>
        <v>13.1</v>
      </c>
      <c r="AP24" s="20">
        <f t="shared" si="11"/>
        <v>16.3</v>
      </c>
      <c r="AQ24" s="20">
        <f t="shared" si="12"/>
        <v>34.25</v>
      </c>
      <c r="AR24" s="20">
        <f t="shared" si="13"/>
        <v>60.4</v>
      </c>
      <c r="AS24" s="35">
        <f t="shared" si="29"/>
        <v>259.55</v>
      </c>
      <c r="AU24" s="47">
        <v>414410</v>
      </c>
      <c r="AV24" s="37">
        <f t="shared" si="31"/>
        <v>1528</v>
      </c>
      <c r="AW24" s="35">
        <f t="shared" si="30"/>
        <v>3.056</v>
      </c>
    </row>
    <row r="25" spans="1:49" x14ac:dyDescent="0.25">
      <c r="A25" s="23">
        <v>44215</v>
      </c>
      <c r="B25" s="40">
        <v>47</v>
      </c>
      <c r="C25" s="24">
        <v>6517810</v>
      </c>
      <c r="D25" s="24">
        <v>15070590</v>
      </c>
      <c r="E25" s="24">
        <v>2310110</v>
      </c>
      <c r="F25" s="24">
        <v>3261090</v>
      </c>
      <c r="G25" s="24">
        <v>9802170</v>
      </c>
      <c r="H25" s="24">
        <v>5082460</v>
      </c>
      <c r="I25" s="24">
        <v>4755850</v>
      </c>
      <c r="J25" s="24">
        <v>5457570</v>
      </c>
      <c r="K25" s="24">
        <v>8544550</v>
      </c>
      <c r="L25" s="24">
        <v>3491420</v>
      </c>
      <c r="M25" s="24">
        <v>7447230</v>
      </c>
      <c r="N25" s="24">
        <v>11092870</v>
      </c>
      <c r="O25" s="24">
        <v>15213970</v>
      </c>
      <c r="Q25" s="37">
        <f t="shared" ref="Q25:AC27" si="33">IF((C25-C24&lt;0), "0",C25-C24)</f>
        <v>520</v>
      </c>
      <c r="R25" s="37">
        <f t="shared" si="33"/>
        <v>1810</v>
      </c>
      <c r="S25" s="37">
        <f t="shared" si="33"/>
        <v>2520</v>
      </c>
      <c r="T25" s="37">
        <f t="shared" si="33"/>
        <v>1520</v>
      </c>
      <c r="U25" s="37">
        <f t="shared" si="33"/>
        <v>4870</v>
      </c>
      <c r="V25" s="37">
        <f t="shared" si="33"/>
        <v>3110</v>
      </c>
      <c r="W25" s="37">
        <f t="shared" si="33"/>
        <v>2330</v>
      </c>
      <c r="X25" s="37">
        <f t="shared" si="33"/>
        <v>3830</v>
      </c>
      <c r="Y25" s="37">
        <f t="shared" si="33"/>
        <v>5240</v>
      </c>
      <c r="Z25" s="37">
        <f t="shared" si="33"/>
        <v>2490</v>
      </c>
      <c r="AA25" s="37">
        <f t="shared" si="33"/>
        <v>3170</v>
      </c>
      <c r="AB25" s="37">
        <f t="shared" si="33"/>
        <v>6650</v>
      </c>
      <c r="AC25" s="37">
        <f t="shared" si="33"/>
        <v>10470</v>
      </c>
      <c r="AD25" s="35">
        <f t="shared" si="28"/>
        <v>48530</v>
      </c>
      <c r="AF25" s="20">
        <f t="shared" si="1"/>
        <v>2.6</v>
      </c>
      <c r="AG25" s="20">
        <f t="shared" si="2"/>
        <v>9.0500000000000007</v>
      </c>
      <c r="AH25" s="20">
        <f t="shared" si="3"/>
        <v>12.6</v>
      </c>
      <c r="AI25" s="20">
        <f t="shared" si="4"/>
        <v>7.6000000000000005</v>
      </c>
      <c r="AJ25" s="20">
        <f t="shared" si="5"/>
        <v>24.35</v>
      </c>
      <c r="AK25" s="20">
        <f t="shared" si="6"/>
        <v>15.55</v>
      </c>
      <c r="AL25" s="20">
        <f t="shared" si="7"/>
        <v>11.65</v>
      </c>
      <c r="AM25" s="20">
        <f t="shared" si="8"/>
        <v>19.150000000000002</v>
      </c>
      <c r="AN25" s="20">
        <f t="shared" si="9"/>
        <v>26.2</v>
      </c>
      <c r="AO25" s="20">
        <f t="shared" si="10"/>
        <v>12.450000000000001</v>
      </c>
      <c r="AP25" s="20">
        <f t="shared" si="11"/>
        <v>15.85</v>
      </c>
      <c r="AQ25" s="20">
        <f t="shared" si="12"/>
        <v>33.25</v>
      </c>
      <c r="AR25" s="20">
        <f t="shared" si="13"/>
        <v>52.35</v>
      </c>
      <c r="AS25" s="35">
        <f t="shared" si="29"/>
        <v>242.64999999999998</v>
      </c>
      <c r="AU25" s="47">
        <v>416189</v>
      </c>
      <c r="AV25" s="37">
        <f t="shared" si="31"/>
        <v>1779</v>
      </c>
      <c r="AW25" s="35">
        <f t="shared" si="30"/>
        <v>3.5580000000000003</v>
      </c>
    </row>
    <row r="26" spans="1:49" x14ac:dyDescent="0.25">
      <c r="A26" s="23">
        <v>44216</v>
      </c>
      <c r="B26" s="40">
        <v>55</v>
      </c>
      <c r="C26" s="24">
        <v>6518360</v>
      </c>
      <c r="D26" s="24">
        <v>15072480</v>
      </c>
      <c r="E26" s="24">
        <v>2312740</v>
      </c>
      <c r="F26" s="24">
        <v>3262520</v>
      </c>
      <c r="G26" s="24">
        <v>9807050</v>
      </c>
      <c r="H26" s="24">
        <v>5085610</v>
      </c>
      <c r="I26" s="24">
        <v>4758230</v>
      </c>
      <c r="J26" s="24">
        <v>5461730</v>
      </c>
      <c r="K26" s="24">
        <v>8550180</v>
      </c>
      <c r="L26" s="24">
        <v>3494010</v>
      </c>
      <c r="M26" s="24">
        <v>7450550</v>
      </c>
      <c r="N26" s="24">
        <v>11099590</v>
      </c>
      <c r="O26" s="24">
        <v>15225120</v>
      </c>
      <c r="Q26" s="37">
        <f t="shared" si="33"/>
        <v>550</v>
      </c>
      <c r="R26" s="37">
        <f t="shared" si="33"/>
        <v>1890</v>
      </c>
      <c r="S26" s="37">
        <f t="shared" si="33"/>
        <v>2630</v>
      </c>
      <c r="T26" s="37">
        <f t="shared" si="33"/>
        <v>1430</v>
      </c>
      <c r="U26" s="37">
        <f t="shared" si="33"/>
        <v>4880</v>
      </c>
      <c r="V26" s="37">
        <f t="shared" si="33"/>
        <v>3150</v>
      </c>
      <c r="W26" s="37">
        <f t="shared" si="33"/>
        <v>2380</v>
      </c>
      <c r="X26" s="37">
        <f t="shared" si="33"/>
        <v>4160</v>
      </c>
      <c r="Y26" s="37">
        <f t="shared" si="33"/>
        <v>5630</v>
      </c>
      <c r="Z26" s="37">
        <f t="shared" si="33"/>
        <v>2590</v>
      </c>
      <c r="AA26" s="37">
        <f t="shared" si="33"/>
        <v>3320</v>
      </c>
      <c r="AB26" s="37">
        <f t="shared" si="33"/>
        <v>6720</v>
      </c>
      <c r="AC26" s="37">
        <f t="shared" si="33"/>
        <v>11150</v>
      </c>
      <c r="AD26" s="35">
        <f t="shared" si="28"/>
        <v>50480</v>
      </c>
      <c r="AF26" s="20">
        <f t="shared" si="1"/>
        <v>2.75</v>
      </c>
      <c r="AG26" s="20">
        <f t="shared" si="2"/>
        <v>9.4500000000000011</v>
      </c>
      <c r="AH26" s="20">
        <f t="shared" si="3"/>
        <v>13.15</v>
      </c>
      <c r="AI26" s="20">
        <f t="shared" si="4"/>
        <v>7.15</v>
      </c>
      <c r="AJ26" s="20">
        <f t="shared" si="5"/>
        <v>24.400000000000002</v>
      </c>
      <c r="AK26" s="20">
        <f t="shared" si="6"/>
        <v>15.75</v>
      </c>
      <c r="AL26" s="20">
        <f t="shared" si="7"/>
        <v>11.9</v>
      </c>
      <c r="AM26" s="20">
        <f t="shared" si="8"/>
        <v>20.8</v>
      </c>
      <c r="AN26" s="20">
        <f t="shared" si="9"/>
        <v>28.150000000000002</v>
      </c>
      <c r="AO26" s="20">
        <f t="shared" si="10"/>
        <v>12.950000000000001</v>
      </c>
      <c r="AP26" s="20">
        <f t="shared" si="11"/>
        <v>16.600000000000001</v>
      </c>
      <c r="AQ26" s="20">
        <f t="shared" si="12"/>
        <v>33.6</v>
      </c>
      <c r="AR26" s="20">
        <f t="shared" si="13"/>
        <v>55.75</v>
      </c>
      <c r="AS26" s="35">
        <f t="shared" si="29"/>
        <v>252.39999999999998</v>
      </c>
      <c r="AU26" s="47">
        <v>417699</v>
      </c>
      <c r="AV26" s="37">
        <f t="shared" si="31"/>
        <v>1510</v>
      </c>
      <c r="AW26" s="35">
        <f t="shared" si="30"/>
        <v>3.02</v>
      </c>
    </row>
    <row r="27" spans="1:49" x14ac:dyDescent="0.25">
      <c r="A27" s="23">
        <v>44217</v>
      </c>
      <c r="B27" s="40">
        <v>110</v>
      </c>
      <c r="C27" s="24">
        <v>6518920</v>
      </c>
      <c r="D27" s="24">
        <v>15074420</v>
      </c>
      <c r="E27" s="24">
        <v>2315110</v>
      </c>
      <c r="F27" s="24">
        <v>3264120</v>
      </c>
      <c r="G27" s="24">
        <v>9812440</v>
      </c>
      <c r="H27" s="24">
        <v>5089150</v>
      </c>
      <c r="I27" s="24">
        <v>4760730</v>
      </c>
      <c r="J27" s="24">
        <v>5466280</v>
      </c>
      <c r="K27" s="24">
        <v>8556260</v>
      </c>
      <c r="L27" s="24">
        <v>3496670</v>
      </c>
      <c r="M27" s="24">
        <v>7454170</v>
      </c>
      <c r="N27" s="24">
        <v>11106450</v>
      </c>
      <c r="O27" s="24">
        <v>15239190</v>
      </c>
      <c r="Q27" s="37">
        <f t="shared" si="33"/>
        <v>560</v>
      </c>
      <c r="R27" s="37">
        <f t="shared" si="33"/>
        <v>1940</v>
      </c>
      <c r="S27" s="37">
        <f t="shared" si="33"/>
        <v>2370</v>
      </c>
      <c r="T27" s="37">
        <f t="shared" si="33"/>
        <v>1600</v>
      </c>
      <c r="U27" s="37">
        <f t="shared" si="33"/>
        <v>5390</v>
      </c>
      <c r="V27" s="37">
        <f t="shared" si="33"/>
        <v>3540</v>
      </c>
      <c r="W27" s="37">
        <f t="shared" si="33"/>
        <v>2500</v>
      </c>
      <c r="X27" s="37">
        <f t="shared" si="33"/>
        <v>4550</v>
      </c>
      <c r="Y27" s="37">
        <f t="shared" si="33"/>
        <v>6080</v>
      </c>
      <c r="Z27" s="37">
        <f t="shared" si="33"/>
        <v>2660</v>
      </c>
      <c r="AA27" s="37">
        <f t="shared" si="33"/>
        <v>3620</v>
      </c>
      <c r="AB27" s="37">
        <f t="shared" si="33"/>
        <v>6860</v>
      </c>
      <c r="AC27" s="37">
        <f t="shared" si="33"/>
        <v>14070</v>
      </c>
      <c r="AD27" s="35">
        <f t="shared" si="28"/>
        <v>55740</v>
      </c>
      <c r="AF27" s="20">
        <f t="shared" si="1"/>
        <v>2.8000000000000003</v>
      </c>
      <c r="AG27" s="20">
        <f t="shared" si="2"/>
        <v>9.7000000000000011</v>
      </c>
      <c r="AH27" s="20">
        <f t="shared" si="3"/>
        <v>11.85</v>
      </c>
      <c r="AI27" s="20">
        <f t="shared" si="4"/>
        <v>8</v>
      </c>
      <c r="AJ27" s="20">
        <f t="shared" si="5"/>
        <v>26.95</v>
      </c>
      <c r="AK27" s="20">
        <f t="shared" si="6"/>
        <v>17.7</v>
      </c>
      <c r="AL27" s="20">
        <f t="shared" si="7"/>
        <v>12.5</v>
      </c>
      <c r="AM27" s="20">
        <f t="shared" si="8"/>
        <v>22.75</v>
      </c>
      <c r="AN27" s="20">
        <f t="shared" si="9"/>
        <v>30.400000000000002</v>
      </c>
      <c r="AO27" s="20">
        <f t="shared" si="10"/>
        <v>13.3</v>
      </c>
      <c r="AP27" s="20">
        <f t="shared" si="11"/>
        <v>18.100000000000001</v>
      </c>
      <c r="AQ27" s="20">
        <f t="shared" si="12"/>
        <v>34.300000000000004</v>
      </c>
      <c r="AR27" s="20">
        <f t="shared" si="13"/>
        <v>70.350000000000009</v>
      </c>
      <c r="AS27" s="35">
        <f t="shared" si="29"/>
        <v>278.70000000000005</v>
      </c>
      <c r="AU27" s="47">
        <v>419239</v>
      </c>
      <c r="AV27" s="37">
        <f>IF((AU27-AU26&lt;0),"0",AU27-AU26)</f>
        <v>1540</v>
      </c>
      <c r="AW27" s="35">
        <f t="shared" si="30"/>
        <v>3.08</v>
      </c>
    </row>
    <row r="28" spans="1:49" x14ac:dyDescent="0.25">
      <c r="A28" s="23">
        <v>44218</v>
      </c>
      <c r="B28" s="40">
        <v>126</v>
      </c>
      <c r="C28" s="24">
        <v>6519450</v>
      </c>
      <c r="D28" s="24">
        <v>15076220</v>
      </c>
      <c r="E28" s="24">
        <v>2317390</v>
      </c>
      <c r="F28" s="24">
        <v>3265590</v>
      </c>
      <c r="G28" s="24">
        <v>9817990</v>
      </c>
      <c r="H28" s="24">
        <v>5092550</v>
      </c>
      <c r="I28" s="24">
        <v>4763010</v>
      </c>
      <c r="J28" s="24">
        <v>5470630</v>
      </c>
      <c r="K28" s="24">
        <v>8561920</v>
      </c>
      <c r="L28" s="24">
        <v>3499230</v>
      </c>
      <c r="M28" s="24">
        <v>7457670</v>
      </c>
      <c r="N28" s="24">
        <v>11113070</v>
      </c>
      <c r="O28" s="24">
        <v>15252730</v>
      </c>
      <c r="Q28" s="37">
        <f t="shared" si="16"/>
        <v>530</v>
      </c>
      <c r="R28" s="37">
        <f t="shared" si="17"/>
        <v>1800</v>
      </c>
      <c r="S28" s="37">
        <f t="shared" si="15"/>
        <v>2280</v>
      </c>
      <c r="T28" s="37">
        <f t="shared" si="18"/>
        <v>1470</v>
      </c>
      <c r="U28" s="37">
        <f t="shared" si="19"/>
        <v>5550</v>
      </c>
      <c r="V28" s="37">
        <f t="shared" si="20"/>
        <v>3400</v>
      </c>
      <c r="W28" s="37">
        <f t="shared" si="21"/>
        <v>2280</v>
      </c>
      <c r="X28" s="37">
        <f t="shared" si="22"/>
        <v>4350</v>
      </c>
      <c r="Y28" s="37">
        <f t="shared" si="23"/>
        <v>5660</v>
      </c>
      <c r="Z28" s="37">
        <f t="shared" si="24"/>
        <v>2560</v>
      </c>
      <c r="AA28" s="37">
        <f t="shared" si="25"/>
        <v>3500</v>
      </c>
      <c r="AB28" s="37">
        <f t="shared" si="26"/>
        <v>6620</v>
      </c>
      <c r="AC28" s="37">
        <f t="shared" si="27"/>
        <v>13540</v>
      </c>
      <c r="AD28" s="35">
        <f t="shared" si="28"/>
        <v>53540</v>
      </c>
      <c r="AF28" s="20">
        <f t="shared" si="1"/>
        <v>2.65</v>
      </c>
      <c r="AG28" s="20">
        <f t="shared" si="2"/>
        <v>9</v>
      </c>
      <c r="AH28" s="20">
        <f t="shared" si="3"/>
        <v>11.4</v>
      </c>
      <c r="AI28" s="20">
        <f t="shared" si="4"/>
        <v>7.3500000000000005</v>
      </c>
      <c r="AJ28" s="20">
        <f t="shared" si="5"/>
        <v>27.75</v>
      </c>
      <c r="AK28" s="20">
        <f t="shared" si="6"/>
        <v>17</v>
      </c>
      <c r="AL28" s="20">
        <f t="shared" si="7"/>
        <v>11.4</v>
      </c>
      <c r="AM28" s="20">
        <f t="shared" si="8"/>
        <v>21.75</v>
      </c>
      <c r="AN28" s="20">
        <f t="shared" si="9"/>
        <v>28.3</v>
      </c>
      <c r="AO28" s="20">
        <f t="shared" si="10"/>
        <v>12.8</v>
      </c>
      <c r="AP28" s="20">
        <f t="shared" si="11"/>
        <v>17.5</v>
      </c>
      <c r="AQ28" s="20">
        <f t="shared" si="12"/>
        <v>33.1</v>
      </c>
      <c r="AR28" s="20">
        <f t="shared" si="13"/>
        <v>67.7</v>
      </c>
      <c r="AS28" s="35">
        <f t="shared" si="29"/>
        <v>267.70000000000005</v>
      </c>
      <c r="AU28" s="47">
        <v>421189</v>
      </c>
      <c r="AV28" s="37">
        <f>IF((AU28-AU27&lt;0),"0",AU28-AU27)</f>
        <v>1950</v>
      </c>
      <c r="AW28" s="35">
        <f t="shared" si="30"/>
        <v>3.9</v>
      </c>
    </row>
    <row r="29" spans="1:49" x14ac:dyDescent="0.25">
      <c r="A29" s="23">
        <v>44219</v>
      </c>
      <c r="B29" s="40">
        <v>68</v>
      </c>
      <c r="C29" s="24">
        <v>6519990</v>
      </c>
      <c r="D29" s="24">
        <v>15078090</v>
      </c>
      <c r="E29" s="24">
        <v>2319680</v>
      </c>
      <c r="F29" s="24">
        <v>3266910</v>
      </c>
      <c r="G29" s="24">
        <v>9823640</v>
      </c>
      <c r="H29" s="24">
        <v>5095980</v>
      </c>
      <c r="I29" s="24">
        <v>4765350</v>
      </c>
      <c r="J29" s="24">
        <v>5475020</v>
      </c>
      <c r="K29" s="24">
        <v>8567560</v>
      </c>
      <c r="L29" s="24">
        <v>3501890</v>
      </c>
      <c r="M29" s="24">
        <v>7461310</v>
      </c>
      <c r="N29" s="24">
        <v>11120110</v>
      </c>
      <c r="O29" s="24">
        <v>15266750</v>
      </c>
      <c r="Q29" s="37">
        <f t="shared" si="16"/>
        <v>540</v>
      </c>
      <c r="R29" s="37">
        <f t="shared" si="17"/>
        <v>1870</v>
      </c>
      <c r="S29" s="37">
        <f t="shared" si="15"/>
        <v>2290</v>
      </c>
      <c r="T29" s="37">
        <f t="shared" si="18"/>
        <v>1320</v>
      </c>
      <c r="U29" s="37">
        <f t="shared" si="19"/>
        <v>5650</v>
      </c>
      <c r="V29" s="37">
        <f t="shared" si="20"/>
        <v>3430</v>
      </c>
      <c r="W29" s="37">
        <f t="shared" si="21"/>
        <v>2340</v>
      </c>
      <c r="X29" s="37">
        <f t="shared" si="22"/>
        <v>4390</v>
      </c>
      <c r="Y29" s="37">
        <f t="shared" si="23"/>
        <v>5640</v>
      </c>
      <c r="Z29" s="37">
        <f t="shared" si="24"/>
        <v>2660</v>
      </c>
      <c r="AA29" s="37">
        <f t="shared" si="25"/>
        <v>3640</v>
      </c>
      <c r="AB29" s="37">
        <f t="shared" si="26"/>
        <v>7040</v>
      </c>
      <c r="AC29" s="37">
        <f t="shared" si="27"/>
        <v>14020</v>
      </c>
      <c r="AD29" s="35">
        <f t="shared" si="28"/>
        <v>54830</v>
      </c>
      <c r="AF29" s="20">
        <f t="shared" si="1"/>
        <v>2.7</v>
      </c>
      <c r="AG29" s="20">
        <f t="shared" si="2"/>
        <v>9.35</v>
      </c>
      <c r="AH29" s="20">
        <f t="shared" si="3"/>
        <v>11.450000000000001</v>
      </c>
      <c r="AI29" s="20">
        <f t="shared" si="4"/>
        <v>6.6000000000000005</v>
      </c>
      <c r="AJ29" s="20">
        <f t="shared" si="5"/>
        <v>28.25</v>
      </c>
      <c r="AK29" s="20">
        <f t="shared" si="6"/>
        <v>17.150000000000002</v>
      </c>
      <c r="AL29" s="20">
        <f t="shared" si="7"/>
        <v>11.700000000000001</v>
      </c>
      <c r="AM29" s="20">
        <f t="shared" si="8"/>
        <v>21.95</v>
      </c>
      <c r="AN29" s="20">
        <f t="shared" si="9"/>
        <v>28.2</v>
      </c>
      <c r="AO29" s="20">
        <f t="shared" si="10"/>
        <v>13.3</v>
      </c>
      <c r="AP29" s="20">
        <f t="shared" si="11"/>
        <v>18.2</v>
      </c>
      <c r="AQ29" s="20">
        <f t="shared" si="12"/>
        <v>35.200000000000003</v>
      </c>
      <c r="AR29" s="20">
        <f t="shared" si="13"/>
        <v>70.100000000000009</v>
      </c>
      <c r="AS29" s="35">
        <f t="shared" si="29"/>
        <v>274.15000000000003</v>
      </c>
      <c r="AU29" s="47">
        <v>422856</v>
      </c>
      <c r="AV29" s="37">
        <f t="shared" ref="AV29:AV35" si="34">IF((AU29-AU28&lt;0),"0",AU29-AU28)</f>
        <v>1667</v>
      </c>
      <c r="AW29" s="35">
        <f t="shared" si="30"/>
        <v>3.3340000000000001</v>
      </c>
    </row>
    <row r="30" spans="1:49" x14ac:dyDescent="0.25">
      <c r="A30" s="23">
        <v>44220</v>
      </c>
      <c r="B30" s="40">
        <v>85</v>
      </c>
      <c r="C30" s="24">
        <v>6520530</v>
      </c>
      <c r="D30" s="24">
        <v>15079950</v>
      </c>
      <c r="E30" s="24">
        <v>2322000</v>
      </c>
      <c r="F30" s="24">
        <v>3268330</v>
      </c>
      <c r="G30" s="24">
        <v>9829020</v>
      </c>
      <c r="H30" s="24">
        <v>5099240</v>
      </c>
      <c r="I30" s="24">
        <v>4767710</v>
      </c>
      <c r="J30" s="24">
        <v>5479130</v>
      </c>
      <c r="K30" s="24">
        <v>8572760</v>
      </c>
      <c r="L30" s="24">
        <v>3504390</v>
      </c>
      <c r="M30" s="24">
        <v>7464790</v>
      </c>
      <c r="N30" s="24">
        <v>11126920</v>
      </c>
      <c r="O30" s="24">
        <v>15279070</v>
      </c>
      <c r="Q30" s="37">
        <f t="shared" si="16"/>
        <v>540</v>
      </c>
      <c r="R30" s="37">
        <f t="shared" si="17"/>
        <v>1860</v>
      </c>
      <c r="S30" s="37">
        <f t="shared" si="15"/>
        <v>2320</v>
      </c>
      <c r="T30" s="37">
        <f t="shared" si="18"/>
        <v>1420</v>
      </c>
      <c r="U30" s="37">
        <f t="shared" si="19"/>
        <v>5380</v>
      </c>
      <c r="V30" s="37">
        <f t="shared" si="20"/>
        <v>3260</v>
      </c>
      <c r="W30" s="37">
        <f t="shared" si="21"/>
        <v>2360</v>
      </c>
      <c r="X30" s="37">
        <f t="shared" si="22"/>
        <v>4110</v>
      </c>
      <c r="Y30" s="37">
        <f t="shared" si="23"/>
        <v>5200</v>
      </c>
      <c r="Z30" s="37">
        <f t="shared" si="24"/>
        <v>2500</v>
      </c>
      <c r="AA30" s="37">
        <f t="shared" si="25"/>
        <v>3480</v>
      </c>
      <c r="AB30" s="37">
        <f t="shared" si="26"/>
        <v>6810</v>
      </c>
      <c r="AC30" s="37">
        <f t="shared" si="27"/>
        <v>12320</v>
      </c>
      <c r="AD30" s="35">
        <f t="shared" si="28"/>
        <v>51560</v>
      </c>
      <c r="AF30" s="20">
        <f t="shared" si="1"/>
        <v>2.7</v>
      </c>
      <c r="AG30" s="20">
        <f t="shared" si="2"/>
        <v>9.3000000000000007</v>
      </c>
      <c r="AH30" s="20">
        <f t="shared" si="3"/>
        <v>11.6</v>
      </c>
      <c r="AI30" s="20">
        <f t="shared" si="4"/>
        <v>7.1000000000000005</v>
      </c>
      <c r="AJ30" s="20">
        <f t="shared" si="5"/>
        <v>26.900000000000002</v>
      </c>
      <c r="AK30" s="20">
        <f t="shared" si="6"/>
        <v>16.3</v>
      </c>
      <c r="AL30" s="20">
        <f t="shared" si="7"/>
        <v>11.8</v>
      </c>
      <c r="AM30" s="20">
        <f t="shared" si="8"/>
        <v>20.55</v>
      </c>
      <c r="AN30" s="20">
        <f t="shared" si="9"/>
        <v>26</v>
      </c>
      <c r="AO30" s="20">
        <f t="shared" si="10"/>
        <v>12.5</v>
      </c>
      <c r="AP30" s="20">
        <f t="shared" si="11"/>
        <v>17.400000000000002</v>
      </c>
      <c r="AQ30" s="20">
        <f t="shared" si="12"/>
        <v>34.049999999999997</v>
      </c>
      <c r="AR30" s="20">
        <f t="shared" si="13"/>
        <v>61.6</v>
      </c>
      <c r="AS30" s="35">
        <f t="shared" si="29"/>
        <v>257.8</v>
      </c>
      <c r="AU30" s="47">
        <v>424158</v>
      </c>
      <c r="AV30" s="37">
        <f t="shared" si="34"/>
        <v>1302</v>
      </c>
      <c r="AW30" s="35">
        <f t="shared" si="30"/>
        <v>2.6040000000000001</v>
      </c>
    </row>
    <row r="31" spans="1:49" x14ac:dyDescent="0.25">
      <c r="A31" s="23">
        <v>44221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 t="str">
        <f>IF((C31-C30&lt;0), "0",C31-C30)</f>
        <v>0</v>
      </c>
      <c r="R31" s="37" t="str">
        <f t="shared" si="17"/>
        <v>0</v>
      </c>
      <c r="S31" s="37" t="str">
        <f t="shared" si="15"/>
        <v>0</v>
      </c>
      <c r="T31" s="37" t="str">
        <f t="shared" si="18"/>
        <v>0</v>
      </c>
      <c r="U31" s="37" t="str">
        <f t="shared" si="19"/>
        <v>0</v>
      </c>
      <c r="V31" s="37" t="str">
        <f t="shared" si="20"/>
        <v>0</v>
      </c>
      <c r="W31" s="37" t="str">
        <f t="shared" si="21"/>
        <v>0</v>
      </c>
      <c r="X31" s="37" t="str">
        <f t="shared" si="22"/>
        <v>0</v>
      </c>
      <c r="Y31" s="37" t="str">
        <f t="shared" si="23"/>
        <v>0</v>
      </c>
      <c r="Z31" s="37" t="str">
        <f t="shared" si="24"/>
        <v>0</v>
      </c>
      <c r="AA31" s="37" t="str">
        <f t="shared" si="25"/>
        <v>0</v>
      </c>
      <c r="AB31" s="37" t="str">
        <f t="shared" si="26"/>
        <v>0</v>
      </c>
      <c r="AC31" s="37" t="str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 t="str">
        <f t="shared" si="34"/>
        <v>0</v>
      </c>
      <c r="AW31" s="35">
        <f t="shared" si="30"/>
        <v>0</v>
      </c>
    </row>
    <row r="32" spans="1:49" x14ac:dyDescent="0.25">
      <c r="A32" s="23">
        <v>44222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44223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13120</v>
      </c>
      <c r="R38" s="30">
        <f t="shared" si="62"/>
        <v>45000</v>
      </c>
      <c r="S38" s="30">
        <f t="shared" si="62"/>
        <v>54670</v>
      </c>
      <c r="T38" s="30">
        <f t="shared" si="62"/>
        <v>42020</v>
      </c>
      <c r="U38" s="30">
        <f t="shared" si="62"/>
        <v>131300</v>
      </c>
      <c r="V38" s="30">
        <f t="shared" si="62"/>
        <v>81540</v>
      </c>
      <c r="W38" s="30">
        <f t="shared" si="62"/>
        <v>56820</v>
      </c>
      <c r="X38" s="30">
        <f t="shared" si="62"/>
        <v>94390</v>
      </c>
      <c r="Y38" s="30">
        <f t="shared" si="62"/>
        <v>135240</v>
      </c>
      <c r="Z38" s="30">
        <f t="shared" si="62"/>
        <v>62050</v>
      </c>
      <c r="AA38" s="30">
        <f t="shared" si="62"/>
        <v>85650</v>
      </c>
      <c r="AB38" s="30">
        <f t="shared" si="62"/>
        <v>161630</v>
      </c>
      <c r="AC38" s="30">
        <f t="shared" si="62"/>
        <v>283910</v>
      </c>
      <c r="AD38" s="35">
        <f t="shared" si="62"/>
        <v>1247340</v>
      </c>
      <c r="AF38" s="35">
        <f t="shared" ref="AF38:AS38" si="63">SUM(AF7:AF34)</f>
        <v>65.600000000000009</v>
      </c>
      <c r="AG38" s="35">
        <f t="shared" si="63"/>
        <v>225.00000000000006</v>
      </c>
      <c r="AH38" s="35">
        <f t="shared" si="63"/>
        <v>273.35000000000008</v>
      </c>
      <c r="AI38" s="35">
        <f t="shared" si="63"/>
        <v>210.09999999999997</v>
      </c>
      <c r="AJ38" s="35">
        <f t="shared" si="63"/>
        <v>656.5</v>
      </c>
      <c r="AK38" s="35">
        <f t="shared" si="63"/>
        <v>407.70000000000005</v>
      </c>
      <c r="AL38" s="35">
        <f t="shared" si="63"/>
        <v>284.10000000000002</v>
      </c>
      <c r="AM38" s="35">
        <f t="shared" si="63"/>
        <v>471.95</v>
      </c>
      <c r="AN38" s="35">
        <f t="shared" si="63"/>
        <v>676.19999999999993</v>
      </c>
      <c r="AO38" s="35">
        <f t="shared" si="63"/>
        <v>310.25</v>
      </c>
      <c r="AP38" s="35">
        <f t="shared" si="63"/>
        <v>428.25</v>
      </c>
      <c r="AQ38" s="35">
        <f t="shared" si="63"/>
        <v>808.15000000000009</v>
      </c>
      <c r="AR38" s="35">
        <f t="shared" si="63"/>
        <v>1419.5499999999997</v>
      </c>
      <c r="AS38" s="35">
        <f t="shared" si="63"/>
        <v>6236.7</v>
      </c>
      <c r="AU38" s="48"/>
      <c r="AV38" s="35">
        <f>SUM(AV7:AV34)</f>
        <v>41345</v>
      </c>
      <c r="AW38" s="35">
        <f>SUM(AW7:AW34)</f>
        <v>74.532000000000011</v>
      </c>
    </row>
    <row r="39" spans="1:49" x14ac:dyDescent="0.25">
      <c r="D39">
        <v>5.0000000000000001E-3</v>
      </c>
      <c r="AV39" s="36">
        <f>AV38*0.00378541*1000</f>
        <v>156507.77645</v>
      </c>
    </row>
    <row r="40" spans="1:49" x14ac:dyDescent="0.25">
      <c r="D40">
        <v>2E-3</v>
      </c>
      <c r="AV40">
        <f>AV39/31</f>
        <v>5048.6379500000003</v>
      </c>
    </row>
    <row r="41" spans="1:49" x14ac:dyDescent="0.25">
      <c r="AV41">
        <f>AV38*0.00378541</f>
        <v>156.50777644999999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2021-01-25T05:22:06Z</dcterms:modified>
</cp:coreProperties>
</file>