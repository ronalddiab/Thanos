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19\"/>
    </mc:Choice>
  </mc:AlternateContent>
  <xr:revisionPtr revIDLastSave="0" documentId="13_ncr:1_{40E0278E-A104-4BB8-86CB-C61426C8D8A4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Electricity!$B$1:$R$53</definedName>
    <definedName name="_xlnm.Print_Area" localSheetId="2">Water!$A$1:$H$35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2" i="4"/>
  <c r="O2" i="4"/>
  <c r="L3" i="4"/>
  <c r="L4" i="4"/>
  <c r="N4" i="4" s="1"/>
  <c r="L5" i="4"/>
  <c r="N5" i="4" s="1"/>
  <c r="L6" i="4"/>
  <c r="N6" i="4" s="1"/>
  <c r="L7" i="4"/>
  <c r="L8" i="4"/>
  <c r="L9" i="4"/>
  <c r="L10" i="4"/>
  <c r="N10" i="4" s="1"/>
  <c r="L11" i="4"/>
  <c r="N11" i="4" s="1"/>
  <c r="L12" i="4"/>
  <c r="N12" i="4" s="1"/>
  <c r="L13" i="4"/>
  <c r="L14" i="4"/>
  <c r="L15" i="4"/>
  <c r="L16" i="4"/>
  <c r="N16" i="4" s="1"/>
  <c r="L17" i="4"/>
  <c r="N17" i="4" s="1"/>
  <c r="L18" i="4"/>
  <c r="N18" i="4" s="1"/>
  <c r="L19" i="4"/>
  <c r="L20" i="4"/>
  <c r="L21" i="4"/>
  <c r="L22" i="4"/>
  <c r="N22" i="4" s="1"/>
  <c r="L23" i="4"/>
  <c r="N23" i="4" s="1"/>
  <c r="L24" i="4"/>
  <c r="N24" i="4" s="1"/>
  <c r="L25" i="4"/>
  <c r="L26" i="4"/>
  <c r="L27" i="4"/>
  <c r="L28" i="4"/>
  <c r="N28" i="4" s="1"/>
  <c r="L29" i="4"/>
  <c r="N29" i="4" s="1"/>
  <c r="L30" i="4"/>
  <c r="N30" i="4" s="1"/>
  <c r="L31" i="4"/>
  <c r="L2" i="4"/>
  <c r="N2" i="4"/>
  <c r="N3" i="4"/>
  <c r="O3" i="4"/>
  <c r="O4" i="4" s="1"/>
  <c r="O5" i="4" s="1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N7" i="4"/>
  <c r="N8" i="4"/>
  <c r="N9" i="4"/>
  <c r="N13" i="4"/>
  <c r="N14" i="4"/>
  <c r="N15" i="4"/>
  <c r="N19" i="4"/>
  <c r="N20" i="4"/>
  <c r="N21" i="4"/>
  <c r="N25" i="4"/>
  <c r="N26" i="4"/>
  <c r="N27" i="4"/>
  <c r="N31" i="4"/>
  <c r="C8" i="1" l="1"/>
  <c r="C9" i="1"/>
  <c r="C10" i="1"/>
  <c r="C11" i="1"/>
  <c r="C12" i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7" i="1"/>
  <c r="D2" i="4"/>
  <c r="D3" i="4" s="1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6" i="2"/>
  <c r="E35" i="2" l="1"/>
  <c r="F35" i="2"/>
  <c r="E36" i="1"/>
  <c r="F36" i="1"/>
  <c r="G31" i="4" l="1"/>
  <c r="F31" i="4"/>
  <c r="G35" i="1" l="1"/>
  <c r="E31" i="4" s="1"/>
  <c r="H35" i="1"/>
  <c r="I35" i="1"/>
  <c r="J35" i="1" l="1"/>
  <c r="K35" i="1" s="1"/>
  <c r="L35" i="1" s="1"/>
  <c r="J31" i="4" s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35" i="2" l="1"/>
  <c r="G39" i="2" s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I6" i="1"/>
  <c r="H6" i="1"/>
  <c r="G34" i="1"/>
  <c r="E30" i="4" s="1"/>
  <c r="H34" i="1"/>
  <c r="I34" i="1"/>
  <c r="J34" i="1" l="1"/>
  <c r="K34" i="1" s="1"/>
  <c r="L34" i="1" l="1"/>
  <c r="J30" i="4" s="1"/>
  <c r="C36" i="1"/>
  <c r="G6" i="1"/>
  <c r="E2" i="4" l="1"/>
  <c r="G45" i="2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6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G36" i="1" l="1"/>
  <c r="I36" i="1"/>
  <c r="E3" i="4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K6" i="1" l="1"/>
  <c r="K36" i="1" s="1"/>
  <c r="J36" i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L6" i="1" l="1"/>
  <c r="L36" i="1" s="1"/>
  <c r="J2" i="4" l="1"/>
</calcChain>
</file>

<file path=xl/sharedStrings.xml><?xml version="1.0" encoding="utf-8"?>
<sst xmlns="http://schemas.openxmlformats.org/spreadsheetml/2006/main" count="115" uniqueCount="45">
  <si>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</si>
  <si>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</si>
  <si>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</si>
  <si>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</si>
  <si>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</si>
  <si>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</si>
  <si>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</si>
  <si>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</si>
  <si>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</si>
  <si>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</si>
  <si>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</si>
  <si>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</si>
  <si>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</si>
  <si>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</si>
  <si>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</si>
  <si>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</si>
  <si>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</si>
  <si>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</si>
  <si>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</si>
  <si>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</si>
  <si>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</si>
  <si>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</si>
  <si>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</si>
  <si>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</si>
  <si>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</si>
  <si>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</si>
  <si>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</si>
  <si>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</si>
  <si>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</si>
  <si>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</si>
  <si>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</si>
  <si>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</si>
  <si>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</si>
  <si>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</si>
  <si>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</si>
  <si>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</si>
  <si>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</si>
  <si>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Electricity Distribution 2019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</si>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</sst>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0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1" fontId="1" fillId="0" borderId="4" xfId="1" applyNumberFormat="1" applyFont="1" applyBorder="1" applyAlignment="1">
      <alignment horizontal="center"/>
    </xf>
    <xf numFmtId="1" fontId="1" fillId="2" borderId="4" xfId="1" applyNumberFormat="1" applyFont="1" applyFill="1" applyBorder="1" applyAlignment="1">
      <alignment horizont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37" fontId="1" fillId="0" borderId="4" xfId="1" applyNumberFormat="1" applyFont="1" applyBorder="1" applyAlignment="1">
      <alignment horizontal="center"/>
    </xf>
    <xf numFmtId="37" fontId="1" fillId="2" borderId="4" xfId="1" applyNumberFormat="1" applyFont="1" applyFill="1" applyBorder="1" applyAlignment="1">
      <alignment horizontal="center"/>
    </xf>
    <xf numFmtId="164" fontId="1" fillId="0" borderId="5" xfId="1" applyFont="1" applyBorder="1" applyAlignment="1">
      <alignment vertic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90" zoomScaleNormal="90" workbookViewId="0">
      <selection activeCell="K2" sqref="K2:K31"/>
    </sheetView>
  </sheetViews>
  <sheetFormatPr defaultColWidth="11.5703125" defaultRowHeight="15" x14ac:dyDescent="0.25"/>
  <cols>
    <col min="1" max="1" width="25.4257812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10" t="s">
        <v>24</v>
      </c>
      <c r="B1" s="111" t="s">
        <v>23</v>
      </c>
      <c r="C1" s="111" t="s">
        <v>22</v>
      </c>
      <c r="D1" s="112" t="s">
        <v>21</v>
      </c>
      <c r="E1" s="50" t="s">
        <v>20</v>
      </c>
      <c r="F1" s="50" t="s">
        <v>25</v>
      </c>
      <c r="G1" s="50" t="s">
        <v>26</v>
      </c>
      <c r="H1" s="50" t="s">
        <v>39</v>
      </c>
      <c r="I1" s="50" t="s">
        <v>40</v>
      </c>
      <c r="J1" s="51" t="s">
        <v>27</v>
      </c>
      <c r="K1" s="54" t="s">
        <v>41</v>
      </c>
      <c r="L1" s="54" t="s">
        <v>29</v>
      </c>
      <c r="M1" s="54" t="s">
        <v>42</v>
      </c>
      <c r="N1" s="54" t="s">
        <v>36</v>
      </c>
      <c r="O1" s="50" t="s">
        <v>43</v>
      </c>
    </row>
    <row r="2" spans="1:15" x14ac:dyDescent="0.25">
      <c r="A2" s="48" t="s">
        <v>44</v>
      </c>
      <c r="B2" s="45">
        <v>1</v>
      </c>
      <c r="C2" s="45">
        <v>9</v>
      </c>
      <c r="D2" s="45">
        <f>Water!D5</f>
        <v>2019</v>
      </c>
      <c r="E2" s="43">
        <f>Electricity!G6</f>
        <v>27239.999999998872</v>
      </c>
      <c r="F2" s="43">
        <f>Electricity!E6</f>
        <v>5960.0000000000364</v>
      </c>
      <c r="G2" s="43">
        <f>Electricity!F6</f>
        <v>21279.999999998836</v>
      </c>
      <c r="H2" s="47">
        <v>1553.67</v>
      </c>
      <c r="I2" s="57" t="s">
        <v>28</v>
      </c>
      <c r="J2" s="106">
        <f>Electricity!L6</f>
        <v>32052502.118398827</v>
      </c>
      <c r="K2" s="43">
        <f>J2/E2</f>
        <v>1176.6704155066136</v>
      </c>
      <c r="L2" s="43">
        <f>Water!G5</f>
        <v>208</v>
      </c>
      <c r="M2" s="58">
        <v>12550</v>
      </c>
      <c r="N2" s="106">
        <f>M2*L2</f>
        <v>2610400</v>
      </c>
      <c r="O2" s="43">
        <f>Electricity!C6</f>
        <v>164</v>
      </c>
    </row>
    <row r="3" spans="1:15" x14ac:dyDescent="0.25">
      <c r="A3" s="48" t="s">
        <v>44</v>
      </c>
      <c r="B3" s="45">
        <v>2</v>
      </c>
      <c r="C3" s="45">
        <v>9</v>
      </c>
      <c r="D3" s="45">
        <f>D2</f>
        <v>2019</v>
      </c>
      <c r="E3" s="43">
        <f>Electricity!G7</f>
        <v>25359.999999999673</v>
      </c>
      <c r="F3" s="43">
        <f>Electricity!E7</f>
        <v>3880.0000000001091</v>
      </c>
      <c r="G3" s="43">
        <f>Electricity!F7</f>
        <v>21479.999999999563</v>
      </c>
      <c r="H3" s="47">
        <v>1553.67</v>
      </c>
      <c r="I3" s="57" t="s">
        <v>28</v>
      </c>
      <c r="J3" s="106">
        <f>Electricity!L7</f>
        <v>28955437.055999711</v>
      </c>
      <c r="K3" s="43">
        <f t="shared" ref="K3:K31" si="0">J3/E3</f>
        <v>1141.7759091482683</v>
      </c>
      <c r="L3" s="43">
        <f>Water!G6</f>
        <v>407</v>
      </c>
      <c r="M3" s="58">
        <v>12550</v>
      </c>
      <c r="N3" s="106">
        <f t="shared" ref="N3:N31" si="1">M3*L3</f>
        <v>5107850</v>
      </c>
      <c r="O3" s="43">
        <f>O2</f>
        <v>164</v>
      </c>
    </row>
    <row r="4" spans="1:15" x14ac:dyDescent="0.25">
      <c r="A4" s="48" t="s">
        <v>44</v>
      </c>
      <c r="B4" s="45">
        <v>3</v>
      </c>
      <c r="C4" s="45">
        <v>9</v>
      </c>
      <c r="D4" s="45">
        <f t="shared" ref="D4:D31" si="2">D3</f>
        <v>2019</v>
      </c>
      <c r="E4" s="43">
        <f>Electricity!G8</f>
        <v>28160.000000000764</v>
      </c>
      <c r="F4" s="43">
        <f>Electricity!E8</f>
        <v>6439.9999999995998</v>
      </c>
      <c r="G4" s="43">
        <f>Electricity!F8</f>
        <v>21720.000000001164</v>
      </c>
      <c r="H4" s="47">
        <v>1553.67</v>
      </c>
      <c r="I4" s="57" t="s">
        <v>28</v>
      </c>
      <c r="J4" s="106">
        <f>Electricity!L8</f>
        <v>33282843.033600599</v>
      </c>
      <c r="K4" s="43">
        <f t="shared" si="0"/>
        <v>1181.9191418181711</v>
      </c>
      <c r="L4" s="43">
        <f>Water!G7</f>
        <v>328</v>
      </c>
      <c r="M4" s="58">
        <v>12550</v>
      </c>
      <c r="N4" s="106">
        <f t="shared" si="1"/>
        <v>4116400</v>
      </c>
      <c r="O4" s="43">
        <f t="shared" ref="N4:O31" si="3">O3</f>
        <v>164</v>
      </c>
    </row>
    <row r="5" spans="1:15" x14ac:dyDescent="0.25">
      <c r="A5" s="48" t="s">
        <v>44</v>
      </c>
      <c r="B5" s="45">
        <v>4</v>
      </c>
      <c r="C5" s="45">
        <v>9</v>
      </c>
      <c r="D5" s="45">
        <f t="shared" si="2"/>
        <v>2019</v>
      </c>
      <c r="E5" s="43">
        <f>Electricity!G9</f>
        <v>26760.000000001128</v>
      </c>
      <c r="F5" s="43">
        <f>Electricity!E9</f>
        <v>4880.0000000001091</v>
      </c>
      <c r="G5" s="43">
        <f>Electricity!F9</f>
        <v>21880.000000001019</v>
      </c>
      <c r="H5" s="47">
        <v>1553.67</v>
      </c>
      <c r="I5" s="57" t="s">
        <v>28</v>
      </c>
      <c r="J5" s="106">
        <f>Electricity!L9</f>
        <v>30970650.62400125</v>
      </c>
      <c r="K5" s="43">
        <f t="shared" si="0"/>
        <v>1157.3486780269038</v>
      </c>
      <c r="L5" s="43">
        <f>Water!G8</f>
        <v>263</v>
      </c>
      <c r="M5" s="58">
        <v>12550</v>
      </c>
      <c r="N5" s="106">
        <f t="shared" si="1"/>
        <v>3300650</v>
      </c>
      <c r="O5" s="43">
        <f t="shared" si="3"/>
        <v>164</v>
      </c>
    </row>
    <row r="6" spans="1:15" x14ac:dyDescent="0.25">
      <c r="A6" s="48" t="s">
        <v>44</v>
      </c>
      <c r="B6" s="45">
        <v>5</v>
      </c>
      <c r="C6" s="45">
        <v>9</v>
      </c>
      <c r="D6" s="45">
        <f t="shared" si="2"/>
        <v>2019</v>
      </c>
      <c r="E6" s="43">
        <f>Electricity!G10</f>
        <v>27480.000000000473</v>
      </c>
      <c r="F6" s="43">
        <f>Electricity!E10</f>
        <v>5480.0000000004729</v>
      </c>
      <c r="G6" s="43">
        <f>Electricity!F10</f>
        <v>22000</v>
      </c>
      <c r="H6" s="47">
        <v>1553.67</v>
      </c>
      <c r="I6" s="57" t="s">
        <v>28</v>
      </c>
      <c r="J6" s="106">
        <f>Electricity!L10</f>
        <v>32052502.118400753</v>
      </c>
      <c r="K6" s="43">
        <f t="shared" si="0"/>
        <v>1166.3938179912736</v>
      </c>
      <c r="L6" s="43">
        <f>Water!G9</f>
        <v>260</v>
      </c>
      <c r="M6" s="58">
        <v>12550</v>
      </c>
      <c r="N6" s="106">
        <f t="shared" si="1"/>
        <v>3263000</v>
      </c>
      <c r="O6" s="43">
        <f t="shared" si="3"/>
        <v>164</v>
      </c>
    </row>
    <row r="7" spans="1:15" x14ac:dyDescent="0.25">
      <c r="A7" s="48" t="s">
        <v>44</v>
      </c>
      <c r="B7" s="45">
        <v>6</v>
      </c>
      <c r="C7" s="45">
        <v>9</v>
      </c>
      <c r="D7" s="45">
        <f t="shared" si="2"/>
        <v>2019</v>
      </c>
      <c r="E7" s="43">
        <f>Electricity!G11</f>
        <v>27439.999999997781</v>
      </c>
      <c r="F7" s="43">
        <f>Electricity!E11</f>
        <v>5359.9999999996726</v>
      </c>
      <c r="G7" s="43">
        <f>Electricity!F11</f>
        <v>22079.999999998108</v>
      </c>
      <c r="H7" s="47">
        <v>1553.67</v>
      </c>
      <c r="I7" s="57" t="s">
        <v>28</v>
      </c>
      <c r="J7" s="106">
        <f>Electricity!L11</f>
        <v>31946438.246397469</v>
      </c>
      <c r="K7" s="43">
        <f t="shared" si="0"/>
        <v>1164.2287990670573</v>
      </c>
      <c r="L7" s="43">
        <f>Water!G10</f>
        <v>463</v>
      </c>
      <c r="M7" s="58">
        <v>12550</v>
      </c>
      <c r="N7" s="106">
        <f t="shared" si="1"/>
        <v>5810650</v>
      </c>
      <c r="O7" s="43">
        <f t="shared" si="3"/>
        <v>164</v>
      </c>
    </row>
    <row r="8" spans="1:15" x14ac:dyDescent="0.25">
      <c r="A8" s="48" t="s">
        <v>44</v>
      </c>
      <c r="B8" s="45">
        <v>7</v>
      </c>
      <c r="C8" s="45">
        <v>9</v>
      </c>
      <c r="D8" s="45">
        <f t="shared" si="2"/>
        <v>2019</v>
      </c>
      <c r="E8" s="43">
        <f>Electricity!G12</f>
        <v>26319.999999999709</v>
      </c>
      <c r="F8" s="43">
        <f>Electricity!E12</f>
        <v>4159.9999999998545</v>
      </c>
      <c r="G8" s="43">
        <f>Electricity!F12</f>
        <v>22159.999999999854</v>
      </c>
      <c r="H8" s="47">
        <v>1553.67</v>
      </c>
      <c r="I8" s="57" t="s">
        <v>28</v>
      </c>
      <c r="J8" s="106">
        <f>Electricity!L12</f>
        <v>30122139.647999611</v>
      </c>
      <c r="K8" s="43">
        <f t="shared" si="0"/>
        <v>1144.4581933130678</v>
      </c>
      <c r="L8" s="43">
        <f>Water!G11</f>
        <v>249</v>
      </c>
      <c r="M8" s="58">
        <v>12550</v>
      </c>
      <c r="N8" s="106">
        <f t="shared" si="1"/>
        <v>3124950</v>
      </c>
      <c r="O8" s="43">
        <f t="shared" si="3"/>
        <v>164</v>
      </c>
    </row>
    <row r="9" spans="1:15" x14ac:dyDescent="0.25">
      <c r="A9" s="48" t="s">
        <v>44</v>
      </c>
      <c r="B9" s="45">
        <v>8</v>
      </c>
      <c r="C9" s="45">
        <v>9</v>
      </c>
      <c r="D9" s="45">
        <f t="shared" si="2"/>
        <v>2019</v>
      </c>
      <c r="E9" s="43">
        <f>Electricity!G13</f>
        <v>27160.000000002583</v>
      </c>
      <c r="F9" s="43">
        <f>Electricity!E13</f>
        <v>5240.0000000006912</v>
      </c>
      <c r="G9" s="43">
        <f>Electricity!F13</f>
        <v>21920.000000001892</v>
      </c>
      <c r="H9" s="47">
        <v>1553.67</v>
      </c>
      <c r="I9" s="57" t="s">
        <v>28</v>
      </c>
      <c r="J9" s="106">
        <f>Electricity!L13</f>
        <v>31585821.081603102</v>
      </c>
      <c r="K9" s="43">
        <f t="shared" si="0"/>
        <v>1162.9536480706959</v>
      </c>
      <c r="L9" s="43">
        <f>Water!G12</f>
        <v>367</v>
      </c>
      <c r="M9" s="58">
        <v>12550</v>
      </c>
      <c r="N9" s="106">
        <f t="shared" si="1"/>
        <v>4605850</v>
      </c>
      <c r="O9" s="43">
        <f t="shared" si="3"/>
        <v>164</v>
      </c>
    </row>
    <row r="10" spans="1:15" x14ac:dyDescent="0.25">
      <c r="A10" s="48" t="s">
        <v>44</v>
      </c>
      <c r="B10" s="45">
        <v>9</v>
      </c>
      <c r="C10" s="45">
        <v>9</v>
      </c>
      <c r="D10" s="45">
        <f t="shared" si="2"/>
        <v>2019</v>
      </c>
      <c r="E10" s="43">
        <f>Electricity!G14</f>
        <v>27439.9999999996</v>
      </c>
      <c r="F10" s="43">
        <f>Electricity!E14</f>
        <v>5439.9999999995998</v>
      </c>
      <c r="G10" s="43">
        <f>Electricity!F14</f>
        <v>22000</v>
      </c>
      <c r="H10" s="47">
        <v>1553.67</v>
      </c>
      <c r="I10" s="57" t="s">
        <v>28</v>
      </c>
      <c r="J10" s="106">
        <f>Electricity!L14</f>
        <v>31988863.795199364</v>
      </c>
      <c r="K10" s="43">
        <f t="shared" si="0"/>
        <v>1165.7749196501395</v>
      </c>
      <c r="L10" s="43">
        <f>Water!G13</f>
        <v>384</v>
      </c>
      <c r="M10" s="58">
        <v>12550</v>
      </c>
      <c r="N10" s="106">
        <f t="shared" si="1"/>
        <v>4819200</v>
      </c>
      <c r="O10" s="43">
        <f t="shared" si="3"/>
        <v>164</v>
      </c>
    </row>
    <row r="11" spans="1:15" x14ac:dyDescent="0.25">
      <c r="A11" s="48" t="s">
        <v>44</v>
      </c>
      <c r="B11" s="45">
        <v>10</v>
      </c>
      <c r="C11" s="45">
        <v>9</v>
      </c>
      <c r="D11" s="45">
        <f t="shared" si="2"/>
        <v>2019</v>
      </c>
      <c r="E11" s="43">
        <f>Electricity!G15</f>
        <v>26679.999999998472</v>
      </c>
      <c r="F11" s="43">
        <f>Electricity!E15</f>
        <v>5239.9999999997817</v>
      </c>
      <c r="G11" s="43">
        <f>Electricity!F15</f>
        <v>21439.99999999869</v>
      </c>
      <c r="H11" s="47">
        <v>1553.67</v>
      </c>
      <c r="I11" s="57" t="s">
        <v>28</v>
      </c>
      <c r="J11" s="106">
        <f>Electricity!L15</f>
        <v>31076714.495998263</v>
      </c>
      <c r="K11" s="43">
        <f t="shared" si="0"/>
        <v>1164.7943964018007</v>
      </c>
      <c r="L11" s="43">
        <f>Water!G14</f>
        <v>248</v>
      </c>
      <c r="M11" s="58">
        <v>12550</v>
      </c>
      <c r="N11" s="106">
        <f t="shared" si="1"/>
        <v>3112400</v>
      </c>
      <c r="O11" s="43">
        <f t="shared" si="3"/>
        <v>164</v>
      </c>
    </row>
    <row r="12" spans="1:15" x14ac:dyDescent="0.25">
      <c r="A12" s="48" t="s">
        <v>44</v>
      </c>
      <c r="B12" s="45">
        <v>11</v>
      </c>
      <c r="C12" s="45">
        <v>9</v>
      </c>
      <c r="D12" s="45">
        <f t="shared" si="2"/>
        <v>2019</v>
      </c>
      <c r="E12" s="43">
        <f>Electricity!G16</f>
        <v>25959.999999999127</v>
      </c>
      <c r="F12" s="43">
        <f>Electricity!E16</f>
        <v>4840.0000000001455</v>
      </c>
      <c r="G12" s="43">
        <f>Electricity!F16</f>
        <v>21119.999999998981</v>
      </c>
      <c r="H12" s="47">
        <v>1553.67</v>
      </c>
      <c r="I12" s="57" t="s">
        <v>28</v>
      </c>
      <c r="J12" s="106">
        <f>Electricity!L16</f>
        <v>30100926.873599153</v>
      </c>
      <c r="K12" s="43">
        <f t="shared" si="0"/>
        <v>1159.5118210169555</v>
      </c>
      <c r="L12" s="43">
        <f>Water!G15</f>
        <v>403</v>
      </c>
      <c r="M12" s="58">
        <v>12550</v>
      </c>
      <c r="N12" s="106">
        <f t="shared" si="1"/>
        <v>5057650</v>
      </c>
      <c r="O12" s="43">
        <f t="shared" si="3"/>
        <v>164</v>
      </c>
    </row>
    <row r="13" spans="1:15" x14ac:dyDescent="0.25">
      <c r="A13" s="48" t="s">
        <v>44</v>
      </c>
      <c r="B13" s="45">
        <v>12</v>
      </c>
      <c r="C13" s="45">
        <v>9</v>
      </c>
      <c r="D13" s="45">
        <f t="shared" si="2"/>
        <v>2019</v>
      </c>
      <c r="E13" s="43">
        <f>Electricity!G17</f>
        <v>26320.000000000618</v>
      </c>
      <c r="F13" s="43">
        <f>Electricity!E17</f>
        <v>4960.0000000000364</v>
      </c>
      <c r="G13" s="43">
        <f>Electricity!F17</f>
        <v>21360.000000000582</v>
      </c>
      <c r="H13" s="47">
        <v>1553.67</v>
      </c>
      <c r="I13" s="57" t="s">
        <v>28</v>
      </c>
      <c r="J13" s="106">
        <f>Electricity!L17</f>
        <v>30546395.13600067</v>
      </c>
      <c r="K13" s="43">
        <f t="shared" si="0"/>
        <v>1160.5773227963507</v>
      </c>
      <c r="L13" s="43">
        <f>Water!G16</f>
        <v>339</v>
      </c>
      <c r="M13" s="58">
        <v>12550</v>
      </c>
      <c r="N13" s="106">
        <f t="shared" si="1"/>
        <v>4254450</v>
      </c>
      <c r="O13" s="43">
        <f t="shared" si="3"/>
        <v>164</v>
      </c>
    </row>
    <row r="14" spans="1:15" x14ac:dyDescent="0.25">
      <c r="A14" s="48" t="s">
        <v>44</v>
      </c>
      <c r="B14" s="45">
        <v>13</v>
      </c>
      <c r="C14" s="45">
        <v>9</v>
      </c>
      <c r="D14" s="45">
        <f t="shared" si="2"/>
        <v>2019</v>
      </c>
      <c r="E14" s="43">
        <f>Electricity!G18</f>
        <v>25000.000000000909</v>
      </c>
      <c r="F14" s="43">
        <f>Electricity!E18</f>
        <v>4640.0000000003274</v>
      </c>
      <c r="G14" s="43">
        <f>Electricity!F18</f>
        <v>20360.000000000582</v>
      </c>
      <c r="H14" s="47">
        <v>1553.67</v>
      </c>
      <c r="I14" s="57" t="s">
        <v>28</v>
      </c>
      <c r="J14" s="106">
        <f>Electricity!L18</f>
        <v>28976649.830401134</v>
      </c>
      <c r="K14" s="43">
        <f t="shared" si="0"/>
        <v>1159.0659932160031</v>
      </c>
      <c r="L14" s="43">
        <f>Water!G17</f>
        <v>589</v>
      </c>
      <c r="M14" s="58">
        <v>12550</v>
      </c>
      <c r="N14" s="106">
        <f t="shared" si="1"/>
        <v>7391950</v>
      </c>
      <c r="O14" s="43">
        <f t="shared" si="3"/>
        <v>164</v>
      </c>
    </row>
    <row r="15" spans="1:15" x14ac:dyDescent="0.25">
      <c r="A15" s="48" t="s">
        <v>44</v>
      </c>
      <c r="B15" s="45">
        <v>14</v>
      </c>
      <c r="C15" s="45">
        <v>9</v>
      </c>
      <c r="D15" s="45">
        <f t="shared" si="2"/>
        <v>2019</v>
      </c>
      <c r="E15" s="43">
        <f>Electricity!G19</f>
        <v>25960.000000000946</v>
      </c>
      <c r="F15" s="43">
        <f>Electricity!E19</f>
        <v>4239.9999999997817</v>
      </c>
      <c r="G15" s="43">
        <f>Electricity!F19</f>
        <v>21720.000000001164</v>
      </c>
      <c r="H15" s="47">
        <v>1553.67</v>
      </c>
      <c r="I15" s="57" t="s">
        <v>28</v>
      </c>
      <c r="J15" s="106">
        <f>Electricity!L19</f>
        <v>29782735.257600889</v>
      </c>
      <c r="K15" s="43">
        <f t="shared" si="0"/>
        <v>1147.254825023105</v>
      </c>
      <c r="L15" s="43">
        <f>Water!G18</f>
        <v>334</v>
      </c>
      <c r="M15" s="58">
        <v>12550</v>
      </c>
      <c r="N15" s="106">
        <f t="shared" si="1"/>
        <v>4191700</v>
      </c>
      <c r="O15" s="43">
        <f t="shared" si="3"/>
        <v>164</v>
      </c>
    </row>
    <row r="16" spans="1:15" x14ac:dyDescent="0.25">
      <c r="A16" s="48" t="s">
        <v>44</v>
      </c>
      <c r="B16" s="45">
        <v>15</v>
      </c>
      <c r="C16" s="45">
        <v>9</v>
      </c>
      <c r="D16" s="45">
        <f t="shared" si="2"/>
        <v>2019</v>
      </c>
      <c r="E16" s="43">
        <f>Electricity!G20</f>
        <v>25879.999999997381</v>
      </c>
      <c r="F16" s="43">
        <f>Electricity!E20</f>
        <v>5000</v>
      </c>
      <c r="G16" s="43">
        <f>Electricity!F20</f>
        <v>20879.999999997381</v>
      </c>
      <c r="H16" s="47">
        <v>1553.67</v>
      </c>
      <c r="I16" s="57" t="s">
        <v>28</v>
      </c>
      <c r="J16" s="106">
        <f>Electricity!L20</f>
        <v>30100926.87359722</v>
      </c>
      <c r="K16" s="43">
        <f t="shared" si="0"/>
        <v>1163.0960924884182</v>
      </c>
      <c r="L16" s="43">
        <f>Water!G19</f>
        <v>208</v>
      </c>
      <c r="M16" s="58">
        <v>12550</v>
      </c>
      <c r="N16" s="106">
        <f t="shared" si="1"/>
        <v>2610400</v>
      </c>
      <c r="O16" s="43">
        <f t="shared" si="3"/>
        <v>164</v>
      </c>
    </row>
    <row r="17" spans="1:15" x14ac:dyDescent="0.25">
      <c r="A17" s="48" t="s">
        <v>44</v>
      </c>
      <c r="B17" s="45">
        <v>16</v>
      </c>
      <c r="C17" s="45">
        <v>9</v>
      </c>
      <c r="D17" s="45">
        <f t="shared" si="2"/>
        <v>2019</v>
      </c>
      <c r="E17" s="43">
        <f>Electricity!G21</f>
        <v>26480.000000001382</v>
      </c>
      <c r="F17" s="43">
        <f>Electricity!E21</f>
        <v>5239.9999999997817</v>
      </c>
      <c r="G17" s="43">
        <f>Electricity!F21</f>
        <v>21240.000000001601</v>
      </c>
      <c r="H17" s="47">
        <v>1553.67</v>
      </c>
      <c r="I17" s="57" t="s">
        <v>28</v>
      </c>
      <c r="J17" s="106">
        <f>Electricity!L21</f>
        <v>30864586.752001349</v>
      </c>
      <c r="K17" s="43">
        <f t="shared" si="0"/>
        <v>1165.5810706948541</v>
      </c>
      <c r="L17" s="43">
        <f>Water!G20</f>
        <v>270</v>
      </c>
      <c r="M17" s="58">
        <v>12550</v>
      </c>
      <c r="N17" s="106">
        <f t="shared" si="1"/>
        <v>3388500</v>
      </c>
      <c r="O17" s="43">
        <f t="shared" si="3"/>
        <v>164</v>
      </c>
    </row>
    <row r="18" spans="1:15" x14ac:dyDescent="0.25">
      <c r="A18" s="48" t="s">
        <v>44</v>
      </c>
      <c r="B18" s="45">
        <v>17</v>
      </c>
      <c r="C18" s="45">
        <v>9</v>
      </c>
      <c r="D18" s="45">
        <f t="shared" si="2"/>
        <v>2019</v>
      </c>
      <c r="E18" s="43">
        <f>Electricity!G22</f>
        <v>25839.999999998327</v>
      </c>
      <c r="F18" s="43">
        <f>Electricity!E22</f>
        <v>5600.0000000003638</v>
      </c>
      <c r="G18" s="43">
        <f>Electricity!F22</f>
        <v>20239.999999997963</v>
      </c>
      <c r="H18" s="47">
        <v>1553.67</v>
      </c>
      <c r="I18" s="57" t="s">
        <v>28</v>
      </c>
      <c r="J18" s="106">
        <f>Electricity!L22</f>
        <v>30376692.940798417</v>
      </c>
      <c r="K18" s="43">
        <f t="shared" si="0"/>
        <v>1175.5686122600769</v>
      </c>
      <c r="L18" s="43">
        <f>Water!G21</f>
        <v>415</v>
      </c>
      <c r="M18" s="58">
        <v>12550</v>
      </c>
      <c r="N18" s="106">
        <f t="shared" si="1"/>
        <v>5208250</v>
      </c>
      <c r="O18" s="43">
        <f t="shared" si="3"/>
        <v>164</v>
      </c>
    </row>
    <row r="19" spans="1:15" x14ac:dyDescent="0.25">
      <c r="A19" s="48" t="s">
        <v>44</v>
      </c>
      <c r="B19" s="45">
        <v>18</v>
      </c>
      <c r="C19" s="45">
        <v>9</v>
      </c>
      <c r="D19" s="45">
        <f t="shared" si="2"/>
        <v>2019</v>
      </c>
      <c r="E19" s="43">
        <f>Electricity!G23</f>
        <v>26760.000000002037</v>
      </c>
      <c r="F19" s="43">
        <f>Electricity!E23</f>
        <v>5000</v>
      </c>
      <c r="G19" s="43">
        <f>Electricity!F23</f>
        <v>21760.000000002037</v>
      </c>
      <c r="H19" s="47">
        <v>1553.67</v>
      </c>
      <c r="I19" s="57" t="s">
        <v>28</v>
      </c>
      <c r="J19" s="106">
        <f>Electricity!L23</f>
        <v>31034288.947202161</v>
      </c>
      <c r="K19" s="43">
        <f t="shared" si="0"/>
        <v>1159.7267917488714</v>
      </c>
      <c r="L19" s="43">
        <f>Water!G22</f>
        <v>316</v>
      </c>
      <c r="M19" s="58">
        <v>12550</v>
      </c>
      <c r="N19" s="106">
        <f t="shared" si="1"/>
        <v>3965800</v>
      </c>
      <c r="O19" s="43">
        <f t="shared" si="3"/>
        <v>164</v>
      </c>
    </row>
    <row r="20" spans="1:15" x14ac:dyDescent="0.25">
      <c r="A20" s="48" t="s">
        <v>44</v>
      </c>
      <c r="B20" s="45">
        <v>19</v>
      </c>
      <c r="C20" s="45">
        <v>9</v>
      </c>
      <c r="D20" s="45">
        <f t="shared" si="2"/>
        <v>2019</v>
      </c>
      <c r="E20" s="43">
        <f>Electricity!G24</f>
        <v>25800.000000001091</v>
      </c>
      <c r="F20" s="43">
        <f>Electricity!E24</f>
        <v>5079.9999999999272</v>
      </c>
      <c r="G20" s="43">
        <f>Electricity!F24</f>
        <v>20720.000000001164</v>
      </c>
      <c r="H20" s="47">
        <v>1553.67</v>
      </c>
      <c r="I20" s="57" t="s">
        <v>28</v>
      </c>
      <c r="J20" s="106">
        <f>Electricity!L24</f>
        <v>30058501.324801117</v>
      </c>
      <c r="K20" s="43">
        <f t="shared" si="0"/>
        <v>1165.058190883715</v>
      </c>
      <c r="L20" s="43">
        <f>Water!G23</f>
        <v>318</v>
      </c>
      <c r="M20" s="58">
        <v>12550</v>
      </c>
      <c r="N20" s="106">
        <f t="shared" si="1"/>
        <v>3990900</v>
      </c>
      <c r="O20" s="43">
        <f t="shared" si="3"/>
        <v>164</v>
      </c>
    </row>
    <row r="21" spans="1:15" x14ac:dyDescent="0.25">
      <c r="A21" s="48" t="s">
        <v>44</v>
      </c>
      <c r="B21" s="45">
        <v>20</v>
      </c>
      <c r="C21" s="45">
        <v>9</v>
      </c>
      <c r="D21" s="45">
        <f t="shared" si="2"/>
        <v>2019</v>
      </c>
      <c r="E21" s="43">
        <f>Electricity!G25</f>
        <v>21799.999999997453</v>
      </c>
      <c r="F21" s="43">
        <f>Electricity!E25</f>
        <v>1559.9999999994907</v>
      </c>
      <c r="G21" s="43">
        <f>Electricity!F25</f>
        <v>20239.999999997963</v>
      </c>
      <c r="H21" s="47">
        <v>1553.67</v>
      </c>
      <c r="I21" s="57" t="s">
        <v>28</v>
      </c>
      <c r="J21" s="106">
        <f>Electricity!L25</f>
        <v>23949222.297597032</v>
      </c>
      <c r="K21" s="43">
        <f t="shared" si="0"/>
        <v>1098.588178788983</v>
      </c>
      <c r="L21" s="43">
        <f>Water!G24</f>
        <v>254</v>
      </c>
      <c r="M21" s="58">
        <v>12550</v>
      </c>
      <c r="N21" s="106">
        <f t="shared" si="1"/>
        <v>3187700</v>
      </c>
      <c r="O21" s="43">
        <f t="shared" si="3"/>
        <v>164</v>
      </c>
    </row>
    <row r="22" spans="1:15" x14ac:dyDescent="0.25">
      <c r="A22" s="48" t="s">
        <v>44</v>
      </c>
      <c r="B22" s="45">
        <v>21</v>
      </c>
      <c r="C22" s="45">
        <v>9</v>
      </c>
      <c r="D22" s="45">
        <f t="shared" si="2"/>
        <v>2019</v>
      </c>
      <c r="E22" s="43">
        <f>Electricity!G26</f>
        <v>30600.000000001273</v>
      </c>
      <c r="F22" s="43">
        <f>Electricity!E26</f>
        <v>8080.0000000008367</v>
      </c>
      <c r="G22" s="43">
        <f>Electricity!F26</f>
        <v>22520.000000000437</v>
      </c>
      <c r="H22" s="47">
        <v>1553.67</v>
      </c>
      <c r="I22" s="57" t="s">
        <v>28</v>
      </c>
      <c r="J22" s="106">
        <f>Electricity!L26</f>
        <v>36740525.2608018</v>
      </c>
      <c r="K22" s="43">
        <f t="shared" si="0"/>
        <v>1200.6707601568717</v>
      </c>
      <c r="L22" s="43">
        <f>Water!G25</f>
        <v>396</v>
      </c>
      <c r="M22" s="58">
        <v>12550</v>
      </c>
      <c r="N22" s="106">
        <f t="shared" si="1"/>
        <v>4969800</v>
      </c>
      <c r="O22" s="43">
        <f t="shared" si="3"/>
        <v>164</v>
      </c>
    </row>
    <row r="23" spans="1:15" x14ac:dyDescent="0.25">
      <c r="A23" s="48" t="s">
        <v>44</v>
      </c>
      <c r="B23" s="45">
        <v>22</v>
      </c>
      <c r="C23" s="45">
        <v>9</v>
      </c>
      <c r="D23" s="45">
        <f t="shared" si="2"/>
        <v>2019</v>
      </c>
      <c r="E23" s="43">
        <f>Electricity!G27</f>
        <v>23159.999999998945</v>
      </c>
      <c r="F23" s="43">
        <f>Electricity!E27</f>
        <v>5679.9999999993815</v>
      </c>
      <c r="G23" s="43">
        <f>Electricity!F27</f>
        <v>17479.999999999563</v>
      </c>
      <c r="H23" s="47">
        <v>1553.67</v>
      </c>
      <c r="I23" s="57" t="s">
        <v>28</v>
      </c>
      <c r="J23" s="106">
        <f>Electricity!L27</f>
        <v>27576606.71999855</v>
      </c>
      <c r="K23" s="43">
        <f t="shared" si="0"/>
        <v>1190.6997720207171</v>
      </c>
      <c r="L23" s="43">
        <f>Water!G26</f>
        <v>274</v>
      </c>
      <c r="M23" s="58">
        <v>12550</v>
      </c>
      <c r="N23" s="106">
        <f t="shared" si="1"/>
        <v>3438700</v>
      </c>
      <c r="O23" s="43">
        <f t="shared" si="3"/>
        <v>164</v>
      </c>
    </row>
    <row r="24" spans="1:15" x14ac:dyDescent="0.25">
      <c r="A24" s="48" t="s">
        <v>44</v>
      </c>
      <c r="B24" s="45">
        <v>23</v>
      </c>
      <c r="C24" s="45">
        <v>9</v>
      </c>
      <c r="D24" s="45">
        <f t="shared" si="2"/>
        <v>2019</v>
      </c>
      <c r="E24" s="43">
        <f>Electricity!G28</f>
        <v>29120.0000000008</v>
      </c>
      <c r="F24" s="43">
        <f>Electricity!E28</f>
        <v>3920.0000000000728</v>
      </c>
      <c r="G24" s="43">
        <f>Electricity!F28</f>
        <v>25200.000000000728</v>
      </c>
      <c r="H24" s="47">
        <v>1553.67</v>
      </c>
      <c r="I24" s="57" t="s">
        <v>28</v>
      </c>
      <c r="J24" s="106">
        <f>Electricity!L28</f>
        <v>32964651.417600889</v>
      </c>
      <c r="K24" s="43">
        <f t="shared" si="0"/>
        <v>1132.027864615384</v>
      </c>
      <c r="L24" s="43">
        <f>Water!G27</f>
        <v>275</v>
      </c>
      <c r="M24" s="58">
        <v>12550</v>
      </c>
      <c r="N24" s="106">
        <f t="shared" si="1"/>
        <v>3451250</v>
      </c>
      <c r="O24" s="43">
        <f t="shared" si="3"/>
        <v>164</v>
      </c>
    </row>
    <row r="25" spans="1:15" x14ac:dyDescent="0.25">
      <c r="A25" s="48" t="s">
        <v>44</v>
      </c>
      <c r="B25" s="45">
        <v>24</v>
      </c>
      <c r="C25" s="45">
        <v>9</v>
      </c>
      <c r="D25" s="45">
        <f t="shared" si="2"/>
        <v>2019</v>
      </c>
      <c r="E25" s="43">
        <f>Electricity!G29</f>
        <v>25520.000000000437</v>
      </c>
      <c r="F25" s="43">
        <f>Electricity!E29</f>
        <v>5319.999999999709</v>
      </c>
      <c r="G25" s="43">
        <f>Electricity!F29</f>
        <v>20200.000000000728</v>
      </c>
      <c r="H25" s="47">
        <v>1553.67</v>
      </c>
      <c r="I25" s="57" t="s">
        <v>28</v>
      </c>
      <c r="J25" s="106">
        <f>Electricity!L29</f>
        <v>29888799.129600309</v>
      </c>
      <c r="K25" s="43">
        <f t="shared" si="0"/>
        <v>1171.1911884639419</v>
      </c>
      <c r="L25" s="43">
        <f>Water!G28</f>
        <v>462</v>
      </c>
      <c r="M25" s="58">
        <v>12550</v>
      </c>
      <c r="N25" s="106">
        <f t="shared" si="1"/>
        <v>5798100</v>
      </c>
      <c r="O25" s="43">
        <f t="shared" si="3"/>
        <v>164</v>
      </c>
    </row>
    <row r="26" spans="1:15" x14ac:dyDescent="0.25">
      <c r="A26" s="48" t="s">
        <v>44</v>
      </c>
      <c r="B26" s="45">
        <v>25</v>
      </c>
      <c r="C26" s="45">
        <v>9</v>
      </c>
      <c r="D26" s="45">
        <f t="shared" si="2"/>
        <v>2019</v>
      </c>
      <c r="E26" s="43">
        <f>Electricity!G30</f>
        <v>28880.000000000109</v>
      </c>
      <c r="F26" s="43">
        <f>Electricity!E30</f>
        <v>5039.9999999999636</v>
      </c>
      <c r="G26" s="43">
        <f>Electricity!F30</f>
        <v>23840.000000000146</v>
      </c>
      <c r="H26" s="47">
        <v>1553.67</v>
      </c>
      <c r="I26" s="57" t="s">
        <v>28</v>
      </c>
      <c r="J26" s="106">
        <f>Electricity!L30</f>
        <v>33304055.808000091</v>
      </c>
      <c r="K26" s="43">
        <f t="shared" si="0"/>
        <v>1153.187527977838</v>
      </c>
      <c r="L26" s="43">
        <f>Water!G29</f>
        <v>265</v>
      </c>
      <c r="M26" s="58">
        <v>12550</v>
      </c>
      <c r="N26" s="106">
        <f t="shared" si="1"/>
        <v>3325750</v>
      </c>
      <c r="O26" s="43">
        <f t="shared" si="3"/>
        <v>164</v>
      </c>
    </row>
    <row r="27" spans="1:15" x14ac:dyDescent="0.25">
      <c r="A27" s="48" t="s">
        <v>44</v>
      </c>
      <c r="B27" s="45">
        <v>26</v>
      </c>
      <c r="C27" s="45">
        <v>9</v>
      </c>
      <c r="D27" s="45">
        <f t="shared" si="2"/>
        <v>2019</v>
      </c>
      <c r="E27" s="43">
        <f>Electricity!G31</f>
        <v>27239.999999999782</v>
      </c>
      <c r="F27" s="43">
        <f>Electricity!E31</f>
        <v>5440.0000000005093</v>
      </c>
      <c r="G27" s="43">
        <f>Electricity!F31</f>
        <v>21799.999999999272</v>
      </c>
      <c r="H27" s="47">
        <v>1553.67</v>
      </c>
      <c r="I27" s="57" t="s">
        <v>28</v>
      </c>
      <c r="J27" s="106">
        <f>Electricity!L31</f>
        <v>31776736.05120004</v>
      </c>
      <c r="K27" s="43">
        <f t="shared" si="0"/>
        <v>1166.54684475772</v>
      </c>
      <c r="L27" s="43">
        <f>Water!G30</f>
        <v>352</v>
      </c>
      <c r="M27" s="58">
        <v>12550</v>
      </c>
      <c r="N27" s="106">
        <f t="shared" si="1"/>
        <v>4417600</v>
      </c>
      <c r="O27" s="43">
        <f t="shared" si="3"/>
        <v>164</v>
      </c>
    </row>
    <row r="28" spans="1:15" x14ac:dyDescent="0.25">
      <c r="A28" s="48" t="s">
        <v>44</v>
      </c>
      <c r="B28" s="45">
        <v>27</v>
      </c>
      <c r="C28" s="45">
        <v>9</v>
      </c>
      <c r="D28" s="45">
        <f t="shared" si="2"/>
        <v>2019</v>
      </c>
      <c r="E28" s="43">
        <f>Electricity!G32</f>
        <v>26599.999999999454</v>
      </c>
      <c r="F28" s="43">
        <f>Electricity!E32</f>
        <v>4800.0000000001819</v>
      </c>
      <c r="G28" s="43">
        <f>Electricity!F32</f>
        <v>21799.999999999272</v>
      </c>
      <c r="H28" s="47">
        <v>1553.67</v>
      </c>
      <c r="I28" s="57" t="s">
        <v>28</v>
      </c>
      <c r="J28" s="106">
        <f>Electricity!L32</f>
        <v>30758522.879999518</v>
      </c>
      <c r="K28" s="43">
        <f t="shared" si="0"/>
        <v>1156.335446616547</v>
      </c>
      <c r="L28" s="43">
        <f>Water!G31</f>
        <v>239</v>
      </c>
      <c r="M28" s="58">
        <v>12550</v>
      </c>
      <c r="N28" s="106">
        <f t="shared" si="1"/>
        <v>2999450</v>
      </c>
      <c r="O28" s="43">
        <f t="shared" si="3"/>
        <v>164</v>
      </c>
    </row>
    <row r="29" spans="1:15" x14ac:dyDescent="0.25">
      <c r="A29" s="48" t="s">
        <v>44</v>
      </c>
      <c r="B29" s="45">
        <v>28</v>
      </c>
      <c r="C29" s="45">
        <v>9</v>
      </c>
      <c r="D29" s="45">
        <f t="shared" si="2"/>
        <v>2019</v>
      </c>
      <c r="E29" s="43">
        <f>Electricity!G33</f>
        <v>26359.999999999673</v>
      </c>
      <c r="F29" s="43">
        <f>Electricity!E33</f>
        <v>4679.9999999993815</v>
      </c>
      <c r="G29" s="43">
        <f>Electricity!F33</f>
        <v>21680.000000000291</v>
      </c>
      <c r="H29" s="47">
        <v>1553.67</v>
      </c>
      <c r="I29" s="57" t="s">
        <v>28</v>
      </c>
      <c r="J29" s="106">
        <f>Electricity!L33</f>
        <v>30440331.263999321</v>
      </c>
      <c r="K29" s="43">
        <f t="shared" si="0"/>
        <v>1154.7925365705501</v>
      </c>
      <c r="L29" s="43">
        <f>Water!G32</f>
        <v>443</v>
      </c>
      <c r="M29" s="58">
        <v>12550</v>
      </c>
      <c r="N29" s="106">
        <f t="shared" si="1"/>
        <v>5559650</v>
      </c>
      <c r="O29" s="43">
        <f t="shared" si="3"/>
        <v>164</v>
      </c>
    </row>
    <row r="30" spans="1:15" s="43" customFormat="1" x14ac:dyDescent="0.25">
      <c r="A30" s="48" t="s">
        <v>44</v>
      </c>
      <c r="B30" s="45">
        <v>29</v>
      </c>
      <c r="C30" s="45">
        <v>9</v>
      </c>
      <c r="D30" s="45">
        <f t="shared" si="2"/>
        <v>2019</v>
      </c>
      <c r="E30" s="43">
        <f>Electricity!G34</f>
        <v>26000</v>
      </c>
      <c r="F30" s="43">
        <f>Electricity!E34</f>
        <v>4680.000000000291</v>
      </c>
      <c r="G30" s="43">
        <f>Electricity!F34</f>
        <v>21319.999999999709</v>
      </c>
      <c r="H30" s="47">
        <v>1553.67</v>
      </c>
      <c r="I30" s="57" t="s">
        <v>28</v>
      </c>
      <c r="J30" s="106">
        <f>Electricity!L34</f>
        <v>30058501.324800156</v>
      </c>
      <c r="K30" s="43">
        <f t="shared" si="0"/>
        <v>1156.096204800006</v>
      </c>
      <c r="L30" s="43">
        <f>Water!G33</f>
        <v>414</v>
      </c>
      <c r="M30" s="58">
        <v>12550</v>
      </c>
      <c r="N30" s="106">
        <f t="shared" si="1"/>
        <v>5195700</v>
      </c>
      <c r="O30" s="43">
        <f t="shared" si="3"/>
        <v>164</v>
      </c>
    </row>
    <row r="31" spans="1:15" s="43" customFormat="1" x14ac:dyDescent="0.25">
      <c r="A31" s="48" t="s">
        <v>44</v>
      </c>
      <c r="B31" s="45">
        <v>30</v>
      </c>
      <c r="C31" s="45">
        <v>9</v>
      </c>
      <c r="D31" s="45">
        <f t="shared" si="2"/>
        <v>2019</v>
      </c>
      <c r="E31" s="43">
        <f>Electricity!G35</f>
        <v>26440.000000000509</v>
      </c>
      <c r="F31" s="43">
        <f>Electricity!E35</f>
        <v>5079.9999999999272</v>
      </c>
      <c r="G31" s="43">
        <f>Electricity!F35</f>
        <v>21360.000000000582</v>
      </c>
      <c r="H31" s="47">
        <v>1553.67</v>
      </c>
      <c r="I31" s="57" t="s">
        <v>28</v>
      </c>
      <c r="J31" s="106">
        <f>Electricity!L35</f>
        <v>30737310.105600499</v>
      </c>
      <c r="K31" s="43">
        <f t="shared" si="0"/>
        <v>1162.5306393948526</v>
      </c>
      <c r="L31" s="43">
        <f>Water!G34</f>
        <v>200</v>
      </c>
      <c r="M31" s="58">
        <v>12550</v>
      </c>
      <c r="N31" s="106">
        <f t="shared" si="1"/>
        <v>2510000</v>
      </c>
      <c r="O31" s="43">
        <f t="shared" si="3"/>
        <v>164</v>
      </c>
    </row>
    <row r="32" spans="1:15" s="43" customFormat="1" x14ac:dyDescent="0.25">
      <c r="A32" s="44"/>
      <c r="B32" s="46"/>
      <c r="C32" s="46"/>
      <c r="D32" s="45"/>
    </row>
    <row r="33" spans="1:13" s="43" customFormat="1" x14ac:dyDescent="0.25">
      <c r="A33" s="44"/>
      <c r="B33" s="46"/>
      <c r="C33" s="46"/>
      <c r="D33" s="45"/>
      <c r="I33" s="47"/>
      <c r="J33" s="47"/>
      <c r="K33" s="47"/>
      <c r="L33" s="47"/>
      <c r="M33" s="4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7"/>
  <sheetViews>
    <sheetView view="pageBreakPreview" zoomScale="80" zoomScaleNormal="80" zoomScaleSheetLayoutView="80" workbookViewId="0">
      <pane ySplit="4" topLeftCell="A5" activePane="bottomLeft" state="frozen"/>
      <selection pane="bottomLeft" activeCell="H6" sqref="H6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7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0" t="s">
        <v>37</v>
      </c>
      <c r="C1" s="121"/>
      <c r="D1" s="121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2" t="s">
        <v>0</v>
      </c>
      <c r="C2" s="134" t="s">
        <v>33</v>
      </c>
      <c r="D2" s="125" t="s">
        <v>9</v>
      </c>
      <c r="E2" s="128" t="s">
        <v>38</v>
      </c>
      <c r="F2" s="129"/>
      <c r="G2" s="129"/>
      <c r="H2" s="129"/>
      <c r="I2" s="129"/>
      <c r="J2" s="129"/>
      <c r="K2" s="129"/>
      <c r="L2" s="130"/>
      <c r="M2" s="2"/>
      <c r="N2" s="2"/>
      <c r="O2" s="1"/>
      <c r="P2" s="1"/>
      <c r="Q2" s="1"/>
    </row>
    <row r="3" spans="2:17" s="23" customFormat="1" ht="25.5" customHeight="1" x14ac:dyDescent="0.25">
      <c r="B3" s="123"/>
      <c r="C3" s="135"/>
      <c r="D3" s="126"/>
      <c r="E3" s="20" t="s">
        <v>7</v>
      </c>
      <c r="F3" s="24" t="s">
        <v>13</v>
      </c>
      <c r="G3" s="24" t="s">
        <v>16</v>
      </c>
      <c r="H3" s="131" t="s">
        <v>17</v>
      </c>
      <c r="I3" s="132"/>
      <c r="J3" s="133"/>
      <c r="K3" s="116" t="s">
        <v>35</v>
      </c>
      <c r="L3" s="118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4"/>
      <c r="C4" s="52"/>
      <c r="D4" s="127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17"/>
      <c r="L4" s="119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34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43709</v>
      </c>
      <c r="C6" s="59">
        <v>164</v>
      </c>
      <c r="D6" s="87">
        <v>1035.78</v>
      </c>
      <c r="E6" s="115">
        <v>5960.0000000000364</v>
      </c>
      <c r="F6" s="115">
        <v>21279.999999998836</v>
      </c>
      <c r="G6" s="80">
        <f>F6+E6</f>
        <v>27239.999999998872</v>
      </c>
      <c r="H6" s="81">
        <f t="shared" ref="H6:H33" si="0">E6*1.5*D6</f>
        <v>9259873.200000057</v>
      </c>
      <c r="I6" s="81">
        <f t="shared" ref="I6:I33" si="1">F6*D6</f>
        <v>22041398.399998795</v>
      </c>
      <c r="J6" s="81">
        <f t="shared" ref="J6:J30" si="2">I6+H6</f>
        <v>31301271.599998854</v>
      </c>
      <c r="K6" s="81">
        <f>J6*0.024</f>
        <v>751230.51839997247</v>
      </c>
      <c r="L6" s="104">
        <f>J6+K6</f>
        <v>32052502.118398827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43710</v>
      </c>
      <c r="C7" s="59">
        <f>C6</f>
        <v>164</v>
      </c>
      <c r="D7" s="87">
        <v>1035.78</v>
      </c>
      <c r="E7" s="115">
        <v>3880.0000000001091</v>
      </c>
      <c r="F7" s="115">
        <v>21479.999999999563</v>
      </c>
      <c r="G7" s="80">
        <f t="shared" ref="G7:G33" si="3">F7+E7</f>
        <v>25359.999999999673</v>
      </c>
      <c r="H7" s="81">
        <f t="shared" si="0"/>
        <v>6028239.6000001691</v>
      </c>
      <c r="I7" s="81">
        <f t="shared" si="1"/>
        <v>22248554.399999548</v>
      </c>
      <c r="J7" s="81">
        <f t="shared" si="2"/>
        <v>28276793.999999717</v>
      </c>
      <c r="K7" s="81">
        <f t="shared" ref="K7:K35" si="4">J7*0.024</f>
        <v>678643.05599999323</v>
      </c>
      <c r="L7" s="104">
        <f>J7+K7</f>
        <v>28955437.055999711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43711</v>
      </c>
      <c r="C8" s="59">
        <f t="shared" ref="C8:C35" si="5">C7</f>
        <v>164</v>
      </c>
      <c r="D8" s="87">
        <v>1035.78</v>
      </c>
      <c r="E8" s="115">
        <v>6439.9999999995998</v>
      </c>
      <c r="F8" s="115">
        <v>21720.000000001164</v>
      </c>
      <c r="G8" s="80">
        <f t="shared" si="3"/>
        <v>28160.000000000764</v>
      </c>
      <c r="H8" s="81">
        <f t="shared" si="0"/>
        <v>10005634.799999379</v>
      </c>
      <c r="I8" s="81">
        <f t="shared" si="1"/>
        <v>22497141.600001205</v>
      </c>
      <c r="J8" s="81">
        <f t="shared" si="2"/>
        <v>32502776.400000583</v>
      </c>
      <c r="K8" s="81">
        <f t="shared" si="4"/>
        <v>780066.63360001403</v>
      </c>
      <c r="L8" s="104">
        <f t="shared" ref="L8:L30" si="6">J8+K8</f>
        <v>33282843.033600599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43712</v>
      </c>
      <c r="C9" s="59">
        <f t="shared" si="5"/>
        <v>164</v>
      </c>
      <c r="D9" s="87">
        <v>1035.78</v>
      </c>
      <c r="E9" s="115">
        <v>4880.0000000001091</v>
      </c>
      <c r="F9" s="115">
        <v>21880.000000001019</v>
      </c>
      <c r="G9" s="80">
        <f t="shared" si="3"/>
        <v>26760.000000001128</v>
      </c>
      <c r="H9" s="81">
        <f t="shared" si="0"/>
        <v>7581909.6000001691</v>
      </c>
      <c r="I9" s="81">
        <f t="shared" si="1"/>
        <v>22662866.400001053</v>
      </c>
      <c r="J9" s="81">
        <f t="shared" si="2"/>
        <v>30244776.000001222</v>
      </c>
      <c r="K9" s="81">
        <f t="shared" si="4"/>
        <v>725874.62400002929</v>
      </c>
      <c r="L9" s="104">
        <f t="shared" si="6"/>
        <v>30970650.62400125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43713</v>
      </c>
      <c r="C10" s="59">
        <f t="shared" si="5"/>
        <v>164</v>
      </c>
      <c r="D10" s="87">
        <v>1035.78</v>
      </c>
      <c r="E10" s="115">
        <v>5480.0000000004729</v>
      </c>
      <c r="F10" s="115">
        <v>22000</v>
      </c>
      <c r="G10" s="80">
        <f t="shared" si="3"/>
        <v>27480.000000000473</v>
      </c>
      <c r="H10" s="81">
        <f t="shared" si="0"/>
        <v>8514111.6000007354</v>
      </c>
      <c r="I10" s="81">
        <f t="shared" si="1"/>
        <v>22787160</v>
      </c>
      <c r="J10" s="81">
        <f t="shared" si="2"/>
        <v>31301271.600000735</v>
      </c>
      <c r="K10" s="81">
        <f t="shared" si="4"/>
        <v>751230.51840001764</v>
      </c>
      <c r="L10" s="104">
        <f t="shared" si="6"/>
        <v>32052502.118400753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43714</v>
      </c>
      <c r="C11" s="59">
        <f t="shared" si="5"/>
        <v>164</v>
      </c>
      <c r="D11" s="87">
        <v>1035.78</v>
      </c>
      <c r="E11" s="115">
        <v>5359.9999999996726</v>
      </c>
      <c r="F11" s="115">
        <v>22079.999999998108</v>
      </c>
      <c r="G11" s="80">
        <f t="shared" si="3"/>
        <v>27439.999999997781</v>
      </c>
      <c r="H11" s="81">
        <f t="shared" si="0"/>
        <v>8327671.1999994908</v>
      </c>
      <c r="I11" s="81">
        <f t="shared" si="1"/>
        <v>22870022.399998039</v>
      </c>
      <c r="J11" s="81">
        <f t="shared" si="2"/>
        <v>31197693.599997528</v>
      </c>
      <c r="K11" s="81">
        <f t="shared" si="4"/>
        <v>748744.64639994071</v>
      </c>
      <c r="L11" s="104">
        <f t="shared" si="6"/>
        <v>31946438.246397469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43715</v>
      </c>
      <c r="C12" s="59">
        <f t="shared" si="5"/>
        <v>164</v>
      </c>
      <c r="D12" s="87">
        <v>1035.78</v>
      </c>
      <c r="E12" s="115">
        <v>4159.9999999998545</v>
      </c>
      <c r="F12" s="115">
        <v>22159.999999999854</v>
      </c>
      <c r="G12" s="80">
        <f t="shared" si="3"/>
        <v>26319.999999999709</v>
      </c>
      <c r="H12" s="81">
        <f t="shared" si="0"/>
        <v>6463267.1999997739</v>
      </c>
      <c r="I12" s="81">
        <f t="shared" si="1"/>
        <v>22952884.799999848</v>
      </c>
      <c r="J12" s="81">
        <f t="shared" si="2"/>
        <v>29416151.99999962</v>
      </c>
      <c r="K12" s="81">
        <f t="shared" si="4"/>
        <v>705987.64799999085</v>
      </c>
      <c r="L12" s="104">
        <f t="shared" si="6"/>
        <v>30122139.647999611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43716</v>
      </c>
      <c r="C13" s="59">
        <f t="shared" si="5"/>
        <v>164</v>
      </c>
      <c r="D13" s="87">
        <v>1035.78</v>
      </c>
      <c r="E13" s="115">
        <v>5240.0000000006912</v>
      </c>
      <c r="F13" s="115">
        <v>21920.000000001892</v>
      </c>
      <c r="G13" s="80">
        <f t="shared" si="3"/>
        <v>27160.000000002583</v>
      </c>
      <c r="H13" s="81">
        <f t="shared" si="0"/>
        <v>8141230.8000010736</v>
      </c>
      <c r="I13" s="81">
        <f t="shared" si="1"/>
        <v>22704297.600001957</v>
      </c>
      <c r="J13" s="81">
        <f t="shared" si="2"/>
        <v>30845528.400003031</v>
      </c>
      <c r="K13" s="81">
        <f t="shared" si="4"/>
        <v>740292.68160007277</v>
      </c>
      <c r="L13" s="104">
        <f t="shared" si="6"/>
        <v>31585821.081603102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43717</v>
      </c>
      <c r="C14" s="59">
        <f t="shared" si="5"/>
        <v>164</v>
      </c>
      <c r="D14" s="87">
        <v>1035.78</v>
      </c>
      <c r="E14" s="115">
        <v>5439.9999999995998</v>
      </c>
      <c r="F14" s="115">
        <v>22000</v>
      </c>
      <c r="G14" s="80">
        <f t="shared" si="3"/>
        <v>27439.9999999996</v>
      </c>
      <c r="H14" s="81">
        <f t="shared" si="0"/>
        <v>8451964.7999993786</v>
      </c>
      <c r="I14" s="81">
        <f t="shared" si="1"/>
        <v>22787160</v>
      </c>
      <c r="J14" s="81">
        <f t="shared" si="2"/>
        <v>31239124.799999379</v>
      </c>
      <c r="K14" s="81">
        <f t="shared" si="4"/>
        <v>749738.9951999851</v>
      </c>
      <c r="L14" s="104">
        <f t="shared" si="6"/>
        <v>31988863.795199364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43718</v>
      </c>
      <c r="C15" s="59">
        <f t="shared" si="5"/>
        <v>164</v>
      </c>
      <c r="D15" s="87">
        <v>1035.78</v>
      </c>
      <c r="E15" s="115">
        <v>5239.9999999997817</v>
      </c>
      <c r="F15" s="115">
        <v>21439.99999999869</v>
      </c>
      <c r="G15" s="80">
        <f t="shared" si="3"/>
        <v>26679.999999998472</v>
      </c>
      <c r="H15" s="81">
        <f t="shared" si="0"/>
        <v>8141230.7999996608</v>
      </c>
      <c r="I15" s="81">
        <f t="shared" si="1"/>
        <v>22207123.199998643</v>
      </c>
      <c r="J15" s="81">
        <f t="shared" si="2"/>
        <v>30348353.999998305</v>
      </c>
      <c r="K15" s="81">
        <f t="shared" si="4"/>
        <v>728360.4959999593</v>
      </c>
      <c r="L15" s="104">
        <f t="shared" si="6"/>
        <v>31076714.495998263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43719</v>
      </c>
      <c r="C16" s="59">
        <f t="shared" si="5"/>
        <v>164</v>
      </c>
      <c r="D16" s="87">
        <v>1035.78</v>
      </c>
      <c r="E16" s="115">
        <v>4840.0000000001455</v>
      </c>
      <c r="F16" s="115">
        <v>21119.999999998981</v>
      </c>
      <c r="G16" s="80">
        <f t="shared" si="3"/>
        <v>25959.999999999127</v>
      </c>
      <c r="H16" s="81">
        <f t="shared" si="0"/>
        <v>7519762.8000002261</v>
      </c>
      <c r="I16" s="81">
        <f t="shared" si="1"/>
        <v>21875673.599998944</v>
      </c>
      <c r="J16" s="81">
        <f t="shared" si="2"/>
        <v>29395436.399999171</v>
      </c>
      <c r="K16" s="81">
        <f t="shared" si="4"/>
        <v>705490.47359998012</v>
      </c>
      <c r="L16" s="104">
        <f t="shared" si="6"/>
        <v>30100926.873599153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43720</v>
      </c>
      <c r="C17" s="59">
        <f t="shared" si="5"/>
        <v>164</v>
      </c>
      <c r="D17" s="87">
        <v>1035.78</v>
      </c>
      <c r="E17" s="115">
        <v>4960.0000000000364</v>
      </c>
      <c r="F17" s="115">
        <v>21360.000000000582</v>
      </c>
      <c r="G17" s="80">
        <f t="shared" si="3"/>
        <v>26320.000000000618</v>
      </c>
      <c r="H17" s="81">
        <f t="shared" si="0"/>
        <v>7706203.2000000561</v>
      </c>
      <c r="I17" s="81">
        <f t="shared" si="1"/>
        <v>22124260.800000601</v>
      </c>
      <c r="J17" s="81">
        <f t="shared" si="2"/>
        <v>29830464.000000656</v>
      </c>
      <c r="K17" s="81">
        <f t="shared" si="4"/>
        <v>715931.13600001577</v>
      </c>
      <c r="L17" s="104">
        <f t="shared" si="6"/>
        <v>30546395.13600067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43721</v>
      </c>
      <c r="C18" s="59">
        <f t="shared" si="5"/>
        <v>164</v>
      </c>
      <c r="D18" s="87">
        <v>1035.78</v>
      </c>
      <c r="E18" s="115">
        <v>4640.0000000003274</v>
      </c>
      <c r="F18" s="115">
        <v>20360.000000000582</v>
      </c>
      <c r="G18" s="80">
        <f t="shared" si="3"/>
        <v>25000.000000000909</v>
      </c>
      <c r="H18" s="81">
        <f t="shared" si="0"/>
        <v>7209028.8000005083</v>
      </c>
      <c r="I18" s="81">
        <f t="shared" si="1"/>
        <v>21088480.800000601</v>
      </c>
      <c r="J18" s="81">
        <f t="shared" si="2"/>
        <v>28297509.600001108</v>
      </c>
      <c r="K18" s="81">
        <f t="shared" si="4"/>
        <v>679140.23040002666</v>
      </c>
      <c r="L18" s="104">
        <f t="shared" si="6"/>
        <v>28976649.830401134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43722</v>
      </c>
      <c r="C19" s="59">
        <f t="shared" si="5"/>
        <v>164</v>
      </c>
      <c r="D19" s="87">
        <v>1035.78</v>
      </c>
      <c r="E19" s="115">
        <v>4239.9999999997817</v>
      </c>
      <c r="F19" s="115">
        <v>21720.000000001164</v>
      </c>
      <c r="G19" s="80">
        <f t="shared" si="3"/>
        <v>25960.000000000946</v>
      </c>
      <c r="H19" s="81">
        <f t="shared" si="0"/>
        <v>6587560.7999996608</v>
      </c>
      <c r="I19" s="81">
        <f t="shared" si="1"/>
        <v>22497141.600001205</v>
      </c>
      <c r="J19" s="81">
        <f t="shared" si="2"/>
        <v>29084702.400000867</v>
      </c>
      <c r="K19" s="81">
        <f t="shared" si="4"/>
        <v>698032.85760002083</v>
      </c>
      <c r="L19" s="104">
        <f t="shared" si="6"/>
        <v>29782735.257600889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43723</v>
      </c>
      <c r="C20" s="59">
        <f t="shared" si="5"/>
        <v>164</v>
      </c>
      <c r="D20" s="87">
        <v>1035.78</v>
      </c>
      <c r="E20" s="115">
        <v>5000</v>
      </c>
      <c r="F20" s="115">
        <v>20879.999999997381</v>
      </c>
      <c r="G20" s="80">
        <f t="shared" si="3"/>
        <v>25879.999999997381</v>
      </c>
      <c r="H20" s="81">
        <f t="shared" si="0"/>
        <v>7768350</v>
      </c>
      <c r="I20" s="81">
        <f t="shared" si="1"/>
        <v>21627086.399997286</v>
      </c>
      <c r="J20" s="81">
        <f t="shared" si="2"/>
        <v>29395436.399997286</v>
      </c>
      <c r="K20" s="81">
        <f t="shared" si="4"/>
        <v>705490.47359993483</v>
      </c>
      <c r="L20" s="104">
        <f t="shared" si="6"/>
        <v>30100926.87359722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43724</v>
      </c>
      <c r="C21" s="59">
        <f t="shared" si="5"/>
        <v>164</v>
      </c>
      <c r="D21" s="87">
        <v>1035.78</v>
      </c>
      <c r="E21" s="115">
        <v>5239.9999999997817</v>
      </c>
      <c r="F21" s="115">
        <v>21240.000000001601</v>
      </c>
      <c r="G21" s="80">
        <f t="shared" si="3"/>
        <v>26480.000000001382</v>
      </c>
      <c r="H21" s="81">
        <f t="shared" si="0"/>
        <v>8141230.7999996608</v>
      </c>
      <c r="I21" s="81">
        <f t="shared" si="1"/>
        <v>21999967.200001657</v>
      </c>
      <c r="J21" s="81">
        <f t="shared" si="2"/>
        <v>30141198.000001319</v>
      </c>
      <c r="K21" s="81">
        <f t="shared" si="4"/>
        <v>723388.75200003164</v>
      </c>
      <c r="L21" s="104">
        <f t="shared" si="6"/>
        <v>30864586.752001349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43725</v>
      </c>
      <c r="C22" s="59">
        <f t="shared" si="5"/>
        <v>164</v>
      </c>
      <c r="D22" s="87">
        <v>1035.78</v>
      </c>
      <c r="E22" s="115">
        <v>5600.0000000003638</v>
      </c>
      <c r="F22" s="115">
        <v>20239.999999997963</v>
      </c>
      <c r="G22" s="80">
        <f t="shared" si="3"/>
        <v>25839.999999998327</v>
      </c>
      <c r="H22" s="81">
        <f t="shared" si="0"/>
        <v>8700552.0000005644</v>
      </c>
      <c r="I22" s="81">
        <f t="shared" si="1"/>
        <v>20964187.199997891</v>
      </c>
      <c r="J22" s="81">
        <f t="shared" si="2"/>
        <v>29664739.199998453</v>
      </c>
      <c r="K22" s="81">
        <f t="shared" si="4"/>
        <v>711953.74079996289</v>
      </c>
      <c r="L22" s="104">
        <f t="shared" si="6"/>
        <v>30376692.940798417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43726</v>
      </c>
      <c r="C23" s="59">
        <f t="shared" si="5"/>
        <v>164</v>
      </c>
      <c r="D23" s="87">
        <v>1035.78</v>
      </c>
      <c r="E23" s="115">
        <v>5000</v>
      </c>
      <c r="F23" s="115">
        <v>21760.000000002037</v>
      </c>
      <c r="G23" s="80">
        <f t="shared" si="3"/>
        <v>26760.000000002037</v>
      </c>
      <c r="H23" s="81">
        <f t="shared" si="0"/>
        <v>7768350</v>
      </c>
      <c r="I23" s="81">
        <f t="shared" si="1"/>
        <v>22538572.800002109</v>
      </c>
      <c r="J23" s="81">
        <f t="shared" si="2"/>
        <v>30306922.800002109</v>
      </c>
      <c r="K23" s="81">
        <f t="shared" si="4"/>
        <v>727366.14720005065</v>
      </c>
      <c r="L23" s="104">
        <f t="shared" si="6"/>
        <v>31034288.947202161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43727</v>
      </c>
      <c r="C24" s="59">
        <f t="shared" si="5"/>
        <v>164</v>
      </c>
      <c r="D24" s="87">
        <v>1035.78</v>
      </c>
      <c r="E24" s="115">
        <v>5079.9999999999272</v>
      </c>
      <c r="F24" s="115">
        <v>20720.000000001164</v>
      </c>
      <c r="G24" s="80">
        <f t="shared" si="3"/>
        <v>25800.000000001091</v>
      </c>
      <c r="H24" s="81">
        <f t="shared" si="0"/>
        <v>7892643.5999998869</v>
      </c>
      <c r="I24" s="81">
        <f t="shared" si="1"/>
        <v>21461361.600001205</v>
      </c>
      <c r="J24" s="81">
        <f t="shared" si="2"/>
        <v>29354005.200001091</v>
      </c>
      <c r="K24" s="81">
        <f t="shared" si="4"/>
        <v>704496.12480002618</v>
      </c>
      <c r="L24" s="104">
        <f t="shared" si="6"/>
        <v>30058501.324801117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43728</v>
      </c>
      <c r="C25" s="59">
        <f t="shared" si="5"/>
        <v>164</v>
      </c>
      <c r="D25" s="87">
        <v>1035.78</v>
      </c>
      <c r="E25" s="115">
        <v>1559.9999999994907</v>
      </c>
      <c r="F25" s="115">
        <v>20239.999999997963</v>
      </c>
      <c r="G25" s="80">
        <f t="shared" si="3"/>
        <v>21799.999999997453</v>
      </c>
      <c r="H25" s="81">
        <f t="shared" si="0"/>
        <v>2423725.1999992086</v>
      </c>
      <c r="I25" s="81">
        <f t="shared" si="1"/>
        <v>20964187.199997891</v>
      </c>
      <c r="J25" s="81">
        <f t="shared" si="2"/>
        <v>23387912.3999971</v>
      </c>
      <c r="K25" s="81">
        <f t="shared" si="4"/>
        <v>561309.89759993041</v>
      </c>
      <c r="L25" s="104">
        <f t="shared" si="6"/>
        <v>23949222.297597032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43729</v>
      </c>
      <c r="C26" s="59">
        <f t="shared" si="5"/>
        <v>164</v>
      </c>
      <c r="D26" s="87">
        <v>1035.78</v>
      </c>
      <c r="E26" s="115">
        <v>8080.0000000008367</v>
      </c>
      <c r="F26" s="115">
        <v>22520.000000000437</v>
      </c>
      <c r="G26" s="80">
        <f t="shared" si="3"/>
        <v>30600.000000001273</v>
      </c>
      <c r="H26" s="81">
        <f t="shared" si="0"/>
        <v>12553653.6000013</v>
      </c>
      <c r="I26" s="81">
        <f t="shared" si="1"/>
        <v>23325765.600000452</v>
      </c>
      <c r="J26" s="81">
        <f t="shared" si="2"/>
        <v>35879419.200001754</v>
      </c>
      <c r="K26" s="81">
        <f t="shared" si="4"/>
        <v>861106.06080004212</v>
      </c>
      <c r="L26" s="104">
        <f>J26+K26</f>
        <v>36740525.2608018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43730</v>
      </c>
      <c r="C27" s="59">
        <f t="shared" si="5"/>
        <v>164</v>
      </c>
      <c r="D27" s="87">
        <v>1035.78</v>
      </c>
      <c r="E27" s="115">
        <v>5679.9999999993815</v>
      </c>
      <c r="F27" s="115">
        <v>17479.999999999563</v>
      </c>
      <c r="G27" s="80">
        <f t="shared" si="3"/>
        <v>23159.999999998945</v>
      </c>
      <c r="H27" s="81">
        <f t="shared" si="0"/>
        <v>8824845.5999990385</v>
      </c>
      <c r="I27" s="81">
        <f t="shared" si="1"/>
        <v>18105434.399999548</v>
      </c>
      <c r="J27" s="81">
        <f t="shared" si="2"/>
        <v>26930279.999998584</v>
      </c>
      <c r="K27" s="81">
        <f t="shared" si="4"/>
        <v>646326.7199999661</v>
      </c>
      <c r="L27" s="104">
        <f t="shared" si="6"/>
        <v>27576606.71999855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43731</v>
      </c>
      <c r="C28" s="59">
        <f t="shared" si="5"/>
        <v>164</v>
      </c>
      <c r="D28" s="87">
        <v>1035.78</v>
      </c>
      <c r="E28" s="115">
        <v>3920.0000000000728</v>
      </c>
      <c r="F28" s="115">
        <v>25200.000000000728</v>
      </c>
      <c r="G28" s="80">
        <f t="shared" si="3"/>
        <v>29120.0000000008</v>
      </c>
      <c r="H28" s="81">
        <f t="shared" si="0"/>
        <v>6090386.4000001131</v>
      </c>
      <c r="I28" s="81">
        <f t="shared" si="1"/>
        <v>26101656.000000753</v>
      </c>
      <c r="J28" s="81">
        <f t="shared" si="2"/>
        <v>32192042.400000867</v>
      </c>
      <c r="K28" s="81">
        <f t="shared" si="4"/>
        <v>772609.01760002086</v>
      </c>
      <c r="L28" s="104">
        <f t="shared" si="6"/>
        <v>32964651.417600889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43732</v>
      </c>
      <c r="C29" s="59">
        <f t="shared" si="5"/>
        <v>164</v>
      </c>
      <c r="D29" s="87">
        <v>1035.78</v>
      </c>
      <c r="E29" s="115">
        <v>5319.999999999709</v>
      </c>
      <c r="F29" s="115">
        <v>20200.000000000728</v>
      </c>
      <c r="G29" s="80">
        <f t="shared" si="3"/>
        <v>25520.000000000437</v>
      </c>
      <c r="H29" s="81">
        <f t="shared" si="0"/>
        <v>8265524.3999995477</v>
      </c>
      <c r="I29" s="81">
        <f t="shared" si="1"/>
        <v>20922756.000000753</v>
      </c>
      <c r="J29" s="81">
        <f t="shared" si="2"/>
        <v>29188280.4000003</v>
      </c>
      <c r="K29" s="81">
        <f t="shared" si="4"/>
        <v>700518.72960000718</v>
      </c>
      <c r="L29" s="104">
        <f t="shared" si="6"/>
        <v>29888799.129600309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43733</v>
      </c>
      <c r="C30" s="59">
        <f t="shared" si="5"/>
        <v>164</v>
      </c>
      <c r="D30" s="87">
        <v>1035.78</v>
      </c>
      <c r="E30" s="115">
        <v>5039.9999999999636</v>
      </c>
      <c r="F30" s="115">
        <v>23840.000000000146</v>
      </c>
      <c r="G30" s="80">
        <f t="shared" si="3"/>
        <v>28880.000000000109</v>
      </c>
      <c r="H30" s="81">
        <f t="shared" si="0"/>
        <v>7830496.799999943</v>
      </c>
      <c r="I30" s="81">
        <f t="shared" si="1"/>
        <v>24692995.200000148</v>
      </c>
      <c r="J30" s="81">
        <f t="shared" si="2"/>
        <v>32523492.000000089</v>
      </c>
      <c r="K30" s="81">
        <f t="shared" si="4"/>
        <v>780563.80800000217</v>
      </c>
      <c r="L30" s="104">
        <f t="shared" si="6"/>
        <v>33304055.808000091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43734</v>
      </c>
      <c r="C31" s="59">
        <f t="shared" si="5"/>
        <v>164</v>
      </c>
      <c r="D31" s="87">
        <v>1035.78</v>
      </c>
      <c r="E31" s="115">
        <v>5440.0000000005093</v>
      </c>
      <c r="F31" s="115">
        <v>21799.999999999272</v>
      </c>
      <c r="G31" s="80">
        <f t="shared" si="3"/>
        <v>27239.999999999782</v>
      </c>
      <c r="H31" s="81">
        <f t="shared" si="0"/>
        <v>8451964.8000007905</v>
      </c>
      <c r="I31" s="81">
        <f t="shared" si="1"/>
        <v>22580003.999999247</v>
      </c>
      <c r="J31" s="81">
        <f t="shared" ref="J31:J33" si="7">I31+H31</f>
        <v>31031968.800000038</v>
      </c>
      <c r="K31" s="81">
        <f t="shared" si="4"/>
        <v>744767.25120000087</v>
      </c>
      <c r="L31" s="104">
        <f t="shared" ref="L31:L33" si="8">J31+K31</f>
        <v>31776736.05120004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43735</v>
      </c>
      <c r="C32" s="59">
        <f t="shared" si="5"/>
        <v>164</v>
      </c>
      <c r="D32" s="87">
        <v>1035.78</v>
      </c>
      <c r="E32" s="115">
        <v>4800.0000000001819</v>
      </c>
      <c r="F32" s="115">
        <v>21799.999999999272</v>
      </c>
      <c r="G32" s="80">
        <f t="shared" si="3"/>
        <v>26599.999999999454</v>
      </c>
      <c r="H32" s="81">
        <f t="shared" si="0"/>
        <v>7457616.0000002822</v>
      </c>
      <c r="I32" s="81">
        <f t="shared" si="1"/>
        <v>22580003.999999247</v>
      </c>
      <c r="J32" s="81">
        <f t="shared" si="7"/>
        <v>30037619.999999531</v>
      </c>
      <c r="K32" s="81">
        <f t="shared" si="4"/>
        <v>720902.87999998871</v>
      </c>
      <c r="L32" s="104">
        <f t="shared" si="8"/>
        <v>30758522.879999518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43736</v>
      </c>
      <c r="C33" s="59">
        <f t="shared" si="5"/>
        <v>164</v>
      </c>
      <c r="D33" s="87">
        <v>1035.78</v>
      </c>
      <c r="E33" s="115">
        <v>4679.9999999993815</v>
      </c>
      <c r="F33" s="115">
        <v>21680.000000000291</v>
      </c>
      <c r="G33" s="80">
        <f t="shared" si="3"/>
        <v>26359.999999999673</v>
      </c>
      <c r="H33" s="81">
        <f t="shared" si="0"/>
        <v>7271175.5999990385</v>
      </c>
      <c r="I33" s="81">
        <f t="shared" si="1"/>
        <v>22455710.4000003</v>
      </c>
      <c r="J33" s="81">
        <f t="shared" si="7"/>
        <v>29726885.999999337</v>
      </c>
      <c r="K33" s="81">
        <f t="shared" si="4"/>
        <v>713445.26399998413</v>
      </c>
      <c r="L33" s="104">
        <f t="shared" si="8"/>
        <v>30440331.263999321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43737</v>
      </c>
      <c r="C34" s="59">
        <f t="shared" si="5"/>
        <v>164</v>
      </c>
      <c r="D34" s="87">
        <v>1035.78</v>
      </c>
      <c r="E34" s="115">
        <v>4680.000000000291</v>
      </c>
      <c r="F34" s="115">
        <v>21319.999999999709</v>
      </c>
      <c r="G34" s="80">
        <f t="shared" ref="G34" si="9">F34+E34</f>
        <v>26000</v>
      </c>
      <c r="H34" s="81">
        <f t="shared" ref="H34" si="10">E34*1.5*D34</f>
        <v>7271175.6000004523</v>
      </c>
      <c r="I34" s="81">
        <f t="shared" ref="I34" si="11">F34*D34</f>
        <v>22082829.5999997</v>
      </c>
      <c r="J34" s="81">
        <f t="shared" ref="J34" si="12">I34+H34</f>
        <v>29354005.200000152</v>
      </c>
      <c r="K34" s="81">
        <f t="shared" si="4"/>
        <v>704496.12480000372</v>
      </c>
      <c r="L34" s="104">
        <f t="shared" ref="L34" si="13">J34+K34</f>
        <v>30058501.324800156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43738</v>
      </c>
      <c r="C35" s="59">
        <f t="shared" si="5"/>
        <v>164</v>
      </c>
      <c r="D35" s="87">
        <v>1035.78</v>
      </c>
      <c r="E35" s="115">
        <v>5079.9999999999272</v>
      </c>
      <c r="F35" s="115">
        <v>21360.000000000582</v>
      </c>
      <c r="G35" s="80">
        <f t="shared" ref="G35" si="14">F35+E35</f>
        <v>26440.000000000509</v>
      </c>
      <c r="H35" s="81">
        <f t="shared" ref="H35" si="15">E35*1.5*D35</f>
        <v>7892643.5999998869</v>
      </c>
      <c r="I35" s="81">
        <f t="shared" ref="I35" si="16">F35*D35</f>
        <v>22124260.800000601</v>
      </c>
      <c r="J35" s="81">
        <f t="shared" ref="J35" si="17">I35+H35</f>
        <v>30016904.400000487</v>
      </c>
      <c r="K35" s="81">
        <f t="shared" si="4"/>
        <v>720405.70560001174</v>
      </c>
      <c r="L35" s="104">
        <f t="shared" ref="L35" si="18">J35+K35</f>
        <v>30737310.105600499</v>
      </c>
      <c r="M35" s="1"/>
      <c r="N35" s="1"/>
      <c r="O35" s="1"/>
      <c r="P35" s="1"/>
      <c r="Q35" s="1"/>
    </row>
    <row r="36" spans="2:17" s="1" customFormat="1" x14ac:dyDescent="0.25">
      <c r="B36" s="7"/>
      <c r="C36" s="9">
        <f>SUM(C6:C33)</f>
        <v>4592</v>
      </c>
      <c r="D36" s="88"/>
      <c r="E36" s="82">
        <f t="shared" ref="E36:G36" si="19">SUM(E6:E35)</f>
        <v>150960</v>
      </c>
      <c r="F36" s="82">
        <f t="shared" si="19"/>
        <v>644799.99999999919</v>
      </c>
      <c r="G36" s="82">
        <f t="shared" si="19"/>
        <v>795759.9999999993</v>
      </c>
      <c r="H36" s="82">
        <f>SUM(H6:H35)</f>
        <v>234542023.20000002</v>
      </c>
      <c r="I36" s="82">
        <f>SUM(I6:I35)</f>
        <v>667870943.99999928</v>
      </c>
      <c r="J36" s="82">
        <f>SUM(J6:J35)</f>
        <v>902412967.19999921</v>
      </c>
      <c r="K36" s="82">
        <f>SUM(K6:K35)</f>
        <v>21657911.212799981</v>
      </c>
      <c r="L36" s="82">
        <f>SUM(L6:L35)</f>
        <v>924070878.41279924</v>
      </c>
    </row>
    <row r="37" spans="2:17" s="1" customFormat="1" x14ac:dyDescent="0.25">
      <c r="B37" s="7"/>
      <c r="C37" s="7"/>
      <c r="D37" s="88"/>
      <c r="E37" s="31"/>
      <c r="F37" s="31"/>
      <c r="G37" s="32"/>
      <c r="H37" s="9"/>
      <c r="J37" s="95"/>
      <c r="K37" s="15"/>
      <c r="L37" s="83"/>
    </row>
    <row r="38" spans="2:17" s="1" customFormat="1" x14ac:dyDescent="0.25">
      <c r="B38" s="7"/>
      <c r="C38" s="7"/>
      <c r="D38" s="89"/>
      <c r="E38" s="33"/>
      <c r="F38" s="33"/>
      <c r="G38" s="32"/>
      <c r="H38" s="8"/>
      <c r="I38" s="10"/>
      <c r="J38" s="95"/>
      <c r="K38" s="15"/>
      <c r="L38" s="73"/>
      <c r="N38" s="7"/>
    </row>
    <row r="39" spans="2:17" s="1" customFormat="1" x14ac:dyDescent="0.25">
      <c r="B39" s="7"/>
      <c r="C39" s="7"/>
      <c r="D39" s="90"/>
      <c r="E39" s="33"/>
      <c r="F39" s="33"/>
      <c r="G39" s="32"/>
      <c r="H39" s="9"/>
      <c r="J39" s="96"/>
      <c r="K39" s="83"/>
      <c r="L39" s="73"/>
      <c r="N39" s="7"/>
    </row>
    <row r="40" spans="2:17" s="1" customFormat="1" x14ac:dyDescent="0.25">
      <c r="B40" s="7"/>
      <c r="C40" s="7"/>
      <c r="D40" s="90"/>
      <c r="E40" s="33"/>
      <c r="F40" s="33"/>
      <c r="G40" s="32"/>
      <c r="H40" s="9"/>
      <c r="J40" s="97"/>
      <c r="K40" s="73"/>
      <c r="L40" s="8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H41" s="9"/>
      <c r="J41" s="98"/>
      <c r="K41" s="73"/>
      <c r="L41" s="83"/>
      <c r="N41" s="7"/>
    </row>
    <row r="42" spans="2:17" s="1" customFormat="1" x14ac:dyDescent="0.25">
      <c r="B42" s="7"/>
      <c r="C42" s="7"/>
      <c r="D42" s="89"/>
      <c r="E42" s="33"/>
      <c r="F42" s="33"/>
      <c r="G42" s="32"/>
      <c r="H42" s="9"/>
      <c r="J42" s="96"/>
      <c r="K42" s="15"/>
      <c r="L42" s="83"/>
      <c r="N42" s="7"/>
    </row>
    <row r="43" spans="2:17" s="1" customFormat="1" x14ac:dyDescent="0.25">
      <c r="B43" s="7"/>
      <c r="C43" s="7"/>
      <c r="D43" s="90"/>
      <c r="E43" s="33"/>
      <c r="F43" s="33"/>
      <c r="G43" s="32"/>
      <c r="J43" s="99"/>
      <c r="K43" s="73"/>
      <c r="L43" s="73"/>
      <c r="N43" s="7"/>
    </row>
    <row r="44" spans="2:17" s="1" customFormat="1" x14ac:dyDescent="0.25">
      <c r="B44" s="7"/>
      <c r="C44" s="7"/>
      <c r="D44" s="89"/>
      <c r="E44" s="33"/>
      <c r="F44" s="33"/>
      <c r="G44" s="34" t="s">
        <v>6</v>
      </c>
      <c r="H44" s="9"/>
      <c r="J44" s="96"/>
      <c r="K44" s="83"/>
      <c r="L44" s="83"/>
      <c r="M44" s="11"/>
      <c r="N44" s="7"/>
    </row>
    <row r="45" spans="2:17" s="1" customFormat="1" ht="21" x14ac:dyDescent="0.25">
      <c r="B45" s="7"/>
      <c r="C45" s="7"/>
      <c r="D45" s="90"/>
      <c r="E45" s="33"/>
      <c r="F45" s="33"/>
      <c r="G45" s="35"/>
      <c r="H45" s="7"/>
      <c r="J45" s="100"/>
      <c r="K45" s="83"/>
      <c r="L45" s="105"/>
      <c r="N45" s="7"/>
    </row>
    <row r="46" spans="2:17" s="1" customFormat="1" x14ac:dyDescent="0.25">
      <c r="D46" s="89"/>
      <c r="E46" s="33"/>
      <c r="F46" s="33"/>
      <c r="G46" s="30"/>
      <c r="J46" s="83"/>
      <c r="K46" s="83"/>
      <c r="L46" s="83"/>
      <c r="M46" s="16"/>
      <c r="N46" s="7"/>
    </row>
    <row r="47" spans="2:17" s="1" customFormat="1" x14ac:dyDescent="0.25">
      <c r="D47" s="90"/>
      <c r="E47" s="33"/>
      <c r="F47" s="33"/>
      <c r="G47" s="30"/>
      <c r="J47" s="83"/>
      <c r="K47" s="83"/>
      <c r="L47" s="83"/>
    </row>
    <row r="48" spans="2:17" s="1" customFormat="1" x14ac:dyDescent="0.25">
      <c r="D48" s="90"/>
      <c r="E48" s="33"/>
      <c r="F48" s="33"/>
      <c r="G48" s="36"/>
      <c r="J48" s="83"/>
      <c r="K48" s="83"/>
      <c r="L48" s="83"/>
    </row>
    <row r="49" spans="2:12" s="1" customFormat="1" x14ac:dyDescent="0.25">
      <c r="B49" s="12"/>
      <c r="C49" s="12"/>
      <c r="D49" s="91"/>
      <c r="E49" s="33"/>
      <c r="F49" s="33"/>
      <c r="G49" s="38"/>
      <c r="H49" s="12"/>
      <c r="I49" s="12"/>
      <c r="J49" s="84"/>
      <c r="K49" s="84"/>
      <c r="L49" s="84"/>
    </row>
    <row r="50" spans="2:12" s="12" customFormat="1" x14ac:dyDescent="0.25">
      <c r="D50" s="91"/>
      <c r="E50" s="33"/>
      <c r="F50" s="33"/>
      <c r="G50" s="39"/>
      <c r="J50" s="84"/>
      <c r="K50" s="84"/>
      <c r="L50" s="84"/>
    </row>
    <row r="51" spans="2:12" s="12" customFormat="1" x14ac:dyDescent="0.25">
      <c r="D51" s="91"/>
      <c r="E51" s="33"/>
      <c r="F51" s="33"/>
      <c r="G51" s="37"/>
      <c r="J51" s="84"/>
      <c r="K51" s="84"/>
      <c r="L51" s="84"/>
    </row>
    <row r="52" spans="2:12" s="12" customFormat="1" x14ac:dyDescent="0.25">
      <c r="D52" s="91"/>
      <c r="E52" s="33"/>
      <c r="F52" s="33"/>
      <c r="G52" s="39"/>
      <c r="J52" s="84"/>
      <c r="K52" s="84"/>
      <c r="L52" s="84"/>
    </row>
    <row r="53" spans="2:12" s="12" customFormat="1" x14ac:dyDescent="0.25">
      <c r="D53" s="91"/>
      <c r="E53" s="33"/>
      <c r="F53" s="33"/>
      <c r="G53" s="37"/>
      <c r="J53" s="84"/>
      <c r="K53" s="84"/>
      <c r="L53" s="84"/>
    </row>
    <row r="54" spans="2:12" s="12" customFormat="1" x14ac:dyDescent="0.25">
      <c r="B54" s="13"/>
      <c r="C54" s="13"/>
      <c r="D54" s="92"/>
      <c r="E54" s="33"/>
      <c r="F54" s="33"/>
      <c r="G54" s="40"/>
      <c r="H54" s="13"/>
      <c r="I54" s="13"/>
      <c r="J54" s="85"/>
      <c r="K54" s="85"/>
      <c r="L54" s="85"/>
    </row>
    <row r="55" spans="2:12" x14ac:dyDescent="0.25">
      <c r="E55" s="33"/>
      <c r="F55" s="33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5">
    <cfRule type="cellIs" dxfId="5" priority="139" operator="greaterThan">
      <formula>$G$46</formula>
    </cfRule>
  </conditionalFormatting>
  <conditionalFormatting sqref="G6:G35">
    <cfRule type="cellIs" dxfId="4" priority="138" operator="greaterThan">
      <formula>$G$46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$D$46</formula>
    </cfRule>
  </conditionalFormatting>
  <conditionalFormatting sqref="E30:E35">
    <cfRule type="cellIs" dxfId="1" priority="7" operator="greaterThan">
      <formula>#REF!</formula>
    </cfRule>
  </conditionalFormatting>
  <conditionalFormatting sqref="F30:F35">
    <cfRule type="cellIs" dxfId="0" priority="6" operator="greaterThan">
      <formula>$D$46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5"/>
  <sheetViews>
    <sheetView zoomScaleNormal="100" workbookViewId="0">
      <selection activeCell="E39" sqref="E39"/>
    </sheetView>
  </sheetViews>
  <sheetFormatPr defaultRowHeight="15" x14ac:dyDescent="0.25"/>
  <cols>
    <col min="1" max="4" width="9.140625" style="55"/>
    <col min="5" max="5" width="19.28515625" style="55" customWidth="1"/>
    <col min="6" max="6" width="29" style="5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6" t="s">
        <v>3</v>
      </c>
      <c r="C1" s="136"/>
      <c r="D1" s="136"/>
      <c r="E1" s="136"/>
      <c r="F1" s="136"/>
      <c r="G1" s="136"/>
    </row>
    <row r="2" spans="1:43" ht="15" customHeight="1" x14ac:dyDescent="0.25">
      <c r="B2" s="136"/>
      <c r="C2" s="136"/>
      <c r="D2" s="136"/>
      <c r="E2" s="136"/>
      <c r="F2" s="136"/>
      <c r="G2" s="136"/>
    </row>
    <row r="3" spans="1:43" s="63" customFormat="1" ht="27" customHeight="1" x14ac:dyDescent="0.3">
      <c r="A3" s="61"/>
      <c r="B3" s="137" t="s">
        <v>0</v>
      </c>
      <c r="C3" s="137" t="s">
        <v>22</v>
      </c>
      <c r="D3" s="138" t="s">
        <v>21</v>
      </c>
      <c r="E3" s="75" t="s">
        <v>30</v>
      </c>
      <c r="F3" s="62" t="s">
        <v>32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37"/>
      <c r="C4" s="137"/>
      <c r="D4" s="139"/>
      <c r="E4" s="77" t="s">
        <v>31</v>
      </c>
      <c r="F4" s="62" t="s">
        <v>31</v>
      </c>
      <c r="G4" s="62" t="s">
        <v>31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9</v>
      </c>
      <c r="D5" s="78">
        <v>2019</v>
      </c>
      <c r="E5" s="114">
        <v>40</v>
      </c>
      <c r="F5" s="108">
        <v>168</v>
      </c>
      <c r="G5" s="56">
        <f>E5+F5</f>
        <v>208</v>
      </c>
    </row>
    <row r="6" spans="1:43" ht="15.75" x14ac:dyDescent="0.25">
      <c r="B6" s="78">
        <v>2</v>
      </c>
      <c r="C6" s="78">
        <v>9</v>
      </c>
      <c r="D6" s="78">
        <f>D5</f>
        <v>2019</v>
      </c>
      <c r="E6" s="114">
        <v>82</v>
      </c>
      <c r="F6" s="109">
        <v>325</v>
      </c>
      <c r="G6" s="56">
        <f t="shared" ref="G6:G34" si="0">E6+F6</f>
        <v>407</v>
      </c>
    </row>
    <row r="7" spans="1:43" ht="15.75" x14ac:dyDescent="0.25">
      <c r="B7" s="78">
        <v>3</v>
      </c>
      <c r="C7" s="78">
        <v>9</v>
      </c>
      <c r="D7" s="78">
        <f t="shared" ref="D7:D34" si="1">D6</f>
        <v>2019</v>
      </c>
      <c r="E7" s="113">
        <v>69</v>
      </c>
      <c r="F7" s="108">
        <v>259</v>
      </c>
      <c r="G7" s="56">
        <f t="shared" si="0"/>
        <v>328</v>
      </c>
    </row>
    <row r="8" spans="1:43" ht="15.75" x14ac:dyDescent="0.25">
      <c r="B8" s="78">
        <v>4</v>
      </c>
      <c r="C8" s="78">
        <v>9</v>
      </c>
      <c r="D8" s="78">
        <f t="shared" si="1"/>
        <v>2019</v>
      </c>
      <c r="E8" s="113">
        <v>51</v>
      </c>
      <c r="F8" s="108">
        <v>212</v>
      </c>
      <c r="G8" s="56">
        <f t="shared" si="0"/>
        <v>263</v>
      </c>
    </row>
    <row r="9" spans="1:43" ht="15.75" x14ac:dyDescent="0.25">
      <c r="B9" s="78">
        <v>5</v>
      </c>
      <c r="C9" s="78">
        <v>9</v>
      </c>
      <c r="D9" s="78">
        <f t="shared" si="1"/>
        <v>2019</v>
      </c>
      <c r="E9" s="113">
        <v>47</v>
      </c>
      <c r="F9" s="108">
        <v>213</v>
      </c>
      <c r="G9" s="56">
        <f t="shared" si="0"/>
        <v>260</v>
      </c>
    </row>
    <row r="10" spans="1:43" ht="15.75" x14ac:dyDescent="0.25">
      <c r="B10" s="78">
        <v>6</v>
      </c>
      <c r="C10" s="78">
        <v>9</v>
      </c>
      <c r="D10" s="78">
        <f t="shared" si="1"/>
        <v>2019</v>
      </c>
      <c r="E10" s="113">
        <v>90</v>
      </c>
      <c r="F10" s="108">
        <v>373</v>
      </c>
      <c r="G10" s="56">
        <f t="shared" si="0"/>
        <v>463</v>
      </c>
    </row>
    <row r="11" spans="1:43" ht="15.75" x14ac:dyDescent="0.25">
      <c r="B11" s="78">
        <v>7</v>
      </c>
      <c r="C11" s="78">
        <v>9</v>
      </c>
      <c r="D11" s="78">
        <f t="shared" si="1"/>
        <v>2019</v>
      </c>
      <c r="E11" s="113">
        <v>48</v>
      </c>
      <c r="F11" s="108">
        <v>201</v>
      </c>
      <c r="G11" s="56">
        <f t="shared" si="0"/>
        <v>249</v>
      </c>
    </row>
    <row r="12" spans="1:43" ht="15.75" x14ac:dyDescent="0.25">
      <c r="B12" s="78">
        <v>8</v>
      </c>
      <c r="C12" s="78">
        <v>9</v>
      </c>
      <c r="D12" s="78">
        <f t="shared" si="1"/>
        <v>2019</v>
      </c>
      <c r="E12" s="113">
        <v>71</v>
      </c>
      <c r="F12" s="109">
        <v>296</v>
      </c>
      <c r="G12" s="56">
        <f t="shared" si="0"/>
        <v>367</v>
      </c>
    </row>
    <row r="13" spans="1:43" ht="15.75" x14ac:dyDescent="0.25">
      <c r="B13" s="78">
        <v>9</v>
      </c>
      <c r="C13" s="78">
        <v>9</v>
      </c>
      <c r="D13" s="78">
        <f t="shared" si="1"/>
        <v>2019</v>
      </c>
      <c r="E13" s="114">
        <v>74</v>
      </c>
      <c r="F13" s="109">
        <v>310</v>
      </c>
      <c r="G13" s="56">
        <f t="shared" si="0"/>
        <v>384</v>
      </c>
    </row>
    <row r="14" spans="1:43" ht="15.75" x14ac:dyDescent="0.25">
      <c r="B14" s="78">
        <v>10</v>
      </c>
      <c r="C14" s="78">
        <v>9</v>
      </c>
      <c r="D14" s="78">
        <f t="shared" si="1"/>
        <v>2019</v>
      </c>
      <c r="E14" s="113">
        <v>46</v>
      </c>
      <c r="F14" s="109">
        <v>202</v>
      </c>
      <c r="G14" s="56">
        <f t="shared" si="0"/>
        <v>248</v>
      </c>
    </row>
    <row r="15" spans="1:43" ht="15.75" x14ac:dyDescent="0.25">
      <c r="B15" s="78">
        <v>11</v>
      </c>
      <c r="C15" s="78">
        <v>9</v>
      </c>
      <c r="D15" s="78">
        <f t="shared" si="1"/>
        <v>2019</v>
      </c>
      <c r="E15" s="113">
        <v>77</v>
      </c>
      <c r="F15" s="108">
        <v>326</v>
      </c>
      <c r="G15" s="56">
        <f t="shared" si="0"/>
        <v>403</v>
      </c>
    </row>
    <row r="16" spans="1:43" ht="15.75" x14ac:dyDescent="0.25">
      <c r="B16" s="78">
        <v>12</v>
      </c>
      <c r="C16" s="78">
        <v>9</v>
      </c>
      <c r="D16" s="78">
        <f t="shared" si="1"/>
        <v>2019</v>
      </c>
      <c r="E16" s="113">
        <v>64</v>
      </c>
      <c r="F16" s="108">
        <v>275</v>
      </c>
      <c r="G16" s="56">
        <f t="shared" si="0"/>
        <v>339</v>
      </c>
    </row>
    <row r="17" spans="2:7" ht="15.75" x14ac:dyDescent="0.25">
      <c r="B17" s="78">
        <v>13</v>
      </c>
      <c r="C17" s="78">
        <v>9</v>
      </c>
      <c r="D17" s="78">
        <f t="shared" si="1"/>
        <v>2019</v>
      </c>
      <c r="E17" s="113">
        <v>112</v>
      </c>
      <c r="F17" s="108">
        <v>477</v>
      </c>
      <c r="G17" s="56">
        <f t="shared" si="0"/>
        <v>589</v>
      </c>
    </row>
    <row r="18" spans="2:7" ht="15.75" x14ac:dyDescent="0.25">
      <c r="B18" s="78">
        <v>14</v>
      </c>
      <c r="C18" s="78">
        <v>9</v>
      </c>
      <c r="D18" s="78">
        <f t="shared" si="1"/>
        <v>2019</v>
      </c>
      <c r="E18" s="113">
        <v>63</v>
      </c>
      <c r="F18" s="108">
        <v>271</v>
      </c>
      <c r="G18" s="56">
        <f t="shared" si="0"/>
        <v>334</v>
      </c>
    </row>
    <row r="19" spans="2:7" ht="15.75" x14ac:dyDescent="0.25">
      <c r="B19" s="78">
        <v>15</v>
      </c>
      <c r="C19" s="78">
        <v>9</v>
      </c>
      <c r="D19" s="78">
        <f t="shared" si="1"/>
        <v>2019</v>
      </c>
      <c r="E19" s="113">
        <v>39</v>
      </c>
      <c r="F19" s="108">
        <v>169</v>
      </c>
      <c r="G19" s="56">
        <f t="shared" si="0"/>
        <v>208</v>
      </c>
    </row>
    <row r="20" spans="2:7" ht="15.75" x14ac:dyDescent="0.25">
      <c r="B20" s="78">
        <v>16</v>
      </c>
      <c r="C20" s="78">
        <v>9</v>
      </c>
      <c r="D20" s="78">
        <f t="shared" si="1"/>
        <v>2019</v>
      </c>
      <c r="E20" s="114">
        <v>51</v>
      </c>
      <c r="F20" s="109">
        <v>219</v>
      </c>
      <c r="G20" s="56">
        <f t="shared" si="0"/>
        <v>270</v>
      </c>
    </row>
    <row r="21" spans="2:7" ht="15.75" x14ac:dyDescent="0.25">
      <c r="B21" s="78">
        <v>17</v>
      </c>
      <c r="C21" s="78">
        <v>9</v>
      </c>
      <c r="D21" s="78">
        <f t="shared" si="1"/>
        <v>2019</v>
      </c>
      <c r="E21" s="113">
        <v>78</v>
      </c>
      <c r="F21" s="108">
        <v>337</v>
      </c>
      <c r="G21" s="56">
        <f t="shared" si="0"/>
        <v>415</v>
      </c>
    </row>
    <row r="22" spans="2:7" ht="15.75" x14ac:dyDescent="0.25">
      <c r="B22" s="78">
        <v>18</v>
      </c>
      <c r="C22" s="78">
        <v>9</v>
      </c>
      <c r="D22" s="78">
        <f t="shared" si="1"/>
        <v>2019</v>
      </c>
      <c r="E22" s="113">
        <v>58</v>
      </c>
      <c r="F22" s="108">
        <v>258</v>
      </c>
      <c r="G22" s="56">
        <f t="shared" si="0"/>
        <v>316</v>
      </c>
    </row>
    <row r="23" spans="2:7" ht="15.75" x14ac:dyDescent="0.25">
      <c r="B23" s="78">
        <v>19</v>
      </c>
      <c r="C23" s="78">
        <v>9</v>
      </c>
      <c r="D23" s="78">
        <f t="shared" si="1"/>
        <v>2019</v>
      </c>
      <c r="E23" s="113">
        <v>60</v>
      </c>
      <c r="F23" s="108">
        <v>258</v>
      </c>
      <c r="G23" s="56">
        <f t="shared" si="0"/>
        <v>318</v>
      </c>
    </row>
    <row r="24" spans="2:7" ht="15.75" x14ac:dyDescent="0.25">
      <c r="B24" s="78">
        <v>20</v>
      </c>
      <c r="C24" s="78">
        <v>9</v>
      </c>
      <c r="D24" s="78">
        <f t="shared" si="1"/>
        <v>2019</v>
      </c>
      <c r="E24" s="113">
        <v>47</v>
      </c>
      <c r="F24" s="108">
        <v>207</v>
      </c>
      <c r="G24" s="56">
        <f t="shared" si="0"/>
        <v>254</v>
      </c>
    </row>
    <row r="25" spans="2:7" ht="15.75" x14ac:dyDescent="0.25">
      <c r="B25" s="78">
        <v>21</v>
      </c>
      <c r="C25" s="78">
        <v>9</v>
      </c>
      <c r="D25" s="78">
        <f t="shared" si="1"/>
        <v>2019</v>
      </c>
      <c r="E25" s="113">
        <v>72</v>
      </c>
      <c r="F25" s="108">
        <v>324</v>
      </c>
      <c r="G25" s="56">
        <f t="shared" si="0"/>
        <v>396</v>
      </c>
    </row>
    <row r="26" spans="2:7" ht="15.75" x14ac:dyDescent="0.25">
      <c r="B26" s="78">
        <v>22</v>
      </c>
      <c r="C26" s="78">
        <v>9</v>
      </c>
      <c r="D26" s="78">
        <f t="shared" si="1"/>
        <v>2019</v>
      </c>
      <c r="E26" s="113">
        <v>50</v>
      </c>
      <c r="F26" s="108">
        <v>224</v>
      </c>
      <c r="G26" s="56">
        <f t="shared" si="0"/>
        <v>274</v>
      </c>
    </row>
    <row r="27" spans="2:7" ht="15.75" x14ac:dyDescent="0.25">
      <c r="B27" s="78">
        <v>23</v>
      </c>
      <c r="C27" s="78">
        <v>9</v>
      </c>
      <c r="D27" s="78">
        <f t="shared" si="1"/>
        <v>2019</v>
      </c>
      <c r="E27" s="114">
        <v>43</v>
      </c>
      <c r="F27" s="109">
        <v>232</v>
      </c>
      <c r="G27" s="56">
        <f t="shared" si="0"/>
        <v>275</v>
      </c>
    </row>
    <row r="28" spans="2:7" ht="15.75" x14ac:dyDescent="0.25">
      <c r="B28" s="78">
        <v>24</v>
      </c>
      <c r="C28" s="78">
        <v>9</v>
      </c>
      <c r="D28" s="78">
        <f t="shared" si="1"/>
        <v>2019</v>
      </c>
      <c r="E28" s="113">
        <v>93</v>
      </c>
      <c r="F28" s="108">
        <v>369</v>
      </c>
      <c r="G28" s="56">
        <f t="shared" si="0"/>
        <v>462</v>
      </c>
    </row>
    <row r="29" spans="2:7" ht="15.75" x14ac:dyDescent="0.25">
      <c r="B29" s="78">
        <v>25</v>
      </c>
      <c r="C29" s="78">
        <v>9</v>
      </c>
      <c r="D29" s="78">
        <f t="shared" si="1"/>
        <v>2019</v>
      </c>
      <c r="E29" s="113">
        <v>49</v>
      </c>
      <c r="F29" s="108">
        <v>216</v>
      </c>
      <c r="G29" s="56">
        <f t="shared" si="0"/>
        <v>265</v>
      </c>
    </row>
    <row r="30" spans="2:7" ht="15.75" x14ac:dyDescent="0.25">
      <c r="B30" s="78">
        <v>26</v>
      </c>
      <c r="C30" s="78">
        <v>9</v>
      </c>
      <c r="D30" s="78">
        <f t="shared" si="1"/>
        <v>2019</v>
      </c>
      <c r="E30" s="113">
        <v>65</v>
      </c>
      <c r="F30" s="108">
        <v>287</v>
      </c>
      <c r="G30" s="56">
        <f t="shared" si="0"/>
        <v>352</v>
      </c>
    </row>
    <row r="31" spans="2:7" ht="15.75" x14ac:dyDescent="0.25">
      <c r="B31" s="78">
        <v>27</v>
      </c>
      <c r="C31" s="78">
        <v>9</v>
      </c>
      <c r="D31" s="78">
        <f t="shared" si="1"/>
        <v>2019</v>
      </c>
      <c r="E31" s="113">
        <v>44</v>
      </c>
      <c r="F31" s="108">
        <v>195</v>
      </c>
      <c r="G31" s="56">
        <f t="shared" si="0"/>
        <v>239</v>
      </c>
    </row>
    <row r="32" spans="2:7" ht="15.75" x14ac:dyDescent="0.25">
      <c r="B32" s="78">
        <v>28</v>
      </c>
      <c r="C32" s="78">
        <v>9</v>
      </c>
      <c r="D32" s="78">
        <f t="shared" si="1"/>
        <v>2019</v>
      </c>
      <c r="E32" s="113">
        <v>82</v>
      </c>
      <c r="F32" s="108">
        <v>361</v>
      </c>
      <c r="G32" s="56">
        <f t="shared" si="0"/>
        <v>443</v>
      </c>
    </row>
    <row r="33" spans="2:9" ht="15.75" x14ac:dyDescent="0.25">
      <c r="B33" s="78">
        <v>29</v>
      </c>
      <c r="C33" s="78">
        <v>9</v>
      </c>
      <c r="D33" s="78">
        <f t="shared" si="1"/>
        <v>2019</v>
      </c>
      <c r="E33" s="113">
        <v>77</v>
      </c>
      <c r="F33" s="108">
        <v>337</v>
      </c>
      <c r="G33" s="56">
        <f t="shared" si="0"/>
        <v>414</v>
      </c>
    </row>
    <row r="34" spans="2:9" ht="15.75" x14ac:dyDescent="0.25">
      <c r="B34" s="78">
        <v>30</v>
      </c>
      <c r="C34" s="78">
        <v>9</v>
      </c>
      <c r="D34" s="78">
        <f t="shared" si="1"/>
        <v>2019</v>
      </c>
      <c r="E34" s="113">
        <v>37</v>
      </c>
      <c r="F34" s="108">
        <v>163</v>
      </c>
      <c r="G34" s="56">
        <f t="shared" si="0"/>
        <v>200</v>
      </c>
    </row>
    <row r="35" spans="2:9" ht="21" x14ac:dyDescent="0.35">
      <c r="B35" s="64"/>
      <c r="C35" s="64"/>
      <c r="D35" s="64"/>
      <c r="E35" s="14">
        <f>SUM(E5:E34)</f>
        <v>1879</v>
      </c>
      <c r="F35" s="14">
        <f>SUM(F5:F34)</f>
        <v>8064</v>
      </c>
      <c r="G35" s="14">
        <f>SUM(G5:G34)</f>
        <v>9943</v>
      </c>
    </row>
    <row r="36" spans="2:9" x14ac:dyDescent="0.25">
      <c r="I36" s="66"/>
    </row>
    <row r="37" spans="2:9" x14ac:dyDescent="0.25">
      <c r="I37" s="66"/>
    </row>
    <row r="38" spans="2:9" ht="15.75" thickBot="1" x14ac:dyDescent="0.3"/>
    <row r="39" spans="2:9" ht="21.75" thickBot="1" x14ac:dyDescent="0.4">
      <c r="C39" s="70"/>
      <c r="D39" s="70"/>
      <c r="F39" s="70"/>
      <c r="G39" s="67">
        <f>G35</f>
        <v>9943</v>
      </c>
      <c r="H39" s="68"/>
    </row>
    <row r="40" spans="2:9" ht="15.75" x14ac:dyDescent="0.25">
      <c r="B40" s="70"/>
      <c r="C40" s="70"/>
      <c r="D40" s="70"/>
      <c r="E40" s="70"/>
      <c r="F40" s="70"/>
      <c r="G40" s="69"/>
      <c r="H40" s="68"/>
    </row>
    <row r="41" spans="2:9" ht="15.75" x14ac:dyDescent="0.25">
      <c r="B41" s="70"/>
      <c r="C41" s="70"/>
      <c r="D41" s="70"/>
      <c r="E41" s="70"/>
      <c r="F41" s="70"/>
      <c r="G41" s="69"/>
      <c r="H41" s="68"/>
    </row>
    <row r="42" spans="2:9" ht="15.75" x14ac:dyDescent="0.25">
      <c r="B42" s="70" t="s">
        <v>4</v>
      </c>
      <c r="C42" s="70"/>
      <c r="D42" s="70"/>
      <c r="F42" s="79" t="s">
        <v>19</v>
      </c>
      <c r="G42" s="71">
        <v>12550</v>
      </c>
      <c r="H42" s="72"/>
    </row>
    <row r="43" spans="2:9" x14ac:dyDescent="0.25">
      <c r="G43" s="69"/>
    </row>
    <row r="44" spans="2:9" ht="15.75" thickBot="1" x14ac:dyDescent="0.3">
      <c r="G44" s="69"/>
    </row>
    <row r="45" spans="2:9" ht="27" thickBot="1" x14ac:dyDescent="0.3">
      <c r="F45" s="70" t="s">
        <v>5</v>
      </c>
      <c r="G45" s="74">
        <f>G39*G42</f>
        <v>124784650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2023-03-10T09:05:35Z</dcterms:modified>
</cp:coreProperties>
</file>