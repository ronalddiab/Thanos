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4000" windowHeight="9600" tabRatio="598" activeTab="2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2" l="1"/>
  <c r="T24" i="2" l="1"/>
  <c r="T25" i="2" s="1"/>
  <c r="T26" i="2" s="1"/>
  <c r="T27" i="2" s="1"/>
  <c r="T28" i="2" s="1"/>
  <c r="T29" i="2" s="1"/>
  <c r="T30" i="2" s="1"/>
  <c r="T31" i="2" s="1"/>
  <c r="T32" i="2" s="1"/>
  <c r="T33" i="2" s="1"/>
  <c r="P24" i="2"/>
  <c r="P25" i="2" s="1"/>
  <c r="P26" i="2" s="1"/>
  <c r="P27" i="2" s="1"/>
  <c r="P28" i="2" s="1"/>
  <c r="P29" i="2" s="1"/>
  <c r="P30" i="2" s="1"/>
  <c r="P31" i="2" s="1"/>
  <c r="P32" i="2" s="1"/>
  <c r="P33" i="2" s="1"/>
  <c r="N24" i="2"/>
  <c r="N25" i="2" s="1"/>
  <c r="N26" i="2" s="1"/>
  <c r="N27" i="2" s="1"/>
  <c r="N28" i="2" s="1"/>
  <c r="N29" i="2" s="1"/>
  <c r="N30" i="2" s="1"/>
  <c r="N31" i="2" s="1"/>
  <c r="N32" i="2" s="1"/>
  <c r="N33" i="2" s="1"/>
  <c r="L24" i="2"/>
  <c r="L25" i="2" s="1"/>
  <c r="L26" i="2" s="1"/>
  <c r="L27" i="2" s="1"/>
  <c r="L28" i="2" s="1"/>
  <c r="L29" i="2" s="1"/>
  <c r="L30" i="2" s="1"/>
  <c r="L31" i="2" s="1"/>
  <c r="L32" i="2" s="1"/>
  <c r="L33" i="2" s="1"/>
  <c r="H24" i="2"/>
  <c r="H25" i="2" s="1"/>
  <c r="H26" i="2" s="1"/>
  <c r="H27" i="2" s="1"/>
  <c r="H28" i="2" s="1"/>
  <c r="H29" i="2" s="1"/>
  <c r="H30" i="2" s="1"/>
  <c r="H31" i="2" s="1"/>
  <c r="H32" i="2" s="1"/>
  <c r="H33" i="2" s="1"/>
  <c r="F24" i="2"/>
  <c r="F25" i="2" s="1"/>
  <c r="F26" i="2" s="1"/>
  <c r="F27" i="2" s="1"/>
  <c r="F28" i="2" s="1"/>
  <c r="F29" i="2" s="1"/>
  <c r="F30" i="2" s="1"/>
  <c r="F31" i="2" s="1"/>
  <c r="F32" i="2" s="1"/>
  <c r="F33" i="2" s="1"/>
  <c r="D24" i="2"/>
  <c r="D25" i="2" s="1"/>
  <c r="D26" i="2" s="1"/>
  <c r="D27" i="2" s="1"/>
  <c r="D28" i="2" s="1"/>
  <c r="D29" i="2" s="1"/>
  <c r="D30" i="2" s="1"/>
  <c r="D31" i="2" s="1"/>
  <c r="D32" i="2" s="1"/>
  <c r="D33" i="2" s="1"/>
  <c r="B24" i="2"/>
  <c r="B25" i="2" s="1"/>
  <c r="B26" i="2" s="1"/>
  <c r="B27" i="2" s="1"/>
  <c r="B28" i="2" s="1"/>
  <c r="B29" i="2" s="1"/>
  <c r="B30" i="2" s="1"/>
  <c r="B31" i="2" s="1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P13" i="1" s="1"/>
  <c r="O14" i="1"/>
  <c r="P14" i="1" s="1"/>
  <c r="O15" i="1"/>
  <c r="O16" i="1"/>
  <c r="O17" i="1"/>
  <c r="P17" i="1" s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P24" i="1" s="1"/>
  <c r="O25" i="1"/>
  <c r="O26" i="1"/>
  <c r="P26" i="1" s="1"/>
  <c r="O27" i="1"/>
  <c r="P27" i="1" s="1"/>
  <c r="O28" i="1"/>
  <c r="P28" i="1" s="1"/>
  <c r="O29" i="1"/>
  <c r="P9" i="1"/>
  <c r="P15" i="1"/>
  <c r="P16" i="1"/>
  <c r="P21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M33" i="1" s="1"/>
  <c r="M5" i="1"/>
  <c r="M6" i="1"/>
  <c r="M29" i="1"/>
  <c r="M30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10" i="1"/>
  <c r="J15" i="1"/>
  <c r="J26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G29" i="1" s="1"/>
  <c r="F30" i="1"/>
  <c r="G30" i="1" s="1"/>
  <c r="F33" i="1"/>
  <c r="G33" i="1" s="1"/>
  <c r="G26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<sst xmlns="http://schemas.openxmlformats.org/spreadsheetml/2006/main" count="441" uniqueCount="144">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</sst>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" sqref="B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70700.338052000006</v>
      </c>
      <c r="F7" s="162">
        <v>1.27</v>
      </c>
      <c r="G7" s="47">
        <f>Gas!C8*0.9147</f>
        <v>1821.1677</v>
      </c>
      <c r="H7" s="163">
        <v>3.65</v>
      </c>
      <c r="I7" s="165">
        <f>Submetering!H7+Submetering!AD7+Submetering!AE7</f>
        <v>976</v>
      </c>
      <c r="J7" s="165">
        <v>10.029999999999999</v>
      </c>
      <c r="K7" s="47">
        <f>ELECT.!B8</f>
        <v>222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57927.086531999994</v>
      </c>
      <c r="F8" s="162">
        <v>1.27</v>
      </c>
      <c r="G8" s="47">
        <f>Gas!C9*0.9147</f>
        <v>1674.8156999999999</v>
      </c>
      <c r="H8" s="163">
        <v>3.65</v>
      </c>
      <c r="I8" s="165">
        <f>Submetering!H8+Submetering!AD8+Submetering!AE8</f>
        <v>1005.9999999999999</v>
      </c>
      <c r="J8" s="165">
        <v>10.029999999999999</v>
      </c>
      <c r="K8" s="47">
        <f>ELECT.!B9</f>
        <v>235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45206.913600000007</v>
      </c>
      <c r="F9" s="162">
        <v>1.27</v>
      </c>
      <c r="G9" s="47">
        <f>Gas!C10*0.9147</f>
        <v>2178.8154</v>
      </c>
      <c r="H9" s="163">
        <v>3.65</v>
      </c>
      <c r="I9" s="165">
        <f>Submetering!H9+Submetering!AD9+Submetering!AE9</f>
        <v>856</v>
      </c>
      <c r="J9" s="165">
        <v>10.029999999999999</v>
      </c>
      <c r="K9" s="47">
        <f>ELECT.!B10</f>
        <v>221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67290.490623999998</v>
      </c>
      <c r="F10" s="162">
        <v>1.27</v>
      </c>
      <c r="G10" s="47">
        <f>Gas!C11*0.9147</f>
        <v>1733.3564999999999</v>
      </c>
      <c r="H10" s="163">
        <v>3.65</v>
      </c>
      <c r="I10" s="165">
        <f>Submetering!H10+Submetering!AD10+Submetering!AE10</f>
        <v>1036</v>
      </c>
      <c r="J10" s="165">
        <v>10.029999999999999</v>
      </c>
      <c r="K10" s="47">
        <f>ELECT.!B11</f>
        <v>230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57120.413724000005</v>
      </c>
      <c r="F11" s="162">
        <v>1.27</v>
      </c>
      <c r="G11" s="47">
        <f>Gas!C12*0.9147</f>
        <v>1466.2640999999999</v>
      </c>
      <c r="H11" s="163">
        <v>3.65</v>
      </c>
      <c r="I11" s="165">
        <f>Submetering!H11+Submetering!AD11+Submetering!AE11</f>
        <v>736</v>
      </c>
      <c r="J11" s="165">
        <v>10.029999999999999</v>
      </c>
      <c r="K11" s="47">
        <f>ELECT.!B12</f>
        <v>225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80735.509568000009</v>
      </c>
      <c r="F12" s="162">
        <v>1.27</v>
      </c>
      <c r="G12" s="47">
        <f>Gas!C13*0.9147</f>
        <v>2397.4286999999999</v>
      </c>
      <c r="H12" s="163">
        <v>3.65</v>
      </c>
      <c r="I12" s="165">
        <f>Submetering!H12+Submetering!AD12+Submetering!AE12</f>
        <v>836</v>
      </c>
      <c r="J12" s="165">
        <v>10.029999999999999</v>
      </c>
      <c r="K12" s="47">
        <f>ELECT.!B13</f>
        <v>169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57981.889204000006</v>
      </c>
      <c r="F13" s="162">
        <v>1.27</v>
      </c>
      <c r="G13" s="47">
        <f>Gas!C14*0.9147</f>
        <v>1837.6323</v>
      </c>
      <c r="H13" s="163">
        <v>3.65</v>
      </c>
      <c r="I13" s="165">
        <f>Submetering!H13+Submetering!AD13+Submetering!AE13</f>
        <v>546</v>
      </c>
      <c r="J13" s="165">
        <v>10.029999999999999</v>
      </c>
      <c r="K13" s="47">
        <f>ELECT.!B14</f>
        <v>180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55589.591952000002</v>
      </c>
      <c r="F14" s="162">
        <v>1.27</v>
      </c>
      <c r="G14" s="47">
        <f>Gas!C15*0.9147</f>
        <v>2076.3689999999997</v>
      </c>
      <c r="H14" s="163">
        <v>3.65</v>
      </c>
      <c r="I14" s="165">
        <f>Submetering!H14+Submetering!AD14+Submetering!AE14</f>
        <v>916.00000000000011</v>
      </c>
      <c r="J14" s="165">
        <v>10.029999999999999</v>
      </c>
      <c r="K14" s="47">
        <f>ELECT.!B15</f>
        <v>138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64317.14402</v>
      </c>
      <c r="F15" s="162">
        <v>1.27</v>
      </c>
      <c r="G15" s="47">
        <f>Gas!C16*0.9147</f>
        <v>1922.6994</v>
      </c>
      <c r="H15" s="163">
        <v>3.65</v>
      </c>
      <c r="I15" s="165">
        <f>Submetering!H15+Submetering!AD15+Submetering!AE15</f>
        <v>526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73653.031960000008</v>
      </c>
      <c r="F16" s="162">
        <v>1.27</v>
      </c>
      <c r="G16" s="47">
        <f>Gas!C17*0.9147</f>
        <v>1990.3871999999999</v>
      </c>
      <c r="H16" s="163">
        <v>3.65</v>
      </c>
      <c r="I16" s="165">
        <f>Submetering!H16+Submetering!AD16+Submetering!AE16</f>
        <v>526</v>
      </c>
      <c r="J16" s="165">
        <v>10.029999999999999</v>
      </c>
      <c r="K16" s="47">
        <f>ELECT.!B17</f>
        <v>202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50875.464668000008</v>
      </c>
      <c r="F17" s="162">
        <v>1.27</v>
      </c>
      <c r="G17" s="47">
        <f>Gas!C18*0.9147</f>
        <v>1833.9734999999998</v>
      </c>
      <c r="H17" s="163">
        <v>3.65</v>
      </c>
      <c r="I17" s="165">
        <f>Submetering!H17+Submetering!AD17+Submetering!AE17</f>
        <v>976</v>
      </c>
      <c r="J17" s="165">
        <v>10.029999999999999</v>
      </c>
      <c r="K17" s="47">
        <f>ELECT.!B18</f>
        <v>115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82536.318484000003</v>
      </c>
      <c r="F18" s="162">
        <v>1.27</v>
      </c>
      <c r="G18" s="47">
        <f>Gas!C19*0.9147</f>
        <v>1954.7139</v>
      </c>
      <c r="H18" s="163">
        <v>3.65</v>
      </c>
      <c r="I18" s="165">
        <f>Submetering!H18+Submetering!AD18+Submetering!AE18</f>
        <v>766</v>
      </c>
      <c r="J18" s="165">
        <v>10.029999999999999</v>
      </c>
      <c r="K18" s="47">
        <f>ELECT.!B19</f>
        <v>162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57103.878884000005</v>
      </c>
      <c r="F19" s="162">
        <v>1.27</v>
      </c>
      <c r="G19" s="47">
        <f>Gas!C20*0.9147</f>
        <v>2101.9805999999999</v>
      </c>
      <c r="H19" s="163">
        <v>3.65</v>
      </c>
      <c r="I19" s="165">
        <f>Submetering!H19+Submetering!AD19+Submetering!AE19</f>
        <v>706</v>
      </c>
      <c r="J19" s="165">
        <v>10.029999999999999</v>
      </c>
      <c r="K19" s="47">
        <f>ELECT.!B20</f>
        <v>185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69910.943195999993</v>
      </c>
      <c r="F20" s="162">
        <v>1.27</v>
      </c>
      <c r="G20" s="47">
        <f>Gas!C21*0.9147</f>
        <v>1739.7593999999999</v>
      </c>
      <c r="H20" s="163">
        <v>3.65</v>
      </c>
      <c r="I20" s="165">
        <f>Submetering!H20+Submetering!AD20+Submetering!AE20</f>
        <v>806</v>
      </c>
      <c r="J20" s="165">
        <v>10.029999999999999</v>
      </c>
      <c r="K20" s="47">
        <f>ELECT.!B21</f>
        <v>160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64131.293060000004</v>
      </c>
      <c r="F21" s="162">
        <v>1.27</v>
      </c>
      <c r="G21" s="47">
        <f>Gas!C22*0.9147</f>
        <v>1984.8989999999999</v>
      </c>
      <c r="H21" s="163">
        <v>3.65</v>
      </c>
      <c r="I21" s="165">
        <f>Submetering!H21+Submetering!AD21+Submetering!AE21</f>
        <v>1206</v>
      </c>
      <c r="J21" s="165">
        <v>10.029999999999999</v>
      </c>
      <c r="K21" s="47">
        <f>ELECT.!B22</f>
        <v>196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44890.778939999997</v>
      </c>
      <c r="F22" s="162">
        <v>1.27</v>
      </c>
      <c r="G22" s="47">
        <f>Gas!C23*0.9147</f>
        <v>1597.0662</v>
      </c>
      <c r="H22" s="163">
        <v>3.65</v>
      </c>
      <c r="I22" s="165">
        <f>Submetering!H22+Submetering!AD22+Submetering!AE22</f>
        <v>1206</v>
      </c>
      <c r="J22" s="165">
        <v>10.029999999999999</v>
      </c>
      <c r="K22" s="47">
        <f>ELECT.!B23</f>
        <v>201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8" sqref="E4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1170</v>
      </c>
      <c r="F7" s="47">
        <f>Water!E8</f>
        <v>0</v>
      </c>
      <c r="G7" s="47">
        <f>Water!G8</f>
        <v>723.6</v>
      </c>
      <c r="H7" s="47">
        <f>Water!I8</f>
        <v>3.5640000000000001</v>
      </c>
      <c r="I7" s="47">
        <f>ELECT.!F8</f>
        <v>15303</v>
      </c>
      <c r="J7" s="47">
        <f>ELECT.!H8</f>
        <v>58609</v>
      </c>
      <c r="K7" s="47">
        <f>ELECT.!K8</f>
        <v>6844</v>
      </c>
      <c r="L7" s="47">
        <f>ELECT.!M8</f>
        <v>5060</v>
      </c>
      <c r="M7" s="47">
        <f>ELECT.!O8</f>
        <v>10006</v>
      </c>
      <c r="N7" s="47">
        <f>ELECT.!Q8</f>
        <v>12605</v>
      </c>
      <c r="O7" s="47">
        <f>ELECT.!S8</f>
        <v>11291</v>
      </c>
      <c r="P7" s="47">
        <f>ELECT.!W8*2</f>
        <v>26412</v>
      </c>
      <c r="Q7" s="47">
        <f>ELECT.!D8</f>
        <v>480</v>
      </c>
      <c r="R7" s="48">
        <f>BTU!C8</f>
        <v>10.252999999996973</v>
      </c>
      <c r="S7" s="48">
        <f>BTU!F8</f>
        <v>2.0760000000000218</v>
      </c>
      <c r="T7" s="48">
        <f>BTU!I8</f>
        <v>8</v>
      </c>
      <c r="U7" s="48">
        <f>BTU!O8</f>
        <v>1.5349999999998545</v>
      </c>
      <c r="V7" s="48">
        <f>BTU!L8</f>
        <v>2.2299999999995634</v>
      </c>
      <c r="W7" s="48">
        <f>BTU!R8</f>
        <v>2.3800000000001091</v>
      </c>
      <c r="X7" s="45">
        <f>ELECT.!B8</f>
        <v>222</v>
      </c>
      <c r="Y7" s="45">
        <f t="shared" si="0"/>
        <v>1694</v>
      </c>
      <c r="Z7">
        <f>'Mall, Citadel, Rotana'!C8+'Mall, Citadel, Rotana'!E8+'Mall, Citadel, Rotana'!G8+'Mall, Citadel, Rotana'!I8</f>
        <v>1437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60</v>
      </c>
      <c r="AD7" s="45">
        <f t="shared" si="1"/>
        <v>128.16706479999999</v>
      </c>
      <c r="AE7" s="45">
        <f t="shared" si="2"/>
        <v>844.26893519999999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1200</v>
      </c>
      <c r="F8" s="47">
        <f>Water!E9</f>
        <v>0</v>
      </c>
      <c r="G8" s="47">
        <f>Water!G9</f>
        <v>734.4</v>
      </c>
      <c r="H8" s="47">
        <f>Water!I9</f>
        <v>4.4009999999999998</v>
      </c>
      <c r="I8" s="47">
        <f>ELECT.!F9</f>
        <v>13052</v>
      </c>
      <c r="J8" s="47">
        <f>ELECT.!H9</f>
        <v>48074</v>
      </c>
      <c r="K8" s="47">
        <f>ELECT.!K9</f>
        <v>5988</v>
      </c>
      <c r="L8" s="47">
        <f>ELECT.!M9</f>
        <v>4536</v>
      </c>
      <c r="M8" s="47">
        <f>ELECT.!O9</f>
        <v>8364</v>
      </c>
      <c r="N8" s="47">
        <f>ELECT.!Q9</f>
        <v>10414</v>
      </c>
      <c r="O8" s="47">
        <f>ELECT.!S9</f>
        <v>9337</v>
      </c>
      <c r="P8" s="47">
        <f>ELECT.!W9*2</f>
        <v>21286</v>
      </c>
      <c r="Q8" s="47">
        <f>ELECT.!D9</f>
        <v>480</v>
      </c>
      <c r="R8" s="48">
        <f>BTU!C9</f>
        <v>7.7090000000025611</v>
      </c>
      <c r="S8" s="48">
        <f>BTU!F9</f>
        <v>2.6859999999996944</v>
      </c>
      <c r="T8" s="48">
        <f>BTU!I9</f>
        <v>6</v>
      </c>
      <c r="U8" s="48">
        <f>BTU!O9</f>
        <v>1.1849999999999454</v>
      </c>
      <c r="V8" s="48">
        <f>BTU!L9</f>
        <v>2.0499999999992724</v>
      </c>
      <c r="W8" s="48">
        <f>BTU!R9</f>
        <v>1.5999999999994543</v>
      </c>
      <c r="X8" s="45">
        <f>ELECT.!B9</f>
        <v>235</v>
      </c>
      <c r="Y8" s="45">
        <f t="shared" si="0"/>
        <v>1201</v>
      </c>
      <c r="Z8">
        <f>'Mall, Citadel, Rotana'!C9+'Mall, Citadel, Rotana'!E9+'Mall, Citadel, Rotana'!G9+'Mall, Citadel, Rotana'!I9</f>
        <v>1576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115</v>
      </c>
      <c r="AD8" s="45">
        <f t="shared" si="1"/>
        <v>132.01074819999999</v>
      </c>
      <c r="AE8" s="45">
        <f t="shared" si="2"/>
        <v>869.58825179999985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1050</v>
      </c>
      <c r="F9" s="47">
        <f>Water!E10</f>
        <v>0</v>
      </c>
      <c r="G9" s="47">
        <f>Water!G10</f>
        <v>588.6</v>
      </c>
      <c r="H9" s="47">
        <f>Water!I10</f>
        <v>3.9689999999999999</v>
      </c>
      <c r="I9" s="47">
        <f>ELECT.!F10</f>
        <v>10313</v>
      </c>
      <c r="J9" s="47">
        <f>ELECT.!H10</f>
        <v>38064</v>
      </c>
      <c r="K9" s="47">
        <f>ELECT.!K10</f>
        <v>4719</v>
      </c>
      <c r="L9" s="47">
        <f>ELECT.!M10</f>
        <v>3532</v>
      </c>
      <c r="M9" s="47">
        <f>ELECT.!O10</f>
        <v>6628</v>
      </c>
      <c r="N9" s="47">
        <f>ELECT.!Q10</f>
        <v>8239</v>
      </c>
      <c r="O9" s="47">
        <f>ELECT.!S10</f>
        <v>7444</v>
      </c>
      <c r="P9" s="47">
        <f>ELECT.!W10*2</f>
        <v>16756</v>
      </c>
      <c r="Q9" s="47">
        <f>ELECT.!D10</f>
        <v>480</v>
      </c>
      <c r="R9" s="48">
        <f>BTU!C10</f>
        <v>7.7739999999976135</v>
      </c>
      <c r="S9" s="48">
        <f>BTU!F10</f>
        <v>1.9360000000001492</v>
      </c>
      <c r="T9" s="48">
        <f>BTU!I10</f>
        <v>6</v>
      </c>
      <c r="U9" s="48">
        <f>BTU!O10</f>
        <v>0.943000000000211</v>
      </c>
      <c r="V9" s="48">
        <f>BTU!L10</f>
        <v>1.5500000000010914</v>
      </c>
      <c r="W9" s="48">
        <f>BTU!R10</f>
        <v>1.4899999999997817</v>
      </c>
      <c r="X9" s="45">
        <f>ELECT.!B10</f>
        <v>221</v>
      </c>
      <c r="Y9" s="45">
        <f t="shared" si="0"/>
        <v>1059</v>
      </c>
      <c r="Z9">
        <f>'Mall, Citadel, Rotana'!C10+'Mall, Citadel, Rotana'!E10+'Mall, Citadel, Rotana'!G10+'Mall, Citadel, Rotana'!I10</f>
        <v>1593</v>
      </c>
      <c r="AA9">
        <f>'Mall, Citadel, Rotana'!K10+'Mall, Citadel, Rotana'!M10</f>
        <v>800</v>
      </c>
      <c r="AB9">
        <f>'Mall, Citadel, Rotana'!O10</f>
        <v>4</v>
      </c>
      <c r="AC9">
        <f>'Mall, Citadel, Rotana'!Q10+'Mall, Citadel, Rotana'!S10</f>
        <v>100</v>
      </c>
      <c r="AD9" s="45">
        <f t="shared" si="1"/>
        <v>112.2976858</v>
      </c>
      <c r="AE9" s="45">
        <f t="shared" si="2"/>
        <v>739.7333142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1230</v>
      </c>
      <c r="F10" s="47">
        <f>Water!E11</f>
        <v>0</v>
      </c>
      <c r="G10" s="47">
        <f>Water!G11</f>
        <v>761.4</v>
      </c>
      <c r="H10" s="47">
        <f>Water!I11</f>
        <v>29.483999999999998</v>
      </c>
      <c r="I10" s="47">
        <f>ELECT.!F11</f>
        <v>14651</v>
      </c>
      <c r="J10" s="47">
        <f>ELECT.!H11</f>
        <v>55507</v>
      </c>
      <c r="K10" s="47">
        <f>ELECT.!K11</f>
        <v>6659</v>
      </c>
      <c r="L10" s="47">
        <f>ELECT.!M11</f>
        <v>4819</v>
      </c>
      <c r="M10" s="47">
        <f>ELECT.!O11</f>
        <v>9642</v>
      </c>
      <c r="N10" s="47">
        <f>ELECT.!Q11</f>
        <v>12439</v>
      </c>
      <c r="O10" s="47">
        <f>ELECT.!S11</f>
        <v>10644</v>
      </c>
      <c r="P10" s="47">
        <f>ELECT.!W11*2</f>
        <v>24492</v>
      </c>
      <c r="Q10" s="47">
        <f>ELECT.!D11</f>
        <v>480</v>
      </c>
      <c r="R10" s="48">
        <f>BTU!C11</f>
        <v>8.1840000000011059</v>
      </c>
      <c r="S10" s="48">
        <f>BTU!F11</f>
        <v>3.1390000000001237</v>
      </c>
      <c r="T10" s="48">
        <f>BTU!I11</f>
        <v>7</v>
      </c>
      <c r="U10" s="48">
        <f>BTU!O11</f>
        <v>1.362999999999829</v>
      </c>
      <c r="V10" s="48">
        <f>BTU!L11</f>
        <v>2.3299999999999272</v>
      </c>
      <c r="W10" s="48">
        <f>BTU!R11</f>
        <v>2.0700000000006185</v>
      </c>
      <c r="X10" s="45">
        <f>ELECT.!B11</f>
        <v>230</v>
      </c>
      <c r="Y10" s="45">
        <f t="shared" si="0"/>
        <v>1463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99</v>
      </c>
      <c r="AD10" s="45">
        <f t="shared" si="1"/>
        <v>132.6588088</v>
      </c>
      <c r="AE10" s="45">
        <f t="shared" si="2"/>
        <v>873.85719119999999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930</v>
      </c>
      <c r="F11" s="47">
        <f>Water!E12</f>
        <v>0</v>
      </c>
      <c r="G11" s="47">
        <f>Water!G12</f>
        <v>494.1</v>
      </c>
      <c r="H11" s="47">
        <f>Water!I12</f>
        <v>0</v>
      </c>
      <c r="I11" s="47">
        <f>ELECT.!F12</f>
        <v>13014</v>
      </c>
      <c r="J11" s="47">
        <f>ELECT.!H12</f>
        <v>47333</v>
      </c>
      <c r="K11" s="47">
        <f>ELECT.!K12</f>
        <v>5542</v>
      </c>
      <c r="L11" s="47">
        <f>ELECT.!M12</f>
        <v>4350</v>
      </c>
      <c r="M11" s="47">
        <f>ELECT.!O12</f>
        <v>8502</v>
      </c>
      <c r="N11" s="47">
        <f>ELECT.!Q12</f>
        <v>11054</v>
      </c>
      <c r="O11" s="47">
        <f>ELECT.!S12</f>
        <v>9087</v>
      </c>
      <c r="P11" s="47">
        <f>ELECT.!W12*2</f>
        <v>20574</v>
      </c>
      <c r="Q11" s="47">
        <f>ELECT.!D12</f>
        <v>640</v>
      </c>
      <c r="R11" s="48">
        <f>BTU!C12</f>
        <v>11.829000000001543</v>
      </c>
      <c r="S11" s="48">
        <f>BTU!F12</f>
        <v>3.1169999999997344</v>
      </c>
      <c r="T11" s="48">
        <f>BTU!I12</f>
        <v>8</v>
      </c>
      <c r="U11" s="48">
        <f>BTU!O12</f>
        <v>1.9540000000001783</v>
      </c>
      <c r="V11" s="48">
        <f>BTU!L12</f>
        <v>2.5599999999994907</v>
      </c>
      <c r="W11" s="48">
        <f>BTU!R12</f>
        <v>2.3999999999996362</v>
      </c>
      <c r="X11" s="45">
        <f>ELECT.!B12</f>
        <v>225</v>
      </c>
      <c r="Y11" s="45">
        <f t="shared" si="0"/>
        <v>1238</v>
      </c>
      <c r="Z11">
        <f>'Mall, Citadel, Rotana'!C12+'Mall, Citadel, Rotana'!E12+'Mall, Citadel, Rotana'!G12+'Mall, Citadel, Rotana'!I12</f>
        <v>1615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109</v>
      </c>
      <c r="AD11" s="45">
        <f t="shared" si="1"/>
        <v>97.004800000000003</v>
      </c>
      <c r="AE11" s="45">
        <f t="shared" si="2"/>
        <v>638.99519999999995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1030</v>
      </c>
      <c r="F12" s="47">
        <f>Water!E13</f>
        <v>0</v>
      </c>
      <c r="G12" s="47">
        <f>Water!G13</f>
        <v>494.1</v>
      </c>
      <c r="H12" s="47">
        <f>Water!I13</f>
        <v>4.077</v>
      </c>
      <c r="I12" s="47">
        <f>ELECT.!F13</f>
        <v>17829</v>
      </c>
      <c r="J12" s="47">
        <f>ELECT.!H13</f>
        <v>66196</v>
      </c>
      <c r="K12" s="47">
        <f>ELECT.!K13</f>
        <v>6851</v>
      </c>
      <c r="L12" s="47">
        <f>ELECT.!M13</f>
        <v>5477</v>
      </c>
      <c r="M12" s="47">
        <f>ELECT.!O13</f>
        <v>12090</v>
      </c>
      <c r="N12" s="47">
        <f>ELECT.!Q13</f>
        <v>15135</v>
      </c>
      <c r="O12" s="47">
        <f>ELECT.!S13</f>
        <v>13058</v>
      </c>
      <c r="P12" s="47">
        <f>ELECT.!W13*2</f>
        <v>29794</v>
      </c>
      <c r="Q12" s="47">
        <f>ELECT.!D13</f>
        <v>640</v>
      </c>
      <c r="R12" s="48">
        <f>BTU!C13</f>
        <v>8.2239999999983411</v>
      </c>
      <c r="S12" s="48">
        <f>BTU!F13</f>
        <v>0.77700000000004366</v>
      </c>
      <c r="T12" s="48">
        <f>BTU!I13</f>
        <v>5</v>
      </c>
      <c r="U12" s="48">
        <f>BTU!O13</f>
        <v>1.125999999999749</v>
      </c>
      <c r="V12" s="48">
        <f>BTU!L13</f>
        <v>1.1999999999989086</v>
      </c>
      <c r="W12" s="48">
        <f>BTU!R13</f>
        <v>2.3699999999998909</v>
      </c>
      <c r="X12" s="45">
        <f>ELECT.!B13</f>
        <v>169</v>
      </c>
      <c r="Y12" s="45">
        <f t="shared" si="0"/>
        <v>1620</v>
      </c>
      <c r="Z12">
        <f>'Mall, Citadel, Rotana'!C13+'Mall, Citadel, Rotana'!E13+'Mall, Citadel, Rotana'!G13+'Mall, Citadel, Rotana'!I13</f>
        <v>1455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107</v>
      </c>
      <c r="AD12" s="45">
        <f t="shared" si="1"/>
        <v>109.64745139999999</v>
      </c>
      <c r="AE12" s="45">
        <f t="shared" si="2"/>
        <v>722.27554859999998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740</v>
      </c>
      <c r="F13" s="47">
        <f>Water!E14</f>
        <v>0</v>
      </c>
      <c r="G13" s="47">
        <f>Water!G14</f>
        <v>340.2</v>
      </c>
      <c r="H13" s="47">
        <f>Water!I14</f>
        <v>2.7269999999999999</v>
      </c>
      <c r="I13" s="47">
        <f>ELECT.!F14</f>
        <v>9075</v>
      </c>
      <c r="J13" s="47">
        <f>ELECT.!H14</f>
        <v>51838</v>
      </c>
      <c r="K13" s="47">
        <f>ELECT.!K14</f>
        <v>5273</v>
      </c>
      <c r="L13" s="47">
        <f>ELECT.!M14</f>
        <v>4266</v>
      </c>
      <c r="M13" s="47">
        <f>ELECT.!O14</f>
        <v>4694</v>
      </c>
      <c r="N13" s="47">
        <f>ELECT.!Q14</f>
        <v>16146</v>
      </c>
      <c r="O13" s="47">
        <f>ELECT.!S14</f>
        <v>8755</v>
      </c>
      <c r="P13" s="47">
        <f>ELECT.!W14*2</f>
        <v>20576</v>
      </c>
      <c r="Q13" s="47">
        <f>ELECT.!D14</f>
        <v>640</v>
      </c>
      <c r="R13" s="48">
        <f>BTU!C14</f>
        <v>10.413000000000466</v>
      </c>
      <c r="S13" s="48">
        <f>BTU!F14</f>
        <v>1.5480000000002292</v>
      </c>
      <c r="T13" s="48">
        <f>BTU!I14</f>
        <v>7</v>
      </c>
      <c r="U13" s="48">
        <f>BTU!O14</f>
        <v>1.4120000000002619</v>
      </c>
      <c r="V13" s="48">
        <f>BTU!L14</f>
        <v>2.2200000000011642</v>
      </c>
      <c r="W13" s="48">
        <f>BTU!R14</f>
        <v>2.4499999999998181</v>
      </c>
      <c r="X13" s="45">
        <f>ELECT.!B14</f>
        <v>180</v>
      </c>
      <c r="Y13" s="45">
        <f t="shared" si="0"/>
        <v>1203</v>
      </c>
      <c r="Z13">
        <f>'Mall, Citadel, Rotana'!C14+'Mall, Citadel, Rotana'!E14+'Mall, Citadel, Rotana'!G14+'Mall, Citadel, Rotana'!I14</f>
        <v>1433</v>
      </c>
      <c r="AA13">
        <f>'Mall, Citadel, Rotana'!K14+'Mall, Citadel, Rotana'!M14</f>
        <v>480</v>
      </c>
      <c r="AB13">
        <f>'Mall, Citadel, Rotana'!O14</f>
        <v>4</v>
      </c>
      <c r="AC13">
        <f>'Mall, Citadel, Rotana'!Q14+'Mall, Citadel, Rotana'!S14</f>
        <v>116</v>
      </c>
      <c r="AD13" s="45">
        <f t="shared" si="1"/>
        <v>71.603381400000004</v>
      </c>
      <c r="AE13" s="45">
        <f t="shared" si="2"/>
        <v>471.66961860000004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1110</v>
      </c>
      <c r="F14" s="47">
        <f>Water!E15</f>
        <v>0</v>
      </c>
      <c r="G14" s="47">
        <f>Water!G15</f>
        <v>378</v>
      </c>
      <c r="H14" s="47">
        <f>Water!I15</f>
        <v>3.7530000000000001</v>
      </c>
      <c r="I14" s="47">
        <f>ELECT.!F15</f>
        <v>7519</v>
      </c>
      <c r="J14" s="47">
        <f>ELECT.!H15</f>
        <v>51133</v>
      </c>
      <c r="K14" s="47">
        <f>ELECT.!K15</f>
        <v>5186</v>
      </c>
      <c r="L14" s="47">
        <f>ELECT.!M15</f>
        <v>4228</v>
      </c>
      <c r="M14" s="47">
        <f>ELECT.!O15</f>
        <v>3148</v>
      </c>
      <c r="N14" s="47">
        <f>ELECT.!Q15</f>
        <v>16993</v>
      </c>
      <c r="O14" s="47">
        <f>ELECT.!S15</f>
        <v>8366</v>
      </c>
      <c r="P14" s="47">
        <f>ELECT.!W15*2</f>
        <v>19062</v>
      </c>
      <c r="Q14" s="47">
        <f>ELECT.!D15</f>
        <v>640</v>
      </c>
      <c r="R14" s="48">
        <f>BTU!C15</f>
        <v>11.03099999999904</v>
      </c>
      <c r="S14" s="48">
        <f>BTU!F15</f>
        <v>2.7519999999999527</v>
      </c>
      <c r="T14" s="48">
        <f>BTU!I15</f>
        <v>7</v>
      </c>
      <c r="U14" s="48">
        <f>BTU!O15</f>
        <v>1.5380000000000109</v>
      </c>
      <c r="V14" s="48">
        <f>BTU!L15</f>
        <v>2.1999999999989086</v>
      </c>
      <c r="W14" s="48">
        <f>BTU!R15</f>
        <v>2.2100000000000364</v>
      </c>
      <c r="X14" s="45">
        <f>ELECT.!B15</f>
        <v>138</v>
      </c>
      <c r="Y14" s="45">
        <f t="shared" si="0"/>
        <v>1669</v>
      </c>
      <c r="Z14">
        <f>'Mall, Citadel, Rotana'!C15+'Mall, Citadel, Rotana'!E15+'Mall, Citadel, Rotana'!G15+'Mall, Citadel, Rotana'!I15</f>
        <v>1428</v>
      </c>
      <c r="AA14">
        <f>'Mall, Citadel, Rotana'!K15+'Mall, Citadel, Rotana'!M15</f>
        <v>640</v>
      </c>
      <c r="AB14">
        <f>'Mall, Citadel, Rotana'!O15</f>
        <v>2</v>
      </c>
      <c r="AC14">
        <f>'Mall, Citadel, Rotana'!Q15+'Mall, Citadel, Rotana'!S15</f>
        <v>119</v>
      </c>
      <c r="AD14" s="45">
        <f t="shared" si="1"/>
        <v>120.23415460000001</v>
      </c>
      <c r="AE14" s="45">
        <f t="shared" si="2"/>
        <v>792.01284540000006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720</v>
      </c>
      <c r="F15" s="47">
        <f>Water!E16</f>
        <v>0</v>
      </c>
      <c r="G15" s="47">
        <f>Water!G16</f>
        <v>391.5</v>
      </c>
      <c r="H15" s="47">
        <f>Water!I16</f>
        <v>2.9699999999999998</v>
      </c>
      <c r="I15" s="47">
        <f>ELECT.!F16</f>
        <v>11379</v>
      </c>
      <c r="J15" s="47">
        <f>ELECT.!H16</f>
        <v>56201</v>
      </c>
      <c r="K15" s="47">
        <f>ELECT.!K16</f>
        <v>6192</v>
      </c>
      <c r="L15" s="47">
        <f>ELECT.!M16</f>
        <v>5188</v>
      </c>
      <c r="M15" s="47">
        <f>ELECT.!O16</f>
        <v>6052</v>
      </c>
      <c r="N15" s="47">
        <f>ELECT.!Q16</f>
        <v>15838</v>
      </c>
      <c r="O15" s="47">
        <f>ELECT.!S16</f>
        <v>10225</v>
      </c>
      <c r="P15" s="47">
        <f>ELECT.!W16*2</f>
        <v>22930</v>
      </c>
      <c r="Q15" s="47">
        <f>ELECT.!D16</f>
        <v>960</v>
      </c>
      <c r="R15" s="48">
        <f>BTU!C16</f>
        <v>10.049000000002707</v>
      </c>
      <c r="S15" s="48">
        <f>BTU!F16</f>
        <v>3.0029999999997017</v>
      </c>
      <c r="T15" s="48">
        <f>BTU!I16</f>
        <v>7</v>
      </c>
      <c r="U15" s="48">
        <f>BTU!O16</f>
        <v>1.5169999999998254</v>
      </c>
      <c r="V15" s="48">
        <f>BTU!L16</f>
        <v>2.2400000000016007</v>
      </c>
      <c r="W15" s="48">
        <f>BTU!R16</f>
        <v>2.5399999999999636</v>
      </c>
      <c r="X15" s="45">
        <f>ELECT.!B16</f>
        <v>0</v>
      </c>
      <c r="Y15" s="45">
        <f t="shared" si="0"/>
        <v>1155</v>
      </c>
      <c r="Z15">
        <f>'Mall, Citadel, Rotana'!C16+'Mall, Citadel, Rotana'!E16+'Mall, Citadel, Rotana'!G16+'Mall, Citadel, Rotana'!I16</f>
        <v>1592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109</v>
      </c>
      <c r="AD15" s="45">
        <f t="shared" si="1"/>
        <v>68.93535399999999</v>
      </c>
      <c r="AE15" s="45">
        <f t="shared" si="2"/>
        <v>454.09464600000001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720</v>
      </c>
      <c r="F16" s="47">
        <f>Water!E17</f>
        <v>0</v>
      </c>
      <c r="G16" s="47">
        <f>Water!G17</f>
        <v>421.2</v>
      </c>
      <c r="H16" s="47">
        <f>Water!I17</f>
        <v>3.5369999999999999</v>
      </c>
      <c r="I16" s="47">
        <f>ELECT.!F17</f>
        <v>17542</v>
      </c>
      <c r="J16" s="47">
        <f>ELECT.!H17</f>
        <v>59285</v>
      </c>
      <c r="K16" s="47">
        <f>ELECT.!K17</f>
        <v>6641</v>
      </c>
      <c r="L16" s="47">
        <f>ELECT.!M17</f>
        <v>6684</v>
      </c>
      <c r="M16" s="47">
        <f>ELECT.!O17</f>
        <v>10682</v>
      </c>
      <c r="N16" s="47">
        <f>ELECT.!Q17</f>
        <v>12961</v>
      </c>
      <c r="O16" s="47">
        <f>ELECT.!S17</f>
        <v>11594</v>
      </c>
      <c r="P16" s="47">
        <f>ELECT.!W17*2</f>
        <v>26696</v>
      </c>
      <c r="Q16" s="47">
        <f>ELECT.!D17</f>
        <v>1280</v>
      </c>
      <c r="R16" s="48">
        <f>BTU!C17</f>
        <v>10.531999999999243</v>
      </c>
      <c r="S16" s="48">
        <f>BTU!F17</f>
        <v>3.2890000000002146</v>
      </c>
      <c r="T16" s="48">
        <f>BTU!I17</f>
        <v>7</v>
      </c>
      <c r="U16" s="48">
        <f>BTU!O17</f>
        <v>1.5430000000001201</v>
      </c>
      <c r="V16" s="48">
        <f>BTU!L17</f>
        <v>2.3999999999996362</v>
      </c>
      <c r="W16" s="48">
        <f>BTU!R17</f>
        <v>2.8900000000003274</v>
      </c>
      <c r="X16" s="45">
        <f>ELECT.!B17</f>
        <v>202</v>
      </c>
      <c r="Y16" s="45">
        <f t="shared" si="0"/>
        <v>1569</v>
      </c>
      <c r="Z16">
        <f>'Mall, Citadel, Rotana'!C17+'Mall, Citadel, Rotana'!E17+'Mall, Citadel, Rotana'!G17+'Mall, Citadel, Rotana'!I17</f>
        <v>1418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5">
        <f t="shared" si="1"/>
        <v>68.860623399999994</v>
      </c>
      <c r="AE16" s="45">
        <f t="shared" si="2"/>
        <v>453.60237659999996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1170</v>
      </c>
      <c r="F17" s="47">
        <f>Water!E18</f>
        <v>0</v>
      </c>
      <c r="G17" s="47">
        <f>Water!G18</f>
        <v>453.6</v>
      </c>
      <c r="H17" s="47">
        <f>Water!I18</f>
        <v>3.2399999999999998</v>
      </c>
      <c r="I17" s="47">
        <f>ELECT.!F18</f>
        <v>11735</v>
      </c>
      <c r="J17" s="47">
        <f>ELECT.!H18</f>
        <v>42160</v>
      </c>
      <c r="K17" s="47">
        <f>ELECT.!K18</f>
        <v>4836</v>
      </c>
      <c r="L17" s="47">
        <f>ELECT.!M18</f>
        <v>4255</v>
      </c>
      <c r="M17" s="47">
        <f>ELECT.!O18</f>
        <v>7332</v>
      </c>
      <c r="N17" s="47">
        <f>ELECT.!Q18</f>
        <v>9342</v>
      </c>
      <c r="O17" s="47">
        <f>ELECT.!S18</f>
        <v>7957</v>
      </c>
      <c r="P17" s="47">
        <f>ELECT.!W18*2</f>
        <v>19020</v>
      </c>
      <c r="Q17" s="47">
        <f>ELECT.!D18</f>
        <v>960</v>
      </c>
      <c r="R17" s="48">
        <f>BTU!C18</f>
        <v>8.672999999998865</v>
      </c>
      <c r="S17" s="48">
        <f>BTU!F18</f>
        <v>2.3850000000002183</v>
      </c>
      <c r="T17" s="48">
        <f>BTU!I18</f>
        <v>7</v>
      </c>
      <c r="U17" s="48">
        <f>BTU!O18</f>
        <v>1.2170000000000982</v>
      </c>
      <c r="V17" s="48">
        <f>BTU!L18</f>
        <v>1.7999999999992724</v>
      </c>
      <c r="W17" s="48">
        <f>BTU!R18</f>
        <v>2.0399999999999636</v>
      </c>
      <c r="X17" s="45">
        <f>ELECT.!B18</f>
        <v>115</v>
      </c>
      <c r="Y17" s="45">
        <f t="shared" si="0"/>
        <v>1153</v>
      </c>
      <c r="Z17">
        <f>'Mall, Citadel, Rotana'!C18+'Mall, Citadel, Rotana'!E18+'Mall, Citadel, Rotana'!G18+'Mall, Citadel, Rotana'!I18</f>
        <v>1380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147</v>
      </c>
      <c r="AD17" s="45">
        <f t="shared" si="1"/>
        <v>128.209768</v>
      </c>
      <c r="AE17" s="45">
        <f t="shared" si="2"/>
        <v>844.55023200000005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960</v>
      </c>
      <c r="F18" s="47">
        <f>Water!E19</f>
        <v>0</v>
      </c>
      <c r="G18" s="47">
        <f>Water!G19</f>
        <v>475.2</v>
      </c>
      <c r="H18" s="47">
        <f>Water!I19</f>
        <v>3.8609999999999998</v>
      </c>
      <c r="I18" s="47">
        <f>ELECT.!F19</f>
        <v>23960</v>
      </c>
      <c r="J18" s="47">
        <f>ELECT.!H19</f>
        <v>61974</v>
      </c>
      <c r="K18" s="47">
        <f>ELECT.!K19</f>
        <v>7227</v>
      </c>
      <c r="L18" s="47">
        <f>ELECT.!M19</f>
        <v>9218</v>
      </c>
      <c r="M18" s="47">
        <f>ELECT.!O19</f>
        <v>14538</v>
      </c>
      <c r="N18" s="47">
        <f>ELECT.!Q19</f>
        <v>13497</v>
      </c>
      <c r="O18" s="47">
        <f>ELECT.!S19</f>
        <v>12217</v>
      </c>
      <c r="P18" s="47">
        <f>ELECT.!W19*2</f>
        <v>27534</v>
      </c>
      <c r="Q18" s="47">
        <f>ELECT.!D19</f>
        <v>800</v>
      </c>
      <c r="R18" s="48">
        <f>BTU!C19</f>
        <v>11.015999999999622</v>
      </c>
      <c r="S18" s="48">
        <f>BTU!F19</f>
        <v>3.3599999999996726</v>
      </c>
      <c r="T18" s="48">
        <f>BTU!I19</f>
        <v>8</v>
      </c>
      <c r="U18" s="48">
        <f>BTU!O19</f>
        <v>1.6010000000001128</v>
      </c>
      <c r="V18" s="48">
        <f>BTU!L19</f>
        <v>2.5799999999999272</v>
      </c>
      <c r="W18" s="48">
        <f>BTU!R19</f>
        <v>2.8800000000001091</v>
      </c>
      <c r="X18" s="45">
        <f>ELECT.!B19</f>
        <v>162</v>
      </c>
      <c r="Y18" s="45">
        <f t="shared" si="0"/>
        <v>1703</v>
      </c>
      <c r="Z18">
        <f>'Mall, Citadel, Rotana'!C19+'Mall, Citadel, Rotana'!E19+'Mall, Citadel, Rotana'!G19+'Mall, Citadel, Rotana'!I19</f>
        <v>1412</v>
      </c>
      <c r="AA18">
        <f>'Mall, Citadel, Rotana'!K19+'Mall, Citadel, Rotana'!M19</f>
        <v>640</v>
      </c>
      <c r="AB18">
        <f>'Mall, Citadel, Rotana'!O19</f>
        <v>3</v>
      </c>
      <c r="AC18">
        <f>'Mall, Citadel, Rotana'!Q19+'Mall, Citadel, Rotana'!S19</f>
        <v>120</v>
      </c>
      <c r="AD18" s="45">
        <f t="shared" si="1"/>
        <v>100.44992020000001</v>
      </c>
      <c r="AE18" s="45">
        <f t="shared" si="2"/>
        <v>661.68907979999994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900</v>
      </c>
      <c r="F19" s="47">
        <f>Water!E20</f>
        <v>0</v>
      </c>
      <c r="G19" s="47">
        <f>Water!G20</f>
        <v>432</v>
      </c>
      <c r="H19" s="47">
        <f>Water!I20</f>
        <v>5.2110000000000003</v>
      </c>
      <c r="I19" s="47">
        <f>ELECT.!F20</f>
        <v>17049</v>
      </c>
      <c r="J19" s="47">
        <f>ELECT.!H20</f>
        <v>42935</v>
      </c>
      <c r="K19" s="47">
        <f>ELECT.!K20</f>
        <v>4621</v>
      </c>
      <c r="L19" s="47">
        <f>ELECT.!M20</f>
        <v>5764</v>
      </c>
      <c r="M19" s="47">
        <f>ELECT.!O20</f>
        <v>11048</v>
      </c>
      <c r="N19" s="47">
        <f>ELECT.!Q20</f>
        <v>9563</v>
      </c>
      <c r="O19" s="47">
        <f>ELECT.!S20</f>
        <v>8723</v>
      </c>
      <c r="P19" s="47">
        <f>ELECT.!W20*2</f>
        <v>19128</v>
      </c>
      <c r="Q19" s="47">
        <f>ELECT.!D20</f>
        <v>640</v>
      </c>
      <c r="R19" s="48">
        <f>BTU!C20</f>
        <v>7.636000000002241</v>
      </c>
      <c r="S19" s="48">
        <f>BTU!F20</f>
        <v>1.2270000000003165</v>
      </c>
      <c r="T19" s="48">
        <f>BTU!I20</f>
        <v>5</v>
      </c>
      <c r="U19" s="48">
        <f>BTU!O20</f>
        <v>1.1289999999999054</v>
      </c>
      <c r="V19" s="48">
        <f>BTU!L20</f>
        <v>1.7299999999995634</v>
      </c>
      <c r="W19" s="48">
        <f>BTU!R20</f>
        <v>1.5900000000001455</v>
      </c>
      <c r="X19" s="45">
        <f>ELECT.!B20</f>
        <v>185</v>
      </c>
      <c r="Y19" s="45">
        <f t="shared" si="0"/>
        <v>1137</v>
      </c>
      <c r="Z19">
        <f>'Mall, Citadel, Rotana'!C20+'Mall, Citadel, Rotana'!E20+'Mall, Citadel, Rotana'!G20+'Mall, Citadel, Rotana'!I20</f>
        <v>1392</v>
      </c>
      <c r="AA19">
        <f>'Mall, Citadel, Rotana'!K20+'Mall, Citadel, Rotana'!M20</f>
        <v>480</v>
      </c>
      <c r="AB19">
        <f>'Mall, Citadel, Rotana'!O20</f>
        <v>4</v>
      </c>
      <c r="AC19">
        <f>'Mall, Citadel, Rotana'!Q20+'Mall, Citadel, Rotana'!S20</f>
        <v>129</v>
      </c>
      <c r="AD19" s="45">
        <f t="shared" si="1"/>
        <v>92.363990200000003</v>
      </c>
      <c r="AE19" s="45">
        <f t="shared" si="2"/>
        <v>608.4250098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1000</v>
      </c>
      <c r="F20" s="47">
        <f>Water!E21</f>
        <v>0</v>
      </c>
      <c r="G20" s="47">
        <f>Water!G21</f>
        <v>494.1</v>
      </c>
      <c r="H20" s="47">
        <f>Water!I21</f>
        <v>5.6159999999999997</v>
      </c>
      <c r="I20" s="47">
        <f>ELECT.!F21</f>
        <v>20307</v>
      </c>
      <c r="J20" s="47">
        <f>ELECT.!H21</f>
        <v>52705</v>
      </c>
      <c r="K20" s="47">
        <f>ELECT.!K21</f>
        <v>6167</v>
      </c>
      <c r="L20" s="47">
        <f>ELECT.!M21</f>
        <v>6984</v>
      </c>
      <c r="M20" s="47">
        <f>ELECT.!O21</f>
        <v>13194</v>
      </c>
      <c r="N20" s="47">
        <f>ELECT.!Q21</f>
        <v>11790</v>
      </c>
      <c r="O20" s="47">
        <f>ELECT.!S21</f>
        <v>10755</v>
      </c>
      <c r="P20" s="47">
        <f>ELECT.!W21*2</f>
        <v>22514</v>
      </c>
      <c r="Q20" s="47">
        <f>ELECT.!D21</f>
        <v>480</v>
      </c>
      <c r="R20" s="48">
        <f>BTU!C21</f>
        <v>9.4979999999995925</v>
      </c>
      <c r="S20" s="48">
        <f>BTU!F21</f>
        <v>1.8019999999996799</v>
      </c>
      <c r="T20" s="48">
        <f>BTU!I21</f>
        <v>6</v>
      </c>
      <c r="U20" s="48">
        <f>BTU!O21</f>
        <v>1.4719999999997526</v>
      </c>
      <c r="V20" s="48">
        <f>BTU!L21</f>
        <v>2.2300000000013824</v>
      </c>
      <c r="W20" s="48">
        <f>BTU!R21</f>
        <v>2.6099999999996726</v>
      </c>
      <c r="X20" s="45">
        <f>ELECT.!B21</f>
        <v>160</v>
      </c>
      <c r="Y20" s="45">
        <f t="shared" si="0"/>
        <v>1608</v>
      </c>
      <c r="Z20">
        <f>'Mall, Citadel, Rotana'!C21+'Mall, Citadel, Rotana'!E21+'Mall, Citadel, Rotana'!G21+'Mall, Citadel, Rotana'!I21</f>
        <v>1392</v>
      </c>
      <c r="AA20">
        <f>'Mall, Citadel, Rotana'!K21+'Mall, Citadel, Rotana'!M21</f>
        <v>480</v>
      </c>
      <c r="AB20">
        <f>'Mall, Citadel, Rotana'!O21</f>
        <v>2</v>
      </c>
      <c r="AC20">
        <f>'Mall, Citadel, Rotana'!Q21+'Mall, Citadel, Rotana'!S21</f>
        <v>119</v>
      </c>
      <c r="AD20" s="45">
        <f t="shared" si="1"/>
        <v>105.4906112</v>
      </c>
      <c r="AE20" s="45">
        <f t="shared" si="2"/>
        <v>694.89338880000003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1400</v>
      </c>
      <c r="F21" s="47">
        <f>Water!E22</f>
        <v>0</v>
      </c>
      <c r="G21" s="47">
        <f>Water!G22</f>
        <v>531.9</v>
      </c>
      <c r="H21" s="47">
        <f>Water!I22</f>
        <v>3.996</v>
      </c>
      <c r="I21" s="47">
        <f>ELECT.!F22</f>
        <v>14141</v>
      </c>
      <c r="J21" s="47">
        <f>ELECT.!H22</f>
        <v>53479</v>
      </c>
      <c r="K21" s="47">
        <f>ELECT.!K22</f>
        <v>6419</v>
      </c>
      <c r="L21" s="47">
        <f>ELECT.!M22</f>
        <v>4557</v>
      </c>
      <c r="M21" s="47">
        <f>ELECT.!O22</f>
        <v>9430</v>
      </c>
      <c r="N21" s="47">
        <f>ELECT.!Q22</f>
        <v>11956</v>
      </c>
      <c r="O21" s="47">
        <f>ELECT.!S22</f>
        <v>10519</v>
      </c>
      <c r="P21" s="47">
        <f>ELECT.!W22*2</f>
        <v>22896</v>
      </c>
      <c r="Q21" s="47">
        <f>ELECT.!D22</f>
        <v>480</v>
      </c>
      <c r="R21" s="48">
        <f>BTU!C22</f>
        <v>8.8789999999971769</v>
      </c>
      <c r="S21" s="48">
        <f>BTU!F22</f>
        <v>2.2809999999999491</v>
      </c>
      <c r="T21" s="48">
        <f>BTU!I22</f>
        <v>7</v>
      </c>
      <c r="U21" s="48">
        <f>BTU!O22</f>
        <v>1.4720000000002074</v>
      </c>
      <c r="V21" s="48">
        <f>BTU!L22</f>
        <v>2.1499999999996362</v>
      </c>
      <c r="W21" s="48">
        <f>BTU!R22</f>
        <v>1.8500000000003638</v>
      </c>
      <c r="X21" s="45">
        <f>ELECT.!B22</f>
        <v>196</v>
      </c>
      <c r="Y21" s="45">
        <f t="shared" si="0"/>
        <v>1843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640</v>
      </c>
      <c r="AB21">
        <f>'Mall, Citadel, Rotana'!O22</f>
        <v>4</v>
      </c>
      <c r="AC21">
        <f>'Mall, Citadel, Rotana'!Q22+'Mall, Citadel, Rotana'!S22</f>
        <v>437</v>
      </c>
      <c r="AD21" s="45">
        <f t="shared" si="1"/>
        <v>158.42412719999999</v>
      </c>
      <c r="AE21" s="45">
        <f t="shared" si="2"/>
        <v>1043.5798728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1400</v>
      </c>
      <c r="F22" s="47">
        <f>Water!E23</f>
        <v>0</v>
      </c>
      <c r="G22" s="47">
        <f>Water!G23</f>
        <v>445.5</v>
      </c>
      <c r="H22" s="47">
        <f>Water!I23</f>
        <v>3.9689999999999999</v>
      </c>
      <c r="I22" s="47">
        <f>ELECT.!F23</f>
        <v>10296</v>
      </c>
      <c r="J22" s="47">
        <f>ELECT.!H23</f>
        <v>37626</v>
      </c>
      <c r="K22" s="47">
        <f>ELECT.!K23</f>
        <v>4542</v>
      </c>
      <c r="L22" s="47">
        <f>ELECT.!M23</f>
        <v>3476</v>
      </c>
      <c r="M22" s="47">
        <f>ELECT.!O23</f>
        <v>6684</v>
      </c>
      <c r="N22" s="47">
        <f>ELECT.!Q23</f>
        <v>8711</v>
      </c>
      <c r="O22" s="47">
        <f>ELECT.!S23</f>
        <v>7289</v>
      </c>
      <c r="P22" s="47">
        <f>ELECT.!W23*2</f>
        <v>15696</v>
      </c>
      <c r="Q22" s="47">
        <f>ELECT.!D23</f>
        <v>480</v>
      </c>
      <c r="R22" s="48">
        <f>BTU!C23</f>
        <v>9.3560000000034051</v>
      </c>
      <c r="S22" s="48">
        <f>BTU!F23</f>
        <v>2.9639999999999418</v>
      </c>
      <c r="T22" s="48">
        <f>BTU!I23</f>
        <v>7</v>
      </c>
      <c r="U22" s="48">
        <f>BTU!O23</f>
        <v>1.4719999999997526</v>
      </c>
      <c r="V22" s="48">
        <f>BTU!L23</f>
        <v>2.2700000000004366</v>
      </c>
      <c r="W22" s="48">
        <f>BTU!R23</f>
        <v>3.0500000000001819</v>
      </c>
      <c r="X22" s="45">
        <f>ELECT.!B23</f>
        <v>201</v>
      </c>
      <c r="Y22" s="45">
        <f t="shared" si="0"/>
        <v>1524</v>
      </c>
      <c r="Z22">
        <f>'Mall, Citadel, Rotana'!C23+'Mall, Citadel, Rotana'!E23+'Mall, Citadel, Rotana'!G23+'Mall, Citadel, Rotana'!I23</f>
        <v>1386</v>
      </c>
      <c r="AA22">
        <f>'Mall, Citadel, Rotana'!K23+'Mall, Citadel, Rotana'!M23</f>
        <v>800</v>
      </c>
      <c r="AB22">
        <f>'Mall, Citadel, Rotana'!O23</f>
        <v>4</v>
      </c>
      <c r="AC22">
        <f>'Mall, Citadel, Rotana'!Q23+'Mall, Citadel, Rotana'!S23</f>
        <v>146</v>
      </c>
      <c r="AD22" s="45">
        <f t="shared" si="1"/>
        <v>158.42768580000001</v>
      </c>
      <c r="AE22" s="45">
        <f t="shared" si="2"/>
        <v>1043.6033141999999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 t="str">
        <f>ELECT.!F24</f>
        <v>0</v>
      </c>
      <c r="J23" s="47" t="str">
        <f>ELECT.!H24</f>
        <v>0</v>
      </c>
      <c r="K23" s="47" t="str">
        <f>ELECT.!K24</f>
        <v>0</v>
      </c>
      <c r="L23" s="47" t="str">
        <f>ELECT.!M24</f>
        <v>0</v>
      </c>
      <c r="M23" s="47">
        <f>ELECT.!O24</f>
        <v>0</v>
      </c>
      <c r="N23" s="47" t="str">
        <f>ELECT.!Q24</f>
        <v>0</v>
      </c>
      <c r="O23" s="47" t="str">
        <f>ELECT.!S24</f>
        <v>0</v>
      </c>
      <c r="P23" s="47">
        <f>ELECT.!W24*2</f>
        <v>0</v>
      </c>
      <c r="Q23" s="47">
        <f>ELECT.!D24</f>
        <v>0</v>
      </c>
      <c r="R23" s="48" t="str">
        <f>BTU!C24</f>
        <v>0</v>
      </c>
      <c r="S23" s="48" t="str">
        <f>BTU!F24</f>
        <v>0</v>
      </c>
      <c r="T23" s="48" t="str">
        <f>BTU!I24</f>
        <v>0</v>
      </c>
      <c r="U23" s="48" t="str">
        <f>BTU!O24</f>
        <v>0</v>
      </c>
      <c r="V23" s="48" t="str">
        <f>BTU!L24</f>
        <v>0</v>
      </c>
      <c r="W23" s="48" t="str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abSelected="1" workbookViewId="0">
      <selection activeCell="B23" sqref="A23:XFD2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v>45359</v>
      </c>
      <c r="C8" s="16">
        <f t="shared" si="0"/>
        <v>800</v>
      </c>
      <c r="D8" s="42">
        <v>39568</v>
      </c>
      <c r="E8" s="16">
        <f t="shared" si="1"/>
        <v>480</v>
      </c>
      <c r="F8" s="42">
        <v>20432</v>
      </c>
      <c r="G8" s="16">
        <f t="shared" si="2"/>
        <v>80</v>
      </c>
      <c r="H8" s="42">
        <v>242997</v>
      </c>
      <c r="I8" s="16">
        <f t="shared" si="3"/>
        <v>77</v>
      </c>
      <c r="J8" s="42">
        <v>303517</v>
      </c>
      <c r="K8" s="16">
        <f t="shared" si="4"/>
        <v>0</v>
      </c>
      <c r="L8" s="42">
        <v>25005</v>
      </c>
      <c r="M8" s="16">
        <f t="shared" si="5"/>
        <v>640</v>
      </c>
      <c r="N8" s="42">
        <v>215563</v>
      </c>
      <c r="O8" s="16">
        <f t="shared" si="6"/>
        <v>3</v>
      </c>
      <c r="P8" s="42">
        <v>106955</v>
      </c>
      <c r="Q8" s="16">
        <f t="shared" si="7"/>
        <v>60</v>
      </c>
      <c r="R8" s="1">
        <v>55047</v>
      </c>
      <c r="S8" s="16">
        <f>R8-R7</f>
        <v>0</v>
      </c>
      <c r="T8" s="42">
        <v>3658</v>
      </c>
      <c r="U8" s="16">
        <f t="shared" si="9"/>
        <v>160</v>
      </c>
    </row>
    <row r="9" spans="1:24" ht="13.5" thickBot="1" x14ac:dyDescent="0.25">
      <c r="A9" s="10">
        <v>44354</v>
      </c>
      <c r="B9" s="42">
        <v>45365</v>
      </c>
      <c r="C9" s="16">
        <f t="shared" si="0"/>
        <v>960</v>
      </c>
      <c r="D9" s="42">
        <v>39571</v>
      </c>
      <c r="E9" s="16">
        <f t="shared" si="1"/>
        <v>480</v>
      </c>
      <c r="F9" s="42">
        <v>20435</v>
      </c>
      <c r="G9" s="16">
        <f t="shared" si="2"/>
        <v>60</v>
      </c>
      <c r="H9" s="42">
        <v>243073</v>
      </c>
      <c r="I9" s="16">
        <f t="shared" si="3"/>
        <v>76</v>
      </c>
      <c r="J9" s="42">
        <v>303517</v>
      </c>
      <c r="K9" s="16">
        <f t="shared" si="4"/>
        <v>0</v>
      </c>
      <c r="L9" s="42">
        <v>25009</v>
      </c>
      <c r="M9" s="16">
        <f t="shared" si="5"/>
        <v>640</v>
      </c>
      <c r="N9" s="42">
        <v>215566</v>
      </c>
      <c r="O9" s="16">
        <f t="shared" si="6"/>
        <v>3</v>
      </c>
      <c r="P9" s="42">
        <v>107070</v>
      </c>
      <c r="Q9" s="16">
        <f>P9-P8</f>
        <v>115</v>
      </c>
      <c r="R9" s="1">
        <v>55047</v>
      </c>
      <c r="S9" s="16">
        <f>R9-R8</f>
        <v>0</v>
      </c>
      <c r="T9" s="42">
        <v>3659</v>
      </c>
      <c r="U9" s="16">
        <f t="shared" si="9"/>
        <v>160</v>
      </c>
    </row>
    <row r="10" spans="1:24" ht="13.5" thickBot="1" x14ac:dyDescent="0.25">
      <c r="A10" s="10">
        <v>44355</v>
      </c>
      <c r="B10" s="42">
        <v>45370</v>
      </c>
      <c r="C10" s="16">
        <f t="shared" si="0"/>
        <v>800</v>
      </c>
      <c r="D10" s="42">
        <v>39575</v>
      </c>
      <c r="E10" s="16">
        <f t="shared" si="1"/>
        <v>640</v>
      </c>
      <c r="F10" s="42">
        <v>20439</v>
      </c>
      <c r="G10" s="16">
        <f t="shared" si="2"/>
        <v>80</v>
      </c>
      <c r="H10" s="42">
        <v>243146</v>
      </c>
      <c r="I10" s="16">
        <f t="shared" si="3"/>
        <v>73</v>
      </c>
      <c r="J10" s="42">
        <v>303517</v>
      </c>
      <c r="K10" s="16">
        <f t="shared" si="4"/>
        <v>0</v>
      </c>
      <c r="L10" s="42">
        <v>25014</v>
      </c>
      <c r="M10" s="16">
        <f t="shared" si="5"/>
        <v>800</v>
      </c>
      <c r="N10" s="42">
        <v>215570</v>
      </c>
      <c r="O10" s="16">
        <f t="shared" si="6"/>
        <v>4</v>
      </c>
      <c r="P10" s="42">
        <v>107170</v>
      </c>
      <c r="Q10" s="16">
        <f>P10-P9</f>
        <v>100</v>
      </c>
      <c r="R10" s="1">
        <v>55047</v>
      </c>
      <c r="S10" s="16">
        <f>R10-R9</f>
        <v>0</v>
      </c>
      <c r="T10" s="42">
        <v>3660</v>
      </c>
      <c r="U10" s="16">
        <f t="shared" si="9"/>
        <v>160</v>
      </c>
    </row>
    <row r="11" spans="1:24" ht="13.5" thickBot="1" x14ac:dyDescent="0.25">
      <c r="A11" s="10">
        <v>44356</v>
      </c>
      <c r="B11" s="42">
        <v>45375</v>
      </c>
      <c r="C11" s="16">
        <f t="shared" si="0"/>
        <v>800</v>
      </c>
      <c r="D11" s="42">
        <v>39577</v>
      </c>
      <c r="E11" s="16">
        <f t="shared" si="1"/>
        <v>320</v>
      </c>
      <c r="F11" s="42">
        <v>20442</v>
      </c>
      <c r="G11" s="16">
        <f t="shared" si="2"/>
        <v>60</v>
      </c>
      <c r="H11" s="42">
        <v>243228</v>
      </c>
      <c r="I11" s="16">
        <f t="shared" si="3"/>
        <v>82</v>
      </c>
      <c r="J11" s="42">
        <v>303517</v>
      </c>
      <c r="K11" s="16">
        <f t="shared" si="4"/>
        <v>0</v>
      </c>
      <c r="L11" s="42">
        <v>25017</v>
      </c>
      <c r="M11" s="16">
        <f t="shared" si="5"/>
        <v>480</v>
      </c>
      <c r="N11" s="42">
        <v>215573</v>
      </c>
      <c r="O11" s="16">
        <f t="shared" si="6"/>
        <v>3</v>
      </c>
      <c r="P11" s="42">
        <v>107269</v>
      </c>
      <c r="Q11" s="16">
        <f t="shared" si="7"/>
        <v>99</v>
      </c>
      <c r="R11" s="1">
        <v>55047</v>
      </c>
      <c r="S11" s="16">
        <f t="shared" si="8"/>
        <v>0</v>
      </c>
      <c r="T11" s="42">
        <v>3661</v>
      </c>
      <c r="U11" s="16">
        <f t="shared" si="9"/>
        <v>160</v>
      </c>
    </row>
    <row r="12" spans="1:24" ht="13.5" thickBot="1" x14ac:dyDescent="0.25">
      <c r="A12" s="10">
        <v>44357</v>
      </c>
      <c r="B12" s="42">
        <v>45381</v>
      </c>
      <c r="C12" s="16">
        <f t="shared" si="0"/>
        <v>960</v>
      </c>
      <c r="D12" s="42">
        <v>39580</v>
      </c>
      <c r="E12" s="16">
        <f t="shared" si="1"/>
        <v>480</v>
      </c>
      <c r="F12" s="42">
        <v>20446</v>
      </c>
      <c r="G12" s="16">
        <f t="shared" si="2"/>
        <v>80</v>
      </c>
      <c r="H12" s="42">
        <v>243323</v>
      </c>
      <c r="I12" s="16">
        <f t="shared" si="3"/>
        <v>95</v>
      </c>
      <c r="J12" s="42">
        <v>303517</v>
      </c>
      <c r="K12" s="16">
        <f t="shared" si="4"/>
        <v>0</v>
      </c>
      <c r="L12" s="42">
        <v>25021</v>
      </c>
      <c r="M12" s="16">
        <f t="shared" si="5"/>
        <v>640</v>
      </c>
      <c r="N12" s="42">
        <v>215576</v>
      </c>
      <c r="O12" s="16">
        <f t="shared" si="6"/>
        <v>3</v>
      </c>
      <c r="P12" s="42">
        <v>107378</v>
      </c>
      <c r="Q12" s="16">
        <f t="shared" si="7"/>
        <v>109</v>
      </c>
      <c r="R12" s="1">
        <v>55047</v>
      </c>
      <c r="S12" s="16">
        <f t="shared" si="8"/>
        <v>0</v>
      </c>
      <c r="T12" s="42">
        <v>3662</v>
      </c>
      <c r="U12" s="16">
        <f t="shared" si="9"/>
        <v>160</v>
      </c>
    </row>
    <row r="13" spans="1:24" ht="13.5" thickBot="1" x14ac:dyDescent="0.25">
      <c r="A13" s="10">
        <v>44358</v>
      </c>
      <c r="B13" s="42">
        <v>45386</v>
      </c>
      <c r="C13" s="16">
        <f t="shared" si="0"/>
        <v>800</v>
      </c>
      <c r="D13" s="42">
        <v>39583</v>
      </c>
      <c r="E13" s="16">
        <f t="shared" si="1"/>
        <v>480</v>
      </c>
      <c r="F13" s="42">
        <v>20450</v>
      </c>
      <c r="G13" s="16">
        <f t="shared" si="2"/>
        <v>80</v>
      </c>
      <c r="H13" s="42">
        <v>243418</v>
      </c>
      <c r="I13" s="16">
        <f t="shared" si="3"/>
        <v>95</v>
      </c>
      <c r="J13" s="42">
        <v>303517</v>
      </c>
      <c r="K13" s="16">
        <f t="shared" si="4"/>
        <v>0</v>
      </c>
      <c r="L13" s="42">
        <v>25024</v>
      </c>
      <c r="M13" s="16">
        <f t="shared" si="5"/>
        <v>480</v>
      </c>
      <c r="N13" s="42">
        <v>215579</v>
      </c>
      <c r="O13" s="16">
        <f t="shared" si="6"/>
        <v>3</v>
      </c>
      <c r="P13" s="42">
        <v>107485</v>
      </c>
      <c r="Q13" s="16">
        <f t="shared" si="7"/>
        <v>107</v>
      </c>
      <c r="R13" s="1">
        <v>55047</v>
      </c>
      <c r="S13" s="16">
        <f t="shared" si="8"/>
        <v>0</v>
      </c>
      <c r="T13" s="42">
        <v>3663</v>
      </c>
      <c r="U13" s="16">
        <f t="shared" si="9"/>
        <v>160</v>
      </c>
    </row>
    <row r="14" spans="1:24" ht="13.5" thickBot="1" x14ac:dyDescent="0.25">
      <c r="A14" s="10">
        <v>44359</v>
      </c>
      <c r="B14" s="42">
        <v>45391</v>
      </c>
      <c r="C14" s="16">
        <f t="shared" si="0"/>
        <v>800</v>
      </c>
      <c r="D14" s="42">
        <v>39586</v>
      </c>
      <c r="E14" s="16">
        <f t="shared" si="1"/>
        <v>480</v>
      </c>
      <c r="F14" s="42">
        <v>20453</v>
      </c>
      <c r="G14" s="16">
        <f t="shared" si="2"/>
        <v>60</v>
      </c>
      <c r="H14" s="42">
        <v>243511</v>
      </c>
      <c r="I14" s="16">
        <f t="shared" si="3"/>
        <v>93</v>
      </c>
      <c r="J14" s="42">
        <v>303517</v>
      </c>
      <c r="K14" s="16">
        <f t="shared" si="4"/>
        <v>0</v>
      </c>
      <c r="L14" s="42">
        <v>25027</v>
      </c>
      <c r="M14" s="16">
        <f t="shared" si="5"/>
        <v>480</v>
      </c>
      <c r="N14" s="42">
        <v>215583</v>
      </c>
      <c r="O14" s="16">
        <f t="shared" si="6"/>
        <v>4</v>
      </c>
      <c r="P14" s="42">
        <v>107601</v>
      </c>
      <c r="Q14" s="16">
        <f t="shared" si="7"/>
        <v>116</v>
      </c>
      <c r="R14" s="1">
        <v>55047</v>
      </c>
      <c r="S14" s="16">
        <f t="shared" si="8"/>
        <v>0</v>
      </c>
      <c r="T14" s="42">
        <v>3664</v>
      </c>
      <c r="U14" s="16">
        <f>(T14-T13)*800/5</f>
        <v>160</v>
      </c>
    </row>
    <row r="15" spans="1:24" ht="13.5" thickBot="1" x14ac:dyDescent="0.25">
      <c r="A15" s="10">
        <v>44360</v>
      </c>
      <c r="B15" s="42">
        <v>45396</v>
      </c>
      <c r="C15" s="16">
        <f t="shared" si="0"/>
        <v>800</v>
      </c>
      <c r="D15" s="42">
        <v>39589</v>
      </c>
      <c r="E15" s="16">
        <f t="shared" si="1"/>
        <v>480</v>
      </c>
      <c r="F15" s="42">
        <v>20456</v>
      </c>
      <c r="G15" s="16">
        <f t="shared" si="2"/>
        <v>60</v>
      </c>
      <c r="H15" s="42">
        <v>243599</v>
      </c>
      <c r="I15" s="16">
        <f t="shared" si="3"/>
        <v>88</v>
      </c>
      <c r="J15" s="42">
        <v>303517</v>
      </c>
      <c r="K15" s="16">
        <f t="shared" si="4"/>
        <v>0</v>
      </c>
      <c r="L15" s="42">
        <v>25031</v>
      </c>
      <c r="M15" s="16">
        <f t="shared" si="5"/>
        <v>640</v>
      </c>
      <c r="N15" s="42">
        <v>215585</v>
      </c>
      <c r="O15" s="16">
        <f t="shared" si="6"/>
        <v>2</v>
      </c>
      <c r="P15" s="42">
        <v>107720</v>
      </c>
      <c r="Q15" s="16">
        <f t="shared" si="7"/>
        <v>119</v>
      </c>
      <c r="R15" s="1">
        <v>55047</v>
      </c>
      <c r="S15" s="16">
        <f t="shared" si="8"/>
        <v>0</v>
      </c>
      <c r="T15" s="42">
        <v>3665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44361</v>
      </c>
      <c r="B16" s="42">
        <v>45402</v>
      </c>
      <c r="C16" s="16">
        <f t="shared" si="0"/>
        <v>960</v>
      </c>
      <c r="D16" s="42">
        <v>39592</v>
      </c>
      <c r="E16" s="16">
        <f t="shared" si="1"/>
        <v>480</v>
      </c>
      <c r="F16" s="42">
        <v>20460</v>
      </c>
      <c r="G16" s="16">
        <f t="shared" si="2"/>
        <v>80</v>
      </c>
      <c r="H16" s="42">
        <v>243671</v>
      </c>
      <c r="I16" s="16">
        <f t="shared" si="3"/>
        <v>72</v>
      </c>
      <c r="J16" s="42">
        <v>303517</v>
      </c>
      <c r="K16" s="16">
        <f t="shared" si="4"/>
        <v>0</v>
      </c>
      <c r="L16" s="42">
        <v>25035</v>
      </c>
      <c r="M16" s="16">
        <f t="shared" si="5"/>
        <v>640</v>
      </c>
      <c r="N16" s="42">
        <v>215589</v>
      </c>
      <c r="O16" s="16">
        <f t="shared" si="6"/>
        <v>4</v>
      </c>
      <c r="P16" s="42">
        <v>107829</v>
      </c>
      <c r="Q16" s="16">
        <f t="shared" si="7"/>
        <v>109</v>
      </c>
      <c r="R16" s="1">
        <v>55047</v>
      </c>
      <c r="S16" s="16">
        <f t="shared" si="8"/>
        <v>0</v>
      </c>
      <c r="T16" s="42">
        <v>3667</v>
      </c>
      <c r="U16" s="16">
        <f t="shared" si="9"/>
        <v>320</v>
      </c>
      <c r="W16" t="s">
        <v>12</v>
      </c>
    </row>
    <row r="17" spans="1:23" ht="13.5" thickBot="1" x14ac:dyDescent="0.25">
      <c r="A17" s="10">
        <v>44362</v>
      </c>
      <c r="B17" s="42">
        <v>45407</v>
      </c>
      <c r="C17" s="16">
        <f t="shared" si="0"/>
        <v>800</v>
      </c>
      <c r="D17" s="42">
        <v>39595</v>
      </c>
      <c r="E17" s="16">
        <f t="shared" si="1"/>
        <v>480</v>
      </c>
      <c r="F17" s="42">
        <v>20464</v>
      </c>
      <c r="G17" s="16">
        <f t="shared" si="2"/>
        <v>80</v>
      </c>
      <c r="H17" s="42">
        <v>243729</v>
      </c>
      <c r="I17" s="16">
        <f t="shared" si="3"/>
        <v>58</v>
      </c>
      <c r="J17" s="42">
        <v>303517</v>
      </c>
      <c r="K17" s="16">
        <f t="shared" si="4"/>
        <v>0</v>
      </c>
      <c r="L17" s="42">
        <v>25039</v>
      </c>
      <c r="M17" s="16">
        <f t="shared" si="5"/>
        <v>640</v>
      </c>
      <c r="N17" s="42">
        <v>215592</v>
      </c>
      <c r="O17" s="16">
        <f t="shared" si="6"/>
        <v>3</v>
      </c>
      <c r="P17" s="42">
        <v>107954</v>
      </c>
      <c r="Q17" s="16">
        <f t="shared" si="7"/>
        <v>125</v>
      </c>
      <c r="R17" s="1">
        <v>55047</v>
      </c>
      <c r="S17" s="16">
        <f>S16</f>
        <v>0</v>
      </c>
      <c r="T17" s="42">
        <v>3668</v>
      </c>
      <c r="U17" s="16">
        <f t="shared" si="9"/>
        <v>160</v>
      </c>
    </row>
    <row r="18" spans="1:23" ht="13.5" thickBot="1" x14ac:dyDescent="0.25">
      <c r="A18" s="10">
        <v>44363</v>
      </c>
      <c r="B18" s="42">
        <v>45412</v>
      </c>
      <c r="C18" s="16">
        <f t="shared" si="0"/>
        <v>800</v>
      </c>
      <c r="D18" s="42">
        <v>39598</v>
      </c>
      <c r="E18" s="16">
        <f t="shared" si="1"/>
        <v>480</v>
      </c>
      <c r="F18" s="42">
        <v>20467</v>
      </c>
      <c r="G18" s="16">
        <f t="shared" si="2"/>
        <v>60</v>
      </c>
      <c r="H18" s="42">
        <v>243769</v>
      </c>
      <c r="I18" s="16">
        <f t="shared" si="3"/>
        <v>40</v>
      </c>
      <c r="J18" s="42">
        <v>303517</v>
      </c>
      <c r="K18" s="16">
        <f t="shared" si="4"/>
        <v>0</v>
      </c>
      <c r="L18" s="42">
        <v>25044</v>
      </c>
      <c r="M18" s="16">
        <f t="shared" si="5"/>
        <v>800</v>
      </c>
      <c r="N18" s="42">
        <v>215595</v>
      </c>
      <c r="O18" s="16">
        <f t="shared" si="6"/>
        <v>3</v>
      </c>
      <c r="P18" s="42">
        <v>108101</v>
      </c>
      <c r="Q18" s="16">
        <f t="shared" si="7"/>
        <v>147</v>
      </c>
      <c r="R18" s="1">
        <v>55047</v>
      </c>
      <c r="S18" s="16">
        <f t="shared" si="8"/>
        <v>0</v>
      </c>
      <c r="T18" s="42">
        <v>3669</v>
      </c>
      <c r="U18" s="16">
        <f t="shared" si="9"/>
        <v>160</v>
      </c>
    </row>
    <row r="19" spans="1:23" ht="13.5" thickBot="1" x14ac:dyDescent="0.25">
      <c r="A19" s="10">
        <v>44364</v>
      </c>
      <c r="B19" s="42">
        <v>45417</v>
      </c>
      <c r="C19" s="16">
        <f t="shared" si="0"/>
        <v>800</v>
      </c>
      <c r="D19" s="42">
        <v>39601</v>
      </c>
      <c r="E19" s="16">
        <f t="shared" si="1"/>
        <v>480</v>
      </c>
      <c r="F19" s="42">
        <v>20471</v>
      </c>
      <c r="G19" s="16">
        <f t="shared" si="2"/>
        <v>80</v>
      </c>
      <c r="H19" s="42">
        <v>243821</v>
      </c>
      <c r="I19" s="16">
        <f t="shared" si="3"/>
        <v>52</v>
      </c>
      <c r="J19" s="42">
        <v>303517</v>
      </c>
      <c r="K19" s="16">
        <f t="shared" si="4"/>
        <v>0</v>
      </c>
      <c r="L19" s="42">
        <v>25048</v>
      </c>
      <c r="M19" s="16">
        <f t="shared" si="5"/>
        <v>640</v>
      </c>
      <c r="N19" s="42">
        <v>215598</v>
      </c>
      <c r="O19" s="16">
        <f t="shared" si="6"/>
        <v>3</v>
      </c>
      <c r="P19" s="42">
        <v>108221</v>
      </c>
      <c r="Q19" s="16">
        <f t="shared" si="7"/>
        <v>120</v>
      </c>
      <c r="R19" s="1">
        <v>55047</v>
      </c>
      <c r="S19" s="16">
        <f t="shared" si="8"/>
        <v>0</v>
      </c>
      <c r="T19" s="42">
        <v>3670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44365</v>
      </c>
      <c r="B20" s="42">
        <v>45422</v>
      </c>
      <c r="C20" s="16">
        <f t="shared" si="0"/>
        <v>800</v>
      </c>
      <c r="D20" s="42">
        <v>39604</v>
      </c>
      <c r="E20" s="16">
        <f t="shared" si="1"/>
        <v>480</v>
      </c>
      <c r="F20" s="42">
        <v>20474</v>
      </c>
      <c r="G20" s="16">
        <f t="shared" si="2"/>
        <v>60</v>
      </c>
      <c r="H20" s="42">
        <v>243873</v>
      </c>
      <c r="I20" s="16">
        <f t="shared" si="3"/>
        <v>52</v>
      </c>
      <c r="J20" s="42">
        <v>303517</v>
      </c>
      <c r="K20" s="16">
        <v>0</v>
      </c>
      <c r="L20" s="42">
        <v>25051</v>
      </c>
      <c r="M20" s="16">
        <f t="shared" si="5"/>
        <v>480</v>
      </c>
      <c r="N20" s="42">
        <v>215602</v>
      </c>
      <c r="O20" s="16">
        <f t="shared" si="6"/>
        <v>4</v>
      </c>
      <c r="P20" s="42">
        <v>108350</v>
      </c>
      <c r="Q20" s="16">
        <f t="shared" si="7"/>
        <v>129</v>
      </c>
      <c r="R20" s="1">
        <v>55047</v>
      </c>
      <c r="S20" s="16">
        <f t="shared" si="8"/>
        <v>0</v>
      </c>
      <c r="T20" s="42">
        <v>3671</v>
      </c>
      <c r="U20" s="16">
        <f t="shared" si="9"/>
        <v>160</v>
      </c>
    </row>
    <row r="21" spans="1:23" ht="13.5" thickBot="1" x14ac:dyDescent="0.25">
      <c r="A21" s="10">
        <v>44366</v>
      </c>
      <c r="B21" s="42">
        <v>45427</v>
      </c>
      <c r="C21" s="16">
        <f t="shared" si="0"/>
        <v>800</v>
      </c>
      <c r="D21" s="42">
        <v>39607</v>
      </c>
      <c r="E21" s="16">
        <f t="shared" si="1"/>
        <v>480</v>
      </c>
      <c r="F21" s="42">
        <v>20477</v>
      </c>
      <c r="G21" s="16">
        <f t="shared" si="2"/>
        <v>60</v>
      </c>
      <c r="H21" s="42">
        <v>243925</v>
      </c>
      <c r="I21" s="16">
        <f t="shared" si="3"/>
        <v>52</v>
      </c>
      <c r="J21" s="42">
        <v>303517</v>
      </c>
      <c r="K21" s="16">
        <f t="shared" si="4"/>
        <v>0</v>
      </c>
      <c r="L21" s="42">
        <v>25054</v>
      </c>
      <c r="M21" s="16">
        <f t="shared" si="5"/>
        <v>480</v>
      </c>
      <c r="N21" s="42">
        <v>215604</v>
      </c>
      <c r="O21" s="16">
        <f t="shared" si="6"/>
        <v>2</v>
      </c>
      <c r="P21" s="42">
        <v>108469</v>
      </c>
      <c r="Q21" s="16">
        <f t="shared" si="7"/>
        <v>119</v>
      </c>
      <c r="R21" s="1">
        <v>55047</v>
      </c>
      <c r="S21" s="16">
        <f t="shared" si="8"/>
        <v>0</v>
      </c>
      <c r="T21" s="42">
        <v>3672</v>
      </c>
      <c r="U21" s="16">
        <f t="shared" si="9"/>
        <v>160</v>
      </c>
    </row>
    <row r="22" spans="1:23" ht="13.5" thickBot="1" x14ac:dyDescent="0.25">
      <c r="A22" s="10">
        <v>44367</v>
      </c>
      <c r="B22" s="42">
        <v>45432</v>
      </c>
      <c r="C22" s="16">
        <f t="shared" si="0"/>
        <v>800</v>
      </c>
      <c r="D22" s="42">
        <v>39610</v>
      </c>
      <c r="E22" s="16">
        <f t="shared" si="1"/>
        <v>480</v>
      </c>
      <c r="F22" s="42">
        <v>20481</v>
      </c>
      <c r="G22" s="16">
        <f t="shared" si="2"/>
        <v>80</v>
      </c>
      <c r="H22" s="42">
        <v>243975</v>
      </c>
      <c r="I22" s="16">
        <f t="shared" si="3"/>
        <v>50</v>
      </c>
      <c r="J22" s="42">
        <v>303517</v>
      </c>
      <c r="K22" s="16">
        <f t="shared" si="4"/>
        <v>0</v>
      </c>
      <c r="L22" s="42">
        <v>25058</v>
      </c>
      <c r="M22" s="16">
        <f t="shared" si="5"/>
        <v>640</v>
      </c>
      <c r="N22" s="42">
        <v>215608</v>
      </c>
      <c r="O22" s="16">
        <f t="shared" si="6"/>
        <v>4</v>
      </c>
      <c r="P22" s="42">
        <v>108906</v>
      </c>
      <c r="Q22" s="16">
        <f>P22-P21</f>
        <v>437</v>
      </c>
      <c r="R22" s="1">
        <v>55047</v>
      </c>
      <c r="S22" s="16">
        <f t="shared" si="8"/>
        <v>0</v>
      </c>
      <c r="T22" s="42">
        <v>3673</v>
      </c>
      <c r="U22" s="16">
        <f t="shared" si="9"/>
        <v>160</v>
      </c>
    </row>
    <row r="23" spans="1:23" ht="13.5" thickBot="1" x14ac:dyDescent="0.25">
      <c r="A23" s="10">
        <v>44368</v>
      </c>
      <c r="B23" s="42">
        <v>45437</v>
      </c>
      <c r="C23" s="16">
        <f t="shared" si="0"/>
        <v>800</v>
      </c>
      <c r="D23" s="42">
        <v>39613</v>
      </c>
      <c r="E23" s="16">
        <f t="shared" si="1"/>
        <v>480</v>
      </c>
      <c r="F23" s="42">
        <v>20484</v>
      </c>
      <c r="G23" s="16">
        <f t="shared" si="2"/>
        <v>60</v>
      </c>
      <c r="H23" s="42">
        <v>244021</v>
      </c>
      <c r="I23" s="16">
        <f t="shared" si="3"/>
        <v>46</v>
      </c>
      <c r="J23" s="42">
        <v>303517</v>
      </c>
      <c r="K23" s="16">
        <f t="shared" si="4"/>
        <v>0</v>
      </c>
      <c r="L23" s="42">
        <v>25063</v>
      </c>
      <c r="M23" s="16">
        <f t="shared" si="5"/>
        <v>800</v>
      </c>
      <c r="N23" s="42">
        <v>215612</v>
      </c>
      <c r="O23" s="16">
        <f t="shared" si="6"/>
        <v>4</v>
      </c>
      <c r="P23" s="42">
        <v>109052</v>
      </c>
      <c r="Q23" s="16">
        <f t="shared" si="7"/>
        <v>146</v>
      </c>
      <c r="R23" s="1">
        <v>55047</v>
      </c>
      <c r="S23" s="16">
        <f t="shared" si="8"/>
        <v>0</v>
      </c>
      <c r="T23" s="42">
        <v>3674</v>
      </c>
      <c r="U23" s="16">
        <f t="shared" si="9"/>
        <v>160</v>
      </c>
    </row>
    <row r="24" spans="1:23" s="153" customFormat="1" ht="13.5" thickBot="1" x14ac:dyDescent="0.25">
      <c r="A24" s="10">
        <v>44369</v>
      </c>
      <c r="B24" s="42">
        <f t="shared" ref="B23:B33" si="10">B23</f>
        <v>45437</v>
      </c>
      <c r="C24" s="16">
        <f t="shared" si="0"/>
        <v>0</v>
      </c>
      <c r="D24" s="42">
        <f t="shared" ref="D23:D33" si="11">D23</f>
        <v>39613</v>
      </c>
      <c r="E24" s="16">
        <f t="shared" si="1"/>
        <v>0</v>
      </c>
      <c r="F24" s="42">
        <f t="shared" ref="F23:F33" si="12">F23</f>
        <v>20484</v>
      </c>
      <c r="G24" s="16">
        <f t="shared" si="2"/>
        <v>0</v>
      </c>
      <c r="H24" s="42">
        <f t="shared" ref="H23:H33" si="13">H23</f>
        <v>244021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ref="L23:L33" si="14">L23</f>
        <v>25063</v>
      </c>
      <c r="M24" s="16">
        <f t="shared" si="5"/>
        <v>0</v>
      </c>
      <c r="N24" s="42">
        <f t="shared" ref="N23:N33" si="15">N23</f>
        <v>215612</v>
      </c>
      <c r="O24" s="16">
        <f t="shared" si="6"/>
        <v>0</v>
      </c>
      <c r="P24" s="42">
        <f t="shared" ref="P23:P33" si="16">P23</f>
        <v>109052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ref="T23:T33" si="17">T23</f>
        <v>3674</v>
      </c>
      <c r="U24" s="16">
        <f t="shared" si="9"/>
        <v>0</v>
      </c>
    </row>
    <row r="25" spans="1:23" ht="13.5" thickBot="1" x14ac:dyDescent="0.25">
      <c r="A25" s="10">
        <v>44370</v>
      </c>
      <c r="B25" s="42">
        <f t="shared" si="10"/>
        <v>45437</v>
      </c>
      <c r="C25" s="16">
        <f t="shared" si="0"/>
        <v>0</v>
      </c>
      <c r="D25" s="42">
        <f t="shared" si="11"/>
        <v>39613</v>
      </c>
      <c r="E25" s="16">
        <f t="shared" si="1"/>
        <v>0</v>
      </c>
      <c r="F25" s="42">
        <f t="shared" si="12"/>
        <v>20484</v>
      </c>
      <c r="G25" s="16">
        <f t="shared" si="2"/>
        <v>0</v>
      </c>
      <c r="H25" s="42">
        <f t="shared" si="13"/>
        <v>244021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4"/>
        <v>25063</v>
      </c>
      <c r="M25" s="16">
        <f t="shared" si="5"/>
        <v>0</v>
      </c>
      <c r="N25" s="42">
        <f t="shared" si="15"/>
        <v>215612</v>
      </c>
      <c r="O25" s="16">
        <f t="shared" si="6"/>
        <v>0</v>
      </c>
      <c r="P25" s="42">
        <f t="shared" si="16"/>
        <v>109052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3674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44371</v>
      </c>
      <c r="B26" s="42">
        <f t="shared" si="10"/>
        <v>45437</v>
      </c>
      <c r="C26" s="16">
        <f t="shared" si="0"/>
        <v>0</v>
      </c>
      <c r="D26" s="42">
        <f t="shared" si="11"/>
        <v>39613</v>
      </c>
      <c r="E26" s="16">
        <f t="shared" si="1"/>
        <v>0</v>
      </c>
      <c r="F26" s="42">
        <f t="shared" si="12"/>
        <v>20484</v>
      </c>
      <c r="G26" s="16">
        <f t="shared" si="2"/>
        <v>0</v>
      </c>
      <c r="H26" s="42">
        <f t="shared" si="13"/>
        <v>244021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4"/>
        <v>25063</v>
      </c>
      <c r="M26" s="16">
        <f t="shared" si="5"/>
        <v>0</v>
      </c>
      <c r="N26" s="42">
        <f t="shared" si="15"/>
        <v>215612</v>
      </c>
      <c r="O26" s="16">
        <f t="shared" si="6"/>
        <v>0</v>
      </c>
      <c r="P26" s="42">
        <f t="shared" si="16"/>
        <v>109052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3674</v>
      </c>
      <c r="U26" s="16">
        <f t="shared" si="9"/>
        <v>0</v>
      </c>
      <c r="W26" t="s">
        <v>12</v>
      </c>
    </row>
    <row r="27" spans="1:23" ht="13.5" thickBot="1" x14ac:dyDescent="0.25">
      <c r="A27" s="10">
        <v>44372</v>
      </c>
      <c r="B27" s="42">
        <f t="shared" si="10"/>
        <v>45437</v>
      </c>
      <c r="C27" s="16">
        <f t="shared" si="0"/>
        <v>0</v>
      </c>
      <c r="D27" s="42">
        <f t="shared" si="11"/>
        <v>39613</v>
      </c>
      <c r="E27" s="16">
        <f t="shared" si="1"/>
        <v>0</v>
      </c>
      <c r="F27" s="42">
        <f t="shared" si="12"/>
        <v>20484</v>
      </c>
      <c r="G27" s="16">
        <f t="shared" si="2"/>
        <v>0</v>
      </c>
      <c r="H27" s="42">
        <f t="shared" si="13"/>
        <v>244021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4"/>
        <v>25063</v>
      </c>
      <c r="M27" s="16">
        <f t="shared" si="5"/>
        <v>0</v>
      </c>
      <c r="N27" s="42">
        <f t="shared" si="15"/>
        <v>215612</v>
      </c>
      <c r="O27" s="16">
        <f t="shared" si="6"/>
        <v>0</v>
      </c>
      <c r="P27" s="42">
        <f t="shared" si="16"/>
        <v>109052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3674</v>
      </c>
      <c r="U27" s="16">
        <f t="shared" si="9"/>
        <v>0</v>
      </c>
    </row>
    <row r="28" spans="1:23" ht="13.5" thickBot="1" x14ac:dyDescent="0.25">
      <c r="A28" s="10">
        <v>44373</v>
      </c>
      <c r="B28" s="42">
        <f t="shared" si="10"/>
        <v>45437</v>
      </c>
      <c r="C28" s="16">
        <f t="shared" si="0"/>
        <v>0</v>
      </c>
      <c r="D28" s="42">
        <f t="shared" si="11"/>
        <v>39613</v>
      </c>
      <c r="E28" s="16">
        <f t="shared" si="1"/>
        <v>0</v>
      </c>
      <c r="F28" s="42">
        <f t="shared" si="12"/>
        <v>20484</v>
      </c>
      <c r="G28" s="16">
        <f t="shared" si="2"/>
        <v>0</v>
      </c>
      <c r="H28" s="42">
        <f t="shared" si="13"/>
        <v>244021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4"/>
        <v>25063</v>
      </c>
      <c r="M28" s="16">
        <f t="shared" si="5"/>
        <v>0</v>
      </c>
      <c r="N28" s="42">
        <f t="shared" si="15"/>
        <v>215612</v>
      </c>
      <c r="O28" s="16">
        <f t="shared" si="6"/>
        <v>0</v>
      </c>
      <c r="P28" s="42">
        <f t="shared" si="16"/>
        <v>109052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3674</v>
      </c>
      <c r="U28" s="16">
        <f t="shared" si="9"/>
        <v>0</v>
      </c>
    </row>
    <row r="29" spans="1:23" ht="13.5" thickBot="1" x14ac:dyDescent="0.25">
      <c r="A29" s="10">
        <v>44374</v>
      </c>
      <c r="B29" s="42">
        <f t="shared" si="10"/>
        <v>45437</v>
      </c>
      <c r="C29" s="16">
        <f t="shared" si="0"/>
        <v>0</v>
      </c>
      <c r="D29" s="42">
        <f t="shared" si="11"/>
        <v>39613</v>
      </c>
      <c r="E29" s="16">
        <f t="shared" si="1"/>
        <v>0</v>
      </c>
      <c r="F29" s="42">
        <f t="shared" si="12"/>
        <v>20484</v>
      </c>
      <c r="G29" s="16">
        <f t="shared" si="2"/>
        <v>0</v>
      </c>
      <c r="H29" s="42">
        <f t="shared" si="13"/>
        <v>244021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4"/>
        <v>25063</v>
      </c>
      <c r="M29" s="16">
        <f t="shared" si="5"/>
        <v>0</v>
      </c>
      <c r="N29" s="42">
        <f t="shared" si="15"/>
        <v>215612</v>
      </c>
      <c r="O29" s="16">
        <f t="shared" si="6"/>
        <v>0</v>
      </c>
      <c r="P29" s="42">
        <f t="shared" si="16"/>
        <v>109052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3674</v>
      </c>
      <c r="U29" s="16">
        <f t="shared" si="9"/>
        <v>0</v>
      </c>
    </row>
    <row r="30" spans="1:23" ht="13.5" thickBot="1" x14ac:dyDescent="0.25">
      <c r="A30" s="10">
        <v>44375</v>
      </c>
      <c r="B30" s="42">
        <f t="shared" si="10"/>
        <v>45437</v>
      </c>
      <c r="C30" s="16">
        <f t="shared" si="0"/>
        <v>0</v>
      </c>
      <c r="D30" s="42">
        <f t="shared" si="11"/>
        <v>39613</v>
      </c>
      <c r="E30" s="16">
        <f t="shared" si="1"/>
        <v>0</v>
      </c>
      <c r="F30" s="42">
        <f t="shared" si="12"/>
        <v>20484</v>
      </c>
      <c r="G30" s="16">
        <f t="shared" si="2"/>
        <v>0</v>
      </c>
      <c r="H30" s="42">
        <f t="shared" si="13"/>
        <v>244021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4"/>
        <v>25063</v>
      </c>
      <c r="M30" s="16">
        <f t="shared" si="5"/>
        <v>0</v>
      </c>
      <c r="N30" s="42">
        <f t="shared" si="15"/>
        <v>215612</v>
      </c>
      <c r="O30" s="16">
        <f t="shared" si="6"/>
        <v>0</v>
      </c>
      <c r="P30" s="42">
        <f t="shared" si="16"/>
        <v>109052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3674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0"/>
        <v>45437</v>
      </c>
      <c r="C31" s="16">
        <f t="shared" si="0"/>
        <v>0</v>
      </c>
      <c r="D31" s="42">
        <f t="shared" si="11"/>
        <v>39613</v>
      </c>
      <c r="E31" s="16">
        <f t="shared" si="1"/>
        <v>0</v>
      </c>
      <c r="F31" s="42">
        <f t="shared" si="12"/>
        <v>20484</v>
      </c>
      <c r="G31" s="16">
        <f t="shared" si="2"/>
        <v>0</v>
      </c>
      <c r="H31" s="42">
        <f t="shared" si="13"/>
        <v>244021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4"/>
        <v>25063</v>
      </c>
      <c r="M31" s="16">
        <f t="shared" si="5"/>
        <v>0</v>
      </c>
      <c r="N31" s="42">
        <f t="shared" si="15"/>
        <v>215612</v>
      </c>
      <c r="O31" s="16">
        <f t="shared" si="6"/>
        <v>0</v>
      </c>
      <c r="P31" s="42">
        <f t="shared" si="16"/>
        <v>109052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3674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0"/>
        <v>45437</v>
      </c>
      <c r="C32" s="16">
        <f t="shared" si="0"/>
        <v>0</v>
      </c>
      <c r="D32" s="42">
        <f t="shared" si="11"/>
        <v>39613</v>
      </c>
      <c r="E32" s="16">
        <f t="shared" si="1"/>
        <v>0</v>
      </c>
      <c r="F32" s="42">
        <f t="shared" si="12"/>
        <v>20484</v>
      </c>
      <c r="G32" s="16">
        <f t="shared" si="2"/>
        <v>0</v>
      </c>
      <c r="H32" s="42">
        <f t="shared" si="13"/>
        <v>244021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4"/>
        <v>25063</v>
      </c>
      <c r="M32" s="16">
        <f t="shared" si="5"/>
        <v>0</v>
      </c>
      <c r="N32" s="42">
        <f t="shared" si="15"/>
        <v>215612</v>
      </c>
      <c r="O32" s="16">
        <f t="shared" si="6"/>
        <v>0</v>
      </c>
      <c r="P32" s="42">
        <f t="shared" si="16"/>
        <v>109052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3674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0"/>
        <v>45437</v>
      </c>
      <c r="C33" s="16">
        <f t="shared" si="0"/>
        <v>0</v>
      </c>
      <c r="D33" s="42">
        <f t="shared" si="11"/>
        <v>39613</v>
      </c>
      <c r="E33" s="16">
        <f t="shared" si="1"/>
        <v>0</v>
      </c>
      <c r="F33" s="42">
        <f t="shared" si="12"/>
        <v>20484</v>
      </c>
      <c r="G33" s="16">
        <f t="shared" si="2"/>
        <v>0</v>
      </c>
      <c r="H33" s="42">
        <f t="shared" si="13"/>
        <v>244021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4"/>
        <v>25063</v>
      </c>
      <c r="M33" s="16">
        <f t="shared" si="5"/>
        <v>0</v>
      </c>
      <c r="N33" s="42">
        <f t="shared" si="15"/>
        <v>215612</v>
      </c>
      <c r="O33" s="16">
        <f t="shared" si="6"/>
        <v>0</v>
      </c>
      <c r="P33" s="42">
        <f t="shared" si="16"/>
        <v>109052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3674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17440</v>
      </c>
      <c r="D34" s="13"/>
      <c r="E34" s="11">
        <f>SUM(E3:E33)</f>
        <v>9920</v>
      </c>
      <c r="F34" s="13"/>
      <c r="G34" s="11">
        <f>SUM(G3:G33)</f>
        <v>1460</v>
      </c>
      <c r="H34" s="13"/>
      <c r="I34" s="11">
        <f>SUM(I3:I33)</f>
        <v>1436</v>
      </c>
      <c r="J34" s="13"/>
      <c r="K34" s="11">
        <f>SUM(K3:K33)</f>
        <v>0</v>
      </c>
      <c r="L34" s="13"/>
      <c r="M34" s="11">
        <f>SUM(M3:M33)</f>
        <v>12640</v>
      </c>
      <c r="N34" s="43"/>
      <c r="O34" s="11">
        <f>SUM(O3:O33)</f>
        <v>68</v>
      </c>
      <c r="P34" s="13"/>
      <c r="Q34" s="11">
        <f>SUM(Q3:Q33)</f>
        <v>2881</v>
      </c>
      <c r="R34" s="1"/>
      <c r="S34" s="11">
        <f>SUM(S3:S33)</f>
        <v>0</v>
      </c>
      <c r="T34" s="1"/>
      <c r="U34" s="11">
        <f>SUM(U3:U33)</f>
        <v>3520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23" sqref="A23:XFD2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>
        <v>413072</v>
      </c>
      <c r="C8" s="49">
        <f t="shared" si="3"/>
        <v>1170</v>
      </c>
      <c r="D8" s="3">
        <v>4377900</v>
      </c>
      <c r="E8" s="49">
        <f t="shared" si="4"/>
        <v>0</v>
      </c>
      <c r="F8" s="3">
        <v>3390200</v>
      </c>
      <c r="G8" s="49">
        <f t="shared" si="7"/>
        <v>723.6</v>
      </c>
      <c r="H8" s="3">
        <v>735208</v>
      </c>
      <c r="I8" s="54">
        <f t="shared" si="8"/>
        <v>3.5640000000000001</v>
      </c>
      <c r="J8" s="23">
        <f t="shared" si="5"/>
        <v>1897.164</v>
      </c>
      <c r="K8" s="24">
        <f t="shared" si="6"/>
        <v>11117.38104</v>
      </c>
    </row>
    <row r="9" spans="1:14" ht="16.5" thickBot="1" x14ac:dyDescent="0.3">
      <c r="A9" s="10">
        <v>44354</v>
      </c>
      <c r="B9" s="3">
        <v>413192</v>
      </c>
      <c r="C9" s="49">
        <f t="shared" ref="C9:C33" si="9">(IF((B9-B8)&lt;0,"0",(B9-B8)))*10</f>
        <v>1200</v>
      </c>
      <c r="D9" s="3">
        <v>4377900</v>
      </c>
      <c r="E9" s="49">
        <f t="shared" si="4"/>
        <v>0</v>
      </c>
      <c r="F9" s="3">
        <v>3417400</v>
      </c>
      <c r="G9" s="49">
        <f t="shared" si="7"/>
        <v>734.4</v>
      </c>
      <c r="H9" s="3">
        <v>735371</v>
      </c>
      <c r="I9" s="54">
        <f t="shared" si="8"/>
        <v>4.4009999999999998</v>
      </c>
      <c r="J9" s="23">
        <f t="shared" si="5"/>
        <v>1938.8010000000002</v>
      </c>
      <c r="K9" s="24">
        <f t="shared" si="6"/>
        <v>11361.373860000002</v>
      </c>
    </row>
    <row r="10" spans="1:14" ht="16.5" thickBot="1" x14ac:dyDescent="0.3">
      <c r="A10" s="10">
        <v>44355</v>
      </c>
      <c r="B10" s="3">
        <v>413297</v>
      </c>
      <c r="C10" s="49">
        <f>(IF((B10-B9)&lt;0,"0",(B10-B9)))*10</f>
        <v>1050</v>
      </c>
      <c r="D10" s="3">
        <v>4377900</v>
      </c>
      <c r="E10" s="49">
        <f t="shared" si="4"/>
        <v>0</v>
      </c>
      <c r="F10" s="3">
        <v>3439200</v>
      </c>
      <c r="G10" s="49">
        <f t="shared" si="7"/>
        <v>588.6</v>
      </c>
      <c r="H10" s="3">
        <v>735518</v>
      </c>
      <c r="I10" s="54">
        <f t="shared" si="8"/>
        <v>3.9689999999999999</v>
      </c>
      <c r="J10" s="23">
        <f t="shared" si="5"/>
        <v>1642.569</v>
      </c>
      <c r="K10" s="24">
        <f t="shared" si="6"/>
        <v>9625.4543400000002</v>
      </c>
    </row>
    <row r="11" spans="1:14" ht="16.5" thickBot="1" x14ac:dyDescent="0.3">
      <c r="A11" s="10">
        <v>44356</v>
      </c>
      <c r="B11" s="3">
        <v>413420</v>
      </c>
      <c r="C11" s="49">
        <f t="shared" si="9"/>
        <v>1230</v>
      </c>
      <c r="D11" s="3">
        <v>4377900</v>
      </c>
      <c r="E11" s="49">
        <f t="shared" si="4"/>
        <v>0</v>
      </c>
      <c r="F11" s="3">
        <v>3467400</v>
      </c>
      <c r="G11" s="49">
        <f t="shared" si="7"/>
        <v>761.4</v>
      </c>
      <c r="H11" s="3">
        <v>736610</v>
      </c>
      <c r="I11" s="54">
        <f t="shared" si="8"/>
        <v>29.483999999999998</v>
      </c>
      <c r="J11" s="23">
        <f t="shared" si="5"/>
        <v>2020.884</v>
      </c>
      <c r="K11" s="24">
        <f t="shared" si="6"/>
        <v>11842.38024</v>
      </c>
      <c r="N11" t="s">
        <v>12</v>
      </c>
    </row>
    <row r="12" spans="1:14" ht="16.5" thickBot="1" x14ac:dyDescent="0.3">
      <c r="A12" s="10">
        <v>44357</v>
      </c>
      <c r="B12" s="3">
        <v>413513</v>
      </c>
      <c r="C12" s="49">
        <f t="shared" si="9"/>
        <v>930</v>
      </c>
      <c r="D12" s="3">
        <v>4377900</v>
      </c>
      <c r="E12" s="49">
        <f t="shared" si="4"/>
        <v>0</v>
      </c>
      <c r="F12" s="3">
        <v>3485700</v>
      </c>
      <c r="G12" s="49">
        <f t="shared" si="7"/>
        <v>494.1</v>
      </c>
      <c r="H12" s="3">
        <v>735802</v>
      </c>
      <c r="I12" s="54">
        <f t="shared" si="8"/>
        <v>0</v>
      </c>
      <c r="J12" s="23">
        <f t="shared" si="5"/>
        <v>1424.1</v>
      </c>
      <c r="K12" s="24">
        <f t="shared" si="6"/>
        <v>8345.2260000000006</v>
      </c>
    </row>
    <row r="13" spans="1:14" ht="16.5" thickBot="1" x14ac:dyDescent="0.3">
      <c r="A13" s="10">
        <v>44358</v>
      </c>
      <c r="B13" s="3">
        <v>413616</v>
      </c>
      <c r="C13" s="49">
        <f t="shared" si="9"/>
        <v>1030</v>
      </c>
      <c r="D13" s="3">
        <v>4377900</v>
      </c>
      <c r="E13" s="49">
        <f t="shared" si="4"/>
        <v>0</v>
      </c>
      <c r="F13" s="3">
        <v>3504000</v>
      </c>
      <c r="G13" s="49">
        <f t="shared" si="7"/>
        <v>494.1</v>
      </c>
      <c r="H13" s="3">
        <v>735953</v>
      </c>
      <c r="I13" s="54">
        <f t="shared" si="8"/>
        <v>4.077</v>
      </c>
      <c r="J13" s="23">
        <f t="shared" si="5"/>
        <v>1528.1769999999999</v>
      </c>
      <c r="K13" s="24">
        <f t="shared" si="6"/>
        <v>8955.1172200000001</v>
      </c>
    </row>
    <row r="14" spans="1:14" ht="16.5" thickBot="1" x14ac:dyDescent="0.3">
      <c r="A14" s="10">
        <v>44359</v>
      </c>
      <c r="B14" s="3">
        <v>413690</v>
      </c>
      <c r="C14" s="49">
        <f t="shared" si="9"/>
        <v>740</v>
      </c>
      <c r="D14" s="3">
        <v>4377900</v>
      </c>
      <c r="E14" s="49">
        <f t="shared" si="4"/>
        <v>0</v>
      </c>
      <c r="F14" s="3">
        <v>3516600</v>
      </c>
      <c r="G14" s="49">
        <f t="shared" si="7"/>
        <v>340.2</v>
      </c>
      <c r="H14" s="3">
        <v>736054</v>
      </c>
      <c r="I14" s="54">
        <f t="shared" si="8"/>
        <v>2.7269999999999999</v>
      </c>
      <c r="J14" s="23">
        <f t="shared" si="5"/>
        <v>1082.9270000000001</v>
      </c>
      <c r="K14" s="24">
        <f t="shared" si="6"/>
        <v>6345.952220000001</v>
      </c>
    </row>
    <row r="15" spans="1:14" ht="16.5" thickBot="1" x14ac:dyDescent="0.3">
      <c r="A15" s="10">
        <v>44360</v>
      </c>
      <c r="B15" s="3">
        <v>413801</v>
      </c>
      <c r="C15" s="49">
        <f t="shared" si="9"/>
        <v>1110</v>
      </c>
      <c r="D15" s="3">
        <v>4377900</v>
      </c>
      <c r="E15" s="49">
        <f t="shared" si="4"/>
        <v>0</v>
      </c>
      <c r="F15" s="3">
        <v>3530600</v>
      </c>
      <c r="G15" s="49">
        <f t="shared" si="7"/>
        <v>378</v>
      </c>
      <c r="H15" s="3">
        <v>736193</v>
      </c>
      <c r="I15" s="54">
        <f t="shared" si="8"/>
        <v>3.7530000000000001</v>
      </c>
      <c r="J15" s="23">
        <f t="shared" si="5"/>
        <v>1491.7529999999999</v>
      </c>
      <c r="K15" s="24">
        <f t="shared" si="6"/>
        <v>8741.6725800000004</v>
      </c>
    </row>
    <row r="16" spans="1:14" ht="16.5" thickBot="1" x14ac:dyDescent="0.3">
      <c r="A16" s="10">
        <v>44361</v>
      </c>
      <c r="B16" s="3">
        <v>413873</v>
      </c>
      <c r="C16" s="49">
        <f t="shared" si="9"/>
        <v>720</v>
      </c>
      <c r="D16" s="3">
        <v>4377900</v>
      </c>
      <c r="E16" s="49">
        <f t="shared" si="4"/>
        <v>0</v>
      </c>
      <c r="F16" s="3">
        <v>3545100</v>
      </c>
      <c r="G16" s="49">
        <f t="shared" si="7"/>
        <v>391.5</v>
      </c>
      <c r="H16" s="3">
        <v>736303</v>
      </c>
      <c r="I16" s="54">
        <f t="shared" si="8"/>
        <v>2.9699999999999998</v>
      </c>
      <c r="J16" s="23">
        <f t="shared" si="5"/>
        <v>1114.47</v>
      </c>
      <c r="K16" s="24">
        <f t="shared" si="6"/>
        <v>6530.7942000000003</v>
      </c>
    </row>
    <row r="17" spans="1:25" ht="16.5" thickBot="1" x14ac:dyDescent="0.3">
      <c r="A17" s="10">
        <v>44362</v>
      </c>
      <c r="B17" s="3">
        <v>413945</v>
      </c>
      <c r="C17" s="49">
        <f t="shared" si="9"/>
        <v>720</v>
      </c>
      <c r="D17" s="3">
        <v>4377900</v>
      </c>
      <c r="E17" s="49">
        <f t="shared" si="4"/>
        <v>0</v>
      </c>
      <c r="F17" s="3">
        <v>3560700</v>
      </c>
      <c r="G17" s="49">
        <f t="shared" si="7"/>
        <v>421.2</v>
      </c>
      <c r="H17" s="3">
        <v>736434</v>
      </c>
      <c r="I17" s="54">
        <f t="shared" si="8"/>
        <v>3.5369999999999999</v>
      </c>
      <c r="J17" s="23">
        <f t="shared" si="5"/>
        <v>1144.7370000000001</v>
      </c>
      <c r="K17" s="24">
        <f t="shared" si="6"/>
        <v>6708.1588200000006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>
        <v>414062</v>
      </c>
      <c r="C18" s="49">
        <f t="shared" si="9"/>
        <v>1170</v>
      </c>
      <c r="D18" s="3">
        <v>4377900</v>
      </c>
      <c r="E18" s="49">
        <f t="shared" si="4"/>
        <v>0</v>
      </c>
      <c r="F18" s="3">
        <v>3577500</v>
      </c>
      <c r="G18" s="49">
        <f t="shared" si="7"/>
        <v>453.6</v>
      </c>
      <c r="H18" s="3">
        <v>736554</v>
      </c>
      <c r="I18" s="54">
        <f t="shared" si="8"/>
        <v>3.2399999999999998</v>
      </c>
      <c r="J18" s="23">
        <f t="shared" si="5"/>
        <v>1626.84</v>
      </c>
      <c r="K18" s="24">
        <f t="shared" si="6"/>
        <v>9533.2824000000001</v>
      </c>
      <c r="Q18" t="s">
        <v>43</v>
      </c>
    </row>
    <row r="19" spans="1:25" ht="16.5" thickBot="1" x14ac:dyDescent="0.3">
      <c r="A19" s="10">
        <v>44364</v>
      </c>
      <c r="B19" s="3">
        <v>414158</v>
      </c>
      <c r="C19" s="49">
        <f t="shared" si="9"/>
        <v>960</v>
      </c>
      <c r="D19" s="3">
        <v>4377900</v>
      </c>
      <c r="E19" s="49">
        <f t="shared" si="4"/>
        <v>0</v>
      </c>
      <c r="F19" s="3">
        <v>3595100</v>
      </c>
      <c r="G19" s="49">
        <f t="shared" si="7"/>
        <v>475.2</v>
      </c>
      <c r="H19" s="3">
        <v>736697</v>
      </c>
      <c r="I19" s="54">
        <f t="shared" si="8"/>
        <v>3.8609999999999998</v>
      </c>
      <c r="J19" s="23">
        <f t="shared" si="5"/>
        <v>1439.0610000000001</v>
      </c>
      <c r="K19" s="24">
        <f t="shared" si="6"/>
        <v>8432.897460000002</v>
      </c>
      <c r="Q19" t="s">
        <v>12</v>
      </c>
    </row>
    <row r="20" spans="1:25" ht="16.5" thickBot="1" x14ac:dyDescent="0.3">
      <c r="A20" s="10">
        <v>44365</v>
      </c>
      <c r="B20" s="3">
        <v>414248</v>
      </c>
      <c r="C20" s="49">
        <f t="shared" si="9"/>
        <v>900</v>
      </c>
      <c r="D20" s="3">
        <v>4377900</v>
      </c>
      <c r="E20" s="49">
        <f t="shared" si="4"/>
        <v>0</v>
      </c>
      <c r="F20" s="3">
        <v>3611100</v>
      </c>
      <c r="G20" s="49">
        <f t="shared" si="7"/>
        <v>432</v>
      </c>
      <c r="H20" s="3">
        <v>736890</v>
      </c>
      <c r="I20" s="54">
        <f t="shared" si="8"/>
        <v>5.2110000000000003</v>
      </c>
      <c r="J20" s="23">
        <f t="shared" si="5"/>
        <v>1337.211</v>
      </c>
      <c r="K20" s="24">
        <f t="shared" si="6"/>
        <v>7836.0564600000007</v>
      </c>
    </row>
    <row r="21" spans="1:25" ht="16.5" thickBot="1" x14ac:dyDescent="0.3">
      <c r="A21" s="10">
        <v>44366</v>
      </c>
      <c r="B21" s="3">
        <v>414348</v>
      </c>
      <c r="C21" s="49">
        <f t="shared" si="9"/>
        <v>1000</v>
      </c>
      <c r="D21" s="3">
        <v>4377900</v>
      </c>
      <c r="E21" s="49">
        <f t="shared" si="4"/>
        <v>0</v>
      </c>
      <c r="F21" s="3">
        <v>3629400</v>
      </c>
      <c r="G21" s="49">
        <f t="shared" si="7"/>
        <v>494.1</v>
      </c>
      <c r="H21" s="3">
        <v>737098</v>
      </c>
      <c r="I21" s="54">
        <f t="shared" si="8"/>
        <v>5.6159999999999997</v>
      </c>
      <c r="J21" s="23">
        <f t="shared" si="5"/>
        <v>1499.7159999999999</v>
      </c>
      <c r="K21" s="24">
        <f t="shared" si="6"/>
        <v>8788.3357599999999</v>
      </c>
    </row>
    <row r="22" spans="1:25" ht="16.5" thickBot="1" x14ac:dyDescent="0.3">
      <c r="A22" s="10">
        <v>44367</v>
      </c>
      <c r="B22" s="3">
        <v>414488</v>
      </c>
      <c r="C22" s="49">
        <f t="shared" si="9"/>
        <v>1400</v>
      </c>
      <c r="D22" s="3">
        <v>4377900</v>
      </c>
      <c r="E22" s="49">
        <f t="shared" si="4"/>
        <v>0</v>
      </c>
      <c r="F22" s="3">
        <v>3649100</v>
      </c>
      <c r="G22" s="49">
        <f t="shared" si="7"/>
        <v>531.9</v>
      </c>
      <c r="H22" s="3">
        <v>737246</v>
      </c>
      <c r="I22" s="54">
        <f t="shared" si="8"/>
        <v>3.996</v>
      </c>
      <c r="J22" s="23">
        <f t="shared" si="5"/>
        <v>1935.8960000000002</v>
      </c>
      <c r="K22" s="24">
        <f t="shared" si="6"/>
        <v>11344.350560000003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>
        <v>414628</v>
      </c>
      <c r="C23" s="49">
        <f t="shared" si="9"/>
        <v>1400</v>
      </c>
      <c r="D23" s="3">
        <v>4377900</v>
      </c>
      <c r="E23" s="49">
        <f t="shared" si="4"/>
        <v>0</v>
      </c>
      <c r="F23" s="3">
        <v>3665600</v>
      </c>
      <c r="G23" s="49">
        <f t="shared" si="7"/>
        <v>445.5</v>
      </c>
      <c r="H23" s="3">
        <v>737393</v>
      </c>
      <c r="I23" s="54">
        <f t="shared" si="8"/>
        <v>3.9689999999999999</v>
      </c>
      <c r="J23" s="23">
        <f t="shared" si="5"/>
        <v>1849.4690000000001</v>
      </c>
      <c r="K23" s="24">
        <f t="shared" si="6"/>
        <v>10837.888340000001</v>
      </c>
      <c r="Q23" t="s">
        <v>12</v>
      </c>
    </row>
    <row r="24" spans="1:25" ht="16.5" thickBot="1" x14ac:dyDescent="0.3">
      <c r="A24" s="10">
        <v>44369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44370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44371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44372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44373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44374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23880</v>
      </c>
      <c r="D34" s="3"/>
      <c r="E34" s="66">
        <f>SUM(E3:E33)</f>
        <v>16.2</v>
      </c>
      <c r="F34" s="3"/>
      <c r="G34" s="66">
        <f>SUM(G3:G33)</f>
        <v>11172.600000000002</v>
      </c>
      <c r="H34" s="3"/>
      <c r="I34" s="66">
        <f>SUM(I3:I33)</f>
        <v>102.03299999999999</v>
      </c>
      <c r="J34" s="66">
        <f>SUM(J3:J33)</f>
        <v>35170.832999999999</v>
      </c>
      <c r="K34" s="66">
        <f>SUM(K3:K33)</f>
        <v>206101.08138000002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A16" zoomScale="120" zoomScaleNormal="120" zoomScaleSheetLayoutView="110" workbookViewId="0">
      <selection activeCell="A23" sqref="A23:XFD23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>
        <v>222</v>
      </c>
      <c r="C8" s="161">
        <v>18273</v>
      </c>
      <c r="D8" s="49">
        <f t="shared" si="11"/>
        <v>480</v>
      </c>
      <c r="E8" s="137">
        <v>26236456</v>
      </c>
      <c r="F8" s="49">
        <f t="shared" si="12"/>
        <v>15303</v>
      </c>
      <c r="G8" s="141">
        <v>83038267</v>
      </c>
      <c r="H8" s="49">
        <f t="shared" si="13"/>
        <v>58609</v>
      </c>
      <c r="I8" s="138">
        <f t="shared" si="14"/>
        <v>73912</v>
      </c>
      <c r="J8" s="137">
        <v>8125795</v>
      </c>
      <c r="K8" s="49">
        <f t="shared" si="15"/>
        <v>6844</v>
      </c>
      <c r="L8" s="139">
        <v>8106706</v>
      </c>
      <c r="M8" s="49">
        <f t="shared" si="16"/>
        <v>5060</v>
      </c>
      <c r="N8" s="137">
        <v>5238644</v>
      </c>
      <c r="O8" s="49">
        <f t="shared" si="23"/>
        <v>10006</v>
      </c>
      <c r="P8" s="139">
        <v>3592507</v>
      </c>
      <c r="Q8" s="49">
        <f t="shared" si="17"/>
        <v>12605</v>
      </c>
      <c r="R8" s="137">
        <v>17613170</v>
      </c>
      <c r="S8" s="49">
        <f t="shared" si="18"/>
        <v>11291</v>
      </c>
      <c r="T8" s="137">
        <v>0</v>
      </c>
      <c r="U8" s="140"/>
      <c r="V8" s="137">
        <v>5290593</v>
      </c>
      <c r="W8" s="49">
        <f t="shared" si="19"/>
        <v>13206</v>
      </c>
      <c r="X8" s="28">
        <f t="shared" si="20"/>
        <v>59012</v>
      </c>
      <c r="Y8" s="35">
        <f t="shared" si="21"/>
        <v>14900</v>
      </c>
      <c r="Z8" s="27">
        <f t="shared" si="22"/>
        <v>9219.1435024000002</v>
      </c>
      <c r="AA8" s="27">
        <f t="shared" si="24"/>
        <v>32920.158835200004</v>
      </c>
    </row>
    <row r="9" spans="1:27" ht="16.5" thickBot="1" x14ac:dyDescent="0.25">
      <c r="A9" s="10">
        <v>44354</v>
      </c>
      <c r="B9" s="49">
        <v>235</v>
      </c>
      <c r="C9" s="161">
        <v>18276</v>
      </c>
      <c r="D9" s="49">
        <f t="shared" si="11"/>
        <v>480</v>
      </c>
      <c r="E9" s="137">
        <v>26249508</v>
      </c>
      <c r="F9" s="49">
        <f t="shared" si="12"/>
        <v>13052</v>
      </c>
      <c r="G9" s="141">
        <v>83086341</v>
      </c>
      <c r="H9" s="49">
        <f t="shared" si="13"/>
        <v>48074</v>
      </c>
      <c r="I9" s="138">
        <f t="shared" si="14"/>
        <v>61126</v>
      </c>
      <c r="J9" s="137">
        <v>8131783</v>
      </c>
      <c r="K9" s="49">
        <f t="shared" si="15"/>
        <v>5988</v>
      </c>
      <c r="L9" s="139">
        <v>8111242</v>
      </c>
      <c r="M9" s="49">
        <f t="shared" si="16"/>
        <v>4536</v>
      </c>
      <c r="N9" s="137">
        <v>5242826</v>
      </c>
      <c r="O9" s="49">
        <f t="shared" si="23"/>
        <v>8364</v>
      </c>
      <c r="P9" s="139">
        <v>3602921</v>
      </c>
      <c r="Q9" s="49">
        <f t="shared" si="17"/>
        <v>10414</v>
      </c>
      <c r="R9" s="137">
        <v>17622507</v>
      </c>
      <c r="S9" s="49">
        <f t="shared" si="18"/>
        <v>9337</v>
      </c>
      <c r="T9" s="137">
        <v>0</v>
      </c>
      <c r="U9" s="140"/>
      <c r="V9" s="137">
        <v>5301236</v>
      </c>
      <c r="W9" s="49">
        <f t="shared" si="19"/>
        <v>10643</v>
      </c>
      <c r="X9" s="28">
        <f t="shared" si="20"/>
        <v>49282</v>
      </c>
      <c r="Y9" s="35">
        <f t="shared" si="21"/>
        <v>11844</v>
      </c>
      <c r="Z9" s="27">
        <f t="shared" si="22"/>
        <v>7567.9031999999997</v>
      </c>
      <c r="AA9" s="27">
        <f t="shared" si="24"/>
        <v>33685.411864000002</v>
      </c>
    </row>
    <row r="10" spans="1:27" ht="16.5" thickBot="1" x14ac:dyDescent="0.25">
      <c r="A10" s="10">
        <v>44355</v>
      </c>
      <c r="B10" s="49">
        <v>221</v>
      </c>
      <c r="C10" s="161">
        <v>18279</v>
      </c>
      <c r="D10" s="49">
        <f t="shared" si="11"/>
        <v>480</v>
      </c>
      <c r="E10" s="137">
        <v>26259821</v>
      </c>
      <c r="F10" s="49">
        <f t="shared" si="12"/>
        <v>10313</v>
      </c>
      <c r="G10" s="141">
        <v>83124405</v>
      </c>
      <c r="H10" s="49">
        <f t="shared" si="13"/>
        <v>38064</v>
      </c>
      <c r="I10" s="138">
        <f t="shared" si="14"/>
        <v>48377</v>
      </c>
      <c r="J10" s="137">
        <v>8136502</v>
      </c>
      <c r="K10" s="49">
        <f t="shared" si="15"/>
        <v>4719</v>
      </c>
      <c r="L10" s="139">
        <v>8114774</v>
      </c>
      <c r="M10" s="49">
        <f t="shared" si="16"/>
        <v>3532</v>
      </c>
      <c r="N10" s="137">
        <v>5246140</v>
      </c>
      <c r="O10" s="49">
        <f t="shared" si="23"/>
        <v>6628</v>
      </c>
      <c r="P10" s="139">
        <v>3611160</v>
      </c>
      <c r="Q10" s="49">
        <f t="shared" si="17"/>
        <v>8239</v>
      </c>
      <c r="R10" s="137">
        <v>17629951</v>
      </c>
      <c r="S10" s="49">
        <f t="shared" si="18"/>
        <v>7444</v>
      </c>
      <c r="T10" s="137">
        <v>0</v>
      </c>
      <c r="U10" s="140"/>
      <c r="V10" s="137">
        <v>5309614</v>
      </c>
      <c r="W10" s="49">
        <f t="shared" si="19"/>
        <v>8378</v>
      </c>
      <c r="X10" s="28">
        <f t="shared" si="20"/>
        <v>38940</v>
      </c>
      <c r="Y10" s="35">
        <f t="shared" si="21"/>
        <v>9437</v>
      </c>
      <c r="Z10" s="27">
        <f t="shared" si="22"/>
        <v>5992.5057504000006</v>
      </c>
      <c r="AA10" s="27">
        <f t="shared" si="24"/>
        <v>29804.447961599999</v>
      </c>
    </row>
    <row r="11" spans="1:27" ht="15.75" customHeight="1" thickBot="1" x14ac:dyDescent="0.25">
      <c r="A11" s="10">
        <v>44356</v>
      </c>
      <c r="B11" s="49">
        <v>230</v>
      </c>
      <c r="C11" s="161">
        <v>18282</v>
      </c>
      <c r="D11" s="49">
        <f t="shared" si="11"/>
        <v>480</v>
      </c>
      <c r="E11" s="137">
        <v>26274472</v>
      </c>
      <c r="F11" s="49">
        <f t="shared" si="12"/>
        <v>14651</v>
      </c>
      <c r="G11" s="141">
        <v>83179912</v>
      </c>
      <c r="H11" s="49">
        <f t="shared" si="13"/>
        <v>55507</v>
      </c>
      <c r="I11" s="138">
        <f t="shared" si="14"/>
        <v>70158</v>
      </c>
      <c r="J11" s="137">
        <v>8143161</v>
      </c>
      <c r="K11" s="49">
        <f t="shared" si="15"/>
        <v>6659</v>
      </c>
      <c r="L11" s="139">
        <v>8119593</v>
      </c>
      <c r="M11" s="49">
        <f t="shared" si="16"/>
        <v>4819</v>
      </c>
      <c r="N11" s="137">
        <v>5250961</v>
      </c>
      <c r="O11" s="49">
        <f t="shared" si="23"/>
        <v>9642</v>
      </c>
      <c r="P11" s="139">
        <v>3623599</v>
      </c>
      <c r="Q11" s="49">
        <f t="shared" si="17"/>
        <v>12439</v>
      </c>
      <c r="R11" s="137">
        <v>17640595</v>
      </c>
      <c r="S11" s="49">
        <f t="shared" si="18"/>
        <v>10644</v>
      </c>
      <c r="T11" s="137">
        <v>0</v>
      </c>
      <c r="U11" s="140"/>
      <c r="V11" s="137">
        <v>5321860</v>
      </c>
      <c r="W11" s="49">
        <f t="shared" si="19"/>
        <v>12246</v>
      </c>
      <c r="X11" s="28">
        <f t="shared" si="20"/>
        <v>56449</v>
      </c>
      <c r="Y11" s="35">
        <f t="shared" si="21"/>
        <v>13709</v>
      </c>
      <c r="Z11" s="27">
        <f t="shared" si="22"/>
        <v>8752.3731360000002</v>
      </c>
      <c r="AA11" s="27">
        <f t="shared" si="24"/>
        <v>31531.925588799997</v>
      </c>
    </row>
    <row r="12" spans="1:27" ht="16.5" thickBot="1" x14ac:dyDescent="0.25">
      <c r="A12" s="10">
        <v>44357</v>
      </c>
      <c r="B12" s="49">
        <v>225</v>
      </c>
      <c r="C12" s="161">
        <v>18286</v>
      </c>
      <c r="D12" s="49">
        <f t="shared" si="11"/>
        <v>640</v>
      </c>
      <c r="E12" s="137">
        <v>26287486</v>
      </c>
      <c r="F12" s="49">
        <f t="shared" si="12"/>
        <v>13014</v>
      </c>
      <c r="G12" s="141">
        <v>83227245</v>
      </c>
      <c r="H12" s="49">
        <f t="shared" si="13"/>
        <v>47333</v>
      </c>
      <c r="I12" s="138">
        <f t="shared" si="14"/>
        <v>60347</v>
      </c>
      <c r="J12" s="137">
        <v>8148703</v>
      </c>
      <c r="K12" s="49">
        <f t="shared" si="15"/>
        <v>5542</v>
      </c>
      <c r="L12" s="139">
        <v>8123943</v>
      </c>
      <c r="M12" s="49">
        <f t="shared" si="16"/>
        <v>4350</v>
      </c>
      <c r="N12" s="137">
        <v>5255212</v>
      </c>
      <c r="O12" s="49">
        <f t="shared" si="23"/>
        <v>8502</v>
      </c>
      <c r="P12" s="139">
        <v>3634653</v>
      </c>
      <c r="Q12" s="49">
        <f t="shared" si="17"/>
        <v>11054</v>
      </c>
      <c r="R12" s="137">
        <v>17649682</v>
      </c>
      <c r="S12" s="49">
        <f t="shared" si="18"/>
        <v>9087</v>
      </c>
      <c r="T12" s="137">
        <v>0</v>
      </c>
      <c r="U12" s="140"/>
      <c r="V12" s="137">
        <v>5332147</v>
      </c>
      <c r="W12" s="49">
        <f t="shared" si="19"/>
        <v>10287</v>
      </c>
      <c r="X12" s="28">
        <f t="shared" si="20"/>
        <v>48822</v>
      </c>
      <c r="Y12" s="35">
        <f t="shared" si="21"/>
        <v>11525</v>
      </c>
      <c r="Z12" s="27">
        <f t="shared" si="22"/>
        <v>7533.4472927999996</v>
      </c>
      <c r="AA12" s="27">
        <f t="shared" si="24"/>
        <v>29846.229379200002</v>
      </c>
    </row>
    <row r="13" spans="1:27" ht="16.5" thickBot="1" x14ac:dyDescent="0.25">
      <c r="A13" s="10">
        <v>44358</v>
      </c>
      <c r="B13" s="49">
        <v>169</v>
      </c>
      <c r="C13" s="161">
        <v>18290</v>
      </c>
      <c r="D13" s="49">
        <f t="shared" si="11"/>
        <v>640</v>
      </c>
      <c r="E13" s="137">
        <v>26305315</v>
      </c>
      <c r="F13" s="49">
        <f t="shared" si="12"/>
        <v>17829</v>
      </c>
      <c r="G13" s="141">
        <v>83293441</v>
      </c>
      <c r="H13" s="49">
        <f t="shared" si="13"/>
        <v>66196</v>
      </c>
      <c r="I13" s="138">
        <f t="shared" si="14"/>
        <v>84025</v>
      </c>
      <c r="J13" s="137">
        <v>8155554</v>
      </c>
      <c r="K13" s="49">
        <f t="shared" si="15"/>
        <v>6851</v>
      </c>
      <c r="L13" s="139">
        <v>8129420</v>
      </c>
      <c r="M13" s="49">
        <f t="shared" si="16"/>
        <v>5477</v>
      </c>
      <c r="N13" s="137">
        <v>5261257</v>
      </c>
      <c r="O13" s="49">
        <f t="shared" si="23"/>
        <v>12090</v>
      </c>
      <c r="P13" s="139">
        <v>3649788</v>
      </c>
      <c r="Q13" s="49">
        <f t="shared" si="17"/>
        <v>15135</v>
      </c>
      <c r="R13" s="137">
        <v>17662740</v>
      </c>
      <c r="S13" s="49">
        <f>IF((R13-R12)&lt;0,"0",(R13-R12))</f>
        <v>13058</v>
      </c>
      <c r="T13" s="137">
        <v>0</v>
      </c>
      <c r="U13" s="140"/>
      <c r="V13" s="137">
        <v>5347044</v>
      </c>
      <c r="W13" s="49">
        <f t="shared" si="19"/>
        <v>14897</v>
      </c>
      <c r="X13" s="28">
        <f t="shared" si="20"/>
        <v>67508</v>
      </c>
      <c r="Y13" s="35">
        <f t="shared" si="21"/>
        <v>16517</v>
      </c>
      <c r="Z13" s="27">
        <f t="shared" si="22"/>
        <v>10726.412215999999</v>
      </c>
      <c r="AA13" s="27">
        <f t="shared" si="24"/>
        <v>33004.738395200002</v>
      </c>
    </row>
    <row r="14" spans="1:27" ht="16.5" thickBot="1" x14ac:dyDescent="0.25">
      <c r="A14" s="10">
        <v>44359</v>
      </c>
      <c r="B14" s="49">
        <v>180</v>
      </c>
      <c r="C14" s="161">
        <v>18294</v>
      </c>
      <c r="D14" s="49">
        <f t="shared" si="11"/>
        <v>640</v>
      </c>
      <c r="E14" s="137">
        <v>26314390</v>
      </c>
      <c r="F14" s="49">
        <f>IF((E14-E13)&lt;0,"0",(E14-E13))</f>
        <v>9075</v>
      </c>
      <c r="G14" s="141">
        <v>83345279</v>
      </c>
      <c r="H14" s="49">
        <f t="shared" si="13"/>
        <v>51838</v>
      </c>
      <c r="I14" s="138">
        <f t="shared" si="14"/>
        <v>60913</v>
      </c>
      <c r="J14" s="137">
        <v>8160827</v>
      </c>
      <c r="K14" s="49">
        <f t="shared" si="15"/>
        <v>5273</v>
      </c>
      <c r="L14" s="139">
        <v>8133686</v>
      </c>
      <c r="M14" s="49">
        <f t="shared" si="16"/>
        <v>4266</v>
      </c>
      <c r="N14" s="137">
        <v>5263604</v>
      </c>
      <c r="O14" s="49">
        <f t="shared" si="23"/>
        <v>4694</v>
      </c>
      <c r="P14" s="139">
        <v>3665934</v>
      </c>
      <c r="Q14" s="49">
        <f t="shared" si="17"/>
        <v>16146</v>
      </c>
      <c r="R14" s="137">
        <v>17671495</v>
      </c>
      <c r="S14" s="49">
        <f>IF((R14-R13)&lt;0,"0",(R14-R13))</f>
        <v>8755</v>
      </c>
      <c r="T14" s="137">
        <v>0</v>
      </c>
      <c r="U14" s="140"/>
      <c r="V14" s="137">
        <v>5357332</v>
      </c>
      <c r="W14" s="49">
        <f t="shared" si="19"/>
        <v>10288</v>
      </c>
      <c r="X14" s="28">
        <f t="shared" si="20"/>
        <v>49422</v>
      </c>
      <c r="Y14" s="35">
        <f t="shared" si="21"/>
        <v>11491</v>
      </c>
      <c r="Z14" s="27">
        <f t="shared" si="22"/>
        <v>7638.9906736000003</v>
      </c>
      <c r="AA14" s="27">
        <f t="shared" si="24"/>
        <v>34651.2233184</v>
      </c>
    </row>
    <row r="15" spans="1:27" ht="16.5" thickBot="1" x14ac:dyDescent="0.25">
      <c r="A15" s="10">
        <v>44360</v>
      </c>
      <c r="B15" s="49">
        <v>138</v>
      </c>
      <c r="C15" s="161">
        <v>18298</v>
      </c>
      <c r="D15" s="49">
        <f t="shared" si="11"/>
        <v>640</v>
      </c>
      <c r="E15" s="137">
        <v>26321909</v>
      </c>
      <c r="F15" s="49">
        <f>IF((E15-E14)&lt;0,"0",(E15-E14))</f>
        <v>7519</v>
      </c>
      <c r="G15" s="141">
        <v>83396412</v>
      </c>
      <c r="H15" s="49">
        <f t="shared" si="13"/>
        <v>51133</v>
      </c>
      <c r="I15" s="138">
        <f t="shared" si="14"/>
        <v>58652</v>
      </c>
      <c r="J15" s="137">
        <v>8166013</v>
      </c>
      <c r="K15" s="49">
        <f t="shared" si="15"/>
        <v>5186</v>
      </c>
      <c r="L15" s="139">
        <v>8137914</v>
      </c>
      <c r="M15" s="49">
        <f t="shared" si="16"/>
        <v>4228</v>
      </c>
      <c r="N15" s="137">
        <v>5265178</v>
      </c>
      <c r="O15" s="49">
        <f t="shared" si="23"/>
        <v>3148</v>
      </c>
      <c r="P15" s="139">
        <v>3682927</v>
      </c>
      <c r="Q15" s="49">
        <f t="shared" si="17"/>
        <v>16993</v>
      </c>
      <c r="R15" s="137">
        <v>17679861</v>
      </c>
      <c r="S15" s="49">
        <f>IF((R15-R14)&lt;0,"0",(R15-R14))</f>
        <v>8366</v>
      </c>
      <c r="T15" s="137">
        <v>0</v>
      </c>
      <c r="U15" s="140"/>
      <c r="V15" s="137">
        <v>5366863</v>
      </c>
      <c r="W15" s="49">
        <f t="shared" si="19"/>
        <v>9531</v>
      </c>
      <c r="X15" s="28">
        <f t="shared" si="20"/>
        <v>47452</v>
      </c>
      <c r="Y15" s="35">
        <f t="shared" si="21"/>
        <v>11200</v>
      </c>
      <c r="Z15" s="27">
        <f t="shared" si="22"/>
        <v>7259.6462224000006</v>
      </c>
      <c r="AA15" s="27">
        <f t="shared" si="24"/>
        <v>33158.496404800004</v>
      </c>
    </row>
    <row r="16" spans="1:27" ht="16.5" thickBot="1" x14ac:dyDescent="0.25">
      <c r="A16" s="10">
        <v>44361</v>
      </c>
      <c r="B16" s="49"/>
      <c r="C16" s="161">
        <v>18304</v>
      </c>
      <c r="D16" s="49">
        <f t="shared" si="11"/>
        <v>960</v>
      </c>
      <c r="E16" s="137">
        <v>26333288</v>
      </c>
      <c r="F16" s="49">
        <f>IF((E16-E15)&lt;0,"0",(E16-E15))</f>
        <v>11379</v>
      </c>
      <c r="G16" s="141">
        <v>83452613</v>
      </c>
      <c r="H16" s="49">
        <f t="shared" si="13"/>
        <v>56201</v>
      </c>
      <c r="I16" s="138">
        <f t="shared" si="14"/>
        <v>67580</v>
      </c>
      <c r="J16" s="137">
        <v>8172205</v>
      </c>
      <c r="K16" s="49">
        <f t="shared" si="15"/>
        <v>6192</v>
      </c>
      <c r="L16" s="139">
        <v>8143102</v>
      </c>
      <c r="M16" s="49">
        <f t="shared" si="16"/>
        <v>5188</v>
      </c>
      <c r="N16" s="137">
        <v>5268204</v>
      </c>
      <c r="O16" s="49">
        <f t="shared" si="23"/>
        <v>6052</v>
      </c>
      <c r="P16" s="139">
        <v>3698765</v>
      </c>
      <c r="Q16" s="49">
        <f t="shared" si="17"/>
        <v>15838</v>
      </c>
      <c r="R16" s="137">
        <v>17690086</v>
      </c>
      <c r="S16" s="49">
        <f t="shared" si="18"/>
        <v>10225</v>
      </c>
      <c r="T16" s="137">
        <v>0</v>
      </c>
      <c r="U16" s="140"/>
      <c r="V16" s="137">
        <v>5378328</v>
      </c>
      <c r="W16" s="49">
        <f t="shared" si="19"/>
        <v>11465</v>
      </c>
      <c r="X16" s="28">
        <f t="shared" si="20"/>
        <v>54960</v>
      </c>
      <c r="Y16" s="35">
        <f t="shared" si="21"/>
        <v>12620</v>
      </c>
      <c r="Z16" s="27">
        <f t="shared" si="22"/>
        <v>8433.4642079999994</v>
      </c>
      <c r="AA16" s="27">
        <f t="shared" si="24"/>
        <v>34058.513319999998</v>
      </c>
    </row>
    <row r="17" spans="1:27" s="151" customFormat="1" ht="16.5" thickBot="1" x14ac:dyDescent="0.25">
      <c r="A17" s="10">
        <v>44362</v>
      </c>
      <c r="B17" s="146">
        <v>202</v>
      </c>
      <c r="C17" s="161">
        <v>18312</v>
      </c>
      <c r="D17" s="49">
        <f t="shared" si="11"/>
        <v>1280</v>
      </c>
      <c r="E17" s="137">
        <v>26350830</v>
      </c>
      <c r="F17" s="146">
        <f t="shared" si="12"/>
        <v>17542</v>
      </c>
      <c r="G17" s="141">
        <v>83511898</v>
      </c>
      <c r="H17" s="49">
        <f t="shared" si="13"/>
        <v>59285</v>
      </c>
      <c r="I17" s="148">
        <f t="shared" si="14"/>
        <v>76827</v>
      </c>
      <c r="J17" s="137">
        <v>8178846</v>
      </c>
      <c r="K17" s="146">
        <f t="shared" si="15"/>
        <v>6641</v>
      </c>
      <c r="L17" s="139">
        <v>8149786</v>
      </c>
      <c r="M17" s="146">
        <f t="shared" si="16"/>
        <v>6684</v>
      </c>
      <c r="N17" s="137">
        <v>5273545</v>
      </c>
      <c r="O17" s="146">
        <f t="shared" si="23"/>
        <v>10682</v>
      </c>
      <c r="P17" s="139">
        <v>3711726</v>
      </c>
      <c r="Q17" s="146">
        <f t="shared" si="17"/>
        <v>12961</v>
      </c>
      <c r="R17" s="137">
        <v>17701680</v>
      </c>
      <c r="S17" s="146">
        <f t="shared" si="18"/>
        <v>11594</v>
      </c>
      <c r="T17" s="147">
        <v>0</v>
      </c>
      <c r="U17" s="140"/>
      <c r="V17" s="137">
        <v>5391676</v>
      </c>
      <c r="W17" s="146">
        <f t="shared" si="19"/>
        <v>13348</v>
      </c>
      <c r="X17" s="28">
        <f t="shared" si="20"/>
        <v>61910</v>
      </c>
      <c r="Y17" s="149">
        <f t="shared" si="21"/>
        <v>14917</v>
      </c>
      <c r="Z17" s="150">
        <f t="shared" si="22"/>
        <v>9476.5523424000003</v>
      </c>
      <c r="AA17" s="150">
        <f t="shared" si="24"/>
        <v>32808.6534464</v>
      </c>
    </row>
    <row r="18" spans="1:27" s="151" customFormat="1" ht="16.5" thickBot="1" x14ac:dyDescent="0.25">
      <c r="A18" s="10">
        <v>44363</v>
      </c>
      <c r="B18" s="146">
        <v>115</v>
      </c>
      <c r="C18" s="161">
        <v>18318</v>
      </c>
      <c r="D18" s="49">
        <f t="shared" si="11"/>
        <v>960</v>
      </c>
      <c r="E18" s="137">
        <v>26362565</v>
      </c>
      <c r="F18" s="146">
        <f t="shared" si="12"/>
        <v>11735</v>
      </c>
      <c r="G18" s="141">
        <v>83554058</v>
      </c>
      <c r="H18" s="49">
        <f t="shared" si="13"/>
        <v>42160</v>
      </c>
      <c r="I18" s="148">
        <f t="shared" si="14"/>
        <v>53895</v>
      </c>
      <c r="J18" s="137">
        <v>8183682</v>
      </c>
      <c r="K18" s="146">
        <f t="shared" si="15"/>
        <v>4836</v>
      </c>
      <c r="L18" s="139">
        <v>8154041</v>
      </c>
      <c r="M18" s="146">
        <f t="shared" si="16"/>
        <v>4255</v>
      </c>
      <c r="N18" s="137">
        <v>5277211</v>
      </c>
      <c r="O18" s="146">
        <f t="shared" si="23"/>
        <v>7332</v>
      </c>
      <c r="P18" s="139">
        <v>3721068</v>
      </c>
      <c r="Q18" s="146">
        <f t="shared" si="17"/>
        <v>9342</v>
      </c>
      <c r="R18" s="137">
        <v>17709637</v>
      </c>
      <c r="S18" s="146">
        <f t="shared" si="18"/>
        <v>7957</v>
      </c>
      <c r="T18" s="147">
        <v>0</v>
      </c>
      <c r="U18" s="140"/>
      <c r="V18" s="137">
        <v>5401186</v>
      </c>
      <c r="W18" s="146">
        <f t="shared" si="19"/>
        <v>9510</v>
      </c>
      <c r="X18" s="28">
        <f t="shared" si="20"/>
        <v>43232</v>
      </c>
      <c r="Y18" s="149">
        <f t="shared" si="21"/>
        <v>10663</v>
      </c>
      <c r="Z18" s="150">
        <f t="shared" si="22"/>
        <v>6653.3680304</v>
      </c>
      <c r="AA18" s="150">
        <f t="shared" si="24"/>
        <v>31823.030803200003</v>
      </c>
    </row>
    <row r="19" spans="1:27" s="151" customFormat="1" ht="16.5" thickBot="1" x14ac:dyDescent="0.25">
      <c r="A19" s="10">
        <v>44364</v>
      </c>
      <c r="B19" s="146">
        <v>162</v>
      </c>
      <c r="C19" s="161">
        <v>18323</v>
      </c>
      <c r="D19" s="49">
        <f>IF((C19-C18)&lt;0,"0",(C19-C18))*160</f>
        <v>800</v>
      </c>
      <c r="E19" s="137">
        <v>26386525</v>
      </c>
      <c r="F19" s="146">
        <f t="shared" si="12"/>
        <v>23960</v>
      </c>
      <c r="G19" s="141">
        <v>83616032</v>
      </c>
      <c r="H19" s="49">
        <f t="shared" si="13"/>
        <v>61974</v>
      </c>
      <c r="I19" s="148">
        <f t="shared" si="14"/>
        <v>85934</v>
      </c>
      <c r="J19" s="137">
        <v>8190909</v>
      </c>
      <c r="K19" s="146">
        <f t="shared" si="15"/>
        <v>7227</v>
      </c>
      <c r="L19" s="139">
        <v>8163259</v>
      </c>
      <c r="M19" s="146">
        <f t="shared" si="16"/>
        <v>9218</v>
      </c>
      <c r="N19" s="137">
        <v>5284480</v>
      </c>
      <c r="O19" s="146">
        <f t="shared" si="23"/>
        <v>14538</v>
      </c>
      <c r="P19" s="139">
        <v>3734565</v>
      </c>
      <c r="Q19" s="146">
        <f t="shared" si="17"/>
        <v>13497</v>
      </c>
      <c r="R19" s="137">
        <v>17721854</v>
      </c>
      <c r="S19" s="146">
        <f t="shared" si="18"/>
        <v>12217</v>
      </c>
      <c r="T19" s="147">
        <v>0</v>
      </c>
      <c r="U19" s="140"/>
      <c r="V19" s="137">
        <v>5414953</v>
      </c>
      <c r="W19" s="146">
        <f t="shared" si="19"/>
        <v>13767</v>
      </c>
      <c r="X19" s="28">
        <f t="shared" si="20"/>
        <v>70464</v>
      </c>
      <c r="Y19" s="149">
        <f t="shared" si="21"/>
        <v>15470</v>
      </c>
      <c r="Z19" s="150">
        <f t="shared" si="22"/>
        <v>10365.282636800001</v>
      </c>
      <c r="AA19" s="150">
        <f t="shared" si="24"/>
        <v>34928.667217599999</v>
      </c>
    </row>
    <row r="20" spans="1:27" s="151" customFormat="1" ht="16.5" thickBot="1" x14ac:dyDescent="0.25">
      <c r="A20" s="10">
        <v>44365</v>
      </c>
      <c r="B20" s="146">
        <v>185</v>
      </c>
      <c r="C20" s="161">
        <v>18327</v>
      </c>
      <c r="D20" s="49">
        <f>IF((C20-C19)&lt;0,"0",(C20-C19))*160</f>
        <v>640</v>
      </c>
      <c r="E20" s="137">
        <v>26403574</v>
      </c>
      <c r="F20" s="146">
        <f t="shared" si="12"/>
        <v>17049</v>
      </c>
      <c r="G20" s="141">
        <v>83658967</v>
      </c>
      <c r="H20" s="49">
        <f t="shared" si="13"/>
        <v>42935</v>
      </c>
      <c r="I20" s="148">
        <f t="shared" si="14"/>
        <v>59984</v>
      </c>
      <c r="J20" s="137">
        <v>8195530</v>
      </c>
      <c r="K20" s="146">
        <f t="shared" si="15"/>
        <v>4621</v>
      </c>
      <c r="L20" s="139">
        <v>8169023</v>
      </c>
      <c r="M20" s="146">
        <f t="shared" si="16"/>
        <v>5764</v>
      </c>
      <c r="N20" s="137">
        <v>5290004</v>
      </c>
      <c r="O20" s="146">
        <f t="shared" si="23"/>
        <v>11048</v>
      </c>
      <c r="P20" s="139">
        <v>3744128</v>
      </c>
      <c r="Q20" s="146">
        <f t="shared" si="17"/>
        <v>9563</v>
      </c>
      <c r="R20" s="137">
        <v>17730577</v>
      </c>
      <c r="S20" s="146">
        <f t="shared" si="18"/>
        <v>8723</v>
      </c>
      <c r="T20" s="147">
        <v>0</v>
      </c>
      <c r="U20" s="140"/>
      <c r="V20" s="137">
        <v>5424517</v>
      </c>
      <c r="W20" s="146">
        <f t="shared" si="19"/>
        <v>9564</v>
      </c>
      <c r="X20" s="28">
        <f t="shared" si="20"/>
        <v>49283</v>
      </c>
      <c r="Y20" s="149">
        <f t="shared" si="21"/>
        <v>10701</v>
      </c>
      <c r="Z20" s="150">
        <f t="shared" si="22"/>
        <v>7422.3461103999998</v>
      </c>
      <c r="AA20" s="150">
        <f t="shared" si="24"/>
        <v>33917.549120000003</v>
      </c>
    </row>
    <row r="21" spans="1:27" s="151" customFormat="1" ht="16.5" thickBot="1" x14ac:dyDescent="0.25">
      <c r="A21" s="10">
        <v>44366</v>
      </c>
      <c r="B21" s="146">
        <v>160</v>
      </c>
      <c r="C21" s="161">
        <v>18330</v>
      </c>
      <c r="D21" s="49">
        <f>IF((C21-C20)&lt;0,"0",(C21-C20))*160</f>
        <v>480</v>
      </c>
      <c r="E21" s="137">
        <v>26423881</v>
      </c>
      <c r="F21" s="146">
        <f t="shared" si="12"/>
        <v>20307</v>
      </c>
      <c r="G21" s="141">
        <v>83711672</v>
      </c>
      <c r="H21" s="49">
        <f t="shared" si="13"/>
        <v>52705</v>
      </c>
      <c r="I21" s="148">
        <f t="shared" si="14"/>
        <v>73012</v>
      </c>
      <c r="J21" s="137">
        <v>8201697</v>
      </c>
      <c r="K21" s="146">
        <f t="shared" si="15"/>
        <v>6167</v>
      </c>
      <c r="L21" s="139">
        <v>8176007</v>
      </c>
      <c r="M21" s="146">
        <f t="shared" si="16"/>
        <v>6984</v>
      </c>
      <c r="N21" s="137">
        <v>5296601</v>
      </c>
      <c r="O21" s="146">
        <f t="shared" si="23"/>
        <v>13194</v>
      </c>
      <c r="P21" s="139">
        <v>3755918</v>
      </c>
      <c r="Q21" s="146">
        <f t="shared" si="17"/>
        <v>11790</v>
      </c>
      <c r="R21" s="137">
        <v>17741332</v>
      </c>
      <c r="S21" s="146">
        <f t="shared" si="18"/>
        <v>10755</v>
      </c>
      <c r="T21" s="147">
        <v>0</v>
      </c>
      <c r="U21" s="140"/>
      <c r="V21" s="137">
        <v>5435774</v>
      </c>
      <c r="W21" s="146">
        <f t="shared" si="19"/>
        <v>11257</v>
      </c>
      <c r="X21" s="28">
        <f t="shared" si="20"/>
        <v>60147</v>
      </c>
      <c r="Y21" s="149">
        <f t="shared" si="21"/>
        <v>12865</v>
      </c>
      <c r="Z21" s="150">
        <f t="shared" si="22"/>
        <v>8959.5306943999985</v>
      </c>
      <c r="AA21" s="150">
        <f t="shared" si="24"/>
        <v>33400.527471999994</v>
      </c>
    </row>
    <row r="22" spans="1:27" ht="16.5" thickBot="1" x14ac:dyDescent="0.25">
      <c r="A22" s="10">
        <v>44367</v>
      </c>
      <c r="B22" s="49">
        <v>196</v>
      </c>
      <c r="C22" s="161">
        <v>18333</v>
      </c>
      <c r="D22" s="49">
        <f t="shared" si="11"/>
        <v>480</v>
      </c>
      <c r="E22" s="137">
        <v>26438022</v>
      </c>
      <c r="F22" s="49">
        <f t="shared" si="12"/>
        <v>14141</v>
      </c>
      <c r="G22" s="141">
        <v>83765151</v>
      </c>
      <c r="H22" s="49">
        <f t="shared" si="13"/>
        <v>53479</v>
      </c>
      <c r="I22" s="138">
        <f t="shared" si="14"/>
        <v>67620</v>
      </c>
      <c r="J22" s="137">
        <v>8208116</v>
      </c>
      <c r="K22" s="49">
        <f t="shared" si="15"/>
        <v>6419</v>
      </c>
      <c r="L22" s="139">
        <v>8180564</v>
      </c>
      <c r="M22" s="49">
        <f t="shared" si="16"/>
        <v>4557</v>
      </c>
      <c r="N22" s="137">
        <v>5301316</v>
      </c>
      <c r="O22" s="49">
        <f t="shared" si="23"/>
        <v>9430</v>
      </c>
      <c r="P22" s="139">
        <v>3767874</v>
      </c>
      <c r="Q22" s="49">
        <f t="shared" si="17"/>
        <v>11956</v>
      </c>
      <c r="R22" s="137">
        <v>17751851</v>
      </c>
      <c r="S22" s="49">
        <f t="shared" si="18"/>
        <v>10519</v>
      </c>
      <c r="T22" s="137">
        <v>0</v>
      </c>
      <c r="U22" s="140"/>
      <c r="V22" s="137">
        <v>5447222</v>
      </c>
      <c r="W22" s="49">
        <f t="shared" si="19"/>
        <v>11448</v>
      </c>
      <c r="X22" s="28">
        <f t="shared" si="20"/>
        <v>54329</v>
      </c>
      <c r="Y22" s="35">
        <f t="shared" si="21"/>
        <v>13291</v>
      </c>
      <c r="Z22" s="27">
        <f t="shared" si="22"/>
        <v>8427.7332463999992</v>
      </c>
      <c r="AA22" s="27">
        <f t="shared" si="24"/>
        <v>35174.892688</v>
      </c>
    </row>
    <row r="23" spans="1:27" ht="16.5" thickBot="1" x14ac:dyDescent="0.25">
      <c r="A23" s="10">
        <v>44368</v>
      </c>
      <c r="B23" s="49">
        <v>201</v>
      </c>
      <c r="C23" s="161">
        <v>18336</v>
      </c>
      <c r="D23" s="49">
        <f t="shared" si="11"/>
        <v>480</v>
      </c>
      <c r="E23" s="137">
        <v>26448318</v>
      </c>
      <c r="F23" s="49">
        <f t="shared" si="12"/>
        <v>10296</v>
      </c>
      <c r="G23" s="141">
        <v>83802777</v>
      </c>
      <c r="H23" s="49">
        <f t="shared" si="13"/>
        <v>37626</v>
      </c>
      <c r="I23" s="138">
        <f t="shared" si="14"/>
        <v>47922</v>
      </c>
      <c r="J23" s="137">
        <v>8212658</v>
      </c>
      <c r="K23" s="49">
        <f t="shared" si="15"/>
        <v>4542</v>
      </c>
      <c r="L23" s="139">
        <v>8184040</v>
      </c>
      <c r="M23" s="49">
        <f t="shared" si="16"/>
        <v>3476</v>
      </c>
      <c r="N23" s="137">
        <v>5304658</v>
      </c>
      <c r="O23" s="49">
        <f t="shared" si="23"/>
        <v>6684</v>
      </c>
      <c r="P23" s="139">
        <v>3776585</v>
      </c>
      <c r="Q23" s="49">
        <f t="shared" si="17"/>
        <v>8711</v>
      </c>
      <c r="R23" s="137">
        <v>17759140</v>
      </c>
      <c r="S23" s="49">
        <f t="shared" si="18"/>
        <v>7289</v>
      </c>
      <c r="T23" s="137">
        <v>0</v>
      </c>
      <c r="U23" s="140"/>
      <c r="V23" s="137">
        <v>5455070</v>
      </c>
      <c r="W23" s="49">
        <f t="shared" si="19"/>
        <v>7848</v>
      </c>
      <c r="X23" s="28">
        <f t="shared" si="20"/>
        <v>38550</v>
      </c>
      <c r="Y23" s="35">
        <f t="shared" si="21"/>
        <v>9372</v>
      </c>
      <c r="Z23" s="27">
        <f t="shared" si="22"/>
        <v>5902.6833423999997</v>
      </c>
      <c r="AA23" s="27">
        <f t="shared" si="24"/>
        <v>30712.293393599997</v>
      </c>
    </row>
    <row r="24" spans="1:27" ht="16.5" thickBot="1" x14ac:dyDescent="0.25">
      <c r="A24" s="10">
        <v>44369</v>
      </c>
      <c r="B24" s="49"/>
      <c r="C24" s="161"/>
      <c r="D24" s="49">
        <f t="shared" si="11"/>
        <v>0</v>
      </c>
      <c r="E24" s="137"/>
      <c r="F24" s="49" t="str">
        <f t="shared" si="12"/>
        <v>0</v>
      </c>
      <c r="G24" s="141"/>
      <c r="H24" s="49" t="str">
        <f t="shared" si="13"/>
        <v>0</v>
      </c>
      <c r="I24" s="138">
        <f t="shared" si="14"/>
        <v>0</v>
      </c>
      <c r="J24" s="137"/>
      <c r="K24" s="49" t="str">
        <f t="shared" si="15"/>
        <v>0</v>
      </c>
      <c r="L24" s="139"/>
      <c r="M24" s="49" t="str">
        <f t="shared" si="16"/>
        <v>0</v>
      </c>
      <c r="N24" s="137"/>
      <c r="O24" s="49">
        <f t="shared" si="23"/>
        <v>0</v>
      </c>
      <c r="P24" s="139"/>
      <c r="Q24" s="49" t="str">
        <f t="shared" si="17"/>
        <v>0</v>
      </c>
      <c r="R24" s="137"/>
      <c r="S24" s="49" t="str">
        <f t="shared" si="18"/>
        <v>0</v>
      </c>
      <c r="T24" s="137">
        <v>0</v>
      </c>
      <c r="U24" s="140"/>
      <c r="V24" s="137"/>
      <c r="W24" s="49" t="str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23289.947283199996</v>
      </c>
    </row>
    <row r="25" spans="1:27" ht="16.5" thickBot="1" x14ac:dyDescent="0.25">
      <c r="A25" s="10">
        <v>44370</v>
      </c>
      <c r="B25" s="49"/>
      <c r="C25" s="161"/>
      <c r="D25" s="49">
        <f t="shared" si="11"/>
        <v>0</v>
      </c>
      <c r="E25" s="137"/>
      <c r="F25" s="49">
        <f t="shared" si="12"/>
        <v>0</v>
      </c>
      <c r="G25" s="141"/>
      <c r="H25" s="49">
        <f t="shared" si="13"/>
        <v>0</v>
      </c>
      <c r="I25" s="138">
        <f t="shared" si="14"/>
        <v>0</v>
      </c>
      <c r="J25" s="137"/>
      <c r="K25" s="49">
        <f t="shared" si="15"/>
        <v>0</v>
      </c>
      <c r="L25" s="139"/>
      <c r="M25" s="49">
        <f t="shared" si="16"/>
        <v>0</v>
      </c>
      <c r="N25" s="137"/>
      <c r="O25" s="49">
        <f t="shared" si="23"/>
        <v>0</v>
      </c>
      <c r="P25" s="139"/>
      <c r="Q25" s="49">
        <f t="shared" si="17"/>
        <v>0</v>
      </c>
      <c r="R25" s="137"/>
      <c r="S25" s="49">
        <f t="shared" si="18"/>
        <v>0</v>
      </c>
      <c r="T25" s="137">
        <v>0</v>
      </c>
      <c r="U25" s="140"/>
      <c r="V25" s="137"/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14330.416588799999</v>
      </c>
    </row>
    <row r="26" spans="1:27" ht="16.5" thickBot="1" x14ac:dyDescent="0.25">
      <c r="A26" s="10">
        <v>44371</v>
      </c>
      <c r="B26" s="49"/>
      <c r="C26" s="161"/>
      <c r="D26" s="49">
        <f t="shared" si="11"/>
        <v>0</v>
      </c>
      <c r="E26" s="137"/>
      <c r="F26" s="49">
        <f t="shared" si="12"/>
        <v>0</v>
      </c>
      <c r="G26" s="141"/>
      <c r="H26" s="49">
        <f t="shared" si="13"/>
        <v>0</v>
      </c>
      <c r="I26" s="138">
        <f t="shared" si="14"/>
        <v>0</v>
      </c>
      <c r="J26" s="137"/>
      <c r="K26" s="49">
        <f t="shared" si="15"/>
        <v>0</v>
      </c>
      <c r="L26" s="139"/>
      <c r="M26" s="49">
        <f t="shared" si="16"/>
        <v>0</v>
      </c>
      <c r="N26" s="137"/>
      <c r="O26" s="49">
        <f t="shared" si="23"/>
        <v>0</v>
      </c>
      <c r="P26" s="139"/>
      <c r="Q26" s="49">
        <f t="shared" si="17"/>
        <v>0</v>
      </c>
      <c r="R26" s="137"/>
      <c r="S26" s="49">
        <f t="shared" si="18"/>
        <v>0</v>
      </c>
      <c r="T26" s="137">
        <v>0</v>
      </c>
      <c r="U26" s="140"/>
      <c r="V26" s="137"/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5902.6833423999997</v>
      </c>
    </row>
    <row r="27" spans="1:27" ht="16.5" thickBot="1" x14ac:dyDescent="0.25">
      <c r="A27" s="10">
        <v>44372</v>
      </c>
      <c r="B27" s="49"/>
      <c r="C27" s="161"/>
      <c r="D27" s="49">
        <f t="shared" si="11"/>
        <v>0</v>
      </c>
      <c r="E27" s="137"/>
      <c r="F27" s="49">
        <f t="shared" si="12"/>
        <v>0</v>
      </c>
      <c r="G27" s="141"/>
      <c r="H27" s="49">
        <f t="shared" si="13"/>
        <v>0</v>
      </c>
      <c r="I27" s="138">
        <f t="shared" si="14"/>
        <v>0</v>
      </c>
      <c r="J27" s="137"/>
      <c r="K27" s="49">
        <f t="shared" si="15"/>
        <v>0</v>
      </c>
      <c r="L27" s="139"/>
      <c r="M27" s="49">
        <f t="shared" si="16"/>
        <v>0</v>
      </c>
      <c r="N27" s="137"/>
      <c r="O27" s="49">
        <f t="shared" si="23"/>
        <v>0</v>
      </c>
      <c r="P27" s="139"/>
      <c r="Q27" s="49">
        <f t="shared" si="17"/>
        <v>0</v>
      </c>
      <c r="R27" s="137"/>
      <c r="S27" s="49">
        <f t="shared" si="18"/>
        <v>0</v>
      </c>
      <c r="T27" s="137">
        <v>0</v>
      </c>
      <c r="U27" s="140"/>
      <c r="V27" s="137"/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44373</v>
      </c>
      <c r="B28" s="49"/>
      <c r="C28" s="161"/>
      <c r="D28" s="49">
        <f t="shared" si="11"/>
        <v>0</v>
      </c>
      <c r="E28" s="137"/>
      <c r="F28" s="49">
        <f t="shared" si="12"/>
        <v>0</v>
      </c>
      <c r="G28" s="141"/>
      <c r="H28" s="49">
        <f t="shared" si="13"/>
        <v>0</v>
      </c>
      <c r="I28" s="138">
        <f t="shared" si="14"/>
        <v>0</v>
      </c>
      <c r="J28" s="137"/>
      <c r="K28" s="49">
        <f t="shared" si="15"/>
        <v>0</v>
      </c>
      <c r="L28" s="139"/>
      <c r="M28" s="49">
        <f t="shared" si="16"/>
        <v>0</v>
      </c>
      <c r="N28" s="137"/>
      <c r="O28" s="49">
        <f t="shared" si="23"/>
        <v>0</v>
      </c>
      <c r="P28" s="139"/>
      <c r="Q28" s="49">
        <f t="shared" si="17"/>
        <v>0</v>
      </c>
      <c r="R28" s="137"/>
      <c r="S28" s="49">
        <f t="shared" si="18"/>
        <v>0</v>
      </c>
      <c r="T28" s="137">
        <v>0</v>
      </c>
      <c r="U28" s="140"/>
      <c r="V28" s="137"/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44374</v>
      </c>
      <c r="B29" s="49"/>
      <c r="C29" s="161"/>
      <c r="D29" s="49">
        <f t="shared" si="11"/>
        <v>0</v>
      </c>
      <c r="E29" s="137"/>
      <c r="F29" s="49">
        <f t="shared" si="12"/>
        <v>0</v>
      </c>
      <c r="G29" s="141"/>
      <c r="H29" s="49">
        <f t="shared" si="13"/>
        <v>0</v>
      </c>
      <c r="I29" s="138">
        <f t="shared" si="14"/>
        <v>0</v>
      </c>
      <c r="J29" s="137"/>
      <c r="K29" s="49">
        <f t="shared" si="15"/>
        <v>0</v>
      </c>
      <c r="L29" s="139"/>
      <c r="M29" s="49">
        <f t="shared" si="16"/>
        <v>0</v>
      </c>
      <c r="N29" s="137"/>
      <c r="O29" s="49">
        <f t="shared" si="23"/>
        <v>0</v>
      </c>
      <c r="P29" s="139"/>
      <c r="Q29" s="49">
        <f t="shared" si="17"/>
        <v>0</v>
      </c>
      <c r="R29" s="137"/>
      <c r="S29" s="49">
        <f t="shared" si="18"/>
        <v>0</v>
      </c>
      <c r="T29" s="137">
        <v>0</v>
      </c>
      <c r="U29" s="140"/>
      <c r="V29" s="137"/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>
        <f t="shared" si="12"/>
        <v>0</v>
      </c>
      <c r="G30" s="141"/>
      <c r="H30" s="49">
        <f t="shared" si="13"/>
        <v>0</v>
      </c>
      <c r="I30" s="138">
        <f t="shared" si="14"/>
        <v>0</v>
      </c>
      <c r="J30" s="137"/>
      <c r="K30" s="49">
        <f t="shared" si="15"/>
        <v>0</v>
      </c>
      <c r="L30" s="139"/>
      <c r="M30" s="49">
        <f t="shared" si="16"/>
        <v>0</v>
      </c>
      <c r="N30" s="137"/>
      <c r="O30" s="49">
        <f t="shared" si="23"/>
        <v>0</v>
      </c>
      <c r="P30" s="139"/>
      <c r="Q30" s="49">
        <f t="shared" si="17"/>
        <v>0</v>
      </c>
      <c r="R30" s="137"/>
      <c r="S30" s="49">
        <f t="shared" si="18"/>
        <v>0</v>
      </c>
      <c r="T30" s="137">
        <v>0</v>
      </c>
      <c r="U30" s="140"/>
      <c r="V30" s="137"/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3728</v>
      </c>
      <c r="C34" s="159"/>
      <c r="D34" s="159">
        <f>SUM(D2:D33)</f>
        <v>13440</v>
      </c>
      <c r="E34" s="159">
        <v>0</v>
      </c>
      <c r="F34" s="159">
        <f>SUM(F2:F33)</f>
        <v>304955</v>
      </c>
      <c r="G34" s="159">
        <v>0</v>
      </c>
      <c r="H34" s="159">
        <f>SUM(H2:H33)</f>
        <v>1076462</v>
      </c>
      <c r="I34" s="159">
        <f>SUM(I5:I33)</f>
        <v>1241286</v>
      </c>
      <c r="J34" s="159">
        <v>0</v>
      </c>
      <c r="K34" s="159">
        <f>SUM(K2:K33)</f>
        <v>123220</v>
      </c>
      <c r="L34" s="159">
        <v>0</v>
      </c>
      <c r="M34" s="159">
        <f>SUM(M2:M33)</f>
        <v>112377</v>
      </c>
      <c r="N34" s="159">
        <v>0</v>
      </c>
      <c r="O34" s="159">
        <f>SUM(O2:O33)</f>
        <v>192806</v>
      </c>
      <c r="P34" s="159">
        <v>0</v>
      </c>
      <c r="Q34" s="159">
        <f>SUM(Q2:Q33)</f>
        <v>251859</v>
      </c>
      <c r="R34" s="159">
        <v>0</v>
      </c>
      <c r="S34" s="159">
        <f>SUM(S2:S33)</f>
        <v>207265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233906</v>
      </c>
      <c r="X34" s="159">
        <f>SUM(X5:X33)</f>
        <v>1004841</v>
      </c>
      <c r="Y34" s="159">
        <f>SUM(Y2:Y33)</f>
        <v>263885</v>
      </c>
      <c r="Z34" s="159">
        <f>SUM(Z2:Z33)</f>
        <v>171452.17021919999</v>
      </c>
      <c r="AA34" s="159">
        <f>SUM(AA2:AA33)</f>
        <v>676102.21808480006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4" zoomScale="80" zoomScaleNormal="55" zoomScaleSheetLayoutView="80" workbookViewId="0">
      <selection activeCell="A23" sqref="A23:XFD2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>
        <v>17385519</v>
      </c>
      <c r="C8" s="55">
        <f>IF((B8-B7)&lt;0,"0",(B8-B7))</f>
        <v>1991</v>
      </c>
    </row>
    <row r="9" spans="1:9" ht="24" thickBot="1" x14ac:dyDescent="0.4">
      <c r="A9" s="10">
        <v>44354</v>
      </c>
      <c r="B9" s="154">
        <v>17387350</v>
      </c>
      <c r="C9" s="55">
        <f t="shared" si="0"/>
        <v>1831</v>
      </c>
    </row>
    <row r="10" spans="1:9" ht="24" thickBot="1" x14ac:dyDescent="0.4">
      <c r="A10" s="10">
        <v>44355</v>
      </c>
      <c r="B10" s="154">
        <v>17389732</v>
      </c>
      <c r="C10" s="55">
        <f t="shared" si="0"/>
        <v>2382</v>
      </c>
    </row>
    <row r="11" spans="1:9" ht="24" thickBot="1" x14ac:dyDescent="0.4">
      <c r="A11" s="10">
        <v>44356</v>
      </c>
      <c r="B11" s="154">
        <v>17391627</v>
      </c>
      <c r="C11" s="55">
        <f t="shared" si="0"/>
        <v>1895</v>
      </c>
    </row>
    <row r="12" spans="1:9" ht="24" thickBot="1" x14ac:dyDescent="0.4">
      <c r="A12" s="10">
        <v>44357</v>
      </c>
      <c r="B12" s="154">
        <v>17393230</v>
      </c>
      <c r="C12" s="55">
        <f t="shared" si="0"/>
        <v>1603</v>
      </c>
    </row>
    <row r="13" spans="1:9" ht="24" thickBot="1" x14ac:dyDescent="0.4">
      <c r="A13" s="10">
        <v>44358</v>
      </c>
      <c r="B13" s="154">
        <v>17395851</v>
      </c>
      <c r="C13" s="55">
        <f t="shared" si="0"/>
        <v>2621</v>
      </c>
    </row>
    <row r="14" spans="1:9" ht="24" thickBot="1" x14ac:dyDescent="0.4">
      <c r="A14" s="10">
        <v>44359</v>
      </c>
      <c r="B14" s="154">
        <v>17397860</v>
      </c>
      <c r="C14" s="55">
        <f t="shared" si="0"/>
        <v>2009</v>
      </c>
    </row>
    <row r="15" spans="1:9" ht="24" thickBot="1" x14ac:dyDescent="0.4">
      <c r="A15" s="10">
        <v>44360</v>
      </c>
      <c r="B15" s="154">
        <v>17400130</v>
      </c>
      <c r="C15" s="55">
        <f t="shared" si="0"/>
        <v>2270</v>
      </c>
      <c r="I15" t="s">
        <v>12</v>
      </c>
    </row>
    <row r="16" spans="1:9" ht="26.25" customHeight="1" thickBot="1" x14ac:dyDescent="0.4">
      <c r="A16" s="10">
        <v>44361</v>
      </c>
      <c r="B16" s="154">
        <v>17402232</v>
      </c>
      <c r="C16" s="55">
        <f t="shared" si="0"/>
        <v>2102</v>
      </c>
    </row>
    <row r="17" spans="1:9" ht="25.5" customHeight="1" thickBot="1" x14ac:dyDescent="0.4">
      <c r="A17" s="10">
        <v>44362</v>
      </c>
      <c r="B17" s="154">
        <v>17404408</v>
      </c>
      <c r="C17" s="55">
        <f t="shared" si="0"/>
        <v>2176</v>
      </c>
      <c r="F17" s="152"/>
    </row>
    <row r="18" spans="1:9" ht="24" thickBot="1" x14ac:dyDescent="0.4">
      <c r="A18" s="10">
        <v>44363</v>
      </c>
      <c r="B18" s="154">
        <v>17406413</v>
      </c>
      <c r="C18" s="55">
        <f t="shared" si="0"/>
        <v>2005</v>
      </c>
    </row>
    <row r="19" spans="1:9" ht="24" thickBot="1" x14ac:dyDescent="0.4">
      <c r="A19" s="10">
        <v>44364</v>
      </c>
      <c r="B19" s="154">
        <v>17408550</v>
      </c>
      <c r="C19" s="55">
        <f t="shared" si="0"/>
        <v>2137</v>
      </c>
    </row>
    <row r="20" spans="1:9" ht="24" thickBot="1" x14ac:dyDescent="0.4">
      <c r="A20" s="10">
        <v>44365</v>
      </c>
      <c r="B20" s="154">
        <v>17410848</v>
      </c>
      <c r="C20" s="55">
        <f t="shared" si="0"/>
        <v>2298</v>
      </c>
    </row>
    <row r="21" spans="1:9" ht="24" thickBot="1" x14ac:dyDescent="0.4">
      <c r="A21" s="10">
        <v>44366</v>
      </c>
      <c r="B21" s="154">
        <v>17412750</v>
      </c>
      <c r="C21" s="55">
        <f t="shared" si="0"/>
        <v>1902</v>
      </c>
    </row>
    <row r="22" spans="1:9" ht="24" thickBot="1" x14ac:dyDescent="0.4">
      <c r="A22" s="10">
        <v>44367</v>
      </c>
      <c r="B22" s="154">
        <v>17414920</v>
      </c>
      <c r="C22" s="55">
        <f t="shared" si="0"/>
        <v>2170</v>
      </c>
    </row>
    <row r="23" spans="1:9" ht="24" thickBot="1" x14ac:dyDescent="0.4">
      <c r="A23" s="10">
        <v>44368</v>
      </c>
      <c r="B23" s="154">
        <v>17416666</v>
      </c>
      <c r="C23" s="55">
        <f t="shared" si="0"/>
        <v>1746</v>
      </c>
      <c r="F23" t="s">
        <v>12</v>
      </c>
    </row>
    <row r="24" spans="1:9" ht="24" thickBot="1" x14ac:dyDescent="0.4">
      <c r="A24" s="10">
        <v>44369</v>
      </c>
      <c r="B24" s="154"/>
      <c r="C24" s="55" t="str">
        <f t="shared" si="0"/>
        <v>0</v>
      </c>
      <c r="E24" t="s">
        <v>12</v>
      </c>
    </row>
    <row r="25" spans="1:9" ht="24" thickBot="1" x14ac:dyDescent="0.4">
      <c r="A25" s="10">
        <v>44370</v>
      </c>
      <c r="B25" s="154"/>
      <c r="C25" s="55">
        <f t="shared" si="0"/>
        <v>0</v>
      </c>
    </row>
    <row r="26" spans="1:9" ht="24" thickBot="1" x14ac:dyDescent="0.4">
      <c r="A26" s="10">
        <v>44371</v>
      </c>
      <c r="B26" s="154"/>
      <c r="C26" s="55">
        <f t="shared" si="0"/>
        <v>0</v>
      </c>
    </row>
    <row r="27" spans="1:9" ht="24" thickBot="1" x14ac:dyDescent="0.4">
      <c r="A27" s="10">
        <v>44372</v>
      </c>
      <c r="B27" s="154"/>
      <c r="C27" s="55">
        <f t="shared" si="0"/>
        <v>0</v>
      </c>
    </row>
    <row r="28" spans="1:9" ht="24" thickBot="1" x14ac:dyDescent="0.4">
      <c r="A28" s="10">
        <v>44373</v>
      </c>
      <c r="B28" s="154"/>
      <c r="C28" s="55">
        <f t="shared" si="0"/>
        <v>0</v>
      </c>
      <c r="I28" t="s">
        <v>12</v>
      </c>
    </row>
    <row r="29" spans="1:9" ht="24" thickBot="1" x14ac:dyDescent="0.4">
      <c r="A29" s="10">
        <v>44374</v>
      </c>
      <c r="B29" s="154"/>
      <c r="C29" s="55">
        <f t="shared" si="0"/>
        <v>0</v>
      </c>
    </row>
    <row r="30" spans="1:9" ht="24" thickBot="1" x14ac:dyDescent="0.4">
      <c r="A30" s="10">
        <v>44375</v>
      </c>
      <c r="B30" s="154"/>
      <c r="C30" s="55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43134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xSplit="1" topLeftCell="C1" activePane="topRight" state="frozen"/>
      <selection pane="topRight" activeCell="A23" sqref="A23:XFD23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>
        <v>20800.062999999998</v>
      </c>
      <c r="C8" s="54">
        <f t="shared" si="11"/>
        <v>10.252999999996973</v>
      </c>
      <c r="D8" s="38">
        <f t="shared" si="12"/>
        <v>19480.699999994245</v>
      </c>
      <c r="E8" s="1">
        <v>3627.8780000000002</v>
      </c>
      <c r="F8" s="54">
        <f t="shared" si="13"/>
        <v>2.0760000000000218</v>
      </c>
      <c r="G8" s="38">
        <f t="shared" si="14"/>
        <v>3944.400000000041</v>
      </c>
      <c r="H8" s="1">
        <v>3222</v>
      </c>
      <c r="I8" s="54">
        <f t="shared" si="15"/>
        <v>8</v>
      </c>
      <c r="J8" s="38">
        <f t="shared" si="16"/>
        <v>15200</v>
      </c>
      <c r="K8" s="7">
        <v>13427.52</v>
      </c>
      <c r="L8" s="54">
        <f t="shared" si="17"/>
        <v>2.2299999999995634</v>
      </c>
      <c r="M8" s="38">
        <f t="shared" si="18"/>
        <v>4236.9999999991705</v>
      </c>
      <c r="N8" s="7">
        <v>3060.4859999999999</v>
      </c>
      <c r="O8" s="54">
        <f t="shared" si="19"/>
        <v>1.5349999999998545</v>
      </c>
      <c r="P8" s="38">
        <f t="shared" si="20"/>
        <v>2916.4999999997235</v>
      </c>
      <c r="Q8" s="7">
        <v>4828.8100000000004</v>
      </c>
      <c r="R8" s="54">
        <f t="shared" si="21"/>
        <v>2.3800000000001091</v>
      </c>
      <c r="S8" s="38">
        <f t="shared" si="22"/>
        <v>4522.0000000002074</v>
      </c>
      <c r="T8" s="8">
        <f t="shared" si="24"/>
        <v>26.473999999996522</v>
      </c>
      <c r="U8" s="40">
        <f t="shared" si="23"/>
        <v>50300.599999993385</v>
      </c>
    </row>
    <row r="9" spans="1:25" ht="16.5" thickBot="1" x14ac:dyDescent="0.25">
      <c r="A9" s="10">
        <v>44354</v>
      </c>
      <c r="B9" s="1">
        <v>20807.772000000001</v>
      </c>
      <c r="C9" s="54">
        <f t="shared" si="11"/>
        <v>7.7090000000025611</v>
      </c>
      <c r="D9" s="38">
        <f t="shared" si="12"/>
        <v>14647.100000004866</v>
      </c>
      <c r="E9" s="1">
        <v>3630.5639999999999</v>
      </c>
      <c r="F9" s="54">
        <f t="shared" si="13"/>
        <v>2.6859999999996944</v>
      </c>
      <c r="G9" s="38">
        <f t="shared" si="14"/>
        <v>5103.3999999994185</v>
      </c>
      <c r="H9" s="1">
        <v>3228</v>
      </c>
      <c r="I9" s="54">
        <f t="shared" si="15"/>
        <v>6</v>
      </c>
      <c r="J9" s="38">
        <f t="shared" si="16"/>
        <v>11399.999999999998</v>
      </c>
      <c r="K9" s="7">
        <v>13429.57</v>
      </c>
      <c r="L9" s="54">
        <f t="shared" si="17"/>
        <v>2.0499999999992724</v>
      </c>
      <c r="M9" s="38">
        <f t="shared" si="18"/>
        <v>3894.9999999986176</v>
      </c>
      <c r="N9" s="7">
        <v>3061.6709999999998</v>
      </c>
      <c r="O9" s="54">
        <f t="shared" si="19"/>
        <v>1.1849999999999454</v>
      </c>
      <c r="P9" s="38">
        <f t="shared" si="20"/>
        <v>2251.4999999998963</v>
      </c>
      <c r="Q9" s="7">
        <v>4830.41</v>
      </c>
      <c r="R9" s="54">
        <f t="shared" si="21"/>
        <v>1.5999999999994543</v>
      </c>
      <c r="S9" s="38">
        <f t="shared" si="22"/>
        <v>3039.9999999989632</v>
      </c>
      <c r="T9" s="8">
        <f t="shared" si="24"/>
        <v>21.230000000000928</v>
      </c>
      <c r="U9" s="40">
        <f t="shared" si="23"/>
        <v>40337.000000001761</v>
      </c>
    </row>
    <row r="10" spans="1:25" ht="16.5" thickBot="1" x14ac:dyDescent="0.25">
      <c r="A10" s="10">
        <v>44355</v>
      </c>
      <c r="B10" s="1">
        <v>20815.545999999998</v>
      </c>
      <c r="C10" s="54">
        <f t="shared" si="11"/>
        <v>7.7739999999976135</v>
      </c>
      <c r="D10" s="38">
        <f t="shared" si="12"/>
        <v>14770.599999995466</v>
      </c>
      <c r="E10" s="1">
        <v>3632.5</v>
      </c>
      <c r="F10" s="54">
        <f t="shared" si="13"/>
        <v>1.9360000000001492</v>
      </c>
      <c r="G10" s="38">
        <f t="shared" si="14"/>
        <v>3678.4000000002834</v>
      </c>
      <c r="H10" s="1">
        <v>3234</v>
      </c>
      <c r="I10" s="54">
        <f t="shared" si="15"/>
        <v>6</v>
      </c>
      <c r="J10" s="38">
        <f t="shared" si="16"/>
        <v>11399.999999999998</v>
      </c>
      <c r="K10" s="7">
        <v>13431.12</v>
      </c>
      <c r="L10" s="54">
        <f t="shared" si="17"/>
        <v>1.5500000000010914</v>
      </c>
      <c r="M10" s="38">
        <f t="shared" si="18"/>
        <v>2945.0000000020732</v>
      </c>
      <c r="N10" s="7">
        <v>3062.614</v>
      </c>
      <c r="O10" s="54">
        <f t="shared" si="19"/>
        <v>0.943000000000211</v>
      </c>
      <c r="P10" s="38">
        <f t="shared" si="20"/>
        <v>1791.7000000004009</v>
      </c>
      <c r="Q10" s="7">
        <v>4831.8999999999996</v>
      </c>
      <c r="R10" s="54">
        <f t="shared" si="21"/>
        <v>1.4899999999997817</v>
      </c>
      <c r="S10" s="38">
        <f t="shared" si="22"/>
        <v>2830.9999999995853</v>
      </c>
      <c r="T10" s="8">
        <f t="shared" si="24"/>
        <v>19.692999999998847</v>
      </c>
      <c r="U10" s="40">
        <f t="shared" si="23"/>
        <v>37416.699999997807</v>
      </c>
    </row>
    <row r="11" spans="1:25" ht="16.5" thickBot="1" x14ac:dyDescent="0.25">
      <c r="A11" s="10">
        <v>44356</v>
      </c>
      <c r="B11" s="1">
        <v>20823.73</v>
      </c>
      <c r="C11" s="54">
        <f t="shared" si="11"/>
        <v>8.1840000000011059</v>
      </c>
      <c r="D11" s="38">
        <f t="shared" si="12"/>
        <v>15549.600000002101</v>
      </c>
      <c r="E11" s="1">
        <v>3635.6390000000001</v>
      </c>
      <c r="F11" s="54">
        <f t="shared" si="13"/>
        <v>3.1390000000001237</v>
      </c>
      <c r="G11" s="38">
        <f t="shared" si="14"/>
        <v>5964.100000000235</v>
      </c>
      <c r="H11" s="1">
        <v>3241</v>
      </c>
      <c r="I11" s="54">
        <f t="shared" si="15"/>
        <v>7</v>
      </c>
      <c r="J11" s="38">
        <f t="shared" si="16"/>
        <v>13299.999999999998</v>
      </c>
      <c r="K11" s="7">
        <v>13433.45</v>
      </c>
      <c r="L11" s="54">
        <f t="shared" si="17"/>
        <v>2.3299999999999272</v>
      </c>
      <c r="M11" s="38">
        <f t="shared" si="18"/>
        <v>4426.9999999998618</v>
      </c>
      <c r="N11" s="7">
        <v>3063.9769999999999</v>
      </c>
      <c r="O11" s="54">
        <f t="shared" si="19"/>
        <v>1.362999999999829</v>
      </c>
      <c r="P11" s="38">
        <f t="shared" si="20"/>
        <v>2589.6999999996751</v>
      </c>
      <c r="Q11" s="7">
        <v>4833.97</v>
      </c>
      <c r="R11" s="54">
        <f t="shared" si="21"/>
        <v>2.0700000000006185</v>
      </c>
      <c r="S11" s="38">
        <f t="shared" si="22"/>
        <v>3933.0000000011751</v>
      </c>
      <c r="T11" s="8">
        <f t="shared" si="24"/>
        <v>24.086000000001604</v>
      </c>
      <c r="U11" s="40">
        <f t="shared" si="23"/>
        <v>45763.400000003043</v>
      </c>
    </row>
    <row r="12" spans="1:25" ht="16.5" thickBot="1" x14ac:dyDescent="0.25">
      <c r="A12" s="10">
        <v>44357</v>
      </c>
      <c r="B12" s="1">
        <v>20835.559000000001</v>
      </c>
      <c r="C12" s="54">
        <f t="shared" si="11"/>
        <v>11.829000000001543</v>
      </c>
      <c r="D12" s="38">
        <f t="shared" si="12"/>
        <v>22475.100000002927</v>
      </c>
      <c r="E12" s="1">
        <v>3638.7559999999999</v>
      </c>
      <c r="F12" s="54">
        <f t="shared" si="13"/>
        <v>3.1169999999997344</v>
      </c>
      <c r="G12" s="38">
        <f t="shared" si="14"/>
        <v>5922.2999999994954</v>
      </c>
      <c r="H12" s="1">
        <v>3249</v>
      </c>
      <c r="I12" s="54">
        <f t="shared" si="15"/>
        <v>8</v>
      </c>
      <c r="J12" s="38">
        <f t="shared" si="16"/>
        <v>15200</v>
      </c>
      <c r="K12" s="7">
        <v>13436.01</v>
      </c>
      <c r="L12" s="54">
        <f t="shared" si="17"/>
        <v>2.5599999999994907</v>
      </c>
      <c r="M12" s="38">
        <f t="shared" si="18"/>
        <v>4863.9999999990314</v>
      </c>
      <c r="N12" s="7">
        <v>3065.931</v>
      </c>
      <c r="O12" s="54">
        <f t="shared" si="19"/>
        <v>1.9540000000001783</v>
      </c>
      <c r="P12" s="38">
        <f t="shared" si="20"/>
        <v>3712.6000000003387</v>
      </c>
      <c r="Q12" s="7">
        <v>4836.37</v>
      </c>
      <c r="R12" s="54">
        <f t="shared" si="21"/>
        <v>2.3999999999996362</v>
      </c>
      <c r="S12" s="38">
        <f t="shared" si="22"/>
        <v>4559.9999999993088</v>
      </c>
      <c r="T12" s="8">
        <f t="shared" si="24"/>
        <v>29.860000000000582</v>
      </c>
      <c r="U12" s="40">
        <f t="shared" si="23"/>
        <v>56734.000000001106</v>
      </c>
    </row>
    <row r="13" spans="1:25" ht="16.5" thickBot="1" x14ac:dyDescent="0.25">
      <c r="A13" s="10">
        <v>44358</v>
      </c>
      <c r="B13" s="1">
        <v>20843.782999999999</v>
      </c>
      <c r="C13" s="54">
        <f t="shared" si="11"/>
        <v>8.2239999999983411</v>
      </c>
      <c r="D13" s="38">
        <f t="shared" si="12"/>
        <v>15625.599999996848</v>
      </c>
      <c r="E13" s="1">
        <v>3639.5329999999999</v>
      </c>
      <c r="F13" s="54">
        <f t="shared" si="13"/>
        <v>0.77700000000004366</v>
      </c>
      <c r="G13" s="38">
        <f t="shared" si="14"/>
        <v>1476.3000000000827</v>
      </c>
      <c r="H13" s="1">
        <v>3254</v>
      </c>
      <c r="I13" s="54">
        <f t="shared" si="15"/>
        <v>5</v>
      </c>
      <c r="J13" s="38">
        <f t="shared" si="16"/>
        <v>9500</v>
      </c>
      <c r="K13" s="7">
        <v>13437.21</v>
      </c>
      <c r="L13" s="54">
        <f t="shared" si="17"/>
        <v>1.1999999999989086</v>
      </c>
      <c r="M13" s="38">
        <f t="shared" si="18"/>
        <v>2279.9999999979264</v>
      </c>
      <c r="N13" s="7">
        <v>3067.0569999999998</v>
      </c>
      <c r="O13" s="54">
        <f t="shared" si="19"/>
        <v>1.125999999999749</v>
      </c>
      <c r="P13" s="38">
        <f t="shared" si="20"/>
        <v>2139.3999999995226</v>
      </c>
      <c r="Q13" s="7">
        <v>4838.74</v>
      </c>
      <c r="R13" s="54">
        <f t="shared" si="21"/>
        <v>2.3699999999998909</v>
      </c>
      <c r="S13" s="38">
        <f t="shared" si="22"/>
        <v>4502.9999999997926</v>
      </c>
      <c r="T13" s="8">
        <f t="shared" si="24"/>
        <v>18.696999999996933</v>
      </c>
      <c r="U13" s="40">
        <f t="shared" si="23"/>
        <v>35524.299999994168</v>
      </c>
    </row>
    <row r="14" spans="1:25" ht="16.5" thickBot="1" x14ac:dyDescent="0.25">
      <c r="A14" s="10">
        <v>44359</v>
      </c>
      <c r="B14" s="1">
        <v>20854.196</v>
      </c>
      <c r="C14" s="54">
        <f t="shared" si="11"/>
        <v>10.413000000000466</v>
      </c>
      <c r="D14" s="38">
        <f t="shared" si="12"/>
        <v>19784.700000000885</v>
      </c>
      <c r="E14" s="1">
        <v>3641.0810000000001</v>
      </c>
      <c r="F14" s="54">
        <f t="shared" si="13"/>
        <v>1.5480000000002292</v>
      </c>
      <c r="G14" s="38">
        <f t="shared" si="14"/>
        <v>2941.2000000004355</v>
      </c>
      <c r="H14" s="1">
        <v>3261</v>
      </c>
      <c r="I14" s="54">
        <f t="shared" si="15"/>
        <v>7</v>
      </c>
      <c r="J14" s="38">
        <f t="shared" si="16"/>
        <v>13299.999999999998</v>
      </c>
      <c r="K14" s="7">
        <v>13439.43</v>
      </c>
      <c r="L14" s="54">
        <f t="shared" si="17"/>
        <v>2.2200000000011642</v>
      </c>
      <c r="M14" s="38">
        <f t="shared" si="18"/>
        <v>4218.0000000022119</v>
      </c>
      <c r="N14" s="7">
        <v>3068.4690000000001</v>
      </c>
      <c r="O14" s="54">
        <f t="shared" si="19"/>
        <v>1.4120000000002619</v>
      </c>
      <c r="P14" s="38">
        <f t="shared" si="20"/>
        <v>2682.8000000004977</v>
      </c>
      <c r="Q14" s="7">
        <v>4841.1899999999996</v>
      </c>
      <c r="R14" s="54">
        <f t="shared" si="21"/>
        <v>2.4499999999998181</v>
      </c>
      <c r="S14" s="38">
        <f t="shared" si="22"/>
        <v>4654.9999999996535</v>
      </c>
      <c r="T14" s="8">
        <f t="shared" si="24"/>
        <v>25.043000000001939</v>
      </c>
      <c r="U14" s="40">
        <f t="shared" si="23"/>
        <v>47581.700000003679</v>
      </c>
    </row>
    <row r="15" spans="1:25" ht="16.5" thickBot="1" x14ac:dyDescent="0.25">
      <c r="A15" s="10">
        <v>44360</v>
      </c>
      <c r="B15" s="1">
        <v>20865.226999999999</v>
      </c>
      <c r="C15" s="54">
        <f t="shared" si="11"/>
        <v>11.03099999999904</v>
      </c>
      <c r="D15" s="38">
        <f t="shared" si="12"/>
        <v>20958.899999998175</v>
      </c>
      <c r="E15" s="1">
        <v>3643.8330000000001</v>
      </c>
      <c r="F15" s="54">
        <f t="shared" si="13"/>
        <v>2.7519999999999527</v>
      </c>
      <c r="G15" s="38">
        <f t="shared" si="14"/>
        <v>5228.7999999999101</v>
      </c>
      <c r="H15" s="1">
        <v>3268</v>
      </c>
      <c r="I15" s="54">
        <f t="shared" si="15"/>
        <v>7</v>
      </c>
      <c r="J15" s="38">
        <f t="shared" si="16"/>
        <v>13299.999999999998</v>
      </c>
      <c r="K15" s="7">
        <v>13441.63</v>
      </c>
      <c r="L15" s="54">
        <f t="shared" si="17"/>
        <v>2.1999999999989086</v>
      </c>
      <c r="M15" s="38">
        <f t="shared" si="18"/>
        <v>4179.9999999979254</v>
      </c>
      <c r="N15" s="7">
        <v>3070.0070000000001</v>
      </c>
      <c r="O15" s="54">
        <f t="shared" si="19"/>
        <v>1.5380000000000109</v>
      </c>
      <c r="P15" s="38">
        <f t="shared" si="20"/>
        <v>2922.2000000000207</v>
      </c>
      <c r="Q15" s="7">
        <v>4843.3999999999996</v>
      </c>
      <c r="R15" s="54">
        <f t="shared" si="21"/>
        <v>2.2100000000000364</v>
      </c>
      <c r="S15" s="38">
        <f t="shared" si="22"/>
        <v>4199.0000000000691</v>
      </c>
      <c r="T15" s="8">
        <f t="shared" si="24"/>
        <v>26.730999999997948</v>
      </c>
      <c r="U15" s="40">
        <f t="shared" si="23"/>
        <v>50788.899999996094</v>
      </c>
      <c r="W15" t="s">
        <v>12</v>
      </c>
    </row>
    <row r="16" spans="1:25" ht="16.5" thickBot="1" x14ac:dyDescent="0.25">
      <c r="A16" s="10">
        <v>44361</v>
      </c>
      <c r="B16" s="1">
        <v>20875.276000000002</v>
      </c>
      <c r="C16" s="54">
        <f t="shared" si="11"/>
        <v>10.049000000002707</v>
      </c>
      <c r="D16" s="38">
        <f t="shared" si="12"/>
        <v>19093.100000005139</v>
      </c>
      <c r="E16" s="1">
        <v>3646.8359999999998</v>
      </c>
      <c r="F16" s="54">
        <f t="shared" si="13"/>
        <v>3.0029999999997017</v>
      </c>
      <c r="G16" s="38">
        <f t="shared" si="14"/>
        <v>5705.6999999994323</v>
      </c>
      <c r="H16" s="1">
        <v>3275</v>
      </c>
      <c r="I16" s="54">
        <f t="shared" si="15"/>
        <v>7</v>
      </c>
      <c r="J16" s="38">
        <f t="shared" si="16"/>
        <v>13299.999999999998</v>
      </c>
      <c r="K16" s="7">
        <v>13443.87</v>
      </c>
      <c r="L16" s="54">
        <f t="shared" si="17"/>
        <v>2.2400000000016007</v>
      </c>
      <c r="M16" s="38">
        <f t="shared" si="18"/>
        <v>4256.0000000030414</v>
      </c>
      <c r="N16" s="7">
        <v>3071.5239999999999</v>
      </c>
      <c r="O16" s="54">
        <f t="shared" si="19"/>
        <v>1.5169999999998254</v>
      </c>
      <c r="P16" s="38">
        <f t="shared" si="20"/>
        <v>2882.2999999996682</v>
      </c>
      <c r="Q16" s="7">
        <v>4845.9399999999996</v>
      </c>
      <c r="R16" s="54">
        <f t="shared" si="21"/>
        <v>2.5399999999999636</v>
      </c>
      <c r="S16" s="38">
        <f t="shared" si="22"/>
        <v>4825.99999999993</v>
      </c>
      <c r="T16" s="8">
        <f t="shared" si="24"/>
        <v>26.349000000003798</v>
      </c>
      <c r="U16" s="40">
        <f t="shared" si="23"/>
        <v>50063.100000007209</v>
      </c>
      <c r="Y16" t="s">
        <v>12</v>
      </c>
    </row>
    <row r="17" spans="1:24" ht="16.5" thickBot="1" x14ac:dyDescent="0.25">
      <c r="A17" s="10">
        <v>44362</v>
      </c>
      <c r="B17" s="1">
        <v>20885.808000000001</v>
      </c>
      <c r="C17" s="54">
        <f t="shared" si="11"/>
        <v>10.531999999999243</v>
      </c>
      <c r="D17" s="38">
        <f t="shared" si="12"/>
        <v>20010.799999998562</v>
      </c>
      <c r="E17" s="1">
        <v>3650.125</v>
      </c>
      <c r="F17" s="54">
        <f t="shared" si="13"/>
        <v>3.2890000000002146</v>
      </c>
      <c r="G17" s="38">
        <f t="shared" si="14"/>
        <v>6249.1000000004069</v>
      </c>
      <c r="H17" s="1">
        <v>3282</v>
      </c>
      <c r="I17" s="54">
        <f t="shared" si="15"/>
        <v>7</v>
      </c>
      <c r="J17" s="38">
        <f t="shared" si="16"/>
        <v>13299.999999999998</v>
      </c>
      <c r="K17" s="7">
        <v>13446.27</v>
      </c>
      <c r="L17" s="54">
        <f t="shared" si="17"/>
        <v>2.3999999999996362</v>
      </c>
      <c r="M17" s="38">
        <f t="shared" si="18"/>
        <v>4559.9999999993088</v>
      </c>
      <c r="N17" s="7">
        <v>3073.067</v>
      </c>
      <c r="O17" s="54">
        <f t="shared" si="19"/>
        <v>1.5430000000001201</v>
      </c>
      <c r="P17" s="38">
        <f t="shared" si="20"/>
        <v>2931.7000000002281</v>
      </c>
      <c r="Q17" s="7">
        <v>4848.83</v>
      </c>
      <c r="R17" s="54">
        <f t="shared" si="21"/>
        <v>2.8900000000003274</v>
      </c>
      <c r="S17" s="38">
        <f t="shared" si="22"/>
        <v>5491.0000000006221</v>
      </c>
      <c r="T17" s="8">
        <f t="shared" si="24"/>
        <v>27.653999999999542</v>
      </c>
      <c r="U17" s="40">
        <f t="shared" si="23"/>
        <v>52542.599999999125</v>
      </c>
    </row>
    <row r="18" spans="1:24" ht="16.5" thickBot="1" x14ac:dyDescent="0.25">
      <c r="A18" s="10">
        <v>44363</v>
      </c>
      <c r="B18" s="1">
        <v>20894.481</v>
      </c>
      <c r="C18" s="54">
        <f t="shared" si="11"/>
        <v>8.672999999998865</v>
      </c>
      <c r="D18" s="38">
        <f t="shared" si="12"/>
        <v>16478.699999997843</v>
      </c>
      <c r="E18" s="1">
        <v>3652.51</v>
      </c>
      <c r="F18" s="54">
        <f t="shared" si="13"/>
        <v>2.3850000000002183</v>
      </c>
      <c r="G18" s="38">
        <f t="shared" si="14"/>
        <v>4531.5000000004138</v>
      </c>
      <c r="H18" s="1">
        <v>3289</v>
      </c>
      <c r="I18" s="54">
        <f t="shared" si="15"/>
        <v>7</v>
      </c>
      <c r="J18" s="38">
        <f t="shared" si="16"/>
        <v>13299.999999999998</v>
      </c>
      <c r="K18" s="7">
        <v>13448.07</v>
      </c>
      <c r="L18" s="54">
        <f t="shared" si="17"/>
        <v>1.7999999999992724</v>
      </c>
      <c r="M18" s="38">
        <f t="shared" si="18"/>
        <v>3419.9999999986176</v>
      </c>
      <c r="N18" s="7">
        <v>3074.2840000000001</v>
      </c>
      <c r="O18" s="54">
        <f t="shared" si="19"/>
        <v>1.2170000000000982</v>
      </c>
      <c r="P18" s="38">
        <f t="shared" si="20"/>
        <v>2312.3000000001866</v>
      </c>
      <c r="Q18" s="7">
        <v>4850.87</v>
      </c>
      <c r="R18" s="54">
        <f t="shared" si="21"/>
        <v>2.0399999999999636</v>
      </c>
      <c r="S18" s="38">
        <f t="shared" si="22"/>
        <v>3875.9999999999304</v>
      </c>
      <c r="T18" s="8">
        <f t="shared" si="24"/>
        <v>23.114999999998417</v>
      </c>
      <c r="U18" s="40">
        <f t="shared" si="23"/>
        <v>43918.499999996988</v>
      </c>
    </row>
    <row r="19" spans="1:24" ht="16.5" thickBot="1" x14ac:dyDescent="0.25">
      <c r="A19" s="10">
        <v>44364</v>
      </c>
      <c r="B19" s="1">
        <v>20905.496999999999</v>
      </c>
      <c r="C19" s="54">
        <f t="shared" si="11"/>
        <v>11.015999999999622</v>
      </c>
      <c r="D19" s="38">
        <f t="shared" si="12"/>
        <v>20930.399999999281</v>
      </c>
      <c r="E19" s="1">
        <v>3655.87</v>
      </c>
      <c r="F19" s="54">
        <f t="shared" si="13"/>
        <v>3.3599999999996726</v>
      </c>
      <c r="G19" s="38">
        <f t="shared" si="14"/>
        <v>6383.9999999993779</v>
      </c>
      <c r="H19" s="1">
        <v>3297</v>
      </c>
      <c r="I19" s="54">
        <f t="shared" si="15"/>
        <v>8</v>
      </c>
      <c r="J19" s="38">
        <f t="shared" si="16"/>
        <v>15200</v>
      </c>
      <c r="K19" s="7">
        <v>13450.65</v>
      </c>
      <c r="L19" s="54">
        <f t="shared" si="17"/>
        <v>2.5799999999999272</v>
      </c>
      <c r="M19" s="38">
        <f t="shared" si="18"/>
        <v>4901.9999999998618</v>
      </c>
      <c r="N19" s="7">
        <v>3075.8850000000002</v>
      </c>
      <c r="O19" s="54">
        <f t="shared" si="19"/>
        <v>1.6010000000001128</v>
      </c>
      <c r="P19" s="38">
        <f t="shared" si="20"/>
        <v>3041.9000000002143</v>
      </c>
      <c r="Q19" s="7">
        <v>4853.75</v>
      </c>
      <c r="R19" s="54">
        <f t="shared" si="21"/>
        <v>2.8800000000001091</v>
      </c>
      <c r="S19" s="38">
        <f t="shared" si="22"/>
        <v>5472.0000000002074</v>
      </c>
      <c r="T19" s="8">
        <f t="shared" si="24"/>
        <v>29.436999999999443</v>
      </c>
      <c r="U19" s="40">
        <f t="shared" si="23"/>
        <v>55930.299999998933</v>
      </c>
    </row>
    <row r="20" spans="1:24" ht="16.5" thickBot="1" x14ac:dyDescent="0.25">
      <c r="A20" s="10">
        <v>44365</v>
      </c>
      <c r="B20" s="1">
        <v>20913.133000000002</v>
      </c>
      <c r="C20" s="54">
        <f t="shared" si="11"/>
        <v>7.636000000002241</v>
      </c>
      <c r="D20" s="38">
        <f t="shared" si="12"/>
        <v>14508.400000004258</v>
      </c>
      <c r="E20" s="1">
        <v>3657.0970000000002</v>
      </c>
      <c r="F20" s="54">
        <f t="shared" si="13"/>
        <v>1.2270000000003165</v>
      </c>
      <c r="G20" s="38">
        <f t="shared" si="14"/>
        <v>2331.3000000006014</v>
      </c>
      <c r="H20" s="1">
        <v>3302</v>
      </c>
      <c r="I20" s="54">
        <f t="shared" si="15"/>
        <v>5</v>
      </c>
      <c r="J20" s="38">
        <f t="shared" si="16"/>
        <v>9500</v>
      </c>
      <c r="K20" s="7">
        <v>13452.38</v>
      </c>
      <c r="L20" s="54">
        <f t="shared" si="17"/>
        <v>1.7299999999995634</v>
      </c>
      <c r="M20" s="38">
        <f t="shared" si="18"/>
        <v>3286.9999999991705</v>
      </c>
      <c r="N20" s="7">
        <v>3077.0140000000001</v>
      </c>
      <c r="O20" s="54">
        <f t="shared" si="19"/>
        <v>1.1289999999999054</v>
      </c>
      <c r="P20" s="38">
        <f t="shared" si="20"/>
        <v>2145.0999999998203</v>
      </c>
      <c r="Q20" s="7">
        <v>4855.34</v>
      </c>
      <c r="R20" s="54">
        <f t="shared" si="21"/>
        <v>1.5900000000001455</v>
      </c>
      <c r="S20" s="38">
        <f t="shared" si="22"/>
        <v>3021.000000000276</v>
      </c>
      <c r="T20" s="8">
        <f t="shared" si="24"/>
        <v>18.312000000002172</v>
      </c>
      <c r="U20" s="40">
        <f t="shared" si="23"/>
        <v>34792.800000004128</v>
      </c>
      <c r="X20" t="s">
        <v>12</v>
      </c>
    </row>
    <row r="21" spans="1:24" ht="16.5" thickBot="1" x14ac:dyDescent="0.25">
      <c r="A21" s="10">
        <v>44366</v>
      </c>
      <c r="B21" s="1">
        <v>20922.631000000001</v>
      </c>
      <c r="C21" s="54">
        <f t="shared" si="11"/>
        <v>9.4979999999995925</v>
      </c>
      <c r="D21" s="38">
        <f t="shared" si="12"/>
        <v>18046.199999999226</v>
      </c>
      <c r="E21" s="1">
        <v>3658.8989999999999</v>
      </c>
      <c r="F21" s="54">
        <f t="shared" si="13"/>
        <v>1.8019999999996799</v>
      </c>
      <c r="G21" s="38">
        <f t="shared" si="14"/>
        <v>3423.7999999993917</v>
      </c>
      <c r="H21" s="1">
        <v>3308</v>
      </c>
      <c r="I21" s="54">
        <f t="shared" si="15"/>
        <v>6</v>
      </c>
      <c r="J21" s="38">
        <f t="shared" si="16"/>
        <v>11399.999999999998</v>
      </c>
      <c r="K21" s="7">
        <v>13454.61</v>
      </c>
      <c r="L21" s="54">
        <f t="shared" si="17"/>
        <v>2.2300000000013824</v>
      </c>
      <c r="M21" s="38">
        <f t="shared" si="18"/>
        <v>4237.0000000026266</v>
      </c>
      <c r="N21" s="7">
        <v>3078.4859999999999</v>
      </c>
      <c r="O21" s="54">
        <f t="shared" si="19"/>
        <v>1.4719999999997526</v>
      </c>
      <c r="P21" s="38">
        <f t="shared" si="20"/>
        <v>2796.79999999953</v>
      </c>
      <c r="Q21" s="7">
        <v>4857.95</v>
      </c>
      <c r="R21" s="54">
        <f t="shared" si="21"/>
        <v>2.6099999999996726</v>
      </c>
      <c r="S21" s="38">
        <f t="shared" si="22"/>
        <v>4958.9999999993779</v>
      </c>
      <c r="T21" s="8">
        <f t="shared" si="24"/>
        <v>23.61200000000008</v>
      </c>
      <c r="U21" s="40">
        <f t="shared" si="23"/>
        <v>44862.800000000148</v>
      </c>
    </row>
    <row r="22" spans="1:24" ht="16.5" thickBot="1" x14ac:dyDescent="0.25">
      <c r="A22" s="10">
        <v>44367</v>
      </c>
      <c r="B22" s="1">
        <v>20931.509999999998</v>
      </c>
      <c r="C22" s="54">
        <f t="shared" si="11"/>
        <v>8.8789999999971769</v>
      </c>
      <c r="D22" s="38">
        <f t="shared" si="12"/>
        <v>16870.099999994636</v>
      </c>
      <c r="E22" s="1">
        <v>3661.18</v>
      </c>
      <c r="F22" s="54">
        <f t="shared" si="13"/>
        <v>2.2809999999999491</v>
      </c>
      <c r="G22" s="38">
        <f t="shared" si="14"/>
        <v>4333.8999999999032</v>
      </c>
      <c r="H22" s="1">
        <v>3315</v>
      </c>
      <c r="I22" s="54">
        <f t="shared" si="15"/>
        <v>7</v>
      </c>
      <c r="J22" s="38">
        <f t="shared" si="16"/>
        <v>13299.999999999998</v>
      </c>
      <c r="K22" s="7">
        <v>13456.76</v>
      </c>
      <c r="L22" s="54">
        <f t="shared" si="17"/>
        <v>2.1499999999996362</v>
      </c>
      <c r="M22" s="38">
        <f t="shared" si="18"/>
        <v>4084.9999999993088</v>
      </c>
      <c r="N22" s="7">
        <v>3079.9580000000001</v>
      </c>
      <c r="O22" s="54">
        <f t="shared" si="19"/>
        <v>1.4720000000002074</v>
      </c>
      <c r="P22" s="38">
        <f t="shared" si="20"/>
        <v>2796.800000000394</v>
      </c>
      <c r="Q22" s="7">
        <v>4859.8</v>
      </c>
      <c r="R22" s="54">
        <f t="shared" si="21"/>
        <v>1.8500000000003638</v>
      </c>
      <c r="S22" s="38">
        <f t="shared" si="22"/>
        <v>3515.0000000006912</v>
      </c>
      <c r="T22" s="8">
        <f t="shared" si="24"/>
        <v>23.631999999997333</v>
      </c>
      <c r="U22" s="40">
        <f t="shared" si="23"/>
        <v>44900.799999994932</v>
      </c>
    </row>
    <row r="23" spans="1:24" ht="16.5" thickBot="1" x14ac:dyDescent="0.25">
      <c r="A23" s="10">
        <v>44368</v>
      </c>
      <c r="B23" s="1">
        <v>20940.866000000002</v>
      </c>
      <c r="C23" s="54">
        <f t="shared" si="11"/>
        <v>9.3560000000034051</v>
      </c>
      <c r="D23" s="38">
        <f t="shared" si="12"/>
        <v>17776.40000000647</v>
      </c>
      <c r="E23" s="1">
        <v>3664.1439999999998</v>
      </c>
      <c r="F23" s="54">
        <f t="shared" si="13"/>
        <v>2.9639999999999418</v>
      </c>
      <c r="G23" s="38">
        <f t="shared" si="14"/>
        <v>5631.5999999998894</v>
      </c>
      <c r="H23" s="1">
        <v>3322</v>
      </c>
      <c r="I23" s="54">
        <f t="shared" si="15"/>
        <v>7</v>
      </c>
      <c r="J23" s="38">
        <f t="shared" si="16"/>
        <v>13299.999999999998</v>
      </c>
      <c r="K23" s="7">
        <v>13459.03</v>
      </c>
      <c r="L23" s="54">
        <f t="shared" si="17"/>
        <v>2.2700000000004366</v>
      </c>
      <c r="M23" s="38">
        <f t="shared" si="18"/>
        <v>4313.0000000008295</v>
      </c>
      <c r="N23" s="7">
        <v>3081.43</v>
      </c>
      <c r="O23" s="54">
        <f t="shared" si="19"/>
        <v>1.4719999999997526</v>
      </c>
      <c r="P23" s="38">
        <f t="shared" si="20"/>
        <v>2796.79999999953</v>
      </c>
      <c r="Q23" s="7">
        <v>4862.8500000000004</v>
      </c>
      <c r="R23" s="54">
        <f t="shared" si="21"/>
        <v>3.0500000000001819</v>
      </c>
      <c r="S23" s="38">
        <f t="shared" si="22"/>
        <v>5795.0000000003456</v>
      </c>
      <c r="T23" s="8">
        <f t="shared" si="24"/>
        <v>26.112000000003718</v>
      </c>
      <c r="U23" s="40">
        <f t="shared" si="23"/>
        <v>49612.800000007061</v>
      </c>
    </row>
    <row r="24" spans="1:24" ht="16.5" thickBot="1" x14ac:dyDescent="0.25">
      <c r="A24" s="10">
        <v>44369</v>
      </c>
      <c r="B24" s="1"/>
      <c r="C24" s="54" t="str">
        <f t="shared" si="11"/>
        <v>0</v>
      </c>
      <c r="D24" s="38">
        <f t="shared" si="12"/>
        <v>0</v>
      </c>
      <c r="E24" s="1"/>
      <c r="F24" s="54" t="str">
        <f t="shared" si="13"/>
        <v>0</v>
      </c>
      <c r="G24" s="38">
        <f t="shared" si="14"/>
        <v>0</v>
      </c>
      <c r="H24" s="1"/>
      <c r="I24" s="54" t="str">
        <f t="shared" si="15"/>
        <v>0</v>
      </c>
      <c r="J24" s="38">
        <f t="shared" si="16"/>
        <v>0</v>
      </c>
      <c r="K24" s="7"/>
      <c r="L24" s="54" t="str">
        <f t="shared" si="17"/>
        <v>0</v>
      </c>
      <c r="M24" s="38">
        <f t="shared" si="18"/>
        <v>0</v>
      </c>
      <c r="N24" s="7"/>
      <c r="O24" s="54" t="str">
        <f t="shared" si="19"/>
        <v>0</v>
      </c>
      <c r="P24" s="38">
        <f t="shared" si="20"/>
        <v>0</v>
      </c>
      <c r="Q24" s="7"/>
      <c r="R24" s="54" t="str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44370</v>
      </c>
      <c r="B25" s="1"/>
      <c r="C25" s="54">
        <f t="shared" si="11"/>
        <v>0</v>
      </c>
      <c r="D25" s="38">
        <f t="shared" si="12"/>
        <v>0</v>
      </c>
      <c r="E25" s="1"/>
      <c r="F25" s="54">
        <f t="shared" si="13"/>
        <v>0</v>
      </c>
      <c r="G25" s="38">
        <f t="shared" si="14"/>
        <v>0</v>
      </c>
      <c r="H25" s="1"/>
      <c r="I25" s="54">
        <f t="shared" si="15"/>
        <v>0</v>
      </c>
      <c r="J25" s="38">
        <f t="shared" si="16"/>
        <v>0</v>
      </c>
      <c r="K25" s="7"/>
      <c r="L25" s="54">
        <f t="shared" si="17"/>
        <v>0</v>
      </c>
      <c r="M25" s="38">
        <f t="shared" si="18"/>
        <v>0</v>
      </c>
      <c r="N25" s="7"/>
      <c r="O25" s="54">
        <f t="shared" si="19"/>
        <v>0</v>
      </c>
      <c r="P25" s="38">
        <f t="shared" si="20"/>
        <v>0</v>
      </c>
      <c r="Q25" s="7"/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44371</v>
      </c>
      <c r="B26" s="1"/>
      <c r="C26" s="54">
        <f t="shared" si="11"/>
        <v>0</v>
      </c>
      <c r="D26" s="38">
        <f t="shared" si="12"/>
        <v>0</v>
      </c>
      <c r="E26" s="1"/>
      <c r="F26" s="54">
        <f t="shared" si="13"/>
        <v>0</v>
      </c>
      <c r="G26" s="38">
        <f t="shared" si="14"/>
        <v>0</v>
      </c>
      <c r="H26" s="1"/>
      <c r="I26" s="54">
        <f t="shared" si="15"/>
        <v>0</v>
      </c>
      <c r="J26" s="38">
        <f t="shared" si="16"/>
        <v>0</v>
      </c>
      <c r="K26" s="7"/>
      <c r="L26" s="54">
        <f t="shared" si="17"/>
        <v>0</v>
      </c>
      <c r="M26" s="38">
        <f t="shared" si="18"/>
        <v>0</v>
      </c>
      <c r="N26" s="7"/>
      <c r="O26" s="54">
        <f t="shared" si="19"/>
        <v>0</v>
      </c>
      <c r="P26" s="38">
        <f t="shared" si="20"/>
        <v>0</v>
      </c>
      <c r="Q26" s="7"/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44372</v>
      </c>
      <c r="B27" s="1"/>
      <c r="C27" s="54">
        <f t="shared" si="11"/>
        <v>0</v>
      </c>
      <c r="D27" s="38">
        <f t="shared" si="12"/>
        <v>0</v>
      </c>
      <c r="E27" s="1"/>
      <c r="F27" s="54">
        <f t="shared" si="13"/>
        <v>0</v>
      </c>
      <c r="G27" s="38">
        <f t="shared" si="14"/>
        <v>0</v>
      </c>
      <c r="H27" s="1"/>
      <c r="I27" s="54">
        <f t="shared" si="15"/>
        <v>0</v>
      </c>
      <c r="J27" s="38">
        <f t="shared" si="16"/>
        <v>0</v>
      </c>
      <c r="K27" s="7"/>
      <c r="L27" s="54">
        <f t="shared" si="17"/>
        <v>0</v>
      </c>
      <c r="M27" s="38">
        <f t="shared" si="18"/>
        <v>0</v>
      </c>
      <c r="N27" s="7"/>
      <c r="O27" s="54">
        <f t="shared" si="19"/>
        <v>0</v>
      </c>
      <c r="P27" s="38">
        <f t="shared" si="20"/>
        <v>0</v>
      </c>
      <c r="Q27" s="7"/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44373</v>
      </c>
      <c r="B28" s="1"/>
      <c r="C28" s="54">
        <f t="shared" si="11"/>
        <v>0</v>
      </c>
      <c r="D28" s="38">
        <f t="shared" si="12"/>
        <v>0</v>
      </c>
      <c r="E28" s="1"/>
      <c r="F28" s="54">
        <f t="shared" si="13"/>
        <v>0</v>
      </c>
      <c r="G28" s="38">
        <f t="shared" si="14"/>
        <v>0</v>
      </c>
      <c r="H28" s="1"/>
      <c r="I28" s="54">
        <f t="shared" si="15"/>
        <v>0</v>
      </c>
      <c r="J28" s="38">
        <f t="shared" si="16"/>
        <v>0</v>
      </c>
      <c r="K28" s="7"/>
      <c r="L28" s="54">
        <f t="shared" si="17"/>
        <v>0</v>
      </c>
      <c r="M28" s="38">
        <f t="shared" si="18"/>
        <v>0</v>
      </c>
      <c r="N28" s="7"/>
      <c r="O28" s="54">
        <f t="shared" si="19"/>
        <v>0</v>
      </c>
      <c r="P28" s="38">
        <f t="shared" si="20"/>
        <v>0</v>
      </c>
      <c r="Q28" s="7"/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44374</v>
      </c>
      <c r="B29" s="1"/>
      <c r="C29" s="54">
        <f t="shared" si="11"/>
        <v>0</v>
      </c>
      <c r="D29" s="38">
        <f t="shared" si="12"/>
        <v>0</v>
      </c>
      <c r="E29" s="1"/>
      <c r="F29" s="54">
        <f t="shared" si="13"/>
        <v>0</v>
      </c>
      <c r="G29" s="38">
        <f t="shared" si="14"/>
        <v>0</v>
      </c>
      <c r="H29" s="1"/>
      <c r="I29" s="54">
        <f t="shared" si="15"/>
        <v>0</v>
      </c>
      <c r="J29" s="38">
        <f t="shared" si="16"/>
        <v>0</v>
      </c>
      <c r="K29" s="7"/>
      <c r="L29" s="54">
        <f t="shared" si="17"/>
        <v>0</v>
      </c>
      <c r="M29" s="38">
        <f t="shared" si="18"/>
        <v>0</v>
      </c>
      <c r="N29" s="7"/>
      <c r="O29" s="54">
        <f t="shared" si="19"/>
        <v>0</v>
      </c>
      <c r="P29" s="38">
        <f t="shared" si="20"/>
        <v>0</v>
      </c>
      <c r="Q29" s="7"/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44375</v>
      </c>
      <c r="B30" s="1"/>
      <c r="C30" s="54">
        <f t="shared" si="11"/>
        <v>0</v>
      </c>
      <c r="D30" s="38">
        <f t="shared" si="12"/>
        <v>0</v>
      </c>
      <c r="E30" s="1"/>
      <c r="F30" s="54">
        <f t="shared" si="13"/>
        <v>0</v>
      </c>
      <c r="G30" s="38">
        <f t="shared" si="14"/>
        <v>0</v>
      </c>
      <c r="H30" s="1"/>
      <c r="I30" s="54">
        <f t="shared" si="15"/>
        <v>0</v>
      </c>
      <c r="J30" s="38">
        <f t="shared" si="16"/>
        <v>0</v>
      </c>
      <c r="K30" s="7"/>
      <c r="L30" s="54">
        <f t="shared" si="17"/>
        <v>0</v>
      </c>
      <c r="M30" s="38">
        <f t="shared" si="18"/>
        <v>0</v>
      </c>
      <c r="N30" s="7"/>
      <c r="O30" s="54">
        <f t="shared" si="19"/>
        <v>0</v>
      </c>
      <c r="P30" s="38">
        <f t="shared" si="20"/>
        <v>0</v>
      </c>
      <c r="Q30" s="7"/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193.25900000000183</v>
      </c>
      <c r="D34" s="159">
        <f>SUM(D2:D33)</f>
        <v>386144.60000000073</v>
      </c>
      <c r="E34" s="159">
        <v>0</v>
      </c>
      <c r="F34" s="159">
        <f>SUM(F2:F33)</f>
        <v>53.058999999999742</v>
      </c>
      <c r="G34" s="159">
        <f>SUM(G2:G33)</f>
        <v>100812.0999999995</v>
      </c>
      <c r="H34" s="159"/>
      <c r="I34" s="159">
        <f>SUM(I2:I33)</f>
        <v>154</v>
      </c>
      <c r="J34" s="159">
        <f>SUM(J2:J33)</f>
        <v>292600</v>
      </c>
      <c r="K34" s="159"/>
      <c r="L34" s="159">
        <f>SUM(L2:L33)</f>
        <v>46.570000000001528</v>
      </c>
      <c r="M34" s="159">
        <f>SUM(M2:M33)</f>
        <v>88483.000000002896</v>
      </c>
      <c r="N34" s="159"/>
      <c r="O34" s="159">
        <f>SUM(O2:O33)</f>
        <v>30.701999999999771</v>
      </c>
      <c r="P34" s="159">
        <f>SUM(P2:P33)</f>
        <v>58333.799999999566</v>
      </c>
      <c r="Q34" s="159"/>
      <c r="R34" s="159">
        <f>SUM(R2:R33)</f>
        <v>51.140000000000327</v>
      </c>
      <c r="S34" s="159">
        <f>SUM(S2:S33)</f>
        <v>97166.000000000611</v>
      </c>
      <c r="T34" s="159">
        <f>SUM(T2:T33)</f>
        <v>538.70500000000175</v>
      </c>
      <c r="U34" s="159">
        <f>SUM(U2:U33)</f>
        <v>1023539.5000000031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-13289687</v>
      </c>
      <c r="D7" s="115">
        <f t="shared" si="0"/>
        <v>-16877902.490000002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25896</v>
      </c>
      <c r="D8" s="115">
        <f t="shared" si="0"/>
        <v>32887.919999999998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3588</v>
      </c>
      <c r="D9" s="115">
        <f t="shared" si="0"/>
        <v>4556.76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12640</v>
      </c>
      <c r="D10" s="115">
        <f t="shared" si="0"/>
        <v>16052.800000000001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2881</v>
      </c>
      <c r="D11" s="115">
        <f t="shared" si="0"/>
        <v>3658.87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3674</v>
      </c>
      <c r="K16" s="104">
        <f>(J16-I16)*160</f>
        <v>3520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25063</v>
      </c>
      <c r="K18" s="104">
        <f>(J18-I18)*160</f>
        <v>12640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109052</v>
      </c>
      <c r="K19" s="104">
        <f>J19-I19</f>
        <v>2881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45437</v>
      </c>
      <c r="K21" s="104">
        <f>(J21-I21)*120</f>
        <v>13080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39613</v>
      </c>
      <c r="K22" s="104">
        <f>(J22-I22)*160</f>
        <v>9920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20484</v>
      </c>
      <c r="K23" s="104">
        <f>(J23-I23)*20</f>
        <v>1460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244021</v>
      </c>
      <c r="K24" s="104">
        <f>J24-I24</f>
        <v>1436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215612</v>
      </c>
      <c r="K25" s="104">
        <f>J25-I25</f>
        <v>68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73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73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75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75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74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74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73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73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75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75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74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74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73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73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75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75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74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74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73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73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75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75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74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74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73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73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75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75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74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74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73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73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75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75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74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74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73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73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75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75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74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74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73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73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75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75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74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74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73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73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75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75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74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74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73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73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75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75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74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74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73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73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75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75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4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74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73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73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75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75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74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74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73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73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75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75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74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74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73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73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75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75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74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74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73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73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75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75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3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73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75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75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73">
        <v>23</v>
      </c>
      <c r="D49" s="71" t="s">
        <v>83</v>
      </c>
      <c r="E49" s="86"/>
      <c r="F49" s="86"/>
      <c r="G49" s="73">
        <f t="shared" si="2"/>
        <v>0</v>
      </c>
      <c r="H49" s="74"/>
      <c r="J49" s="173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75"/>
      <c r="D50" s="71" t="s">
        <v>82</v>
      </c>
      <c r="E50" s="86"/>
      <c r="F50" s="86"/>
      <c r="G50" s="73">
        <f t="shared" si="2"/>
        <v>0</v>
      </c>
      <c r="H50" s="74"/>
      <c r="J50" s="175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76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76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77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77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78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78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73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73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74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74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73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73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74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74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73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73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74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74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73">
        <v>28</v>
      </c>
      <c r="D62" s="182" t="s">
        <v>86</v>
      </c>
      <c r="E62" s="72"/>
      <c r="F62" s="72"/>
      <c r="G62" s="73"/>
      <c r="H62" s="184" t="s">
        <v>87</v>
      </c>
      <c r="I62" s="77"/>
      <c r="J62" s="173">
        <v>28</v>
      </c>
      <c r="K62" s="182" t="s">
        <v>86</v>
      </c>
      <c r="L62" s="72"/>
      <c r="M62" s="72"/>
      <c r="N62" s="73"/>
      <c r="O62" s="184" t="s">
        <v>87</v>
      </c>
    </row>
    <row r="63" spans="1:15" ht="15" x14ac:dyDescent="0.2">
      <c r="A63" s="77"/>
      <c r="B63" s="67"/>
      <c r="C63" s="174"/>
      <c r="D63" s="183"/>
      <c r="E63" s="72"/>
      <c r="F63" s="72"/>
      <c r="G63" s="73"/>
      <c r="H63" s="185"/>
      <c r="I63" s="77"/>
      <c r="J63" s="174"/>
      <c r="K63" s="183"/>
      <c r="L63" s="72"/>
      <c r="M63" s="72"/>
      <c r="N63" s="73"/>
      <c r="O63" s="185"/>
    </row>
    <row r="64" spans="1:15" x14ac:dyDescent="0.2">
      <c r="A64" s="77"/>
      <c r="B64" s="67"/>
      <c r="C64" s="186" t="s">
        <v>88</v>
      </c>
      <c r="D64" s="186"/>
      <c r="E64" s="186"/>
      <c r="F64" s="186"/>
      <c r="G64" s="91">
        <f>SUM(G2:G63)</f>
        <v>31537</v>
      </c>
      <c r="H64" s="92"/>
      <c r="I64" s="77"/>
      <c r="J64" s="186" t="s">
        <v>88</v>
      </c>
      <c r="K64" s="186"/>
      <c r="L64" s="186"/>
      <c r="M64" s="186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7">
        <v>44317</v>
      </c>
      <c r="C69" s="188"/>
      <c r="D69" s="188"/>
      <c r="E69" s="189"/>
      <c r="F69" s="95"/>
      <c r="G69" s="187">
        <v>44348</v>
      </c>
      <c r="H69" s="188"/>
      <c r="I69" s="188"/>
      <c r="J69" s="189"/>
      <c r="K69" s="95"/>
      <c r="L69" s="179" t="s">
        <v>25</v>
      </c>
      <c r="M69" s="180"/>
      <c r="N69" s="180"/>
      <c r="O69" s="181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2021-06-22T01:43:05Z</dcterms:modified>
</cp:coreProperties>
</file>