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7 - 2022" sheetId="5" r:id="rId3"/>
  </sheets>
  <definedNames>
    <definedName name="_xlnm.Print_Area" localSheetId="2">'07 - 2022'!$A$1:$J$35</definedName>
  </definedNames>
  <calcPr calcId="162913"/>
</workbook>
</file>

<file path=xl/calcChain.xml><?xml version="1.0" encoding="utf-8"?>
<calcChain xmlns="http://schemas.openxmlformats.org/spreadsheetml/2006/main"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L17" i="3"/>
  <c r="K17" i="3"/>
  <c r="I17" i="3"/>
  <c r="G17" i="3"/>
  <c r="E17" i="3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3" i="2" l="1"/>
  <c r="I3" i="2"/>
  <c r="H3" i="2"/>
  <c r="F3" i="2"/>
  <c r="E3" i="2"/>
  <c r="L3" i="3"/>
  <c r="K3" i="3"/>
  <c r="I3" i="3"/>
  <c r="G3" i="3"/>
  <c r="E3" i="3"/>
  <c r="J2" i="2" l="1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J31" i="2" l="1"/>
  <c r="I31" i="2"/>
  <c r="H31" i="2"/>
  <c r="F31" i="2"/>
  <c r="E31" i="2"/>
  <c r="L31" i="3"/>
  <c r="K31" i="3"/>
  <c r="I31" i="3"/>
  <c r="G31" i="3"/>
  <c r="E31" i="3"/>
  <c r="J30" i="2" l="1"/>
  <c r="I30" i="2"/>
  <c r="H30" i="2"/>
  <c r="F30" i="2"/>
  <c r="E30" i="2"/>
  <c r="L30" i="3"/>
  <c r="K30" i="3"/>
  <c r="I30" i="3"/>
  <c r="G30" i="3"/>
  <c r="E30" i="3"/>
  <c r="J29" i="2" l="1"/>
  <c r="I29" i="2"/>
  <c r="H29" i="2"/>
  <c r="F29" i="2"/>
  <c r="E29" i="2"/>
  <c r="L29" i="3"/>
  <c r="K29" i="3"/>
  <c r="I29" i="3"/>
  <c r="G29" i="3"/>
  <c r="E29" i="3"/>
  <c r="J26" i="2" l="1"/>
  <c r="I26" i="2"/>
  <c r="H26" i="2"/>
  <c r="F26" i="2"/>
  <c r="E26" i="2"/>
  <c r="L26" i="3"/>
  <c r="K26" i="3"/>
  <c r="I26" i="3"/>
  <c r="G26" i="3"/>
  <c r="E26" i="3"/>
  <c r="J25" i="2" l="1"/>
  <c r="I25" i="2"/>
  <c r="H25" i="2"/>
  <c r="F25" i="2"/>
  <c r="E25" i="2"/>
  <c r="L25" i="3"/>
  <c r="K25" i="3"/>
  <c r="I25" i="3"/>
  <c r="G25" i="3"/>
  <c r="E25" i="3"/>
  <c r="L19" i="3" l="1"/>
  <c r="K19" i="3"/>
  <c r="I19" i="3"/>
  <c r="G19" i="3"/>
  <c r="E19" i="3"/>
  <c r="L18" i="3" l="1"/>
  <c r="K18" i="3"/>
  <c r="I18" i="3"/>
  <c r="G18" i="3"/>
  <c r="E18" i="3"/>
  <c r="L13" i="3" l="1"/>
  <c r="K13" i="3"/>
  <c r="I13" i="3"/>
  <c r="G13" i="3"/>
  <c r="E13" i="3"/>
  <c r="L12" i="3"/>
  <c r="K12" i="3"/>
  <c r="I12" i="3"/>
  <c r="G12" i="3"/>
  <c r="E12" i="3"/>
  <c r="L11" i="3" l="1"/>
  <c r="K11" i="3"/>
  <c r="I11" i="3"/>
  <c r="G11" i="3"/>
  <c r="E11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E2" i="3" l="1"/>
  <c r="L10" i="3" l="1"/>
  <c r="K10" i="3"/>
  <c r="I10" i="3"/>
  <c r="G10" i="3"/>
  <c r="E10" i="3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<sst xmlns="http://schemas.openxmlformats.org/spreadsheetml/2006/main" count="107" uniqueCount="38">
  <si>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</si>
  <si>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</si>
  <si>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</si>
  <si>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</si>
  <si>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</si>
  <si>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</si>
  <si>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</si>
  <si>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</si>
  <si>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</si>
  <si>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</si>
  <si>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</si>
  <si>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</si>
  <si>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</si>
  <si>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</si>
  <si>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</si>
  <si>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</si>
  <si>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</si>
  <si>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</si>
  <si>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</si>
  <si>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</si>
  <si>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</si>
  <si>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</si>
  <si>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</si>
  <si>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</si>
  <si>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</si>
  <si>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</si>
  <si>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</si>
  <si>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</si>
  <si>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</si>
  <si>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</si>
  <si>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</si>
  <si>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</si>
  <si>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</si>
  <si>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</si>
  <si>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</si>
  <si>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</si>
  <si>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</si>
  <si>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JULY'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</si>
</sst>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2" borderId="1" xfId="2" applyFont="1" applyFill="1" applyBorder="1" applyAlignment="1">
      <alignment horizontal="center" vertic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6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6" xfId="2" applyFont="1" applyBorder="1" applyAlignment="1">
      <alignment horizontal="center" vertical="center" wrapText="1"/>
    </xf>
    <xf numFmtId="43" fontId="3" fillId="0" borderId="16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43" fontId="3" fillId="0" borderId="1" xfId="0" applyNumberFormat="1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43" fontId="0" fillId="0" borderId="0" xfId="2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43" fontId="0" fillId="0" borderId="1" xfId="2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/>
      <protection locked="0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N3" sqref="N3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1" x14ac:dyDescent="0.25">
      <c r="A2" t="s">
        <v>27</v>
      </c>
      <c r="B2">
        <v>1</v>
      </c>
      <c r="C2" s="13">
        <v>7</v>
      </c>
      <c r="D2" s="13">
        <v>2022</v>
      </c>
      <c r="E2" s="15">
        <f>'07 - 2022'!B8-'07 - 2022'!B7+'07 - 2022'!C8-'07 - 2022'!C7</f>
        <v>9744</v>
      </c>
      <c r="F2" s="13">
        <v>0.11799999999999999</v>
      </c>
      <c r="G2" s="15">
        <f>'07 - 2022'!D8-'07 - 2022'!D7+'07 - 2022'!E8-'07 - 2022'!E7</f>
        <v>24.819999999999709</v>
      </c>
      <c r="H2" s="13">
        <v>0.99</v>
      </c>
      <c r="I2" s="15">
        <f>'07 - 2022'!J8-'07 - 2022'!J7</f>
        <v>37483</v>
      </c>
      <c r="J2" s="13">
        <v>8.1000000000000003E-2</v>
      </c>
      <c r="K2" s="21">
        <f>'07 - 2022'!H8-'07 - 2022'!H7</f>
        <v>0</v>
      </c>
      <c r="L2" s="15">
        <f>'07 - 2022'!I8-'07 - 2022'!I7</f>
        <v>110</v>
      </c>
      <c r="M2" s="14">
        <v>4.393629424766913</v>
      </c>
      <c r="N2" s="15">
        <v>68</v>
      </c>
    </row>
    <row r="3" spans="1:21" x14ac:dyDescent="0.25">
      <c r="A3" t="s">
        <v>27</v>
      </c>
      <c r="B3">
        <f>B2+1</f>
        <v>2</v>
      </c>
      <c r="C3" s="13">
        <v>7</v>
      </c>
      <c r="D3" s="13">
        <v>2022</v>
      </c>
      <c r="E3" s="15">
        <f>'07 - 2022'!B9-'07 - 2022'!B8+'07 - 2022'!C9-'07 - 2022'!C8</f>
        <v>9922.2999999998137</v>
      </c>
      <c r="F3" s="13">
        <v>0.11799999999999999</v>
      </c>
      <c r="G3" s="15">
        <f>'07 - 2022'!D9-'07 - 2022'!D8+'07 - 2022'!E9-'07 - 2022'!E8</f>
        <v>25.159999999999854</v>
      </c>
      <c r="H3" s="13">
        <v>0.99</v>
      </c>
      <c r="I3" s="15">
        <f>'07 - 2022'!J9-'07 - 2022'!J8</f>
        <v>36915</v>
      </c>
      <c r="J3" s="13">
        <v>8.1000000000000003E-2</v>
      </c>
      <c r="K3" s="21">
        <f>'07 - 2022'!H9-'07 - 2022'!H8</f>
        <v>0</v>
      </c>
      <c r="L3" s="15">
        <f>'07 - 2022'!I9-'07 - 2022'!I8</f>
        <v>109</v>
      </c>
      <c r="M3" s="14">
        <v>4.393629424766913</v>
      </c>
      <c r="N3" s="15">
        <v>62</v>
      </c>
    </row>
    <row r="4" spans="1:21" x14ac:dyDescent="0.25">
      <c r="A4" t="s">
        <v>27</v>
      </c>
      <c r="B4">
        <f t="shared" ref="B4:B32" si="0">B3+1</f>
        <v>3</v>
      </c>
      <c r="C4" s="13">
        <v>7</v>
      </c>
      <c r="D4" s="13">
        <v>2022</v>
      </c>
      <c r="E4" s="15">
        <f>'07 - 2022'!B10-'07 - 2022'!B9+'07 - 2022'!C10-'07 - 2022'!C9</f>
        <v>9763.6000000000931</v>
      </c>
      <c r="F4" s="13">
        <v>0.11799999999999999</v>
      </c>
      <c r="G4" s="15">
        <f>'07 - 2022'!D10-'07 - 2022'!D9+'07 - 2022'!E10-'07 - 2022'!E9</f>
        <v>25.619999999999891</v>
      </c>
      <c r="H4" s="13">
        <v>0.99</v>
      </c>
      <c r="I4" s="15">
        <f>'07 - 2022'!J10-'07 - 2022'!J9</f>
        <v>41776</v>
      </c>
      <c r="J4" s="13">
        <v>8.1000000000000003E-2</v>
      </c>
      <c r="K4" s="21">
        <f>'07 - 2022'!H10-'07 - 2022'!H9</f>
        <v>0</v>
      </c>
      <c r="L4" s="15">
        <f>'07 - 2022'!I10-'07 - 2022'!I9</f>
        <v>109</v>
      </c>
      <c r="M4" s="14">
        <v>4.393629424766913</v>
      </c>
      <c r="N4" s="16">
        <v>52</v>
      </c>
    </row>
    <row r="5" spans="1:21" x14ac:dyDescent="0.25">
      <c r="A5" t="s">
        <v>27</v>
      </c>
      <c r="B5">
        <f t="shared" si="0"/>
        <v>4</v>
      </c>
      <c r="C5" s="13">
        <v>7</v>
      </c>
      <c r="D5" s="13">
        <v>2022</v>
      </c>
      <c r="E5" s="15">
        <f>'07 - 2022'!B11-'07 - 2022'!B10+'07 - 2022'!C11-'07 - 2022'!C10</f>
        <v>9646</v>
      </c>
      <c r="F5" s="13">
        <v>0.11799999999999999</v>
      </c>
      <c r="G5" s="15">
        <f>'07 - 2022'!D11-'07 - 2022'!D10+'07 - 2022'!E11-'07 - 2022'!E10</f>
        <v>22.290000000000418</v>
      </c>
      <c r="H5" s="13">
        <v>0.99</v>
      </c>
      <c r="I5" s="15">
        <f>'07 - 2022'!J11-'07 - 2022'!J10</f>
        <v>42838</v>
      </c>
      <c r="J5" s="13">
        <v>8.1000000000000003E-2</v>
      </c>
      <c r="K5" s="21">
        <f>'07 - 2022'!H11-'07 - 2022'!H10</f>
        <v>0</v>
      </c>
      <c r="L5" s="15">
        <f>'07 - 2022'!I11-'07 - 2022'!I10</f>
        <v>98</v>
      </c>
      <c r="M5" s="14">
        <v>4.393629424766913</v>
      </c>
      <c r="N5" s="16">
        <v>34</v>
      </c>
      <c r="R5" s="13"/>
    </row>
    <row r="6" spans="1:21" x14ac:dyDescent="0.25">
      <c r="A6" t="s">
        <v>27</v>
      </c>
      <c r="B6">
        <f t="shared" si="0"/>
        <v>5</v>
      </c>
      <c r="C6" s="13">
        <v>7</v>
      </c>
      <c r="D6" s="13">
        <v>2022</v>
      </c>
      <c r="E6" s="15">
        <f>'07 - 2022'!B12-'07 - 2022'!B11+'07 - 2022'!C12-'07 - 2022'!C11</f>
        <v>9650</v>
      </c>
      <c r="F6" s="13">
        <v>0.11799999999999999</v>
      </c>
      <c r="G6" s="15">
        <f>'07 - 2022'!D12-'07 - 2022'!D11+'07 - 2022'!E12-'07 - 2022'!E11</f>
        <v>19.089999999999691</v>
      </c>
      <c r="H6" s="13">
        <v>0.99</v>
      </c>
      <c r="I6" s="15">
        <f>'07 - 2022'!J12-'07 - 2022'!J11</f>
        <v>42329</v>
      </c>
      <c r="J6" s="13">
        <v>8.1000000000000003E-2</v>
      </c>
      <c r="K6" s="21">
        <f>'07 - 2022'!H12-'07 - 2022'!H11</f>
        <v>0</v>
      </c>
      <c r="L6" s="15">
        <f>'07 - 2022'!I12-'07 - 2022'!I11</f>
        <v>95</v>
      </c>
      <c r="M6" s="14">
        <v>4.393629424766913</v>
      </c>
      <c r="N6" s="16">
        <v>27</v>
      </c>
    </row>
    <row r="7" spans="1:21" x14ac:dyDescent="0.25">
      <c r="A7" t="s">
        <v>27</v>
      </c>
      <c r="B7">
        <f t="shared" si="0"/>
        <v>6</v>
      </c>
      <c r="C7" s="13">
        <v>7</v>
      </c>
      <c r="D7" s="13">
        <v>2022</v>
      </c>
      <c r="E7" s="15">
        <f>'07 - 2022'!B13-'07 - 2022'!B12+'07 - 2022'!C13-'07 - 2022'!C12</f>
        <v>9888</v>
      </c>
      <c r="F7" s="13">
        <v>0.11799999999999999</v>
      </c>
      <c r="G7" s="15">
        <f>'07 - 2022'!D13-'07 - 2022'!D12+'07 - 2022'!E13-'07 - 2022'!E12</f>
        <v>22.9699999999998</v>
      </c>
      <c r="H7" s="13">
        <v>0.99</v>
      </c>
      <c r="I7" s="15">
        <f>'07 - 2022'!J13-'07 - 2022'!J12</f>
        <v>41480</v>
      </c>
      <c r="J7" s="13">
        <v>8.1000000000000003E-2</v>
      </c>
      <c r="K7" s="21">
        <f>'07 - 2022'!H13-'07 - 2022'!H12</f>
        <v>0</v>
      </c>
      <c r="L7" s="15">
        <f>'07 - 2022'!I13-'07 - 2022'!I12</f>
        <v>94</v>
      </c>
      <c r="M7" s="14">
        <v>4.393629424766913</v>
      </c>
      <c r="N7" s="16">
        <v>34</v>
      </c>
    </row>
    <row r="8" spans="1:21" x14ac:dyDescent="0.25">
      <c r="A8" t="s">
        <v>27</v>
      </c>
      <c r="B8">
        <f t="shared" si="0"/>
        <v>7</v>
      </c>
      <c r="C8" s="13">
        <v>7</v>
      </c>
      <c r="D8" s="13">
        <v>2022</v>
      </c>
      <c r="E8" s="15">
        <f>'07 - 2022'!B14-'07 - 2022'!B13+'07 - 2022'!C14-'07 - 2022'!C13</f>
        <v>9215</v>
      </c>
      <c r="F8" s="13">
        <v>0.11799999999999999</v>
      </c>
      <c r="G8" s="15">
        <f>'07 - 2022'!D14-'07 - 2022'!D13+'07 - 2022'!E14-'07 - 2022'!E13</f>
        <v>24.019999999999982</v>
      </c>
      <c r="H8" s="13">
        <v>0.99</v>
      </c>
      <c r="I8" s="15">
        <f>'07 - 2022'!J14-'07 - 2022'!J13</f>
        <v>35618</v>
      </c>
      <c r="J8" s="13">
        <v>8.1000000000000003E-2</v>
      </c>
      <c r="K8" s="21">
        <f>'07 - 2022'!H14-'07 - 2022'!H13</f>
        <v>0</v>
      </c>
      <c r="L8" s="15">
        <f>'07 - 2022'!I14-'07 - 2022'!I13</f>
        <v>91</v>
      </c>
      <c r="M8" s="14">
        <v>4.393629424766913</v>
      </c>
      <c r="N8" s="16">
        <v>40</v>
      </c>
      <c r="O8" s="15"/>
    </row>
    <row r="9" spans="1:21" x14ac:dyDescent="0.25">
      <c r="A9" t="s">
        <v>27</v>
      </c>
      <c r="B9">
        <f t="shared" si="0"/>
        <v>8</v>
      </c>
      <c r="C9" s="13">
        <v>7</v>
      </c>
      <c r="D9" s="13">
        <v>2022</v>
      </c>
      <c r="E9" s="15">
        <f>'07 - 2022'!B15-'07 - 2022'!B14+'07 - 2022'!C15-'07 - 2022'!C14</f>
        <v>9696</v>
      </c>
      <c r="F9" s="13">
        <v>0.11799999999999999</v>
      </c>
      <c r="G9" s="15">
        <f>'07 - 2022'!D15-'07 - 2022'!D14+'07 - 2022'!E15-'07 - 2022'!E14</f>
        <v>22.670000000000073</v>
      </c>
      <c r="H9" s="13">
        <v>0.99</v>
      </c>
      <c r="I9" s="15">
        <f>'07 - 2022'!J15-'07 - 2022'!J14</f>
        <v>34594</v>
      </c>
      <c r="J9" s="13">
        <v>8.1000000000000003E-2</v>
      </c>
      <c r="K9" s="21">
        <f>'07 - 2022'!H15-'07 - 2022'!H14</f>
        <v>0</v>
      </c>
      <c r="L9" s="15">
        <f>'07 - 2022'!I15-'07 - 2022'!I14</f>
        <v>95</v>
      </c>
      <c r="M9" s="14">
        <v>4.393629424766913</v>
      </c>
      <c r="N9" s="16">
        <v>36</v>
      </c>
    </row>
    <row r="10" spans="1:21" x14ac:dyDescent="0.25">
      <c r="A10" t="s">
        <v>27</v>
      </c>
      <c r="B10">
        <f t="shared" si="0"/>
        <v>9</v>
      </c>
      <c r="C10" s="13">
        <v>7</v>
      </c>
      <c r="D10" s="13">
        <v>2022</v>
      </c>
      <c r="E10" s="15">
        <f>'07 - 2022'!B16-'07 - 2022'!B15+'07 - 2022'!C16-'07 - 2022'!C15</f>
        <v>9724</v>
      </c>
      <c r="F10" s="13">
        <v>0.11799999999999999</v>
      </c>
      <c r="G10" s="15">
        <f>'07 - 2022'!D16-'07 - 2022'!D15+'07 - 2022'!E16-'07 - 2022'!E15</f>
        <v>25.419999999999618</v>
      </c>
      <c r="H10" s="13">
        <v>0.99</v>
      </c>
      <c r="I10" s="15">
        <f>'07 - 2022'!J16-'07 - 2022'!J15</f>
        <v>35238</v>
      </c>
      <c r="J10" s="13">
        <v>8.1000000000000003E-2</v>
      </c>
      <c r="K10" s="21">
        <f>'07 - 2022'!H16-'07 - 2022'!H15</f>
        <v>0</v>
      </c>
      <c r="L10" s="15">
        <f>'07 - 2022'!I16-'07 - 2022'!I15</f>
        <v>98</v>
      </c>
      <c r="M10" s="14">
        <v>4.393629424766913</v>
      </c>
      <c r="N10" s="16">
        <v>36</v>
      </c>
    </row>
    <row r="11" spans="1:21" x14ac:dyDescent="0.25">
      <c r="A11" t="s">
        <v>27</v>
      </c>
      <c r="B11">
        <f t="shared" si="0"/>
        <v>10</v>
      </c>
      <c r="C11" s="13">
        <v>7</v>
      </c>
      <c r="D11" s="13">
        <v>2022</v>
      </c>
      <c r="E11" s="15">
        <f>'07 - 2022'!B17-'07 - 2022'!B16+'07 - 2022'!C17-'07 - 2022'!C16</f>
        <v>9482</v>
      </c>
      <c r="F11" s="13">
        <v>0.11799999999999999</v>
      </c>
      <c r="G11" s="15">
        <f>'07 - 2022'!D17-'07 - 2022'!D16+'07 - 2022'!E17-'07 - 2022'!E16</f>
        <v>23.300000000000182</v>
      </c>
      <c r="H11" s="13">
        <v>0.99</v>
      </c>
      <c r="I11" s="15">
        <f>'07 - 2022'!J17-'07 - 2022'!J16</f>
        <v>34328</v>
      </c>
      <c r="J11" s="13">
        <v>8.1000000000000003E-2</v>
      </c>
      <c r="K11" s="21">
        <f>'07 - 2022'!H17-'07 - 2022'!H16</f>
        <v>0</v>
      </c>
      <c r="L11" s="15">
        <f>'07 - 2022'!I17-'07 - 2022'!I16</f>
        <v>96</v>
      </c>
      <c r="M11" s="14">
        <v>4.393629424766913</v>
      </c>
      <c r="N11" s="16">
        <v>32</v>
      </c>
    </row>
    <row r="12" spans="1:21" x14ac:dyDescent="0.25">
      <c r="A12" t="s">
        <v>27</v>
      </c>
      <c r="B12">
        <f t="shared" si="0"/>
        <v>11</v>
      </c>
      <c r="C12" s="13">
        <v>7</v>
      </c>
      <c r="D12" s="13">
        <v>2022</v>
      </c>
      <c r="E12" s="15">
        <f>'07 - 2022'!B18-'07 - 2022'!B17+'07 - 2022'!C18-'07 - 2022'!C17</f>
        <v>9660</v>
      </c>
      <c r="F12" s="13">
        <v>0.11799999999999999</v>
      </c>
      <c r="G12" s="15">
        <f>'07 - 2022'!D18-'07 - 2022'!D17+'07 - 2022'!E18-'07 - 2022'!E17</f>
        <v>24.309999999999945</v>
      </c>
      <c r="H12" s="13">
        <v>0.99</v>
      </c>
      <c r="I12" s="15">
        <f>'07 - 2022'!J18-'07 - 2022'!J17</f>
        <v>37451</v>
      </c>
      <c r="J12" s="13">
        <v>8.1000000000000003E-2</v>
      </c>
      <c r="K12" s="21">
        <f>'07 - 2022'!H18-'07 - 2022'!H17</f>
        <v>0</v>
      </c>
      <c r="L12" s="15">
        <f>'07 - 2022'!I18-'07 - 2022'!I17</f>
        <v>107</v>
      </c>
      <c r="M12" s="14">
        <v>4.393629424766913</v>
      </c>
      <c r="N12" s="16">
        <v>38</v>
      </c>
    </row>
    <row r="13" spans="1:21" x14ac:dyDescent="0.25">
      <c r="A13" t="s">
        <v>27</v>
      </c>
      <c r="B13">
        <f t="shared" si="0"/>
        <v>12</v>
      </c>
      <c r="C13" s="13">
        <v>7</v>
      </c>
      <c r="D13" s="13">
        <v>2022</v>
      </c>
      <c r="E13" s="15">
        <f>'07 - 2022'!B19-'07 - 2022'!B18+'07 - 2022'!C19-'07 - 2022'!C18</f>
        <v>9751</v>
      </c>
      <c r="F13" s="13">
        <v>0.11799999999999999</v>
      </c>
      <c r="G13" s="15">
        <f>'07 - 2022'!D19-'07 - 2022'!D18+'07 - 2022'!E19-'07 - 2022'!E18</f>
        <v>23.460000000000036</v>
      </c>
      <c r="H13" s="13">
        <v>0.99</v>
      </c>
      <c r="I13" s="15">
        <f>'07 - 2022'!J19-'07 - 2022'!J18</f>
        <v>34938</v>
      </c>
      <c r="J13" s="13">
        <v>8.1000000000000003E-2</v>
      </c>
      <c r="K13" s="21">
        <f>'07 - 2022'!H19-'07 - 2022'!H18</f>
        <v>0</v>
      </c>
      <c r="L13" s="15">
        <f>'07 - 2022'!I19-'07 - 2022'!I18</f>
        <v>101</v>
      </c>
      <c r="M13" s="14">
        <v>4.393629424766913</v>
      </c>
      <c r="N13" s="16">
        <v>38</v>
      </c>
    </row>
    <row r="14" spans="1:21" x14ac:dyDescent="0.25">
      <c r="A14" t="s">
        <v>27</v>
      </c>
      <c r="B14">
        <f t="shared" si="0"/>
        <v>13</v>
      </c>
      <c r="C14" s="13">
        <v>7</v>
      </c>
      <c r="D14" s="13">
        <v>2022</v>
      </c>
      <c r="E14" s="15">
        <f>'07 - 2022'!B20-'07 - 2022'!B19+'07 - 2022'!C20-'07 - 2022'!C19</f>
        <v>9654</v>
      </c>
      <c r="F14" s="13">
        <v>0.11799999999999999</v>
      </c>
      <c r="G14" s="15">
        <f>'07 - 2022'!D20-'07 - 2022'!D19+'07 - 2022'!E20-'07 - 2022'!E19</f>
        <v>24.610000000000127</v>
      </c>
      <c r="H14" s="13">
        <v>0.99</v>
      </c>
      <c r="I14" s="15">
        <f>'07 - 2022'!J20-'07 - 2022'!J19</f>
        <v>37341</v>
      </c>
      <c r="J14" s="13">
        <v>8.1000000000000003E-2</v>
      </c>
      <c r="K14" s="21">
        <f>'07 - 2022'!H20-'07 - 2022'!H19</f>
        <v>0</v>
      </c>
      <c r="L14" s="15">
        <f>'07 - 2022'!I20-'07 - 2022'!I19</f>
        <v>98</v>
      </c>
      <c r="M14" s="14">
        <v>4.393629424766913</v>
      </c>
      <c r="N14" s="16">
        <v>20</v>
      </c>
      <c r="O14" s="15"/>
    </row>
    <row r="15" spans="1:21" x14ac:dyDescent="0.25">
      <c r="A15" t="s">
        <v>27</v>
      </c>
      <c r="B15">
        <f t="shared" si="0"/>
        <v>14</v>
      </c>
      <c r="C15" s="13">
        <v>7</v>
      </c>
      <c r="D15" s="13">
        <v>2022</v>
      </c>
      <c r="E15" s="15">
        <f>'07 - 2022'!B21-'07 - 2022'!B20+'07 - 2022'!C21-'07 - 2022'!C20</f>
        <v>9304</v>
      </c>
      <c r="F15" s="13">
        <v>0.11799999999999999</v>
      </c>
      <c r="G15" s="15">
        <f>'07 - 2022'!D21-'07 - 2022'!D20+'07 - 2022'!E21-'07 - 2022'!E20</f>
        <v>24.4699999999998</v>
      </c>
      <c r="H15" s="13">
        <v>0.99</v>
      </c>
      <c r="I15" s="15">
        <f>'07 - 2022'!J21-'07 - 2022'!J20</f>
        <v>38244</v>
      </c>
      <c r="J15" s="13">
        <v>8.1000000000000003E-2</v>
      </c>
      <c r="K15" s="21">
        <f>'07 - 2022'!H21-'07 - 2022'!H20</f>
        <v>0</v>
      </c>
      <c r="L15" s="15">
        <f>'07 - 2022'!I21-'07 - 2022'!I20</f>
        <v>98</v>
      </c>
      <c r="M15" s="14">
        <v>4.393629424766913</v>
      </c>
      <c r="N15" s="15">
        <v>25</v>
      </c>
      <c r="R15" s="13"/>
    </row>
    <row r="16" spans="1:21" x14ac:dyDescent="0.25">
      <c r="A16" t="s">
        <v>27</v>
      </c>
      <c r="B16">
        <f t="shared" si="0"/>
        <v>15</v>
      </c>
      <c r="C16" s="13">
        <v>7</v>
      </c>
      <c r="D16" s="13">
        <v>2022</v>
      </c>
      <c r="E16" s="15">
        <f>'07 - 2022'!B22-'07 - 2022'!B21+'07 - 2022'!C22-'07 - 2022'!C21</f>
        <v>9464</v>
      </c>
      <c r="F16" s="13">
        <v>0.11799999999999999</v>
      </c>
      <c r="G16" s="15">
        <f>'07 - 2022'!D22-'07 - 2022'!D21+'07 - 2022'!E22-'07 - 2022'!E21</f>
        <v>22.739999999999782</v>
      </c>
      <c r="H16" s="13">
        <v>0.99</v>
      </c>
      <c r="I16" s="15">
        <f>'07 - 2022'!J22-'07 - 2022'!J21</f>
        <v>36396</v>
      </c>
      <c r="J16" s="13">
        <v>8.1000000000000003E-2</v>
      </c>
      <c r="K16" s="21">
        <f>'07 - 2022'!H22-'07 - 2022'!H21</f>
        <v>0</v>
      </c>
      <c r="L16" s="15">
        <f>'07 - 2022'!I22-'07 - 2022'!I21</f>
        <v>110</v>
      </c>
      <c r="M16" s="14">
        <v>4.393629424766913</v>
      </c>
      <c r="N16" s="15">
        <v>31</v>
      </c>
      <c r="U16" s="13"/>
    </row>
    <row r="17" spans="1:17" x14ac:dyDescent="0.25">
      <c r="A17" t="s">
        <v>27</v>
      </c>
      <c r="B17">
        <f t="shared" si="0"/>
        <v>16</v>
      </c>
      <c r="C17" s="13">
        <v>7</v>
      </c>
      <c r="D17" s="13">
        <v>2022</v>
      </c>
      <c r="E17" s="15">
        <f>'07 - 2022'!B23-'07 - 2022'!B22+'07 - 2022'!C23-'07 - 2022'!C22</f>
        <v>9431</v>
      </c>
      <c r="F17" s="13">
        <v>0.11799999999999999</v>
      </c>
      <c r="G17" s="15">
        <f>'07 - 2022'!D23-'07 - 2022'!D22+'07 - 2022'!E23-'07 - 2022'!E22</f>
        <v>23.900000000000091</v>
      </c>
      <c r="H17" s="13">
        <v>0.99</v>
      </c>
      <c r="I17" s="15">
        <f>'07 - 2022'!J23-'07 - 2022'!J22</f>
        <v>33301</v>
      </c>
      <c r="J17" s="13">
        <v>8.1000000000000003E-2</v>
      </c>
      <c r="K17" s="21">
        <f>'07 - 2022'!H23-'07 - 2022'!H22</f>
        <v>0</v>
      </c>
      <c r="L17" s="15">
        <f>'07 - 2022'!I23-'07 - 2022'!I22</f>
        <v>97</v>
      </c>
      <c r="M17" s="14">
        <v>4.393629424766913</v>
      </c>
      <c r="N17" s="15">
        <v>31</v>
      </c>
      <c r="O17" s="13"/>
    </row>
    <row r="18" spans="1:17" x14ac:dyDescent="0.25">
      <c r="A18" t="s">
        <v>27</v>
      </c>
      <c r="B18">
        <f t="shared" si="0"/>
        <v>17</v>
      </c>
      <c r="C18" s="13">
        <v>7</v>
      </c>
      <c r="D18" s="13">
        <v>2022</v>
      </c>
      <c r="E18" s="15">
        <f>'07 - 2022'!B24-'07 - 2022'!B23+'07 - 2022'!C24-'07 - 2022'!C23</f>
        <v>9612</v>
      </c>
      <c r="F18" s="13">
        <v>0.11799999999999999</v>
      </c>
      <c r="G18" s="15">
        <f>'07 - 2022'!D24-'07 - 2022'!D23+'07 - 2022'!E24-'07 - 2022'!E23</f>
        <v>21.789999999999964</v>
      </c>
      <c r="H18" s="13">
        <v>0.99</v>
      </c>
      <c r="I18" s="15">
        <f>'07 - 2022'!J24-'07 - 2022'!J23</f>
        <v>34155</v>
      </c>
      <c r="J18" s="13">
        <v>8.1000000000000003E-2</v>
      </c>
      <c r="K18" s="21">
        <f>'07 - 2022'!H24-'07 - 2022'!H23</f>
        <v>0</v>
      </c>
      <c r="L18" s="15">
        <f>'07 - 2022'!I24-'07 - 2022'!I23</f>
        <v>95</v>
      </c>
      <c r="M18" s="14">
        <v>4.393629424766913</v>
      </c>
      <c r="N18" s="15">
        <v>29</v>
      </c>
      <c r="Q18" s="13"/>
    </row>
    <row r="19" spans="1:17" x14ac:dyDescent="0.25">
      <c r="A19" t="s">
        <v>27</v>
      </c>
      <c r="B19">
        <f>B18+1</f>
        <v>18</v>
      </c>
      <c r="C19" s="13">
        <v>7</v>
      </c>
      <c r="D19" s="13">
        <v>2022</v>
      </c>
      <c r="E19" s="15">
        <f>'07 - 2022'!B25-'07 - 2022'!B24+'07 - 2022'!C25-'07 - 2022'!C24</f>
        <v>9506</v>
      </c>
      <c r="F19" s="13">
        <v>0.11799999999999999</v>
      </c>
      <c r="G19" s="15">
        <f>'07 - 2022'!D25-'07 - 2022'!D24+'07 - 2022'!E25-'07 - 2022'!E24</f>
        <v>21.820000000000164</v>
      </c>
      <c r="H19" s="13">
        <v>0.99</v>
      </c>
      <c r="I19" s="15">
        <f>'07 - 2022'!J25-'07 - 2022'!J24</f>
        <v>36906</v>
      </c>
      <c r="J19" s="13">
        <v>8.1000000000000003E-2</v>
      </c>
      <c r="K19" s="21">
        <f>'07 - 2022'!H25-'07 - 2022'!H24</f>
        <v>0</v>
      </c>
      <c r="L19" s="15">
        <f>'07 - 2022'!I25-'07 - 2022'!I24</f>
        <v>90</v>
      </c>
      <c r="M19" s="14">
        <v>4.393629424766913</v>
      </c>
      <c r="N19" s="15">
        <v>26</v>
      </c>
    </row>
    <row r="20" spans="1:17" x14ac:dyDescent="0.25">
      <c r="A20" t="s">
        <v>27</v>
      </c>
      <c r="B20">
        <f t="shared" si="0"/>
        <v>19</v>
      </c>
      <c r="C20" s="13">
        <v>7</v>
      </c>
      <c r="D20" s="13">
        <v>2022</v>
      </c>
      <c r="E20" s="15">
        <f>'07 - 2022'!B26-'07 - 2022'!B25+'07 - 2022'!C26-'07 - 2022'!C25</f>
        <v>9389</v>
      </c>
      <c r="F20" s="13">
        <v>0.11799999999999999</v>
      </c>
      <c r="G20" s="15">
        <f>'07 - 2022'!D26-'07 - 2022'!D25+'07 - 2022'!E26-'07 - 2022'!E25</f>
        <v>25.119999999999891</v>
      </c>
      <c r="H20" s="13">
        <v>0.99</v>
      </c>
      <c r="I20" s="15">
        <f>'07 - 2022'!J26-'07 - 2022'!J25</f>
        <v>32886</v>
      </c>
      <c r="J20" s="13">
        <v>8.1000000000000003E-2</v>
      </c>
      <c r="K20" s="21">
        <f>'07 - 2022'!H26-'07 - 2022'!H25</f>
        <v>0</v>
      </c>
      <c r="L20" s="15">
        <f>'07 - 2022'!I26-'07 - 2022'!I25</f>
        <v>98</v>
      </c>
      <c r="M20" s="14">
        <v>4.393629424766913</v>
      </c>
      <c r="N20" s="15">
        <v>23</v>
      </c>
    </row>
    <row r="21" spans="1:17" x14ac:dyDescent="0.25">
      <c r="A21" t="s">
        <v>27</v>
      </c>
      <c r="B21">
        <f t="shared" si="0"/>
        <v>20</v>
      </c>
      <c r="C21" s="13">
        <v>7</v>
      </c>
      <c r="D21" s="13">
        <v>2022</v>
      </c>
      <c r="E21" s="15">
        <f>'07 - 2022'!B27-'07 - 2022'!B26+'07 - 2022'!C27-'07 - 2022'!C26</f>
        <v>9584</v>
      </c>
      <c r="F21" s="13">
        <v>0.11799999999999999</v>
      </c>
      <c r="G21" s="15">
        <f>'07 - 2022'!D27-'07 - 2022'!D26+'07 - 2022'!E27-'07 - 2022'!E26</f>
        <v>24.9699999999998</v>
      </c>
      <c r="H21" s="13">
        <v>0.99</v>
      </c>
      <c r="I21" s="15">
        <f>'07 - 2022'!J27-'07 - 2022'!J26</f>
        <v>34316</v>
      </c>
      <c r="J21" s="13">
        <v>8.1000000000000003E-2</v>
      </c>
      <c r="K21" s="21">
        <f>'07 - 2022'!H27-'07 - 2022'!H26</f>
        <v>0</v>
      </c>
      <c r="L21" s="15">
        <f>'07 - 2022'!I27-'07 - 2022'!I26</f>
        <v>100</v>
      </c>
      <c r="M21" s="14">
        <v>4.393629424766913</v>
      </c>
      <c r="N21" s="15">
        <v>26</v>
      </c>
    </row>
    <row r="22" spans="1:17" x14ac:dyDescent="0.25">
      <c r="A22" t="s">
        <v>27</v>
      </c>
      <c r="B22">
        <f t="shared" si="0"/>
        <v>21</v>
      </c>
      <c r="C22" s="13">
        <v>7</v>
      </c>
      <c r="D22" s="13">
        <v>2022</v>
      </c>
      <c r="E22" s="15">
        <f>'07 - 2022'!B28-'07 - 2022'!B27+'07 - 2022'!C28-'07 - 2022'!C27</f>
        <v>9567</v>
      </c>
      <c r="F22" s="13">
        <v>0.11799999999999999</v>
      </c>
      <c r="G22" s="15">
        <f>'07 - 2022'!D28-'07 - 2022'!D27+'07 - 2022'!E28-'07 - 2022'!E27</f>
        <v>24.670000000000073</v>
      </c>
      <c r="H22" s="13">
        <v>0.99</v>
      </c>
      <c r="I22" s="15">
        <f>'07 - 2022'!J28-'07 - 2022'!J27</f>
        <v>35160</v>
      </c>
      <c r="J22" s="13">
        <v>8.1000000000000003E-2</v>
      </c>
      <c r="K22" s="21">
        <f>'07 - 2022'!H28-'07 - 2022'!H27</f>
        <v>0</v>
      </c>
      <c r="L22" s="15">
        <f>'07 - 2022'!I28-'07 - 2022'!I27</f>
        <v>98</v>
      </c>
      <c r="M22" s="14">
        <v>4.393629424766913</v>
      </c>
      <c r="N22" s="15">
        <v>37</v>
      </c>
    </row>
    <row r="23" spans="1:17" x14ac:dyDescent="0.25">
      <c r="A23" t="s">
        <v>27</v>
      </c>
      <c r="B23">
        <f t="shared" si="0"/>
        <v>22</v>
      </c>
      <c r="C23" s="13">
        <v>7</v>
      </c>
      <c r="D23" s="13">
        <v>2022</v>
      </c>
      <c r="E23" s="15">
        <f>'07 - 2022'!B29-'07 - 2022'!B28+'07 - 2022'!C29-'07 - 2022'!C28</f>
        <v>9634</v>
      </c>
      <c r="F23" s="13">
        <v>0.11799999999999999</v>
      </c>
      <c r="G23" s="15">
        <f>'07 - 2022'!D29-'07 - 2022'!D28+'07 - 2022'!E29-'07 - 2022'!E28</f>
        <v>25.210000000000036</v>
      </c>
      <c r="H23" s="13">
        <v>0.99</v>
      </c>
      <c r="I23" s="15">
        <f>'07 - 2022'!J29-'07 - 2022'!J28</f>
        <v>36543</v>
      </c>
      <c r="J23" s="13">
        <v>8.1000000000000003E-2</v>
      </c>
      <c r="K23" s="21">
        <f>'07 - 2022'!H29-'07 - 2022'!H28</f>
        <v>0</v>
      </c>
      <c r="L23" s="15">
        <f>'07 - 2022'!I29-'07 - 2022'!I28</f>
        <v>105</v>
      </c>
      <c r="M23" s="14">
        <v>4.393629424766913</v>
      </c>
      <c r="N23" s="15">
        <v>51</v>
      </c>
    </row>
    <row r="24" spans="1:17" x14ac:dyDescent="0.25">
      <c r="A24" t="s">
        <v>27</v>
      </c>
      <c r="B24">
        <f t="shared" si="0"/>
        <v>23</v>
      </c>
      <c r="C24" s="13">
        <v>7</v>
      </c>
      <c r="D24" s="13">
        <v>2022</v>
      </c>
      <c r="E24" s="15">
        <v>0</v>
      </c>
      <c r="F24" s="13">
        <v>0.11799999999999999</v>
      </c>
      <c r="G24" s="15">
        <v>0</v>
      </c>
      <c r="H24" s="13">
        <v>0.99</v>
      </c>
      <c r="I24" s="15">
        <v>0</v>
      </c>
      <c r="J24" s="13">
        <v>8.1000000000000003E-2</v>
      </c>
      <c r="K24" s="21">
        <v>0</v>
      </c>
      <c r="L24" s="15">
        <v>0</v>
      </c>
      <c r="M24" s="14">
        <v>4.393629424766913</v>
      </c>
      <c r="N24" s="15"/>
    </row>
    <row r="25" spans="1:17" x14ac:dyDescent="0.25">
      <c r="A25" t="s">
        <v>27</v>
      </c>
      <c r="B25">
        <f t="shared" si="0"/>
        <v>24</v>
      </c>
      <c r="C25" s="13">
        <v>7</v>
      </c>
      <c r="D25" s="13">
        <v>2022</v>
      </c>
      <c r="E25" s="15">
        <f>'07 - 2022'!B31-'07 - 2022'!B30+'07 - 2022'!C31-'07 - 2022'!C30</f>
        <v>0</v>
      </c>
      <c r="F25" s="13">
        <v>0.11799999999999999</v>
      </c>
      <c r="G25" s="15">
        <f>'07 - 2022'!D31-'07 - 2022'!D30+'07 - 2022'!E31-'07 - 2022'!E30</f>
        <v>0</v>
      </c>
      <c r="H25" s="13">
        <v>0.99</v>
      </c>
      <c r="I25" s="15">
        <f>'07 - 2022'!J31-'07 - 2022'!J30</f>
        <v>0</v>
      </c>
      <c r="J25" s="13">
        <v>8.1000000000000003E-2</v>
      </c>
      <c r="K25" s="21">
        <f>'07 - 2022'!H31-'07 - 2022'!H30</f>
        <v>0</v>
      </c>
      <c r="L25" s="15">
        <f>'07 - 2022'!I31-'07 - 2022'!I30</f>
        <v>0</v>
      </c>
      <c r="M25" s="14">
        <v>4.393629424766913</v>
      </c>
      <c r="N25" s="15"/>
      <c r="P25" s="12"/>
    </row>
    <row r="26" spans="1:17" x14ac:dyDescent="0.25">
      <c r="A26" t="s">
        <v>27</v>
      </c>
      <c r="B26">
        <f>B25+1</f>
        <v>25</v>
      </c>
      <c r="C26" s="13">
        <v>7</v>
      </c>
      <c r="D26" s="13">
        <v>2022</v>
      </c>
      <c r="E26" s="15">
        <f>'07 - 2022'!B32-'07 - 2022'!B31+'07 - 2022'!C32-'07 - 2022'!C31</f>
        <v>0</v>
      </c>
      <c r="F26" s="13">
        <v>0.11799999999999999</v>
      </c>
      <c r="G26" s="15">
        <f>'07 - 2022'!D32-'07 - 2022'!D31+'07 - 2022'!E32-'07 - 2022'!E31</f>
        <v>0</v>
      </c>
      <c r="H26" s="13">
        <v>0.99</v>
      </c>
      <c r="I26" s="15">
        <f>'07 - 2022'!J32-'07 - 2022'!J31</f>
        <v>0</v>
      </c>
      <c r="J26" s="13">
        <v>8.1000000000000003E-2</v>
      </c>
      <c r="K26" s="21">
        <f>'07 - 2022'!H32-'07 - 2022'!H31</f>
        <v>0</v>
      </c>
      <c r="L26" s="15">
        <f>'07 - 2022'!I32-'07 - 2022'!I31</f>
        <v>0</v>
      </c>
      <c r="M26" s="14">
        <v>4.393629424766913</v>
      </c>
      <c r="N26" s="15"/>
    </row>
    <row r="27" spans="1:17" x14ac:dyDescent="0.25">
      <c r="A27" t="s">
        <v>27</v>
      </c>
      <c r="B27">
        <f t="shared" si="0"/>
        <v>26</v>
      </c>
      <c r="C27" s="13">
        <v>7</v>
      </c>
      <c r="D27" s="13">
        <v>2022</v>
      </c>
      <c r="E27" s="15">
        <f>'07 - 2022'!B33-'07 - 2022'!B32+'07 - 2022'!C33-'07 - 2022'!C32</f>
        <v>0</v>
      </c>
      <c r="F27" s="13">
        <v>0.11799999999999999</v>
      </c>
      <c r="G27" s="15">
        <f>'07 - 2022'!D33-'07 - 2022'!D32+'07 - 2022'!E33-'07 - 2022'!E32</f>
        <v>0</v>
      </c>
      <c r="H27" s="13">
        <v>0.99</v>
      </c>
      <c r="I27" s="15">
        <f>'07 - 2022'!J33-'07 - 2022'!J32</f>
        <v>0</v>
      </c>
      <c r="J27" s="13">
        <v>8.1000000000000003E-2</v>
      </c>
      <c r="K27" s="21">
        <f>'07 - 2022'!H33-'07 - 2022'!H32</f>
        <v>0</v>
      </c>
      <c r="L27" s="15">
        <f>'07 - 2022'!I33-'07 - 2022'!I32</f>
        <v>0</v>
      </c>
      <c r="M27" s="14">
        <v>4.393629424766913</v>
      </c>
      <c r="N27" s="15"/>
    </row>
    <row r="28" spans="1:17" x14ac:dyDescent="0.25">
      <c r="A28" t="s">
        <v>27</v>
      </c>
      <c r="B28">
        <f t="shared" si="0"/>
        <v>27</v>
      </c>
      <c r="C28" s="13">
        <v>7</v>
      </c>
      <c r="D28" s="13">
        <v>2022</v>
      </c>
      <c r="E28" s="15">
        <f>'07 - 2022'!B34-'07 - 2022'!B33+'07 - 2022'!C34-'07 - 2022'!C33</f>
        <v>0</v>
      </c>
      <c r="F28" s="13">
        <v>0.11799999999999999</v>
      </c>
      <c r="G28" s="15">
        <f>'07 - 2022'!D34-'07 - 2022'!D33+'07 - 2022'!E34-'07 - 2022'!E33</f>
        <v>0</v>
      </c>
      <c r="H28" s="13">
        <v>0.99</v>
      </c>
      <c r="I28" s="15">
        <f>'07 - 2022'!J34-'07 - 2022'!J33</f>
        <v>0</v>
      </c>
      <c r="J28" s="13">
        <v>8.1000000000000003E-2</v>
      </c>
      <c r="K28" s="21">
        <f>'07 - 2022'!H34-'07 - 2022'!H33</f>
        <v>0</v>
      </c>
      <c r="L28" s="15">
        <f>'07 - 2022'!I34-'07 - 2022'!I33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7</v>
      </c>
      <c r="D29" s="13">
        <v>2022</v>
      </c>
      <c r="E29" s="15">
        <f>'07 - 2022'!B35-'07 - 2022'!B34+'07 - 2022'!C35-'07 - 2022'!C34</f>
        <v>0</v>
      </c>
      <c r="F29" s="13">
        <v>0.11799999999999999</v>
      </c>
      <c r="G29" s="15">
        <f>'07 - 2022'!D35-'07 - 2022'!D34+'07 - 2022'!E35-'07 - 2022'!E34</f>
        <v>0</v>
      </c>
      <c r="H29" s="13">
        <v>0.99</v>
      </c>
      <c r="I29" s="15">
        <f>'07 - 2022'!J35-'07 - 2022'!J34</f>
        <v>0</v>
      </c>
      <c r="J29" s="13">
        <v>8.1000000000000003E-2</v>
      </c>
      <c r="K29" s="21">
        <f>'07 - 2022'!H35-'07 - 2022'!H34</f>
        <v>0</v>
      </c>
      <c r="L29" s="15">
        <f>'07 - 2022'!I35-'07 - 2022'!I34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7</v>
      </c>
      <c r="D30" s="13">
        <v>2022</v>
      </c>
      <c r="E30" s="15">
        <f>'07 - 2022'!B36-'07 - 2022'!B35+'07 - 2022'!C36-'07 - 2022'!C35</f>
        <v>0</v>
      </c>
      <c r="F30" s="13">
        <v>0.11799999999999999</v>
      </c>
      <c r="G30" s="15">
        <f>'07 - 2022'!D36-'07 - 2022'!D35+'07 - 2022'!E36-'07 - 2022'!E35</f>
        <v>0</v>
      </c>
      <c r="H30" s="13">
        <v>0.99</v>
      </c>
      <c r="I30" s="15">
        <f>'07 - 2022'!J36-'07 - 2022'!J35</f>
        <v>0</v>
      </c>
      <c r="J30" s="13">
        <v>8.1000000000000003E-2</v>
      </c>
      <c r="K30" s="21">
        <f>'07 - 2022'!H36-'07 - 2022'!H35</f>
        <v>0</v>
      </c>
      <c r="L30" s="15">
        <f>'07 - 2022'!I36-'07 - 2022'!I35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7</v>
      </c>
      <c r="D31" s="13">
        <v>2022</v>
      </c>
      <c r="E31" s="15">
        <f>'07 - 2022'!B37-'07 - 2022'!B36+'07 - 2022'!C37-'07 - 2022'!C36</f>
        <v>0</v>
      </c>
      <c r="F31" s="13">
        <v>0.11799999999999999</v>
      </c>
      <c r="G31" s="15">
        <f>'07 - 2022'!D37-'07 - 2022'!D36+'07 - 2022'!E37-'07 - 2022'!E36</f>
        <v>0</v>
      </c>
      <c r="H31" s="13">
        <v>0.99</v>
      </c>
      <c r="I31" s="15">
        <f>'07 - 2022'!J37-'07 - 2022'!J36</f>
        <v>0</v>
      </c>
      <c r="J31" s="13">
        <v>8.1000000000000003E-2</v>
      </c>
      <c r="K31" s="21">
        <f>'07 - 2022'!H37-'07 - 2022'!H36</f>
        <v>0</v>
      </c>
      <c r="L31" s="15">
        <f>'07 - 2022'!I37-'07 - 2022'!I36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7</v>
      </c>
      <c r="D32" s="13">
        <v>2022</v>
      </c>
      <c r="E32" s="15">
        <f>'07 - 2022'!B38-'07 - 2022'!B37+'07 - 2022'!C38-'07 - 2022'!C37</f>
        <v>0</v>
      </c>
      <c r="F32" s="13">
        <v>0.11799999999999999</v>
      </c>
      <c r="G32" s="15">
        <f>'07 - 2022'!D38-'07 - 2022'!D37+'07 - 2022'!E38-'07 - 2022'!E37</f>
        <v>0</v>
      </c>
      <c r="H32" s="13">
        <v>0.99</v>
      </c>
      <c r="I32" s="15">
        <f>'07 - 2022'!J38-'07 - 2022'!J37</f>
        <v>0</v>
      </c>
      <c r="J32" s="13">
        <v>8.1000000000000003E-2</v>
      </c>
      <c r="K32" s="21">
        <f>'07 - 2022'!H38-'07 - 2022'!H37</f>
        <v>0</v>
      </c>
      <c r="L32" s="15">
        <f>'07 - 2022'!I38-'07 - 2022'!I37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N12" sqref="N1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7</v>
      </c>
      <c r="D2">
        <v>2022</v>
      </c>
      <c r="E2" s="15">
        <f>'07 - 2022'!B8-'07 - 2022'!B7</f>
        <v>3930</v>
      </c>
      <c r="F2" s="15">
        <f>'07 - 2022'!C8-'07 - 2022'!C7</f>
        <v>5814</v>
      </c>
      <c r="G2" s="13">
        <v>0.11799999999999999</v>
      </c>
      <c r="H2" s="15">
        <f>'07 - 2022'!E8-'07 - 2022'!E7</f>
        <v>24.889999999999873</v>
      </c>
      <c r="I2" s="15">
        <f>'07 - 2022'!F8-'07 - 2022'!F7</f>
        <v>5.8699999999998909</v>
      </c>
      <c r="J2" s="15">
        <f>'07 - 2022'!G8-'07 - 2022'!G7</f>
        <v>32.340000000003783</v>
      </c>
      <c r="K2" s="13">
        <v>0.74</v>
      </c>
      <c r="L2" s="15">
        <v>68</v>
      </c>
      <c r="M2" s="10"/>
    </row>
    <row r="3" spans="1:13" x14ac:dyDescent="0.25">
      <c r="A3" t="s">
        <v>27</v>
      </c>
      <c r="B3">
        <f>B2+1</f>
        <v>2</v>
      </c>
      <c r="C3" s="13">
        <v>7</v>
      </c>
      <c r="D3" s="13">
        <v>2022</v>
      </c>
      <c r="E3" s="15">
        <f>'07 - 2022'!B9-'07 - 2022'!B8</f>
        <v>3977</v>
      </c>
      <c r="F3" s="15">
        <f>'07 - 2022'!C9-'07 - 2022'!C8</f>
        <v>5945.2999999998137</v>
      </c>
      <c r="G3" s="13">
        <v>0.11799999999999999</v>
      </c>
      <c r="H3" s="15">
        <f>'07 - 2022'!E9-'07 - 2022'!E8</f>
        <v>25.239999999999782</v>
      </c>
      <c r="I3" s="15">
        <f>'07 - 2022'!F9-'07 - 2022'!F8</f>
        <v>6.5399999999999636</v>
      </c>
      <c r="J3" s="15">
        <f>'07 - 2022'!G9-'07 - 2022'!G8</f>
        <v>33.07999999999447</v>
      </c>
      <c r="K3" s="13">
        <v>0.74</v>
      </c>
      <c r="L3" s="15">
        <v>62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7</v>
      </c>
      <c r="D4" s="13">
        <v>2022</v>
      </c>
      <c r="E4" s="15">
        <f>'07 - 2022'!B10-'07 - 2022'!B9</f>
        <v>3890</v>
      </c>
      <c r="F4" s="15">
        <f>'07 - 2022'!C10-'07 - 2022'!C9</f>
        <v>5873.6000000000931</v>
      </c>
      <c r="G4" s="13">
        <v>0.11799999999999999</v>
      </c>
      <c r="H4" s="15">
        <f>'07 - 2022'!E10-'07 - 2022'!E9</f>
        <v>25.190000000000055</v>
      </c>
      <c r="I4" s="15">
        <f>'07 - 2022'!F10-'07 - 2022'!F9</f>
        <v>6.6199999999998909</v>
      </c>
      <c r="J4" s="15">
        <f>'07 - 2022'!G10-'07 - 2022'!G9</f>
        <v>31.840000000003783</v>
      </c>
      <c r="K4" s="13">
        <v>0.74</v>
      </c>
      <c r="L4" s="16">
        <v>52</v>
      </c>
      <c r="M4" s="10"/>
    </row>
    <row r="5" spans="1:13" x14ac:dyDescent="0.25">
      <c r="A5" t="s">
        <v>27</v>
      </c>
      <c r="B5">
        <f t="shared" si="0"/>
        <v>4</v>
      </c>
      <c r="C5" s="13">
        <v>7</v>
      </c>
      <c r="D5" s="13">
        <v>2022</v>
      </c>
      <c r="E5" s="15">
        <f>'07 - 2022'!B11-'07 - 2022'!B10</f>
        <v>3880</v>
      </c>
      <c r="F5" s="15">
        <f>'07 - 2022'!C11-'07 - 2022'!C10</f>
        <v>5766</v>
      </c>
      <c r="G5" s="13">
        <v>0.11799999999999999</v>
      </c>
      <c r="H5" s="15">
        <f>'07 - 2022'!E11-'07 - 2022'!E10</f>
        <v>22.350000000000364</v>
      </c>
      <c r="I5" s="15">
        <f>'07 - 2022'!F11-'07 - 2022'!F10</f>
        <v>8.3900000000003274</v>
      </c>
      <c r="J5" s="15">
        <f>'07 - 2022'!G11-'07 - 2022'!G10</f>
        <v>32.849999999998545</v>
      </c>
      <c r="K5" s="13">
        <v>0.74</v>
      </c>
      <c r="L5" s="16">
        <v>34</v>
      </c>
      <c r="M5" s="10"/>
    </row>
    <row r="6" spans="1:13" x14ac:dyDescent="0.25">
      <c r="A6" t="s">
        <v>27</v>
      </c>
      <c r="B6">
        <f t="shared" si="0"/>
        <v>5</v>
      </c>
      <c r="C6" s="13">
        <v>7</v>
      </c>
      <c r="D6" s="13">
        <v>2022</v>
      </c>
      <c r="E6" s="15">
        <f>'07 - 2022'!B12-'07 - 2022'!B11</f>
        <v>3933</v>
      </c>
      <c r="F6" s="15">
        <f>'07 - 2022'!C12-'07 - 2022'!C11</f>
        <v>5717</v>
      </c>
      <c r="G6" s="13">
        <v>0.11799999999999999</v>
      </c>
      <c r="H6" s="15">
        <f>'07 - 2022'!E12-'07 - 2022'!E11</f>
        <v>19.159999999999854</v>
      </c>
      <c r="I6" s="15">
        <f>'07 - 2022'!F12-'07 - 2022'!F11</f>
        <v>7.1499999999996362</v>
      </c>
      <c r="J6" s="15">
        <f>'07 - 2022'!G12-'07 - 2022'!G11</f>
        <v>31.260000000002037</v>
      </c>
      <c r="K6" s="13">
        <v>0.74</v>
      </c>
      <c r="L6" s="16">
        <v>27</v>
      </c>
      <c r="M6" s="11"/>
    </row>
    <row r="7" spans="1:13" x14ac:dyDescent="0.25">
      <c r="A7" t="s">
        <v>27</v>
      </c>
      <c r="B7">
        <f t="shared" si="0"/>
        <v>6</v>
      </c>
      <c r="C7" s="13">
        <v>7</v>
      </c>
      <c r="D7" s="13">
        <v>2022</v>
      </c>
      <c r="E7" s="15">
        <f>'07 - 2022'!B13-'07 - 2022'!B12</f>
        <v>4055</v>
      </c>
      <c r="F7" s="15">
        <f>'07 - 2022'!C13-'07 - 2022'!C12</f>
        <v>5833</v>
      </c>
      <c r="G7" s="13">
        <v>0.11799999999999999</v>
      </c>
      <c r="H7" s="15">
        <f>'07 - 2022'!E13-'07 - 2022'!E12</f>
        <v>23.039999999999964</v>
      </c>
      <c r="I7" s="15">
        <f>'07 - 2022'!F13-'07 - 2022'!F12</f>
        <v>7.930000000000291</v>
      </c>
      <c r="J7" s="15">
        <f>'07 - 2022'!G13-'07 - 2022'!G12</f>
        <v>28.989999999997963</v>
      </c>
      <c r="K7" s="13">
        <v>0.74</v>
      </c>
      <c r="L7" s="16">
        <v>34</v>
      </c>
      <c r="M7" s="11"/>
    </row>
    <row r="8" spans="1:13" x14ac:dyDescent="0.25">
      <c r="A8" t="s">
        <v>27</v>
      </c>
      <c r="B8">
        <f t="shared" si="0"/>
        <v>7</v>
      </c>
      <c r="C8" s="13">
        <v>7</v>
      </c>
      <c r="D8" s="13">
        <v>2022</v>
      </c>
      <c r="E8" s="15">
        <f>'07 - 2022'!B14-'07 - 2022'!B13</f>
        <v>3743</v>
      </c>
      <c r="F8" s="15">
        <f>'07 - 2022'!C14-'07 - 2022'!C13</f>
        <v>5472</v>
      </c>
      <c r="G8" s="13">
        <v>0.11799999999999999</v>
      </c>
      <c r="H8" s="15">
        <f>'07 - 2022'!E14-'07 - 2022'!E13</f>
        <v>24.090000000000146</v>
      </c>
      <c r="I8" s="15">
        <f>'07 - 2022'!F14-'07 - 2022'!F13</f>
        <v>7.4800000000000182</v>
      </c>
      <c r="J8" s="15">
        <f>'07 - 2022'!G14-'07 - 2022'!G13</f>
        <v>29.520000000004075</v>
      </c>
      <c r="K8" s="13">
        <v>0.74</v>
      </c>
      <c r="L8" s="16">
        <v>40</v>
      </c>
      <c r="M8" s="11"/>
    </row>
    <row r="9" spans="1:13" x14ac:dyDescent="0.25">
      <c r="A9" t="s">
        <v>27</v>
      </c>
      <c r="B9">
        <f t="shared" si="0"/>
        <v>8</v>
      </c>
      <c r="C9" s="13">
        <v>7</v>
      </c>
      <c r="D9" s="13">
        <v>2022</v>
      </c>
      <c r="E9" s="15">
        <f>'07 - 2022'!B15-'07 - 2022'!B14</f>
        <v>4007</v>
      </c>
      <c r="F9" s="15">
        <f>'07 - 2022'!C15-'07 - 2022'!C14</f>
        <v>5689</v>
      </c>
      <c r="G9" s="13">
        <v>0.11799999999999999</v>
      </c>
      <c r="H9" s="15">
        <f>'07 - 2022'!E15-'07 - 2022'!E14</f>
        <v>22.730000000000018</v>
      </c>
      <c r="I9" s="15">
        <f>'07 - 2022'!F15-'07 - 2022'!F14</f>
        <v>7.3899999999998727</v>
      </c>
      <c r="J9" s="15">
        <f>'07 - 2022'!G15-'07 - 2022'!G14</f>
        <v>27.869999999995343</v>
      </c>
      <c r="K9" s="13">
        <v>0.74</v>
      </c>
      <c r="L9" s="16">
        <v>36</v>
      </c>
      <c r="M9" s="11"/>
    </row>
    <row r="10" spans="1:13" x14ac:dyDescent="0.25">
      <c r="A10" t="s">
        <v>27</v>
      </c>
      <c r="B10">
        <f t="shared" si="0"/>
        <v>9</v>
      </c>
      <c r="C10" s="13">
        <v>7</v>
      </c>
      <c r="D10" s="13">
        <v>2022</v>
      </c>
      <c r="E10" s="15">
        <f>'07 - 2022'!B16-'07 - 2022'!B15</f>
        <v>4088</v>
      </c>
      <c r="F10" s="15">
        <f>'07 - 2022'!C16-'07 - 2022'!C15</f>
        <v>5636</v>
      </c>
      <c r="G10" s="13">
        <v>0.11799999999999999</v>
      </c>
      <c r="H10" s="15">
        <f>'07 - 2022'!E16-'07 - 2022'!E15</f>
        <v>25.489999999999782</v>
      </c>
      <c r="I10" s="15">
        <f>'07 - 2022'!F16-'07 - 2022'!F15</f>
        <v>7.4299999999998363</v>
      </c>
      <c r="J10" s="15">
        <f>'07 - 2022'!G16-'07 - 2022'!G15</f>
        <v>27.730000000003201</v>
      </c>
      <c r="K10" s="13">
        <v>0.74</v>
      </c>
      <c r="L10" s="16">
        <v>36</v>
      </c>
      <c r="M10" s="11"/>
    </row>
    <row r="11" spans="1:13" x14ac:dyDescent="0.25">
      <c r="A11" t="s">
        <v>27</v>
      </c>
      <c r="B11">
        <f t="shared" si="0"/>
        <v>10</v>
      </c>
      <c r="C11" s="13">
        <v>7</v>
      </c>
      <c r="D11" s="13">
        <v>2022</v>
      </c>
      <c r="E11" s="15">
        <f>'07 - 2022'!B17-'07 - 2022'!B16</f>
        <v>3922</v>
      </c>
      <c r="F11" s="15">
        <f>'07 - 2022'!C17-'07 - 2022'!C16</f>
        <v>5560</v>
      </c>
      <c r="G11" s="13">
        <v>0.11799999999999999</v>
      </c>
      <c r="H11" s="15">
        <f>'07 - 2022'!E17-'07 - 2022'!E16</f>
        <v>22.880000000000109</v>
      </c>
      <c r="I11" s="15">
        <f>'07 - 2022'!F17-'07 - 2022'!F16</f>
        <v>7.4800000000000182</v>
      </c>
      <c r="J11" s="15">
        <f>'07 - 2022'!G17-'07 - 2022'!G16</f>
        <v>27.279999999998836</v>
      </c>
      <c r="K11" s="13">
        <v>0.74</v>
      </c>
      <c r="L11" s="16">
        <v>32</v>
      </c>
      <c r="M11" s="11"/>
    </row>
    <row r="12" spans="1:13" x14ac:dyDescent="0.25">
      <c r="A12" t="s">
        <v>27</v>
      </c>
      <c r="B12">
        <f t="shared" si="0"/>
        <v>11</v>
      </c>
      <c r="C12" s="13">
        <v>7</v>
      </c>
      <c r="D12" s="13">
        <v>2022</v>
      </c>
      <c r="E12" s="15">
        <f>'07 - 2022'!B18-'07 - 2022'!B17</f>
        <v>3947</v>
      </c>
      <c r="F12" s="15">
        <f>'07 - 2022'!C18-'07 - 2022'!C17</f>
        <v>5713</v>
      </c>
      <c r="G12" s="13">
        <v>0.11799999999999999</v>
      </c>
      <c r="H12" s="15">
        <f>'07 - 2022'!E18-'07 - 2022'!E17</f>
        <v>24.389999999999873</v>
      </c>
      <c r="I12" s="15">
        <f>'07 - 2022'!F18-'07 - 2022'!F17</f>
        <v>7.4200000000000728</v>
      </c>
      <c r="J12" s="15">
        <f>'07 - 2022'!G18-'07 - 2022'!G17</f>
        <v>30.730000000003201</v>
      </c>
      <c r="K12" s="13">
        <v>0.74</v>
      </c>
      <c r="L12" s="16">
        <v>38</v>
      </c>
      <c r="M12" s="11"/>
    </row>
    <row r="13" spans="1:13" x14ac:dyDescent="0.25">
      <c r="A13" t="s">
        <v>27</v>
      </c>
      <c r="B13">
        <f t="shared" si="0"/>
        <v>12</v>
      </c>
      <c r="C13" s="13">
        <v>7</v>
      </c>
      <c r="D13" s="13">
        <v>2022</v>
      </c>
      <c r="E13" s="15">
        <f>'07 - 2022'!B19-'07 - 2022'!B18</f>
        <v>4169</v>
      </c>
      <c r="F13" s="15">
        <f>'07 - 2022'!C19-'07 - 2022'!C18</f>
        <v>5582</v>
      </c>
      <c r="G13" s="13">
        <v>0.11799999999999999</v>
      </c>
      <c r="H13" s="15">
        <f>'07 - 2022'!E19-'07 - 2022'!E18</f>
        <v>23.5300000000002</v>
      </c>
      <c r="I13" s="15">
        <f>'07 - 2022'!F19-'07 - 2022'!F18</f>
        <v>7.4700000000002547</v>
      </c>
      <c r="J13" s="15">
        <f>'07 - 2022'!G19-'07 - 2022'!G18</f>
        <v>28.719999999993888</v>
      </c>
      <c r="K13" s="13">
        <v>0.74</v>
      </c>
      <c r="L13" s="16">
        <v>38</v>
      </c>
      <c r="M13" s="11"/>
    </row>
    <row r="14" spans="1:13" x14ac:dyDescent="0.25">
      <c r="A14" t="s">
        <v>27</v>
      </c>
      <c r="B14">
        <f t="shared" si="0"/>
        <v>13</v>
      </c>
      <c r="C14" s="13">
        <v>7</v>
      </c>
      <c r="D14" s="13">
        <v>2022</v>
      </c>
      <c r="E14" s="15">
        <f>'07 - 2022'!B20-'07 - 2022'!B19</f>
        <v>4091</v>
      </c>
      <c r="F14" s="15">
        <f>'07 - 2022'!C20-'07 - 2022'!C19</f>
        <v>5563</v>
      </c>
      <c r="G14" s="13">
        <v>0.11799999999999999</v>
      </c>
      <c r="H14" s="15">
        <f>'07 - 2022'!E20-'07 - 2022'!E19</f>
        <v>24.690000000000055</v>
      </c>
      <c r="I14" s="15">
        <f>'07 - 2022'!F20-'07 - 2022'!F19</f>
        <v>6.7999999999997272</v>
      </c>
      <c r="J14" s="15">
        <f>'07 - 2022'!G20-'07 - 2022'!G19</f>
        <v>26.700000000004366</v>
      </c>
      <c r="K14" s="13">
        <v>0.74</v>
      </c>
      <c r="L14" s="16">
        <v>20</v>
      </c>
      <c r="M14" s="11"/>
    </row>
    <row r="15" spans="1:13" x14ac:dyDescent="0.25">
      <c r="A15" t="s">
        <v>27</v>
      </c>
      <c r="B15">
        <f t="shared" si="0"/>
        <v>14</v>
      </c>
      <c r="C15" s="13">
        <v>7</v>
      </c>
      <c r="D15" s="13">
        <v>2022</v>
      </c>
      <c r="E15" s="15">
        <f>'07 - 2022'!B21-'07 - 2022'!B20</f>
        <v>3905</v>
      </c>
      <c r="F15" s="15">
        <f>'07 - 2022'!C21-'07 - 2022'!C20</f>
        <v>5399</v>
      </c>
      <c r="G15" s="13">
        <v>0.11799999999999999</v>
      </c>
      <c r="H15" s="15">
        <f>'07 - 2022'!E21-'07 - 2022'!E20</f>
        <v>24.519999999999982</v>
      </c>
      <c r="I15" s="15">
        <f>'07 - 2022'!F21-'07 - 2022'!F20</f>
        <v>7.5199999999999818</v>
      </c>
      <c r="J15" s="15">
        <f>'07 - 2022'!G21-'07 - 2022'!G20</f>
        <v>29.059999999997672</v>
      </c>
      <c r="K15" s="13">
        <v>0.74</v>
      </c>
      <c r="L15" s="15">
        <v>25</v>
      </c>
      <c r="M15" s="11"/>
    </row>
    <row r="16" spans="1:13" x14ac:dyDescent="0.25">
      <c r="A16" t="s">
        <v>27</v>
      </c>
      <c r="B16">
        <f t="shared" si="0"/>
        <v>15</v>
      </c>
      <c r="C16" s="13">
        <v>7</v>
      </c>
      <c r="D16" s="13">
        <v>2022</v>
      </c>
      <c r="E16" s="15">
        <f>'07 - 2022'!B22-'07 - 2022'!B21</f>
        <v>3910</v>
      </c>
      <c r="F16" s="15">
        <f>'07 - 2022'!C22-'07 - 2022'!C21</f>
        <v>5554</v>
      </c>
      <c r="G16" s="13">
        <v>0.11799999999999999</v>
      </c>
      <c r="H16" s="15">
        <f>'07 - 2022'!E22-'07 - 2022'!E21</f>
        <v>22.799999999999727</v>
      </c>
      <c r="I16" s="15">
        <f>'07 - 2022'!F22-'07 - 2022'!F21</f>
        <v>8.2699999999999818</v>
      </c>
      <c r="J16" s="15">
        <f>'07 - 2022'!G22-'07 - 2022'!G21</f>
        <v>30.160000000003492</v>
      </c>
      <c r="K16" s="13">
        <v>0.74</v>
      </c>
      <c r="L16" s="15">
        <v>31</v>
      </c>
      <c r="M16" s="11"/>
    </row>
    <row r="17" spans="1:13" x14ac:dyDescent="0.25">
      <c r="A17" t="s">
        <v>27</v>
      </c>
      <c r="B17">
        <f t="shared" si="0"/>
        <v>16</v>
      </c>
      <c r="C17" s="13">
        <v>7</v>
      </c>
      <c r="D17" s="13">
        <v>2022</v>
      </c>
      <c r="E17" s="15">
        <f>'07 - 2022'!B23-'07 - 2022'!B22</f>
        <v>3949</v>
      </c>
      <c r="F17" s="15">
        <f>'07 - 2022'!C23-'07 - 2022'!C22</f>
        <v>5482</v>
      </c>
      <c r="G17" s="13">
        <v>0.11799999999999999</v>
      </c>
      <c r="H17" s="15">
        <f>'07 - 2022'!E23-'07 - 2022'!E22</f>
        <v>23.960000000000036</v>
      </c>
      <c r="I17" s="15">
        <f>'07 - 2022'!F23-'07 - 2022'!F22</f>
        <v>7.4600000000000364</v>
      </c>
      <c r="J17" s="15">
        <f>'07 - 2022'!G23-'07 - 2022'!G22</f>
        <v>27.930000000000291</v>
      </c>
      <c r="K17" s="13">
        <v>0.74</v>
      </c>
      <c r="L17" s="15">
        <v>31</v>
      </c>
      <c r="M17" s="11"/>
    </row>
    <row r="18" spans="1:13" x14ac:dyDescent="0.25">
      <c r="A18" t="s">
        <v>27</v>
      </c>
      <c r="B18">
        <f t="shared" si="0"/>
        <v>17</v>
      </c>
      <c r="C18" s="13">
        <v>7</v>
      </c>
      <c r="D18" s="13">
        <v>2022</v>
      </c>
      <c r="E18" s="15">
        <f>'07 - 2022'!B24-'07 - 2022'!B23</f>
        <v>4026</v>
      </c>
      <c r="F18" s="15">
        <f>'07 - 2022'!C24-'07 - 2022'!C23</f>
        <v>5586</v>
      </c>
      <c r="G18" s="13">
        <v>0.11799999999999999</v>
      </c>
      <c r="H18" s="15">
        <f>'07 - 2022'!E24-'07 - 2022'!E23</f>
        <v>21.389999999999873</v>
      </c>
      <c r="I18" s="15">
        <f>'07 - 2022'!F24-'07 - 2022'!F23</f>
        <v>7.7699999999999818</v>
      </c>
      <c r="J18" s="15">
        <f>'07 - 2022'!G24-'07 - 2022'!G23</f>
        <v>30.259999999994761</v>
      </c>
      <c r="K18" s="13">
        <v>0.74</v>
      </c>
      <c r="L18" s="15">
        <v>29</v>
      </c>
      <c r="M18" s="11"/>
    </row>
    <row r="19" spans="1:13" x14ac:dyDescent="0.25">
      <c r="A19" t="s">
        <v>27</v>
      </c>
      <c r="B19">
        <f>B18+1</f>
        <v>18</v>
      </c>
      <c r="C19" s="13">
        <v>7</v>
      </c>
      <c r="D19" s="13">
        <v>2022</v>
      </c>
      <c r="E19" s="15">
        <f>'07 - 2022'!B25-'07 - 2022'!B24</f>
        <v>3951</v>
      </c>
      <c r="F19" s="15">
        <f>'07 - 2022'!C25-'07 - 2022'!C24</f>
        <v>5555</v>
      </c>
      <c r="G19" s="13">
        <v>0.11799999999999999</v>
      </c>
      <c r="H19" s="15">
        <f>'07 - 2022'!E25-'07 - 2022'!E24</f>
        <v>21.890000000000327</v>
      </c>
      <c r="I19" s="15">
        <f>'07 - 2022'!F25-'07 - 2022'!F24</f>
        <v>7.2699999999999818</v>
      </c>
      <c r="J19" s="15">
        <f>'07 - 2022'!G25-'07 - 2022'!G24</f>
        <v>26.440000000002328</v>
      </c>
      <c r="K19" s="13">
        <v>0.74</v>
      </c>
      <c r="L19" s="15">
        <v>26</v>
      </c>
      <c r="M19" s="11"/>
    </row>
    <row r="20" spans="1:13" x14ac:dyDescent="0.25">
      <c r="A20" t="s">
        <v>27</v>
      </c>
      <c r="B20">
        <f t="shared" si="0"/>
        <v>19</v>
      </c>
      <c r="C20" s="13">
        <v>7</v>
      </c>
      <c r="D20" s="13">
        <v>2022</v>
      </c>
      <c r="E20" s="15">
        <f>'07 - 2022'!B26-'07 - 2022'!B25</f>
        <v>3878</v>
      </c>
      <c r="F20" s="15">
        <f>'07 - 2022'!C26-'07 - 2022'!C25</f>
        <v>5511</v>
      </c>
      <c r="G20" s="13">
        <v>0.11799999999999999</v>
      </c>
      <c r="H20" s="15">
        <f>'07 - 2022'!E26-'07 - 2022'!E25</f>
        <v>25.199999999999818</v>
      </c>
      <c r="I20" s="15">
        <f>'07 - 2022'!F26-'07 - 2022'!F25</f>
        <v>6.5</v>
      </c>
      <c r="J20" s="15">
        <f>'07 - 2022'!G26-'07 - 2022'!G25</f>
        <v>27.75</v>
      </c>
      <c r="K20" s="13">
        <v>0.74</v>
      </c>
      <c r="L20" s="15">
        <v>23</v>
      </c>
      <c r="M20" s="11"/>
    </row>
    <row r="21" spans="1:13" x14ac:dyDescent="0.25">
      <c r="A21" t="s">
        <v>27</v>
      </c>
      <c r="B21">
        <f t="shared" si="0"/>
        <v>20</v>
      </c>
      <c r="C21" s="13">
        <v>7</v>
      </c>
      <c r="D21" s="13">
        <v>2022</v>
      </c>
      <c r="E21" s="15">
        <f>'07 - 2022'!B27-'07 - 2022'!B26</f>
        <v>4111</v>
      </c>
      <c r="F21" s="15">
        <f>'07 - 2022'!C27-'07 - 2022'!C26</f>
        <v>5473</v>
      </c>
      <c r="G21" s="13">
        <v>0.11799999999999999</v>
      </c>
      <c r="H21" s="15">
        <f>'07 - 2022'!E27-'07 - 2022'!E26</f>
        <v>25.059999999999945</v>
      </c>
      <c r="I21" s="15">
        <f>'07 - 2022'!F27-'07 - 2022'!F26</f>
        <v>6.4100000000003092</v>
      </c>
      <c r="J21" s="15">
        <f>'07 - 2022'!G27-'07 - 2022'!G26</f>
        <v>28.5</v>
      </c>
      <c r="K21" s="13">
        <v>0.74</v>
      </c>
      <c r="L21" s="15">
        <v>26</v>
      </c>
      <c r="M21" s="11"/>
    </row>
    <row r="22" spans="1:13" x14ac:dyDescent="0.25">
      <c r="A22" t="s">
        <v>27</v>
      </c>
      <c r="B22">
        <f t="shared" si="0"/>
        <v>21</v>
      </c>
      <c r="C22" s="13">
        <v>7</v>
      </c>
      <c r="D22" s="13">
        <v>2022</v>
      </c>
      <c r="E22" s="15">
        <f>'07 - 2022'!B28-'07 - 2022'!B27</f>
        <v>4038</v>
      </c>
      <c r="F22" s="15">
        <f>'07 - 2022'!C28-'07 - 2022'!C27</f>
        <v>5529</v>
      </c>
      <c r="G22" s="13">
        <v>0.11799999999999999</v>
      </c>
      <c r="H22" s="15">
        <f>'07 - 2022'!E28-'07 - 2022'!E27</f>
        <v>24.75</v>
      </c>
      <c r="I22" s="15">
        <f>'07 - 2022'!F28-'07 - 2022'!F27</f>
        <v>6.2199999999997999</v>
      </c>
      <c r="J22" s="15">
        <f>'07 - 2022'!G28-'07 - 2022'!G27</f>
        <v>26.569999999999709</v>
      </c>
      <c r="K22" s="13">
        <v>0.74</v>
      </c>
      <c r="L22" s="15">
        <v>37</v>
      </c>
      <c r="M22" s="11"/>
    </row>
    <row r="23" spans="1:13" x14ac:dyDescent="0.25">
      <c r="A23" t="s">
        <v>27</v>
      </c>
      <c r="B23">
        <f t="shared" si="0"/>
        <v>22</v>
      </c>
      <c r="C23" s="13">
        <v>7</v>
      </c>
      <c r="D23" s="13">
        <v>2022</v>
      </c>
      <c r="E23" s="15">
        <f>'07 - 2022'!B29-'07 - 2022'!B28</f>
        <v>4110</v>
      </c>
      <c r="F23" s="15">
        <f>'07 - 2022'!C29-'07 - 2022'!C28</f>
        <v>5524</v>
      </c>
      <c r="G23" s="13">
        <v>0.11799999999999999</v>
      </c>
      <c r="H23" s="15">
        <f>'07 - 2022'!E29-'07 - 2022'!E28</f>
        <v>25.289999999999964</v>
      </c>
      <c r="I23" s="15">
        <f>'07 - 2022'!F29-'07 - 2022'!F28</f>
        <v>7.9600000000000364</v>
      </c>
      <c r="J23" s="15">
        <f>'07 - 2022'!G29-'07 - 2022'!G28</f>
        <v>26.279999999998836</v>
      </c>
      <c r="K23" s="13">
        <v>0.74</v>
      </c>
      <c r="L23" s="15">
        <v>51</v>
      </c>
      <c r="M23" s="11"/>
    </row>
    <row r="24" spans="1:13" x14ac:dyDescent="0.25">
      <c r="A24" t="s">
        <v>27</v>
      </c>
      <c r="B24">
        <f t="shared" si="0"/>
        <v>23</v>
      </c>
      <c r="C24" s="13">
        <v>7</v>
      </c>
      <c r="D24" s="13">
        <v>2022</v>
      </c>
      <c r="E24" s="15">
        <v>0</v>
      </c>
      <c r="F24" s="15">
        <v>0</v>
      </c>
      <c r="G24" s="13">
        <v>0.11799999999999999</v>
      </c>
      <c r="H24" s="15">
        <v>0</v>
      </c>
      <c r="I24" s="15">
        <v>0</v>
      </c>
      <c r="J24" s="15">
        <v>0</v>
      </c>
      <c r="K24" s="13">
        <v>0.74</v>
      </c>
      <c r="L24" s="15"/>
      <c r="M24" s="11"/>
    </row>
    <row r="25" spans="1:13" x14ac:dyDescent="0.25">
      <c r="A25" t="s">
        <v>27</v>
      </c>
      <c r="B25">
        <f t="shared" si="0"/>
        <v>24</v>
      </c>
      <c r="C25" s="13">
        <v>7</v>
      </c>
      <c r="D25" s="13">
        <v>2022</v>
      </c>
      <c r="E25" s="15">
        <f>'07 - 2022'!B31-'07 - 2022'!B30</f>
        <v>0</v>
      </c>
      <c r="F25" s="15">
        <f>'07 - 2022'!C31-'07 - 2022'!C30</f>
        <v>0</v>
      </c>
      <c r="G25" s="13">
        <v>0.11799999999999999</v>
      </c>
      <c r="H25" s="15">
        <f>'07 - 2022'!E31-'07 - 2022'!E30</f>
        <v>0</v>
      </c>
      <c r="I25" s="15">
        <f>'07 - 2022'!F31-'07 - 2022'!F30</f>
        <v>0</v>
      </c>
      <c r="J25" s="15">
        <f>'07 - 2022'!G31-'07 - 2022'!G30</f>
        <v>0</v>
      </c>
      <c r="K25" s="13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3">
        <v>7</v>
      </c>
      <c r="D26" s="13">
        <v>2022</v>
      </c>
      <c r="E26" s="15">
        <f>'07 - 2022'!B32-'07 - 2022'!B31</f>
        <v>0</v>
      </c>
      <c r="F26" s="15">
        <f>'07 - 2022'!C32-'07 - 2022'!C31</f>
        <v>0</v>
      </c>
      <c r="G26" s="13">
        <v>0.11799999999999999</v>
      </c>
      <c r="H26" s="15">
        <f>'07 - 2022'!E32-'07 - 2022'!E31</f>
        <v>0</v>
      </c>
      <c r="I26" s="15">
        <f>'07 - 2022'!F32-'07 - 2022'!F31</f>
        <v>0</v>
      </c>
      <c r="J26" s="15">
        <f>'07 - 2022'!G32-'07 - 2022'!G31</f>
        <v>0</v>
      </c>
      <c r="K26" s="13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3">
        <v>7</v>
      </c>
      <c r="D27" s="13">
        <v>2022</v>
      </c>
      <c r="E27" s="15">
        <f>'07 - 2022'!B33-'07 - 2022'!B32</f>
        <v>0</v>
      </c>
      <c r="F27" s="15">
        <f>'07 - 2022'!C33-'07 - 2022'!C32</f>
        <v>0</v>
      </c>
      <c r="G27" s="13">
        <v>0.11799999999999999</v>
      </c>
      <c r="H27" s="15">
        <f>'07 - 2022'!E33-'07 - 2022'!E32</f>
        <v>0</v>
      </c>
      <c r="I27" s="15">
        <f>'07 - 2022'!F33-'07 - 2022'!F32</f>
        <v>0</v>
      </c>
      <c r="J27" s="15">
        <f>'07 - 2022'!G33-'07 - 2022'!G32</f>
        <v>0</v>
      </c>
      <c r="K27" s="13">
        <v>0.74</v>
      </c>
      <c r="L27" s="15"/>
      <c r="M27" s="11"/>
    </row>
    <row r="28" spans="1:13" x14ac:dyDescent="0.25">
      <c r="A28" t="s">
        <v>27</v>
      </c>
      <c r="B28">
        <f t="shared" si="0"/>
        <v>27</v>
      </c>
      <c r="C28" s="13">
        <v>7</v>
      </c>
      <c r="D28" s="13">
        <v>2022</v>
      </c>
      <c r="E28" s="15">
        <f>'07 - 2022'!B34-'07 - 2022'!B33</f>
        <v>0</v>
      </c>
      <c r="F28" s="15">
        <f>'07 - 2022'!C34-'07 - 2022'!C33</f>
        <v>0</v>
      </c>
      <c r="G28" s="13">
        <v>0.11799999999999999</v>
      </c>
      <c r="H28" s="15">
        <f>'07 - 2022'!E34-'07 - 2022'!E33</f>
        <v>0</v>
      </c>
      <c r="I28" s="15">
        <f>'07 - 2022'!F34-'07 - 2022'!F33</f>
        <v>0</v>
      </c>
      <c r="J28" s="15">
        <f>'07 - 2022'!G34-'07 - 2022'!G33</f>
        <v>0</v>
      </c>
      <c r="K28" s="13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3">
        <v>7</v>
      </c>
      <c r="D29" s="13">
        <v>2022</v>
      </c>
      <c r="E29" s="15">
        <f>'07 - 2022'!B35-'07 - 2022'!B34</f>
        <v>0</v>
      </c>
      <c r="F29" s="15">
        <f>'07 - 2022'!C35-'07 - 2022'!C34</f>
        <v>0</v>
      </c>
      <c r="G29" s="13">
        <v>0.11799999999999999</v>
      </c>
      <c r="H29" s="15">
        <f>'07 - 2022'!E35-'07 - 2022'!E34</f>
        <v>0</v>
      </c>
      <c r="I29" s="15">
        <f>'07 - 2022'!F35-'07 - 2022'!F34</f>
        <v>0</v>
      </c>
      <c r="J29" s="15">
        <f>'07 - 2022'!G35-'07 - 2022'!G34</f>
        <v>0</v>
      </c>
      <c r="K29" s="13">
        <v>0.74</v>
      </c>
      <c r="L29" s="4"/>
      <c r="M29" s="11"/>
    </row>
    <row r="30" spans="1:13" x14ac:dyDescent="0.25">
      <c r="A30" s="13" t="s">
        <v>27</v>
      </c>
      <c r="B30" s="13">
        <f t="shared" si="0"/>
        <v>29</v>
      </c>
      <c r="C30" s="13">
        <v>7</v>
      </c>
      <c r="D30" s="13">
        <v>2022</v>
      </c>
      <c r="E30" s="15">
        <f>'07 - 2022'!B36-'07 - 2022'!B35</f>
        <v>0</v>
      </c>
      <c r="F30" s="15">
        <f>'07 - 2022'!C36-'07 - 2022'!C35</f>
        <v>0</v>
      </c>
      <c r="G30" s="13">
        <v>0.11799999999999999</v>
      </c>
      <c r="H30" s="15">
        <f>'07 - 2022'!E36-'07 - 2022'!E35</f>
        <v>0</v>
      </c>
      <c r="I30" s="15">
        <f>'07 - 2022'!F36-'07 - 2022'!F35</f>
        <v>0</v>
      </c>
      <c r="J30" s="15">
        <f>'07 - 2022'!G36-'07 - 2022'!G35</f>
        <v>0</v>
      </c>
      <c r="K30" s="13">
        <v>0.74</v>
      </c>
      <c r="L30" s="15"/>
    </row>
    <row r="31" spans="1:13" x14ac:dyDescent="0.25">
      <c r="A31" s="13" t="s">
        <v>27</v>
      </c>
      <c r="B31" s="13">
        <f t="shared" si="0"/>
        <v>30</v>
      </c>
      <c r="C31" s="13">
        <v>7</v>
      </c>
      <c r="D31" s="13">
        <v>2022</v>
      </c>
      <c r="E31" s="15">
        <f>'07 - 2022'!B37-'07 - 2022'!B36</f>
        <v>0</v>
      </c>
      <c r="F31" s="15">
        <f>'07 - 2022'!C37-'07 - 2022'!C36</f>
        <v>0</v>
      </c>
      <c r="G31" s="13">
        <v>0.11799999999999999</v>
      </c>
      <c r="H31" s="15">
        <f>'07 - 2022'!E37-'07 - 2022'!E36</f>
        <v>0</v>
      </c>
      <c r="I31" s="15">
        <f>'07 - 2022'!F37-'07 - 2022'!F36</f>
        <v>0</v>
      </c>
      <c r="J31" s="15">
        <f>'07 - 2022'!G37-'07 - 2022'!G36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7</v>
      </c>
      <c r="D32" s="13">
        <v>2022</v>
      </c>
      <c r="E32" s="15">
        <f>'07 - 2022'!B38-'07 - 2022'!B37</f>
        <v>0</v>
      </c>
      <c r="F32" s="15">
        <f>'07 - 2022'!C38-'07 - 2022'!C37</f>
        <v>0</v>
      </c>
      <c r="G32" s="13">
        <v>0.11799999999999999</v>
      </c>
      <c r="H32" s="15">
        <f>'07 - 2022'!E38-'07 - 2022'!E37</f>
        <v>0</v>
      </c>
      <c r="I32" s="15">
        <f>'07 - 2022'!F38-'07 - 2022'!F37</f>
        <v>0</v>
      </c>
      <c r="J32" s="15">
        <f>'07 - 2022'!G38-'07 - 2022'!G37</f>
        <v>0</v>
      </c>
      <c r="K32" s="13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7" zoomScaleNormal="100" workbookViewId="0">
      <selection activeCell="H31" sqref="H31"/>
    </sheetView>
  </sheetViews>
  <sheetFormatPr defaultRowHeight="15" x14ac:dyDescent="0.25"/>
  <cols>
    <col min="1" max="1" width="13.5703125" style="47" customWidth="1"/>
    <col min="2" max="2" width="13.28515625" style="47" customWidth="1"/>
    <col min="3" max="3" width="13.140625" style="47" customWidth="1"/>
    <col min="4" max="4" width="9.85546875" style="47" customWidth="1"/>
    <col min="5" max="5" width="11.42578125" style="47" customWidth="1"/>
    <col min="6" max="6" width="11.7109375" style="47" customWidth="1"/>
    <col min="7" max="7" width="11.28515625" style="47" customWidth="1"/>
    <col min="8" max="8" width="13.5703125" style="47" customWidth="1"/>
    <col min="9" max="9" width="15.140625" style="47" customWidth="1"/>
    <col min="10" max="10" width="14.28515625" style="47" customWidth="1"/>
    <col min="11" max="11" width="16.42578125" style="47" customWidth="1"/>
    <col min="12" max="12" width="39" style="47" customWidth="1"/>
    <col min="13" max="13" width="14.140625" style="47" customWidth="1"/>
    <col min="14" max="16384" width="9.140625" style="47"/>
  </cols>
  <sheetData>
    <row r="1" spans="1:17" x14ac:dyDescent="0.25">
      <c r="H1" s="48"/>
      <c r="I1" s="48"/>
    </row>
    <row r="3" spans="1:17" ht="18.75" x14ac:dyDescent="0.25">
      <c r="A3" s="90" t="s">
        <v>30</v>
      </c>
      <c r="B3" s="90"/>
      <c r="C3" s="90"/>
      <c r="D3" s="90"/>
      <c r="E3" s="90"/>
      <c r="F3" s="90"/>
      <c r="G3" s="90"/>
      <c r="H3" s="90"/>
      <c r="I3" s="90"/>
      <c r="J3" s="90"/>
    </row>
    <row r="4" spans="1:17" ht="16.5" thickBot="1" x14ac:dyDescent="0.3">
      <c r="A4" s="91" t="s">
        <v>37</v>
      </c>
      <c r="B4" s="91"/>
      <c r="C4" s="91"/>
      <c r="D4" s="91"/>
      <c r="E4" s="91"/>
      <c r="F4" s="91"/>
      <c r="G4" s="91"/>
      <c r="H4" s="91"/>
      <c r="I4" s="91"/>
      <c r="J4" s="91"/>
    </row>
    <row r="5" spans="1:17" ht="16.5" thickBot="1" x14ac:dyDescent="0.3">
      <c r="A5" s="49"/>
      <c r="B5" s="92" t="s">
        <v>36</v>
      </c>
      <c r="C5" s="93"/>
      <c r="D5" s="92" t="s">
        <v>0</v>
      </c>
      <c r="E5" s="94"/>
      <c r="F5" s="94"/>
      <c r="G5" s="95"/>
      <c r="H5" s="96" t="s">
        <v>1</v>
      </c>
      <c r="I5" s="97"/>
      <c r="J5" s="50" t="s">
        <v>2</v>
      </c>
      <c r="K5" s="49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55" customFormat="1" ht="12.95" customHeight="1" x14ac:dyDescent="0.25">
      <c r="A7" s="51">
        <v>44742</v>
      </c>
      <c r="B7" s="27">
        <v>231743</v>
      </c>
      <c r="C7" s="28">
        <v>1084089.1000000001</v>
      </c>
      <c r="D7" s="29">
        <v>0.5</v>
      </c>
      <c r="E7" s="30">
        <v>2636.11</v>
      </c>
      <c r="F7" s="30">
        <v>2542.4</v>
      </c>
      <c r="G7" s="30">
        <v>43450.42</v>
      </c>
      <c r="H7" s="27">
        <v>14528</v>
      </c>
      <c r="I7" s="27">
        <v>162394</v>
      </c>
      <c r="J7" s="27">
        <v>56817595</v>
      </c>
      <c r="K7" s="52"/>
      <c r="L7" s="53"/>
      <c r="M7" s="54"/>
    </row>
    <row r="8" spans="1:17" s="60" customFormat="1" ht="12.95" customHeight="1" x14ac:dyDescent="0.25">
      <c r="A8" s="56">
        <f>A7+1</f>
        <v>44743</v>
      </c>
      <c r="B8" s="35">
        <v>235673</v>
      </c>
      <c r="C8" s="35">
        <v>1089903.1000000001</v>
      </c>
      <c r="D8" s="31">
        <v>0.43</v>
      </c>
      <c r="E8" s="34">
        <v>2661</v>
      </c>
      <c r="F8" s="34">
        <v>2548.27</v>
      </c>
      <c r="G8" s="35">
        <v>43482.76</v>
      </c>
      <c r="H8" s="35">
        <v>14528</v>
      </c>
      <c r="I8" s="35">
        <v>162504</v>
      </c>
      <c r="J8" s="35">
        <v>56855078</v>
      </c>
      <c r="K8" s="57"/>
      <c r="L8" s="58"/>
      <c r="M8" s="59"/>
    </row>
    <row r="9" spans="1:17" s="60" customFormat="1" ht="12.95" customHeight="1" x14ac:dyDescent="0.25">
      <c r="A9" s="56">
        <f t="shared" ref="A9:A38" si="0">A8+1</f>
        <v>44744</v>
      </c>
      <c r="B9" s="35">
        <v>239650</v>
      </c>
      <c r="C9" s="33">
        <v>1095848.3999999999</v>
      </c>
      <c r="D9" s="31">
        <v>0.35</v>
      </c>
      <c r="E9" s="32">
        <v>2686.24</v>
      </c>
      <c r="F9" s="32">
        <v>2554.81</v>
      </c>
      <c r="G9" s="34">
        <v>43515.839999999997</v>
      </c>
      <c r="H9" s="35">
        <v>14528</v>
      </c>
      <c r="I9" s="35">
        <v>162613</v>
      </c>
      <c r="J9" s="35">
        <v>56891993</v>
      </c>
      <c r="K9" s="61"/>
      <c r="L9" s="62"/>
      <c r="M9" s="59"/>
    </row>
    <row r="10" spans="1:17" s="60" customFormat="1" ht="12.95" customHeight="1" x14ac:dyDescent="0.25">
      <c r="A10" s="56">
        <f t="shared" si="0"/>
        <v>44745</v>
      </c>
      <c r="B10" s="35">
        <v>243540</v>
      </c>
      <c r="C10" s="35">
        <v>1101722</v>
      </c>
      <c r="D10" s="31">
        <v>0.78</v>
      </c>
      <c r="E10" s="32">
        <v>2711.43</v>
      </c>
      <c r="F10" s="32">
        <v>2561.4299999999998</v>
      </c>
      <c r="G10" s="34">
        <v>43547.68</v>
      </c>
      <c r="H10" s="35">
        <v>14528</v>
      </c>
      <c r="I10" s="35">
        <v>162722</v>
      </c>
      <c r="J10" s="36">
        <v>56933769</v>
      </c>
      <c r="K10" s="61">
        <v>3600</v>
      </c>
      <c r="L10" s="63"/>
      <c r="M10" s="59"/>
    </row>
    <row r="11" spans="1:17" s="60" customFormat="1" ht="12.95" customHeight="1" x14ac:dyDescent="0.25">
      <c r="A11" s="56">
        <f t="shared" si="0"/>
        <v>44746</v>
      </c>
      <c r="B11" s="35">
        <v>247420</v>
      </c>
      <c r="C11" s="35">
        <v>1107488</v>
      </c>
      <c r="D11" s="31">
        <v>0.72</v>
      </c>
      <c r="E11" s="32">
        <v>2733.78</v>
      </c>
      <c r="F11" s="32">
        <v>2569.8200000000002</v>
      </c>
      <c r="G11" s="34">
        <v>43580.53</v>
      </c>
      <c r="H11" s="35">
        <v>14528</v>
      </c>
      <c r="I11" s="35">
        <v>162820</v>
      </c>
      <c r="J11" s="35">
        <v>56976607</v>
      </c>
      <c r="K11" s="61"/>
      <c r="L11" s="63"/>
      <c r="M11" s="59"/>
    </row>
    <row r="12" spans="1:17" s="60" customFormat="1" ht="12.95" customHeight="1" x14ac:dyDescent="0.25">
      <c r="A12" s="56">
        <f t="shared" si="0"/>
        <v>44747</v>
      </c>
      <c r="B12" s="35">
        <v>251353</v>
      </c>
      <c r="C12" s="35">
        <v>1113205</v>
      </c>
      <c r="D12" s="31">
        <v>0.65</v>
      </c>
      <c r="E12" s="64">
        <v>2752.94</v>
      </c>
      <c r="F12" s="64">
        <v>2576.9699999999998</v>
      </c>
      <c r="G12" s="35">
        <v>43611.79</v>
      </c>
      <c r="H12" s="35">
        <v>14528</v>
      </c>
      <c r="I12" s="35">
        <v>162915</v>
      </c>
      <c r="J12" s="35">
        <v>57018936</v>
      </c>
      <c r="K12" s="61"/>
      <c r="L12" s="63"/>
      <c r="M12" s="59"/>
      <c r="N12" s="65"/>
    </row>
    <row r="13" spans="1:17" s="60" customFormat="1" ht="12.95" customHeight="1" x14ac:dyDescent="0.25">
      <c r="A13" s="56">
        <f t="shared" si="0"/>
        <v>44748</v>
      </c>
      <c r="B13" s="35">
        <v>255408</v>
      </c>
      <c r="C13" s="33">
        <v>1119038</v>
      </c>
      <c r="D13" s="31">
        <v>0.57999999999999996</v>
      </c>
      <c r="E13" s="32">
        <v>2775.98</v>
      </c>
      <c r="F13" s="32">
        <v>2584.9</v>
      </c>
      <c r="G13" s="34">
        <v>43640.78</v>
      </c>
      <c r="H13" s="35">
        <v>14528</v>
      </c>
      <c r="I13" s="33">
        <v>163009</v>
      </c>
      <c r="J13" s="33">
        <v>57060416</v>
      </c>
      <c r="K13" s="61"/>
      <c r="L13" s="63"/>
      <c r="M13" s="59"/>
      <c r="N13" s="66"/>
      <c r="O13" s="66"/>
      <c r="P13" s="66"/>
      <c r="Q13" s="66"/>
    </row>
    <row r="14" spans="1:17" s="60" customFormat="1" ht="12.95" customHeight="1" x14ac:dyDescent="0.25">
      <c r="A14" s="56">
        <f t="shared" si="0"/>
        <v>44749</v>
      </c>
      <c r="B14" s="35">
        <v>259151</v>
      </c>
      <c r="C14" s="35">
        <v>1124510</v>
      </c>
      <c r="D14" s="31">
        <v>0.51</v>
      </c>
      <c r="E14" s="32">
        <v>2800.07</v>
      </c>
      <c r="F14" s="32">
        <v>2592.38</v>
      </c>
      <c r="G14" s="33">
        <v>43670.3</v>
      </c>
      <c r="H14" s="35">
        <v>14528</v>
      </c>
      <c r="I14" s="35">
        <v>163100</v>
      </c>
      <c r="J14" s="35">
        <v>57096034</v>
      </c>
      <c r="K14" s="61"/>
      <c r="L14" s="63"/>
      <c r="M14" s="59"/>
      <c r="N14" s="66"/>
      <c r="O14" s="66"/>
      <c r="P14" s="66"/>
      <c r="Q14" s="66"/>
    </row>
    <row r="15" spans="1:17" s="60" customFormat="1" ht="12.95" customHeight="1" x14ac:dyDescent="0.25">
      <c r="A15" s="56">
        <f t="shared" si="0"/>
        <v>44750</v>
      </c>
      <c r="B15" s="35">
        <v>263158</v>
      </c>
      <c r="C15" s="35">
        <v>1130199</v>
      </c>
      <c r="D15" s="31">
        <v>0.45</v>
      </c>
      <c r="E15" s="32">
        <v>2822.8</v>
      </c>
      <c r="F15" s="84">
        <v>2599.77</v>
      </c>
      <c r="G15" s="33">
        <v>43698.17</v>
      </c>
      <c r="H15" s="35">
        <v>14528</v>
      </c>
      <c r="I15" s="35">
        <v>163195</v>
      </c>
      <c r="J15" s="35">
        <v>57130628</v>
      </c>
      <c r="K15" s="85"/>
      <c r="L15" s="63"/>
      <c r="M15" s="59"/>
      <c r="N15" s="66"/>
      <c r="O15" s="66"/>
      <c r="P15" s="66"/>
      <c r="Q15" s="66"/>
    </row>
    <row r="16" spans="1:17" s="60" customFormat="1" ht="12.95" customHeight="1" x14ac:dyDescent="0.25">
      <c r="A16" s="56">
        <f t="shared" si="0"/>
        <v>44751</v>
      </c>
      <c r="B16" s="86">
        <v>267246</v>
      </c>
      <c r="C16" s="35">
        <v>1135835</v>
      </c>
      <c r="D16" s="31">
        <v>0.38</v>
      </c>
      <c r="E16" s="32">
        <v>2848.29</v>
      </c>
      <c r="F16" s="84">
        <v>2607.1999999999998</v>
      </c>
      <c r="G16" s="33">
        <v>43725.9</v>
      </c>
      <c r="H16" s="35">
        <v>14528</v>
      </c>
      <c r="I16" s="35">
        <v>163293</v>
      </c>
      <c r="J16" s="35">
        <v>57165866</v>
      </c>
      <c r="K16" s="85"/>
      <c r="L16" s="63"/>
      <c r="M16" s="59"/>
      <c r="N16" s="66"/>
      <c r="O16" s="66"/>
      <c r="P16" s="66"/>
      <c r="Q16" s="66"/>
    </row>
    <row r="17" spans="1:19" s="60" customFormat="1" ht="12.95" customHeight="1" x14ac:dyDescent="0.25">
      <c r="A17" s="56">
        <f t="shared" si="0"/>
        <v>44752</v>
      </c>
      <c r="B17" s="33">
        <v>271168</v>
      </c>
      <c r="C17" s="33">
        <v>1141395</v>
      </c>
      <c r="D17" s="87">
        <v>0.8</v>
      </c>
      <c r="E17" s="32">
        <v>2871.17</v>
      </c>
      <c r="F17" s="84">
        <v>2614.6799999999998</v>
      </c>
      <c r="G17" s="33">
        <v>43753.18</v>
      </c>
      <c r="H17" s="35">
        <v>14528</v>
      </c>
      <c r="I17" s="33">
        <v>163389</v>
      </c>
      <c r="J17" s="33">
        <v>57200194</v>
      </c>
      <c r="K17" s="85">
        <v>3300</v>
      </c>
      <c r="L17" s="63"/>
      <c r="M17" s="59"/>
      <c r="N17" s="66"/>
      <c r="O17" s="66"/>
      <c r="P17" s="66"/>
      <c r="Q17" s="66"/>
    </row>
    <row r="18" spans="1:19" s="60" customFormat="1" ht="12.95" customHeight="1" x14ac:dyDescent="0.25">
      <c r="A18" s="56">
        <f t="shared" si="0"/>
        <v>44753</v>
      </c>
      <c r="B18" s="35">
        <v>275115</v>
      </c>
      <c r="C18" s="35">
        <v>1147108</v>
      </c>
      <c r="D18" s="31">
        <v>0.72</v>
      </c>
      <c r="E18" s="32">
        <v>2895.56</v>
      </c>
      <c r="F18" s="32">
        <v>2622.1</v>
      </c>
      <c r="G18" s="33">
        <v>43783.91</v>
      </c>
      <c r="H18" s="35">
        <v>14528</v>
      </c>
      <c r="I18" s="35">
        <v>163496</v>
      </c>
      <c r="J18" s="35">
        <v>57237645</v>
      </c>
      <c r="K18" s="85"/>
      <c r="L18" s="63"/>
      <c r="M18" s="59"/>
      <c r="N18" s="66"/>
      <c r="O18" s="22"/>
      <c r="P18" s="66"/>
      <c r="Q18" s="66"/>
    </row>
    <row r="19" spans="1:19" s="60" customFormat="1" ht="12.95" customHeight="1" x14ac:dyDescent="0.25">
      <c r="A19" s="56">
        <f t="shared" si="0"/>
        <v>44754</v>
      </c>
      <c r="B19" s="37">
        <v>279284</v>
      </c>
      <c r="C19" s="37">
        <v>1152690</v>
      </c>
      <c r="D19" s="31">
        <v>0.65</v>
      </c>
      <c r="E19" s="32">
        <v>2919.09</v>
      </c>
      <c r="F19" s="32">
        <v>2629.57</v>
      </c>
      <c r="G19" s="38">
        <v>43812.63</v>
      </c>
      <c r="H19" s="35">
        <v>14528</v>
      </c>
      <c r="I19" s="37">
        <v>163597</v>
      </c>
      <c r="J19" s="37">
        <v>57272583</v>
      </c>
      <c r="K19" s="85"/>
      <c r="L19" s="63"/>
      <c r="M19" s="59"/>
      <c r="N19" s="66"/>
      <c r="O19" s="22"/>
      <c r="P19" s="66"/>
      <c r="Q19" s="66"/>
    </row>
    <row r="20" spans="1:19" s="60" customFormat="1" ht="12.95" customHeight="1" x14ac:dyDescent="0.25">
      <c r="A20" s="56">
        <f t="shared" si="0"/>
        <v>44755</v>
      </c>
      <c r="B20" s="37">
        <v>283375</v>
      </c>
      <c r="C20" s="37">
        <v>1158253</v>
      </c>
      <c r="D20" s="31">
        <v>0.56999999999999995</v>
      </c>
      <c r="E20" s="64">
        <v>2943.78</v>
      </c>
      <c r="F20" s="64">
        <v>2636.37</v>
      </c>
      <c r="G20" s="38">
        <v>43839.33</v>
      </c>
      <c r="H20" s="35">
        <v>14528</v>
      </c>
      <c r="I20" s="37">
        <v>163695</v>
      </c>
      <c r="J20" s="37">
        <v>57309924</v>
      </c>
      <c r="K20" s="61"/>
      <c r="L20" s="67"/>
      <c r="M20" s="59"/>
      <c r="N20" s="68"/>
      <c r="O20" s="66"/>
      <c r="P20" s="66"/>
      <c r="Q20" s="66"/>
    </row>
    <row r="21" spans="1:19" s="60" customFormat="1" ht="12.95" customHeight="1" x14ac:dyDescent="0.25">
      <c r="A21" s="56">
        <f t="shared" si="0"/>
        <v>44756</v>
      </c>
      <c r="B21" s="37">
        <v>287280</v>
      </c>
      <c r="C21" s="37">
        <v>1163652</v>
      </c>
      <c r="D21" s="31">
        <v>0.52</v>
      </c>
      <c r="E21" s="39">
        <v>2968.3</v>
      </c>
      <c r="F21" s="32">
        <v>2643.89</v>
      </c>
      <c r="G21" s="38">
        <v>43868.39</v>
      </c>
      <c r="H21" s="35">
        <v>14528</v>
      </c>
      <c r="I21" s="37">
        <v>163793</v>
      </c>
      <c r="J21" s="37">
        <v>57348168</v>
      </c>
      <c r="K21" s="61"/>
      <c r="L21" s="67"/>
      <c r="M21" s="59"/>
      <c r="N21" s="68"/>
      <c r="O21" s="68"/>
      <c r="P21" s="69"/>
      <c r="Q21" s="69"/>
      <c r="S21" s="65"/>
    </row>
    <row r="22" spans="1:19" s="60" customFormat="1" ht="12.95" customHeight="1" x14ac:dyDescent="0.25">
      <c r="A22" s="56">
        <f t="shared" si="0"/>
        <v>44757</v>
      </c>
      <c r="B22" s="88">
        <v>291190</v>
      </c>
      <c r="C22" s="86">
        <v>1169206</v>
      </c>
      <c r="D22" s="31">
        <v>0.46</v>
      </c>
      <c r="E22" s="32">
        <v>2991.1</v>
      </c>
      <c r="F22" s="32">
        <v>2652.16</v>
      </c>
      <c r="G22" s="38">
        <v>43898.55</v>
      </c>
      <c r="H22" s="35">
        <v>14528</v>
      </c>
      <c r="I22" s="38">
        <v>163903</v>
      </c>
      <c r="J22" s="37">
        <v>57384564</v>
      </c>
      <c r="K22" s="61"/>
      <c r="L22" s="67"/>
      <c r="M22" s="59"/>
      <c r="N22" s="68"/>
      <c r="O22" s="68"/>
      <c r="P22" s="66"/>
      <c r="Q22" s="66"/>
    </row>
    <row r="23" spans="1:19" s="60" customFormat="1" ht="12.95" customHeight="1" x14ac:dyDescent="0.25">
      <c r="A23" s="56">
        <f t="shared" si="0"/>
        <v>44758</v>
      </c>
      <c r="B23" s="37">
        <v>295139</v>
      </c>
      <c r="C23" s="37">
        <v>1174688</v>
      </c>
      <c r="D23" s="31">
        <v>0.4</v>
      </c>
      <c r="E23" s="39">
        <v>3015.06</v>
      </c>
      <c r="F23" s="32">
        <v>2659.62</v>
      </c>
      <c r="G23" s="38">
        <v>43926.48</v>
      </c>
      <c r="H23" s="35">
        <v>14528</v>
      </c>
      <c r="I23" s="37">
        <v>164000</v>
      </c>
      <c r="J23" s="37">
        <v>57417865</v>
      </c>
      <c r="K23" s="85"/>
      <c r="L23" s="67"/>
      <c r="M23" s="59"/>
      <c r="N23" s="68"/>
      <c r="O23" s="66"/>
      <c r="P23" s="66"/>
      <c r="Q23" s="66"/>
    </row>
    <row r="24" spans="1:19" s="60" customFormat="1" ht="12.95" customHeight="1" x14ac:dyDescent="0.25">
      <c r="A24" s="56">
        <f t="shared" si="0"/>
        <v>44759</v>
      </c>
      <c r="B24" s="37">
        <v>299165</v>
      </c>
      <c r="C24" s="37">
        <v>1180274</v>
      </c>
      <c r="D24" s="31">
        <v>0.8</v>
      </c>
      <c r="E24" s="39">
        <v>3036.45</v>
      </c>
      <c r="F24" s="32">
        <v>2667.39</v>
      </c>
      <c r="G24" s="38">
        <v>43956.74</v>
      </c>
      <c r="H24" s="35">
        <v>14528</v>
      </c>
      <c r="I24" s="37">
        <v>164095</v>
      </c>
      <c r="J24" s="37">
        <v>57452020</v>
      </c>
      <c r="K24" s="85">
        <v>3100</v>
      </c>
      <c r="L24" s="70"/>
      <c r="M24" s="59"/>
      <c r="N24" s="68"/>
      <c r="O24" s="68"/>
      <c r="P24" s="66"/>
      <c r="Q24" s="66"/>
    </row>
    <row r="25" spans="1:19" s="60" customFormat="1" ht="12.95" customHeight="1" x14ac:dyDescent="0.25">
      <c r="A25" s="56">
        <f t="shared" si="0"/>
        <v>44760</v>
      </c>
      <c r="B25" s="38">
        <v>303116</v>
      </c>
      <c r="C25" s="38">
        <v>1185829</v>
      </c>
      <c r="D25" s="31">
        <v>0.73</v>
      </c>
      <c r="E25" s="39">
        <v>3058.34</v>
      </c>
      <c r="F25" s="32">
        <v>2674.66</v>
      </c>
      <c r="G25" s="38">
        <v>43983.18</v>
      </c>
      <c r="H25" s="35">
        <v>14528</v>
      </c>
      <c r="I25" s="37">
        <v>164185</v>
      </c>
      <c r="J25" s="37">
        <v>57488926</v>
      </c>
      <c r="K25" s="89"/>
      <c r="L25" s="70"/>
      <c r="M25" s="59"/>
      <c r="N25" s="68"/>
      <c r="O25" s="68"/>
      <c r="P25" s="66"/>
      <c r="Q25" s="66"/>
    </row>
    <row r="26" spans="1:19" s="60" customFormat="1" ht="12.95" customHeight="1" x14ac:dyDescent="0.25">
      <c r="A26" s="56">
        <f t="shared" si="0"/>
        <v>44761</v>
      </c>
      <c r="B26" s="38">
        <v>306994</v>
      </c>
      <c r="C26" s="38">
        <v>1191340</v>
      </c>
      <c r="D26" s="87">
        <v>0.65</v>
      </c>
      <c r="E26" s="39">
        <v>3083.54</v>
      </c>
      <c r="F26" s="32">
        <v>2681.16</v>
      </c>
      <c r="G26" s="38">
        <v>44010.93</v>
      </c>
      <c r="H26" s="35">
        <v>14528</v>
      </c>
      <c r="I26" s="37">
        <v>164283</v>
      </c>
      <c r="J26" s="37">
        <v>57521812</v>
      </c>
      <c r="K26" s="61"/>
      <c r="L26" s="70"/>
      <c r="M26" s="59"/>
      <c r="N26" s="68"/>
      <c r="O26" s="68"/>
      <c r="P26" s="66"/>
      <c r="Q26" s="66"/>
    </row>
    <row r="27" spans="1:19" s="60" customFormat="1" ht="12.95" customHeight="1" x14ac:dyDescent="0.25">
      <c r="A27" s="56">
        <f t="shared" si="0"/>
        <v>44762</v>
      </c>
      <c r="B27" s="37">
        <v>311105</v>
      </c>
      <c r="C27" s="37">
        <v>1196813</v>
      </c>
      <c r="D27" s="31">
        <v>0.56000000000000005</v>
      </c>
      <c r="E27" s="39">
        <v>3108.6</v>
      </c>
      <c r="F27" s="32">
        <v>2687.57</v>
      </c>
      <c r="G27" s="38">
        <v>44039.43</v>
      </c>
      <c r="H27" s="35">
        <v>14528</v>
      </c>
      <c r="I27" s="37">
        <v>164383</v>
      </c>
      <c r="J27" s="37">
        <v>57556128</v>
      </c>
      <c r="K27" s="61"/>
      <c r="L27" s="67"/>
      <c r="M27" s="59"/>
    </row>
    <row r="28" spans="1:19" s="60" customFormat="1" ht="12.95" customHeight="1" x14ac:dyDescent="0.25">
      <c r="A28" s="56">
        <f t="shared" si="0"/>
        <v>44763</v>
      </c>
      <c r="B28" s="98">
        <v>315143</v>
      </c>
      <c r="C28" s="37">
        <v>1202342</v>
      </c>
      <c r="D28" s="31">
        <v>0.48</v>
      </c>
      <c r="E28" s="39">
        <v>3133.35</v>
      </c>
      <c r="F28" s="32">
        <v>2693.79</v>
      </c>
      <c r="G28" s="38">
        <v>44066</v>
      </c>
      <c r="H28" s="35">
        <v>14528</v>
      </c>
      <c r="I28" s="37">
        <v>164481</v>
      </c>
      <c r="J28" s="37">
        <v>57591288</v>
      </c>
      <c r="K28" s="61"/>
      <c r="L28" s="67"/>
      <c r="M28" s="59"/>
    </row>
    <row r="29" spans="1:19" s="60" customFormat="1" ht="12.95" customHeight="1" x14ac:dyDescent="0.25">
      <c r="A29" s="56">
        <f t="shared" si="0"/>
        <v>44764</v>
      </c>
      <c r="B29" s="37">
        <v>319253</v>
      </c>
      <c r="C29" s="37">
        <v>1207866</v>
      </c>
      <c r="D29" s="31">
        <v>0.4</v>
      </c>
      <c r="E29" s="39">
        <v>3158.64</v>
      </c>
      <c r="F29" s="32">
        <v>2701.75</v>
      </c>
      <c r="G29" s="38">
        <v>44092.28</v>
      </c>
      <c r="H29" s="35">
        <v>14528</v>
      </c>
      <c r="I29" s="37">
        <v>164586</v>
      </c>
      <c r="J29" s="37">
        <v>57627831</v>
      </c>
      <c r="K29" s="61"/>
      <c r="L29" s="67"/>
      <c r="M29" s="59"/>
      <c r="N29" s="65"/>
    </row>
    <row r="30" spans="1:19" s="60" customFormat="1" ht="12.95" customHeight="1" x14ac:dyDescent="0.25">
      <c r="A30" s="56">
        <f t="shared" si="0"/>
        <v>44765</v>
      </c>
      <c r="B30" s="37"/>
      <c r="C30" s="37"/>
      <c r="D30" s="31"/>
      <c r="E30" s="39"/>
      <c r="F30" s="32"/>
      <c r="G30" s="38"/>
      <c r="H30" s="35"/>
      <c r="I30" s="37"/>
      <c r="J30" s="37"/>
      <c r="K30" s="61"/>
      <c r="L30" s="67"/>
      <c r="M30" s="59"/>
    </row>
    <row r="31" spans="1:19" s="60" customFormat="1" ht="12.95" customHeight="1" x14ac:dyDescent="0.25">
      <c r="A31" s="56">
        <f t="shared" si="0"/>
        <v>44766</v>
      </c>
      <c r="B31" s="37"/>
      <c r="C31" s="37"/>
      <c r="D31" s="31"/>
      <c r="E31" s="39"/>
      <c r="F31" s="32"/>
      <c r="G31" s="38"/>
      <c r="H31" s="35"/>
      <c r="I31" s="37"/>
      <c r="J31" s="37"/>
      <c r="K31" s="61"/>
      <c r="L31" s="67"/>
      <c r="M31" s="59"/>
      <c r="N31" s="65"/>
      <c r="O31" s="65"/>
    </row>
    <row r="32" spans="1:19" s="60" customFormat="1" ht="12.95" customHeight="1" x14ac:dyDescent="0.25">
      <c r="A32" s="56">
        <f t="shared" si="0"/>
        <v>44767</v>
      </c>
      <c r="B32" s="37"/>
      <c r="C32" s="37"/>
      <c r="D32" s="31"/>
      <c r="E32" s="39"/>
      <c r="F32" s="32"/>
      <c r="G32" s="38"/>
      <c r="H32" s="35"/>
      <c r="I32" s="37"/>
      <c r="J32" s="37"/>
      <c r="K32" s="61"/>
      <c r="L32" s="67"/>
      <c r="M32" s="59"/>
      <c r="N32" s="65"/>
      <c r="O32" s="65"/>
    </row>
    <row r="33" spans="1:16" s="60" customFormat="1" ht="12.95" customHeight="1" x14ac:dyDescent="0.25">
      <c r="A33" s="56">
        <f t="shared" si="0"/>
        <v>44768</v>
      </c>
      <c r="B33" s="37"/>
      <c r="C33" s="37"/>
      <c r="D33" s="31"/>
      <c r="E33" s="39"/>
      <c r="F33" s="32"/>
      <c r="G33" s="38"/>
      <c r="H33" s="35"/>
      <c r="I33" s="37"/>
      <c r="J33" s="37"/>
      <c r="K33" s="61"/>
      <c r="L33" s="71"/>
      <c r="M33" s="72"/>
      <c r="N33" s="65"/>
      <c r="O33" s="65"/>
    </row>
    <row r="34" spans="1:16" s="60" customFormat="1" ht="12.95" customHeight="1" x14ac:dyDescent="0.25">
      <c r="A34" s="56">
        <f t="shared" si="0"/>
        <v>44769</v>
      </c>
      <c r="B34" s="37"/>
      <c r="C34" s="37"/>
      <c r="D34" s="31"/>
      <c r="E34" s="39"/>
      <c r="F34" s="32"/>
      <c r="G34" s="38"/>
      <c r="H34" s="35"/>
      <c r="I34" s="38"/>
      <c r="J34" s="38"/>
      <c r="K34" s="61"/>
      <c r="L34" s="63"/>
      <c r="M34" s="72"/>
      <c r="N34" s="65"/>
      <c r="P34" s="65"/>
    </row>
    <row r="35" spans="1:16" s="60" customFormat="1" ht="12.95" customHeight="1" x14ac:dyDescent="0.25">
      <c r="A35" s="56">
        <f>A34+1</f>
        <v>44770</v>
      </c>
      <c r="B35" s="35"/>
      <c r="C35" s="40"/>
      <c r="D35" s="31"/>
      <c r="E35" s="39"/>
      <c r="F35" s="32"/>
      <c r="G35" s="33"/>
      <c r="H35" s="35"/>
      <c r="I35" s="35"/>
      <c r="J35" s="35"/>
      <c r="K35" s="61"/>
      <c r="L35" s="67"/>
      <c r="M35" s="59"/>
      <c r="N35" s="65"/>
      <c r="O35" s="65"/>
    </row>
    <row r="36" spans="1:16" s="60" customFormat="1" ht="12.95" customHeight="1" x14ac:dyDescent="0.25">
      <c r="A36" s="73">
        <f t="shared" si="0"/>
        <v>44771</v>
      </c>
      <c r="B36" s="35"/>
      <c r="C36" s="40"/>
      <c r="D36" s="31"/>
      <c r="E36" s="39"/>
      <c r="F36" s="32"/>
      <c r="G36" s="33"/>
      <c r="H36" s="35"/>
      <c r="I36" s="35"/>
      <c r="J36" s="35"/>
      <c r="K36" s="61"/>
      <c r="L36" s="67"/>
      <c r="M36" s="59"/>
      <c r="N36" s="65"/>
      <c r="O36" s="65"/>
    </row>
    <row r="37" spans="1:16" s="60" customFormat="1" ht="12.95" customHeight="1" x14ac:dyDescent="0.25">
      <c r="A37" s="73">
        <f t="shared" si="0"/>
        <v>44772</v>
      </c>
      <c r="B37" s="35"/>
      <c r="C37" s="40"/>
      <c r="D37" s="31"/>
      <c r="E37" s="39"/>
      <c r="F37" s="32"/>
      <c r="G37" s="33"/>
      <c r="H37" s="35"/>
      <c r="I37" s="35"/>
      <c r="J37" s="35"/>
      <c r="K37" s="61"/>
      <c r="L37" s="67"/>
      <c r="M37" s="59"/>
      <c r="N37" s="65"/>
      <c r="O37" s="65"/>
    </row>
    <row r="38" spans="1:16" s="60" customFormat="1" ht="12.95" customHeight="1" thickBot="1" x14ac:dyDescent="0.3">
      <c r="A38" s="74">
        <f t="shared" si="0"/>
        <v>44773</v>
      </c>
      <c r="B38" s="41"/>
      <c r="C38" s="42"/>
      <c r="D38" s="43"/>
      <c r="E38" s="44"/>
      <c r="F38" s="45"/>
      <c r="G38" s="46"/>
      <c r="H38" s="41"/>
      <c r="I38" s="41"/>
      <c r="J38" s="41"/>
      <c r="K38" s="75"/>
      <c r="L38" s="76"/>
      <c r="M38" s="59"/>
      <c r="N38" s="65"/>
      <c r="O38" s="65"/>
    </row>
    <row r="39" spans="1:16" s="60" customFormat="1" ht="12.95" customHeight="1" x14ac:dyDescent="0.25">
      <c r="A39" s="77" t="s">
        <v>35</v>
      </c>
      <c r="B39" s="78">
        <f>B38-B7</f>
        <v>-231743</v>
      </c>
      <c r="C39" s="78">
        <f>C38-C7</f>
        <v>-1084089.1000000001</v>
      </c>
      <c r="D39" s="78"/>
      <c r="E39" s="78">
        <f>E38-E7</f>
        <v>-2636.11</v>
      </c>
      <c r="F39" s="78">
        <f>F38-F7</f>
        <v>-2542.4</v>
      </c>
      <c r="G39" s="78">
        <f>G38-G7</f>
        <v>-43450.42</v>
      </c>
      <c r="H39" s="78">
        <f t="shared" ref="H39" si="1">H38-H7</f>
        <v>-14528</v>
      </c>
      <c r="I39" s="78">
        <f>I38-I7</f>
        <v>-162394</v>
      </c>
      <c r="J39" s="78">
        <f>J38-J7</f>
        <v>-56817595</v>
      </c>
      <c r="K39" s="78">
        <f>SUM(K7:K38)</f>
        <v>10000</v>
      </c>
      <c r="L39" s="47"/>
      <c r="M39" s="47"/>
      <c r="N39" s="65"/>
      <c r="O39" s="65"/>
    </row>
    <row r="40" spans="1:16" s="81" customFormat="1" x14ac:dyDescent="0.25">
      <c r="A40" s="47"/>
      <c r="B40" s="47"/>
      <c r="C40" s="78"/>
      <c r="D40" s="47"/>
      <c r="E40" s="79"/>
      <c r="F40" s="79"/>
      <c r="G40" s="79"/>
      <c r="H40" s="80">
        <f>H39*219.969</f>
        <v>-3195709.6319999998</v>
      </c>
      <c r="I40" s="78">
        <f>I39*219.969</f>
        <v>-35721645.785999998</v>
      </c>
      <c r="J40" s="79"/>
      <c r="K40" s="47"/>
      <c r="L40" s="47"/>
      <c r="M40" s="47"/>
    </row>
    <row r="41" spans="1:16" s="81" customFormat="1" x14ac:dyDescent="0.25">
      <c r="A41" s="47"/>
      <c r="B41" s="47"/>
      <c r="C41" s="78"/>
      <c r="D41" s="47"/>
      <c r="E41" s="79"/>
      <c r="F41" s="79"/>
      <c r="G41" s="79"/>
      <c r="H41" s="80"/>
      <c r="I41" s="78"/>
      <c r="J41" s="79"/>
      <c r="K41" s="47"/>
      <c r="L41" s="47"/>
    </row>
    <row r="42" spans="1:16" x14ac:dyDescent="0.25">
      <c r="C42" s="82"/>
      <c r="I42" s="83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07 - 2022</vt:lpstr>
      <vt:lpstr>'07 - 2022'!Print_Area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2022-07-22T07:01:55Z</dcterms:modified>
</cp:coreProperties>
</file>