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7" i="3" l="1"/>
  <c r="K27" i="3"/>
  <c r="I27" i="3"/>
  <c r="G27" i="3"/>
  <c r="E27" i="3"/>
  <c r="J27" i="2"/>
  <c r="I27" i="2"/>
  <c r="H27" i="2"/>
  <c r="F27" i="2"/>
  <c r="E27" i="2"/>
  <c r="G29" i="3" l="1"/>
  <c r="H29" i="2"/>
  <c r="G30" i="3" l="1"/>
  <c r="H30" i="2"/>
  <c r="L20" i="3" l="1"/>
  <c r="K20" i="3"/>
  <c r="I20" i="3"/>
  <c r="G20" i="3"/>
  <c r="E20" i="3"/>
  <c r="J20" i="2"/>
  <c r="I20" i="2"/>
  <c r="H20" i="2"/>
  <c r="F20" i="2"/>
  <c r="E20" i="2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<sst xmlns="http://schemas.openxmlformats.org/spreadsheetml/2006/main" count="107" uniqueCount="40">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</sst>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S31" sqref="S3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8919</v>
      </c>
      <c r="F16" s="19">
        <v>0.11799999999999999</v>
      </c>
      <c r="G16" s="21">
        <f>(('4 - 2021'!E22-'4 - 2021'!E21)+('4 - 2021'!F22-'4 - 2021'!F21)+('4 - 2021'!G22-'4 - 2021'!G21))*1.81</f>
        <v>142.17549999999812</v>
      </c>
      <c r="H16" s="19">
        <v>0.99</v>
      </c>
      <c r="I16" s="21">
        <f>'4 - 2021'!J22-'4 - 2021'!J21</f>
        <v>21954</v>
      </c>
      <c r="J16" s="19">
        <v>8.1000000000000003E-2</v>
      </c>
      <c r="K16" s="43">
        <f>'4 - 2021'!H22-'4 - 2021'!H21</f>
        <v>0</v>
      </c>
      <c r="L16" s="21">
        <f>'4 - 2021'!I22-'4 - 2021'!I21</f>
        <v>101</v>
      </c>
      <c r="M16" s="20">
        <v>4.393629424766913</v>
      </c>
      <c r="N16" s="21">
        <v>74</v>
      </c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9176</v>
      </c>
      <c r="F17" s="19">
        <v>0.11799999999999999</v>
      </c>
      <c r="G17" s="21">
        <f>(('4 - 2021'!E23-'4 - 2021'!E22)+('4 - 2021'!F23-'4 - 2021'!F22)+('4 - 2021'!G23-'4 - 2021'!G22))*1.81</f>
        <v>150.77300000000358</v>
      </c>
      <c r="H17" s="19">
        <v>0.99</v>
      </c>
      <c r="I17" s="21">
        <f>'4 - 2021'!J23-'4 - 2021'!J22</f>
        <v>23756</v>
      </c>
      <c r="J17" s="19">
        <v>8.1000000000000003E-2</v>
      </c>
      <c r="K17" s="43">
        <f>'4 - 2021'!H23-'4 - 2021'!H22</f>
        <v>0</v>
      </c>
      <c r="L17" s="21">
        <f>'4 - 2021'!I23-'4 - 2021'!I22</f>
        <v>104</v>
      </c>
      <c r="M17" s="20">
        <v>4.393629424766913</v>
      </c>
      <c r="N17" s="21">
        <v>67</v>
      </c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8947</v>
      </c>
      <c r="F18" s="19">
        <v>0.11799999999999999</v>
      </c>
      <c r="G18" s="21">
        <f>(('4 - 2021'!E24-'4 - 2021'!E23)+('4 - 2021'!F24-'4 - 2021'!F23)+('4 - 2021'!G24-'4 - 2021'!G23))*1.81</f>
        <v>151.84089999999529</v>
      </c>
      <c r="H18" s="19">
        <v>0.99</v>
      </c>
      <c r="I18" s="21">
        <f>'4 - 2021'!J24-'4 - 2021'!J23</f>
        <v>23095</v>
      </c>
      <c r="J18" s="19">
        <v>8.1000000000000003E-2</v>
      </c>
      <c r="K18" s="43">
        <f>'4 - 2021'!H24-'4 - 2021'!H23</f>
        <v>0</v>
      </c>
      <c r="L18" s="21">
        <f>'4 - 2021'!I24-'4 - 2021'!I23</f>
        <v>99</v>
      </c>
      <c r="M18" s="20">
        <v>4.393629424766913</v>
      </c>
      <c r="N18" s="21">
        <v>57</v>
      </c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8947</v>
      </c>
      <c r="F19" s="19">
        <v>0.11799999999999999</v>
      </c>
      <c r="G19" s="21">
        <v>151.84089999999529</v>
      </c>
      <c r="H19" s="19">
        <v>0.99</v>
      </c>
      <c r="I19" s="21">
        <v>23095</v>
      </c>
      <c r="J19" s="19">
        <v>8.1000000000000003E-2</v>
      </c>
      <c r="K19" s="43">
        <v>0</v>
      </c>
      <c r="L19" s="21">
        <v>99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8900</v>
      </c>
      <c r="F20" s="19">
        <v>0.11799999999999999</v>
      </c>
      <c r="G20" s="21">
        <f>(('4 - 2021'!E26-'4 - 2021'!E25)+('4 - 2021'!F26-'4 - 2021'!F25)+('4 - 2021'!G26-'4 - 2021'!G25))*1.81</f>
        <v>122.57320000000293</v>
      </c>
      <c r="H20" s="19">
        <v>0.99</v>
      </c>
      <c r="I20" s="21">
        <f>'4 - 2021'!J26-'4 - 2021'!J25</f>
        <v>18569</v>
      </c>
      <c r="J20" s="19">
        <v>8.1000000000000003E-2</v>
      </c>
      <c r="K20" s="43">
        <f>'4 - 2021'!H26-'4 - 2021'!H25</f>
        <v>0</v>
      </c>
      <c r="L20" s="21">
        <f>'4 - 2021'!I26-'4 - 2021'!I25</f>
        <v>101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8900</v>
      </c>
      <c r="F21" s="19">
        <v>0.11799999999999999</v>
      </c>
      <c r="G21" s="21">
        <v>122.57320000000293</v>
      </c>
      <c r="H21" s="19">
        <v>0.99</v>
      </c>
      <c r="I21" s="21">
        <v>18569</v>
      </c>
      <c r="J21" s="19">
        <v>8.1000000000000003E-2</v>
      </c>
      <c r="K21" s="43">
        <v>0</v>
      </c>
      <c r="L21" s="21">
        <v>101</v>
      </c>
      <c r="M21" s="20">
        <v>4.393629424766913</v>
      </c>
      <c r="N21" s="37">
        <v>68</v>
      </c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8900</v>
      </c>
      <c r="F22" s="19">
        <v>0.11799999999999999</v>
      </c>
      <c r="G22" s="21">
        <v>122.57320000000293</v>
      </c>
      <c r="H22" s="19">
        <v>0.99</v>
      </c>
      <c r="I22" s="21">
        <v>18569</v>
      </c>
      <c r="J22" s="19">
        <v>8.1000000000000003E-2</v>
      </c>
      <c r="K22" s="43">
        <v>0</v>
      </c>
      <c r="L22" s="21">
        <v>101</v>
      </c>
      <c r="M22" s="20">
        <v>4.393629424766913</v>
      </c>
      <c r="N22" s="37">
        <v>67</v>
      </c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v>8900</v>
      </c>
      <c r="F23" s="19">
        <v>0.11799999999999999</v>
      </c>
      <c r="G23" s="21">
        <v>122.57320000000293</v>
      </c>
      <c r="H23" s="19">
        <v>0.99</v>
      </c>
      <c r="I23" s="21">
        <v>18569</v>
      </c>
      <c r="J23" s="19">
        <v>8.1000000000000003E-2</v>
      </c>
      <c r="K23" s="43">
        <v>0</v>
      </c>
      <c r="L23" s="21">
        <v>101</v>
      </c>
      <c r="M23" s="20">
        <v>4.393629424766913</v>
      </c>
      <c r="N23" s="37">
        <v>68</v>
      </c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v>8900</v>
      </c>
      <c r="F24" s="19">
        <v>0.11799999999999999</v>
      </c>
      <c r="G24" s="21">
        <v>122.57320000000293</v>
      </c>
      <c r="H24" s="19">
        <v>0.99</v>
      </c>
      <c r="I24" s="21">
        <v>18569</v>
      </c>
      <c r="J24" s="19">
        <v>8.1000000000000003E-2</v>
      </c>
      <c r="K24" s="43">
        <v>0</v>
      </c>
      <c r="L24" s="21">
        <v>101</v>
      </c>
      <c r="M24" s="20">
        <v>4.393629424766913</v>
      </c>
      <c r="N24" s="37">
        <v>71</v>
      </c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v>8900</v>
      </c>
      <c r="F25" s="19">
        <v>0.11799999999999999</v>
      </c>
      <c r="G25" s="21">
        <v>122.57320000000293</v>
      </c>
      <c r="H25" s="19">
        <v>0.99</v>
      </c>
      <c r="I25" s="21">
        <v>18569</v>
      </c>
      <c r="J25" s="19">
        <v>8.1000000000000003E-2</v>
      </c>
      <c r="K25" s="43">
        <v>0</v>
      </c>
      <c r="L25" s="21">
        <v>101</v>
      </c>
      <c r="M25" s="20">
        <v>4.393629424766913</v>
      </c>
      <c r="N25" s="37">
        <v>78</v>
      </c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v>8900</v>
      </c>
      <c r="F26" s="19">
        <v>0.11799999999999999</v>
      </c>
      <c r="G26" s="21">
        <v>122.57320000000293</v>
      </c>
      <c r="H26" s="19">
        <v>0.99</v>
      </c>
      <c r="I26" s="21">
        <v>18569</v>
      </c>
      <c r="J26" s="19">
        <v>8.1000000000000003E-2</v>
      </c>
      <c r="K26" s="43">
        <v>0</v>
      </c>
      <c r="L26" s="21">
        <v>101</v>
      </c>
      <c r="M26" s="20">
        <v>4.393629424766913</v>
      </c>
      <c r="N26" s="37">
        <v>72</v>
      </c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9013</v>
      </c>
      <c r="F27" s="19">
        <v>0.11799999999999999</v>
      </c>
      <c r="G27" s="21">
        <f>(('4 - 2021'!E33-'4 - 2021'!E32)+('4 - 2021'!F33-'4 - 2021'!F32)+('4 - 2021'!G33-'4 - 2021'!G32))*1.81</f>
        <v>111.44169999999978</v>
      </c>
      <c r="H27" s="19">
        <v>0.99</v>
      </c>
      <c r="I27" s="21">
        <f>'4 - 2021'!J33-'4 - 2021'!J32</f>
        <v>19955</v>
      </c>
      <c r="J27" s="19">
        <v>8.1000000000000003E-2</v>
      </c>
      <c r="K27" s="43">
        <f>'4 - 2021'!H33-'4 - 2021'!H32</f>
        <v>0</v>
      </c>
      <c r="L27" s="21">
        <f>'4 - 2021'!I33-'4 - 2021'!I32</f>
        <v>95</v>
      </c>
      <c r="M27" s="20">
        <v>4.393629424766913</v>
      </c>
      <c r="N27" s="37">
        <v>90</v>
      </c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v>0</v>
      </c>
      <c r="F28" s="19">
        <v>0.11799999999999999</v>
      </c>
      <c r="G28" s="21">
        <v>0</v>
      </c>
      <c r="H28" s="19">
        <v>0.99</v>
      </c>
      <c r="I28" s="21">
        <v>0</v>
      </c>
      <c r="J28" s="19">
        <v>8.1000000000000003E-2</v>
      </c>
      <c r="K28" s="43">
        <v>0</v>
      </c>
      <c r="L28" s="21"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P31" sqref="P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3383</v>
      </c>
      <c r="F16" s="21">
        <f>'4 - 2021'!C22-'4 - 2021'!C21</f>
        <v>5536</v>
      </c>
      <c r="G16" s="19">
        <v>0.11799999999999999</v>
      </c>
      <c r="H16" s="21">
        <f>'4 - 2021'!E22-'4 - 2021'!E21</f>
        <v>28.640000000000015</v>
      </c>
      <c r="I16" s="21">
        <f>'4 - 2021'!F22-'4 - 2021'!F21</f>
        <v>4.5399999999999636</v>
      </c>
      <c r="J16" s="21">
        <f>'4 - 2021'!G22-'4 - 2021'!G21</f>
        <v>45.369999999998981</v>
      </c>
      <c r="K16" s="19">
        <v>0.74</v>
      </c>
      <c r="L16" s="21">
        <v>74</v>
      </c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3466</v>
      </c>
      <c r="F17" s="21">
        <f>'4 - 2021'!C23-'4 - 2021'!C22</f>
        <v>5710</v>
      </c>
      <c r="G17" s="19">
        <v>0.11799999999999999</v>
      </c>
      <c r="H17" s="21">
        <f>'4 - 2021'!E23-'4 - 2021'!E22</f>
        <v>27.710000000000008</v>
      </c>
      <c r="I17" s="21">
        <f>'4 - 2021'!F23-'4 - 2021'!F22</f>
        <v>4.4200000000000728</v>
      </c>
      <c r="J17" s="21">
        <f>'4 - 2021'!G23-'4 - 2021'!G22</f>
        <v>51.170000000001892</v>
      </c>
      <c r="K17" s="19">
        <v>0.74</v>
      </c>
      <c r="L17" s="21">
        <v>67</v>
      </c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3421</v>
      </c>
      <c r="F18" s="21">
        <f>'4 - 2021'!C24-'4 - 2021'!C23</f>
        <v>5526</v>
      </c>
      <c r="G18" s="19">
        <v>0.11799999999999999</v>
      </c>
      <c r="H18" s="21">
        <f>'4 - 2021'!E24-'4 - 2021'!E23</f>
        <v>30.28</v>
      </c>
      <c r="I18" s="21">
        <f>'4 - 2021'!F24-'4 - 2021'!F23</f>
        <v>4.3899999999998727</v>
      </c>
      <c r="J18" s="21">
        <f>'4 - 2021'!G24-'4 - 2021'!G23</f>
        <v>49.219999999997526</v>
      </c>
      <c r="K18" s="19">
        <v>0.74</v>
      </c>
      <c r="L18" s="21">
        <v>57</v>
      </c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3421</v>
      </c>
      <c r="F19" s="21">
        <v>5526</v>
      </c>
      <c r="G19" s="19">
        <v>0.11799999999999999</v>
      </c>
      <c r="H19" s="21">
        <v>30.28</v>
      </c>
      <c r="I19" s="21">
        <v>4.3899999999998727</v>
      </c>
      <c r="J19" s="21">
        <v>49.219999999997526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3521</v>
      </c>
      <c r="F20" s="21">
        <f>'4 - 2021'!C26-'4 - 2021'!C25</f>
        <v>5379</v>
      </c>
      <c r="G20" s="19">
        <v>0.11799999999999999</v>
      </c>
      <c r="H20" s="21">
        <f>'4 - 2021'!E26-'4 - 2021'!E25</f>
        <v>24.480000000000018</v>
      </c>
      <c r="I20" s="21">
        <f>'4 - 2021'!F26-'4 - 2021'!F25</f>
        <v>0</v>
      </c>
      <c r="J20" s="21">
        <f>'4 - 2021'!G26-'4 - 2021'!G25</f>
        <v>43.240000000001601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3521</v>
      </c>
      <c r="F21" s="21">
        <v>5379</v>
      </c>
      <c r="G21" s="19">
        <v>0.11799999999999999</v>
      </c>
      <c r="H21" s="21">
        <v>24.480000000000018</v>
      </c>
      <c r="I21" s="21">
        <v>0</v>
      </c>
      <c r="J21" s="21">
        <v>43.240000000001601</v>
      </c>
      <c r="K21" s="19">
        <v>0.74</v>
      </c>
      <c r="L21" s="6">
        <v>68</v>
      </c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3521</v>
      </c>
      <c r="F22" s="21">
        <v>5379</v>
      </c>
      <c r="G22" s="19">
        <v>0.11799999999999999</v>
      </c>
      <c r="H22" s="21">
        <v>24.480000000000018</v>
      </c>
      <c r="I22" s="21">
        <v>0</v>
      </c>
      <c r="J22" s="21">
        <v>43.240000000001601</v>
      </c>
      <c r="K22" s="19">
        <v>0.74</v>
      </c>
      <c r="L22" s="21">
        <v>67</v>
      </c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v>3521</v>
      </c>
      <c r="F23" s="21">
        <v>5379</v>
      </c>
      <c r="G23" s="19">
        <v>0.11799999999999999</v>
      </c>
      <c r="H23" s="21">
        <v>24.480000000000018</v>
      </c>
      <c r="I23" s="21">
        <v>0</v>
      </c>
      <c r="J23" s="21">
        <v>43.240000000001601</v>
      </c>
      <c r="K23" s="19">
        <v>0.74</v>
      </c>
      <c r="L23" s="21">
        <v>68</v>
      </c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v>3521</v>
      </c>
      <c r="F24" s="21">
        <v>5379</v>
      </c>
      <c r="G24" s="19">
        <v>0.11799999999999999</v>
      </c>
      <c r="H24" s="21">
        <v>24.480000000000018</v>
      </c>
      <c r="I24" s="21">
        <v>0</v>
      </c>
      <c r="J24" s="21">
        <v>43.240000000001601</v>
      </c>
      <c r="K24" s="19">
        <v>0.74</v>
      </c>
      <c r="L24" s="21">
        <v>71</v>
      </c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v>3521</v>
      </c>
      <c r="F25" s="21">
        <v>5379</v>
      </c>
      <c r="G25" s="19">
        <v>0.11799999999999999</v>
      </c>
      <c r="H25" s="21">
        <v>24.480000000000018</v>
      </c>
      <c r="I25" s="21">
        <v>0</v>
      </c>
      <c r="J25" s="21">
        <v>43.240000000001601</v>
      </c>
      <c r="K25" s="19">
        <v>0.74</v>
      </c>
      <c r="L25" s="6">
        <v>78</v>
      </c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v>3521</v>
      </c>
      <c r="F26" s="21">
        <v>5379</v>
      </c>
      <c r="G26" s="19">
        <v>0.11799999999999999</v>
      </c>
      <c r="H26" s="21">
        <v>24.480000000000018</v>
      </c>
      <c r="I26" s="21">
        <v>0</v>
      </c>
      <c r="J26" s="21">
        <v>43.240000000001601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3497</v>
      </c>
      <c r="F27" s="21">
        <f>'4 - 2021'!C33-'4 - 2021'!C32</f>
        <v>5516</v>
      </c>
      <c r="G27" s="19">
        <v>0.11799999999999999</v>
      </c>
      <c r="H27" s="21">
        <f>'4 - 2021'!E33-'4 - 2021'!E32</f>
        <v>23.199999999999989</v>
      </c>
      <c r="I27" s="21">
        <f>'4 - 2021'!F33-'4 - 2021'!F32</f>
        <v>4.9600000000000364</v>
      </c>
      <c r="J27" s="21">
        <f>'4 - 2021'!G33-'4 - 2021'!G32</f>
        <v>33.409999999999854</v>
      </c>
      <c r="K27" s="19">
        <v>0.74</v>
      </c>
      <c r="L27" s="21">
        <v>90</v>
      </c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v>0</v>
      </c>
      <c r="F28" s="21">
        <v>0</v>
      </c>
      <c r="G28" s="19">
        <v>0.11799999999999999</v>
      </c>
      <c r="H28" s="21">
        <v>0</v>
      </c>
      <c r="I28" s="21">
        <v>0</v>
      </c>
      <c r="J28" s="21"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L36" sqref="L36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8" t="s">
        <v>30</v>
      </c>
      <c r="B3" s="78"/>
      <c r="C3" s="78"/>
      <c r="D3" s="78"/>
      <c r="E3" s="78"/>
      <c r="F3" s="78"/>
      <c r="G3" s="78"/>
      <c r="H3" s="78"/>
      <c r="I3" s="78"/>
      <c r="J3" s="78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>
        <v>4450</v>
      </c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>
        <v>558694</v>
      </c>
      <c r="C22" s="65">
        <v>538222</v>
      </c>
      <c r="D22" s="15">
        <v>0.52</v>
      </c>
      <c r="E22" s="59">
        <v>184.84</v>
      </c>
      <c r="F22" s="56">
        <v>3355.46</v>
      </c>
      <c r="G22" s="57">
        <v>28399.82</v>
      </c>
      <c r="H22" s="62">
        <v>14528</v>
      </c>
      <c r="I22" s="57">
        <v>115896</v>
      </c>
      <c r="J22" s="61">
        <v>45320604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>
        <v>562160</v>
      </c>
      <c r="C23" s="61">
        <v>543932</v>
      </c>
      <c r="D23" s="15">
        <v>0.42</v>
      </c>
      <c r="E23" s="59">
        <v>212.55</v>
      </c>
      <c r="F23" s="56">
        <v>3359.88</v>
      </c>
      <c r="G23" s="57">
        <v>28450.99</v>
      </c>
      <c r="H23" s="62">
        <v>14528</v>
      </c>
      <c r="I23" s="61">
        <v>116000</v>
      </c>
      <c r="J23" s="61">
        <v>45344360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>
        <v>565581</v>
      </c>
      <c r="C24" s="61">
        <v>549458</v>
      </c>
      <c r="D24" s="15">
        <v>0.33</v>
      </c>
      <c r="E24" s="59">
        <v>242.83</v>
      </c>
      <c r="F24" s="56">
        <v>3364.27</v>
      </c>
      <c r="G24" s="57">
        <v>28500.21</v>
      </c>
      <c r="H24" s="62">
        <v>14528</v>
      </c>
      <c r="I24" s="61">
        <v>116099</v>
      </c>
      <c r="J24" s="61">
        <v>45367455</v>
      </c>
      <c r="K24" s="16">
        <v>3650</v>
      </c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>
        <v>569035</v>
      </c>
      <c r="C25" s="57">
        <v>554997</v>
      </c>
      <c r="D25" s="22">
        <v>0.8</v>
      </c>
      <c r="E25" s="59">
        <v>268.81</v>
      </c>
      <c r="F25" s="56">
        <v>3373.54</v>
      </c>
      <c r="G25" s="57">
        <v>28543.119999999999</v>
      </c>
      <c r="H25" s="62">
        <v>14528</v>
      </c>
      <c r="I25" s="61">
        <v>116192</v>
      </c>
      <c r="J25" s="61">
        <v>45386976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>
        <v>572556</v>
      </c>
      <c r="C26" s="57">
        <v>560376</v>
      </c>
      <c r="D26" s="22">
        <v>0.73</v>
      </c>
      <c r="E26" s="59">
        <v>293.29000000000002</v>
      </c>
      <c r="F26" s="56">
        <v>3373.54</v>
      </c>
      <c r="G26" s="57">
        <v>28586.36</v>
      </c>
      <c r="H26" s="62">
        <v>14528</v>
      </c>
      <c r="I26" s="61">
        <v>116293</v>
      </c>
      <c r="J26" s="61">
        <v>45405545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>
        <v>576113</v>
      </c>
      <c r="C27" s="61">
        <v>565899</v>
      </c>
      <c r="D27" s="15">
        <v>0.65</v>
      </c>
      <c r="E27" s="59">
        <v>317.75</v>
      </c>
      <c r="F27" s="56">
        <v>3378.09</v>
      </c>
      <c r="G27" s="57">
        <v>28621.89</v>
      </c>
      <c r="H27" s="62">
        <v>14528</v>
      </c>
      <c r="I27" s="61">
        <v>116387</v>
      </c>
      <c r="J27" s="61">
        <v>45424117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>
        <v>579563</v>
      </c>
      <c r="C28" s="61">
        <v>571497</v>
      </c>
      <c r="D28" s="15">
        <v>0.57999999999999996</v>
      </c>
      <c r="E28" s="70">
        <v>345.17</v>
      </c>
      <c r="F28" s="56">
        <v>3382.56</v>
      </c>
      <c r="G28" s="57">
        <v>28654.68</v>
      </c>
      <c r="H28" s="62">
        <v>14528</v>
      </c>
      <c r="I28" s="61">
        <v>116486</v>
      </c>
      <c r="J28" s="61">
        <v>45445588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>
        <v>582997</v>
      </c>
      <c r="C29" s="61">
        <v>577041</v>
      </c>
      <c r="D29" s="15">
        <v>0.51</v>
      </c>
      <c r="E29" s="59">
        <v>370.16</v>
      </c>
      <c r="F29" s="56">
        <v>3387.05</v>
      </c>
      <c r="G29" s="57">
        <v>28688.82</v>
      </c>
      <c r="H29" s="62">
        <v>14528</v>
      </c>
      <c r="I29" s="61">
        <v>116592</v>
      </c>
      <c r="J29" s="61">
        <v>45467601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>
        <v>586463</v>
      </c>
      <c r="C30" s="61">
        <v>582730</v>
      </c>
      <c r="D30" s="15">
        <v>0.45</v>
      </c>
      <c r="E30" s="59">
        <v>394.11</v>
      </c>
      <c r="F30" s="56">
        <v>3391.61</v>
      </c>
      <c r="G30" s="57">
        <v>28725.33</v>
      </c>
      <c r="H30" s="62">
        <v>14528</v>
      </c>
      <c r="I30" s="61">
        <v>116698</v>
      </c>
      <c r="J30" s="61">
        <v>45489232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>
        <v>589927</v>
      </c>
      <c r="C31" s="61">
        <v>588392</v>
      </c>
      <c r="D31" s="15">
        <v>0.39</v>
      </c>
      <c r="E31" s="59">
        <v>420.17</v>
      </c>
      <c r="F31" s="56">
        <v>3396.37</v>
      </c>
      <c r="G31" s="57">
        <v>28757.15</v>
      </c>
      <c r="H31" s="62">
        <v>14528</v>
      </c>
      <c r="I31" s="61">
        <v>116794</v>
      </c>
      <c r="J31" s="61">
        <v>45511168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>
        <v>593338</v>
      </c>
      <c r="C32" s="61">
        <v>593862</v>
      </c>
      <c r="D32" s="15">
        <v>0.31</v>
      </c>
      <c r="E32" s="59">
        <v>448.1</v>
      </c>
      <c r="F32" s="56">
        <v>3400.1</v>
      </c>
      <c r="G32" s="57">
        <v>28790</v>
      </c>
      <c r="H32" s="62">
        <v>14528</v>
      </c>
      <c r="I32" s="61">
        <v>116885</v>
      </c>
      <c r="J32" s="61">
        <v>45532236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>
        <v>596835</v>
      </c>
      <c r="C33" s="61">
        <v>599378</v>
      </c>
      <c r="D33" s="15">
        <v>0.23</v>
      </c>
      <c r="E33" s="59">
        <v>471.3</v>
      </c>
      <c r="F33" s="56">
        <v>3405.06</v>
      </c>
      <c r="G33" s="57">
        <v>28823.41</v>
      </c>
      <c r="H33" s="62">
        <v>14528</v>
      </c>
      <c r="I33" s="61">
        <v>116980</v>
      </c>
      <c r="J33" s="61">
        <v>45552191</v>
      </c>
      <c r="K33" s="16">
        <v>4300</v>
      </c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12400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74371</v>
      </c>
      <c r="C41" s="68">
        <f>C32-C10</f>
        <v>121609</v>
      </c>
      <c r="D41" s="48"/>
      <c r="E41" s="68">
        <f>E32-E10</f>
        <v>-13317.869999999999</v>
      </c>
      <c r="F41" s="68">
        <f>F32-F10</f>
        <v>105</v>
      </c>
      <c r="G41" s="68">
        <f>G32-G10</f>
        <v>938.22000000000116</v>
      </c>
      <c r="H41" s="68">
        <f>H32-H10</f>
        <v>0</v>
      </c>
      <c r="I41" s="68">
        <f t="shared" ref="I41:J41" si="2">I32-I10</f>
        <v>2194</v>
      </c>
      <c r="J41" s="68">
        <f t="shared" si="2"/>
        <v>463712</v>
      </c>
      <c r="K41" s="48"/>
      <c r="L41" s="48"/>
    </row>
    <row r="42" spans="1:16" x14ac:dyDescent="0.25">
      <c r="I42" s="18">
        <f>I41*219.969</f>
        <v>482611.98599999998</v>
      </c>
      <c r="J42" s="19">
        <v>768611</v>
      </c>
    </row>
    <row r="43" spans="1:16" x14ac:dyDescent="0.25">
      <c r="C43" s="21">
        <f>C41+B41</f>
        <v>195980</v>
      </c>
      <c r="I43" s="19">
        <v>450276.54300000001</v>
      </c>
    </row>
    <row r="44" spans="1:16" x14ac:dyDescent="0.25">
      <c r="C44" s="19">
        <v>178662</v>
      </c>
      <c r="J44" s="49">
        <f>SUM(J42-J41)/J41</f>
        <v>0.65751802843144025</v>
      </c>
    </row>
    <row r="45" spans="1:16" x14ac:dyDescent="0.25">
      <c r="C45" s="50">
        <f>SUM(C44-C43)/C43</f>
        <v>-8.8366159812225731E-2</v>
      </c>
      <c r="I45" s="49">
        <f>SUM(I43-I42)/I42</f>
        <v>-6.7000911577028199E-2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2021-04-26T04:21:37Z</dcterms:modified>
</cp:coreProperties>
</file>