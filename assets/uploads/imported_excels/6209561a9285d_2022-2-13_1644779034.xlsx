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<sst xmlns="http://schemas.openxmlformats.org/spreadsheetml/2006/main" count="315" uniqueCount="148">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</sst>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11869.999999999294</v>
      </c>
      <c r="F9" s="11">
        <f t="shared" si="1"/>
        <v>0.58765030286592534</v>
      </c>
      <c r="G9" s="12">
        <f>(Submetering!AX9+Submetering!AY9+Submetering!AZ9+Submetering!BA9+Submetering!BB9)</f>
        <v>36.629999999999995</v>
      </c>
      <c r="H9" s="11">
        <f t="shared" si="2"/>
        <v>0.99</v>
      </c>
      <c r="I9" s="12">
        <f>'FS Desroches Daily'!CM11</f>
        <v>159.29999999999927</v>
      </c>
      <c r="J9" s="11">
        <f t="shared" si="3"/>
        <v>10.487297712684205</v>
      </c>
      <c r="K9" s="13">
        <f>'FS Desroches Daily'!CN11</f>
        <v>17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11450.000000000131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103.20000000000073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12290.0000000002</v>
      </c>
      <c r="F11" s="11">
        <f t="shared" si="1"/>
        <v>0.58765030286592534</v>
      </c>
      <c r="G11" s="12">
        <f>(Submetering!AX11+Submetering!AY11+Submetering!AZ11+Submetering!BA11+Submetering!BB11)</f>
        <v>20.1465</v>
      </c>
      <c r="H11" s="11">
        <f t="shared" si="2"/>
        <v>0.99</v>
      </c>
      <c r="I11" s="12">
        <f>'FS Desroches Daily'!CM13</f>
        <v>94.5</v>
      </c>
      <c r="J11" s="11">
        <f t="shared" si="3"/>
        <v>10.487297712684205</v>
      </c>
      <c r="K11" s="13">
        <f>'FS Desroches Daily'!CN13</f>
        <v>24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11990.00000000012</v>
      </c>
      <c r="F12" s="11">
        <f t="shared" si="1"/>
        <v>0.58765030286592534</v>
      </c>
      <c r="G12" s="12">
        <f>(Submetering!AX12+Submetering!AY12+Submetering!AZ12+Submetering!BA12+Submetering!BB12)</f>
        <v>16.483499999999999</v>
      </c>
      <c r="H12" s="11">
        <f t="shared" si="2"/>
        <v>0.99</v>
      </c>
      <c r="I12" s="12">
        <f>'FS Desroches Daily'!CM14</f>
        <v>93</v>
      </c>
      <c r="J12" s="11">
        <f t="shared" si="3"/>
        <v>10.487297712684205</v>
      </c>
      <c r="K12" s="13">
        <f>'FS Desroches Daily'!CN14</f>
        <v>24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12340.000000000153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74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3099.9999999998809</v>
      </c>
      <c r="F9" s="32">
        <f>'FS Desroches Daily'!F11</f>
        <v>3499.9999999998367</v>
      </c>
      <c r="G9" s="31">
        <f>'FS Desroches Daily'!H11</f>
        <v>2599.9999999997135</v>
      </c>
      <c r="H9" s="32">
        <f>'FS Desroches Daily'!J11</f>
        <v>1699.9999999998129</v>
      </c>
      <c r="I9" s="31">
        <f>'FS Desroches Daily'!L11</f>
        <v>2099.9999999999909</v>
      </c>
      <c r="J9" s="32">
        <f>'FS Desroches Daily'!N11</f>
        <v>1600.0000000000459</v>
      </c>
      <c r="K9" s="13">
        <f>'FS Desroches Daily'!P11</f>
        <v>41</v>
      </c>
      <c r="L9" s="31">
        <f>'FS Desroches Daily'!R11</f>
        <v>6</v>
      </c>
      <c r="M9" s="31">
        <f>'FS Desroches Daily'!T11</f>
        <v>0.79999999999995453</v>
      </c>
      <c r="N9" s="31">
        <f>'FS Desroches Daily'!V11</f>
        <v>374.89999999996508</v>
      </c>
      <c r="O9" s="31">
        <f>'FS Desroches Daily'!X11</f>
        <v>419.99999999995907</v>
      </c>
      <c r="P9" s="31">
        <f>'FS Desroches Daily'!Z11</f>
        <v>2999.9999999996694</v>
      </c>
      <c r="Q9" s="31">
        <f>'FS Desroches Daily'!AB11</f>
        <v>339.99999999997499</v>
      </c>
      <c r="R9" s="31">
        <f>'FS Desroches Daily'!AD11</f>
        <v>600.00000000002274</v>
      </c>
      <c r="S9" s="31">
        <f>'FS Desroches Daily'!AF11</f>
        <v>509.99999999999091</v>
      </c>
      <c r="T9" s="31">
        <f>'FS Desroches Daily'!AH11</f>
        <v>42</v>
      </c>
      <c r="U9" s="35">
        <f>'FS Desroches Daily'!AJ11</f>
        <v>850.00000000002274</v>
      </c>
      <c r="V9" s="35">
        <f>'FS Desroches Daily'!AL11</f>
        <v>130.00000000002387</v>
      </c>
      <c r="W9" s="35">
        <f>'FS Desroches Daily'!AN11</f>
        <v>219.99999999999886</v>
      </c>
      <c r="X9" s="35">
        <f>'FS Desroches Daily'!AP11</f>
        <v>250</v>
      </c>
      <c r="Y9" s="35">
        <f>'FS Desroches Daily'!AR11</f>
        <v>170.00000000001592</v>
      </c>
      <c r="Z9" s="35">
        <f>'FS Desroches Daily'!AT11</f>
        <v>269.99999999998181</v>
      </c>
      <c r="AA9" s="35">
        <f>'FS Desroches Daily'!AT11</f>
        <v>269.99999999998181</v>
      </c>
      <c r="AB9" s="35">
        <f>'FS Desroches Daily'!AV11</f>
        <v>180.00000000000682</v>
      </c>
      <c r="AC9" s="35">
        <f>'FS Desroches Daily'!AZ11</f>
        <v>159.99999999996817</v>
      </c>
      <c r="AD9" s="35">
        <f>'FS Desroches Daily'!BB11</f>
        <v>250</v>
      </c>
      <c r="AE9" s="35">
        <f>'FS Desroches Daily'!BD11</f>
        <v>180.00000000000682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42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37.69999999999709</v>
      </c>
      <c r="AR9" s="31">
        <f>'FS Desroches Daily'!CD11</f>
        <v>12.399999999999636</v>
      </c>
      <c r="AS9" s="31">
        <f>'FS Desroches Daily'!CF11</f>
        <v>0.3000000000001819</v>
      </c>
      <c r="AT9" s="31">
        <f>'FS Desroches Daily'!CH11</f>
        <v>38</v>
      </c>
      <c r="AU9" s="31">
        <f>'FS Desroches Daily'!CJ11</f>
        <v>280</v>
      </c>
      <c r="AV9" s="31">
        <f>'FS Desroches Daily'!CL11</f>
        <v>629.99999999999545</v>
      </c>
      <c r="AW9" s="31">
        <f>'FS Desroches Daily'!CM11</f>
        <v>159.29999999999927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5.4944999999999995</v>
      </c>
      <c r="BC9" s="13">
        <f>'FS Desroches Daily'!CN11</f>
        <v>17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3099.9999999998809</v>
      </c>
      <c r="F10" s="32">
        <f>'FS Desroches Daily'!F12</f>
        <v>3000.0000000001137</v>
      </c>
      <c r="G10" s="31">
        <f>'FS Desroches Daily'!H12</f>
        <v>2800.0000000001355</v>
      </c>
      <c r="H10" s="32">
        <f>'FS Desroches Daily'!J12</f>
        <v>1700.0000000000348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15</v>
      </c>
      <c r="L10" s="31">
        <f>'FS Desroches Daily'!R12</f>
        <v>5</v>
      </c>
      <c r="M10" s="31">
        <f>'FS Desroches Daily'!T12</f>
        <v>1</v>
      </c>
      <c r="N10" s="31">
        <f>'FS Desroches Daily'!V12</f>
        <v>363.40000000002328</v>
      </c>
      <c r="O10" s="31">
        <f>'FS Desroches Daily'!X12</f>
        <v>360.00000000001364</v>
      </c>
      <c r="P10" s="31">
        <f>'FS Desroches Daily'!Z12</f>
        <v>2700.0000000003688</v>
      </c>
      <c r="Q10" s="31">
        <f>'FS Desroches Daily'!AB12</f>
        <v>400.00000000003411</v>
      </c>
      <c r="R10" s="31">
        <f>'FS Desroches Daily'!AD12</f>
        <v>529.99999999997272</v>
      </c>
      <c r="S10" s="31">
        <f>'FS Desroches Daily'!AF12</f>
        <v>450.00000000004547</v>
      </c>
      <c r="T10" s="31">
        <f>'FS Desroches Daily'!AH12</f>
        <v>44</v>
      </c>
      <c r="U10" s="35">
        <f>'FS Desroches Daily'!AJ12</f>
        <v>809.99999999994543</v>
      </c>
      <c r="V10" s="35">
        <f>'FS Desroches Daily'!AL12</f>
        <v>139.99999999998636</v>
      </c>
      <c r="W10" s="35">
        <f>'FS Desroches Daily'!AN12</f>
        <v>210.00000000000796</v>
      </c>
      <c r="X10" s="35">
        <f>'FS Desroches Daily'!AP12</f>
        <v>219.99999999999886</v>
      </c>
      <c r="Y10" s="35">
        <f>'FS Desroches Daily'!AR12</f>
        <v>189.99999999999773</v>
      </c>
      <c r="Z10" s="35">
        <f>'FS Desroches Daily'!AT12</f>
        <v>269.99999999998181</v>
      </c>
      <c r="AA10" s="35">
        <f>'FS Desroches Daily'!AT12</f>
        <v>269.99999999998181</v>
      </c>
      <c r="AB10" s="35">
        <f>'FS Desroches Daily'!AV12</f>
        <v>199.99999999998863</v>
      </c>
      <c r="AC10" s="35">
        <f>'FS Desroches Daily'!AZ12</f>
        <v>139.99999999998636</v>
      </c>
      <c r="AD10" s="35">
        <f>'FS Desroches Daily'!BB12</f>
        <v>229.99999999996135</v>
      </c>
      <c r="AE10" s="35">
        <f>'FS Desroches Daily'!BD12</f>
        <v>109.9999999999568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60.000000000002274</v>
      </c>
      <c r="AL10" s="32">
        <f>'FS Desroches Daily'!BR12</f>
        <v>36</v>
      </c>
      <c r="AM10" s="32">
        <f>'FS Desroches Daily'!BT12</f>
        <v>50.000000000011369</v>
      </c>
      <c r="AN10" s="32">
        <f>'FS Desroches Daily'!BV12</f>
        <v>37</v>
      </c>
      <c r="AO10" s="32">
        <f>'FS Desroches Daily'!BX12</f>
        <v>40.000000000020464</v>
      </c>
      <c r="AP10" s="32">
        <f>'FS Desroches Daily'!BZ12</f>
        <v>39</v>
      </c>
      <c r="AQ10" s="31">
        <f>'FS Desroches Daily'!CB12</f>
        <v>39.5</v>
      </c>
      <c r="AR10" s="31">
        <f>'FS Desroches Daily'!CD12</f>
        <v>11.399999999999636</v>
      </c>
      <c r="AS10" s="31">
        <f>'FS Desroches Daily'!CF12</f>
        <v>1</v>
      </c>
      <c r="AT10" s="31">
        <f>'FS Desroches Daily'!CH12</f>
        <v>69</v>
      </c>
      <c r="AU10" s="31">
        <f>'FS Desroches Daily'!CJ12</f>
        <v>305</v>
      </c>
      <c r="AV10" s="31">
        <f>'FS Desroches Daily'!CL12</f>
        <v>650.00000000009095</v>
      </c>
      <c r="AW10" s="31">
        <f>'FS Desroches Daily'!CM12</f>
        <v>103.20000000000073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3300.0000000003029</v>
      </c>
      <c r="F11" s="32">
        <f>'FS Desroches Daily'!F13</f>
        <v>3600.0000000000477</v>
      </c>
      <c r="G11" s="31">
        <f>'FS Desroches Daily'!H13</f>
        <v>2899.9999999999027</v>
      </c>
      <c r="H11" s="32">
        <f>'FS Desroches Daily'!J13</f>
        <v>1700.0000000000348</v>
      </c>
      <c r="I11" s="31">
        <f>'FS Desroches Daily'!L13</f>
        <v>2199.9999999997576</v>
      </c>
      <c r="J11" s="32">
        <f>'FS Desroches Daily'!N13</f>
        <v>1499.9999999998347</v>
      </c>
      <c r="K11" s="13">
        <f>'FS Desroches Daily'!P13</f>
        <v>27</v>
      </c>
      <c r="L11" s="31">
        <f>'FS Desroches Daily'!R13</f>
        <v>6</v>
      </c>
      <c r="M11" s="31">
        <f>'FS Desroches Daily'!T13</f>
        <v>1.0999999999999091</v>
      </c>
      <c r="N11" s="31">
        <f>'FS Desroches Daily'!V13</f>
        <v>430</v>
      </c>
      <c r="O11" s="31">
        <f>'FS Desroches Daily'!X13</f>
        <v>480.00000000001819</v>
      </c>
      <c r="P11" s="31">
        <f>'FS Desroches Daily'!Z13</f>
        <v>3299.9999999998586</v>
      </c>
      <c r="Q11" s="31">
        <f>'FS Desroches Daily'!AB13</f>
        <v>259.99999999999091</v>
      </c>
      <c r="R11" s="31">
        <f>'FS Desroches Daily'!AD13</f>
        <v>639.99999999998636</v>
      </c>
      <c r="S11" s="31">
        <f>'FS Desroches Daily'!AF13</f>
        <v>580.00000000004093</v>
      </c>
      <c r="T11" s="31">
        <f>'FS Desroches Daily'!AH13</f>
        <v>46</v>
      </c>
      <c r="U11" s="35">
        <f>'FS Desroches Daily'!AJ13</f>
        <v>980.00000000001819</v>
      </c>
      <c r="V11" s="35">
        <f>'FS Desroches Daily'!AL13</f>
        <v>170.00000000001592</v>
      </c>
      <c r="W11" s="35">
        <f>'FS Desroches Daily'!AN13</f>
        <v>400.00000000000568</v>
      </c>
      <c r="X11" s="35">
        <f>'FS Desroches Daily'!AP13</f>
        <v>260.00000000001933</v>
      </c>
      <c r="Y11" s="35">
        <f>'FS Desroches Daily'!AR13</f>
        <v>269.99999999998181</v>
      </c>
      <c r="Z11" s="35">
        <f>'FS Desroches Daily'!AT13</f>
        <v>199.99999999998863</v>
      </c>
      <c r="AA11" s="35">
        <f>'FS Desroches Daily'!AT13</f>
        <v>199.99999999998863</v>
      </c>
      <c r="AB11" s="35">
        <f>'FS Desroches Daily'!AV13</f>
        <v>269.99999999998181</v>
      </c>
      <c r="AC11" s="35">
        <f>'FS Desroches Daily'!AZ13</f>
        <v>160.00000000002501</v>
      </c>
      <c r="AD11" s="35">
        <f>'FS Desroches Daily'!BB13</f>
        <v>270.00000000003865</v>
      </c>
      <c r="AE11" s="35">
        <f>'FS Desroches Daily'!BD13</f>
        <v>69.999999999993179</v>
      </c>
      <c r="AF11" s="31">
        <f>'FS Desroches Daily'!BF13</f>
        <v>33</v>
      </c>
      <c r="AG11" s="32">
        <f>'FS Desroches Daily'!BH13</f>
        <v>69.999999999993179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52</v>
      </c>
      <c r="AM11" s="32">
        <f>'FS Desroches Daily'!BT13</f>
        <v>69.999999999993179</v>
      </c>
      <c r="AN11" s="32">
        <f>'FS Desroches Daily'!BV13</f>
        <v>46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45.599999999998545</v>
      </c>
      <c r="AR11" s="31">
        <f>'FS Desroches Daily'!CD13</f>
        <v>16.5</v>
      </c>
      <c r="AS11" s="31">
        <f>'FS Desroches Daily'!CF13</f>
        <v>4.8999999999996362</v>
      </c>
      <c r="AT11" s="31">
        <f>'FS Desroches Daily'!CH13</f>
        <v>9.6999999999970896</v>
      </c>
      <c r="AU11" s="31">
        <f>'FS Desroches Daily'!CJ13</f>
        <v>304.40000000002328</v>
      </c>
      <c r="AV11" s="31">
        <f>'FS Desroches Daily'!CL13</f>
        <v>709.99999999992269</v>
      </c>
      <c r="AW11" s="31">
        <f>'FS Desroches Daily'!CM13</f>
        <v>94.5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3.6629999999999998</v>
      </c>
      <c r="BC11" s="13">
        <f>'FS Desroches Daily'!CN13</f>
        <v>24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3299.9999999998586</v>
      </c>
      <c r="F12" s="32">
        <f>'FS Desroches Daily'!F14</f>
        <v>3200.0000000000919</v>
      </c>
      <c r="G12" s="31">
        <f>'FS Desroches Daily'!H14</f>
        <v>2800.0000000001355</v>
      </c>
      <c r="H12" s="32">
        <f>'FS Desroches Daily'!J14</f>
        <v>1700.0000000000348</v>
      </c>
      <c r="I12" s="31">
        <f>'FS Desroches Daily'!L14</f>
        <v>2099.9999999999909</v>
      </c>
      <c r="J12" s="32">
        <f>'FS Desroches Daily'!N14</f>
        <v>1700.0000000000348</v>
      </c>
      <c r="K12" s="13">
        <f>'FS Desroches Daily'!P14</f>
        <v>63</v>
      </c>
      <c r="L12" s="31">
        <f>'FS Desroches Daily'!R14</f>
        <v>5</v>
      </c>
      <c r="M12" s="31">
        <f>'FS Desroches Daily'!T14</f>
        <v>0.90000000000009095</v>
      </c>
      <c r="N12" s="31">
        <f>'FS Desroches Daily'!V14</f>
        <v>320.40000000002328</v>
      </c>
      <c r="O12" s="31">
        <f>'FS Desroches Daily'!X14</f>
        <v>319.99999999999318</v>
      </c>
      <c r="P12" s="31">
        <f>'FS Desroches Daily'!Z14</f>
        <v>2699.9999999999245</v>
      </c>
      <c r="Q12" s="31">
        <f>'FS Desroches Daily'!AB14</f>
        <v>439.99999999999773</v>
      </c>
      <c r="R12" s="31">
        <f>'FS Desroches Daily'!AD14</f>
        <v>540.00000000002046</v>
      </c>
      <c r="S12" s="31">
        <f>'FS Desroches Daily'!AF14</f>
        <v>559.99999999994543</v>
      </c>
      <c r="T12" s="31">
        <f>'FS Desroches Daily'!AH14</f>
        <v>44</v>
      </c>
      <c r="U12" s="35">
        <f>'FS Desroches Daily'!AJ14</f>
        <v>809.99999999994543</v>
      </c>
      <c r="V12" s="35">
        <f>'FS Desroches Daily'!AL14</f>
        <v>259.99999999999091</v>
      </c>
      <c r="W12" s="35">
        <f>'FS Desroches Daily'!AN14</f>
        <v>329.99999999998408</v>
      </c>
      <c r="X12" s="35">
        <f>'FS Desroches Daily'!AP14</f>
        <v>209.99999999997954</v>
      </c>
      <c r="Y12" s="35">
        <f>'FS Desroches Daily'!AR14</f>
        <v>240.00000000000909</v>
      </c>
      <c r="Z12" s="35">
        <f>'FS Desroches Daily'!AT14</f>
        <v>300.00000000001137</v>
      </c>
      <c r="AA12" s="35">
        <f>'FS Desroches Daily'!AT14</f>
        <v>300.00000000001137</v>
      </c>
      <c r="AB12" s="35">
        <f>'FS Desroches Daily'!AV14</f>
        <v>180.00000000000682</v>
      </c>
      <c r="AC12" s="35">
        <f>'FS Desroches Daily'!AZ14</f>
        <v>149.99999999997726</v>
      </c>
      <c r="AD12" s="35">
        <f>'FS Desroches Daily'!BB14</f>
        <v>219.99999999997044</v>
      </c>
      <c r="AE12" s="35">
        <f>'FS Desroches Daily'!BD14</f>
        <v>90.000000000031832</v>
      </c>
      <c r="AF12" s="31">
        <f>'FS Desroches Daily'!BF14</f>
        <v>44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50.000000000011369</v>
      </c>
      <c r="AJ12" s="32">
        <f>'FS Desroches Daily'!BN14</f>
        <v>39.999999999992042</v>
      </c>
      <c r="AK12" s="32">
        <f>'FS Desroches Daily'!BP14</f>
        <v>49.999999999954525</v>
      </c>
      <c r="AL12" s="32">
        <f>'FS Desroches Daily'!BR14</f>
        <v>38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36.700000000004366</v>
      </c>
      <c r="AR12" s="31">
        <f>'FS Desroches Daily'!CD14</f>
        <v>9.5</v>
      </c>
      <c r="AS12" s="31">
        <f>'FS Desroches Daily'!CF14</f>
        <v>1.5</v>
      </c>
      <c r="AT12" s="31">
        <f>'FS Desroches Daily'!CH14</f>
        <v>38.700000000011642</v>
      </c>
      <c r="AU12" s="31">
        <f>'FS Desroches Daily'!CJ14</f>
        <v>327.59999999997672</v>
      </c>
      <c r="AV12" s="31">
        <f>'FS Desroches Daily'!CL14</f>
        <v>710.00000000003638</v>
      </c>
      <c r="AW12" s="31">
        <f>'FS Desroches Daily'!CM14</f>
        <v>93</v>
      </c>
      <c r="AX12" s="31">
        <f>IF(LPG!F19-LPG!F18&lt;0,"0",(LPG!F19-LPG!F18)*1.8315)</f>
        <v>10.988999999999999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24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3400.0000000000696</v>
      </c>
      <c r="F13" s="32">
        <f>'FS Desroches Daily'!F15</f>
        <v>3299.9999999998586</v>
      </c>
      <c r="G13" s="31">
        <f>'FS Desroches Daily'!H15</f>
        <v>3000.0000000001137</v>
      </c>
      <c r="H13" s="32">
        <f>'FS Desroches Daily'!J15</f>
        <v>1800.0000000000239</v>
      </c>
      <c r="I13" s="31">
        <f>'FS Desroches Daily'!L15</f>
        <v>2200.0000000002019</v>
      </c>
      <c r="J13" s="32">
        <f>'FS Desroches Daily'!N15</f>
        <v>1500.0000000000568</v>
      </c>
      <c r="K13" s="13">
        <f>'FS Desroches Daily'!P15</f>
        <v>64</v>
      </c>
      <c r="L13" s="31">
        <f>'FS Desroches Daily'!R15</f>
        <v>8</v>
      </c>
      <c r="M13" s="31">
        <f>'FS Desroches Daily'!T15</f>
        <v>2.0999999999999091</v>
      </c>
      <c r="N13" s="31">
        <f>'FS Desroches Daily'!V15</f>
        <v>866.79999999998836</v>
      </c>
      <c r="O13" s="31">
        <f>'FS Desroches Daily'!X15</f>
        <v>529.99999999997272</v>
      </c>
      <c r="P13" s="31">
        <f>'FS Desroches Daily'!Z15</f>
        <v>4000.0000000000036</v>
      </c>
      <c r="Q13" s="31">
        <f>'FS Desroches Daily'!AB15</f>
        <v>370.00000000000455</v>
      </c>
      <c r="R13" s="31">
        <f>'FS Desroches Daily'!AD15</f>
        <v>730.00000000001819</v>
      </c>
      <c r="S13" s="31">
        <f>'FS Desroches Daily'!AF15</f>
        <v>830.00000000004093</v>
      </c>
      <c r="T13" s="31">
        <f>'FS Desroches Daily'!AH15</f>
        <v>58</v>
      </c>
      <c r="U13" s="35">
        <f>'FS Desroches Daily'!AJ15</f>
        <v>1070.00000000005</v>
      </c>
      <c r="V13" s="35">
        <f>'FS Desroches Daily'!AL15</f>
        <v>420.00000000001592</v>
      </c>
      <c r="W13" s="35">
        <f>'FS Desroches Daily'!AN15</f>
        <v>500</v>
      </c>
      <c r="X13" s="35">
        <f>'FS Desroches Daily'!AP15</f>
        <v>210.00000000000796</v>
      </c>
      <c r="Y13" s="35">
        <f>'FS Desroches Daily'!AR15</f>
        <v>209.99999999997954</v>
      </c>
      <c r="Z13" s="35">
        <f>'FS Desroches Daily'!AT15</f>
        <v>389.99999999998636</v>
      </c>
      <c r="AA13" s="35">
        <f>'FS Desroches Daily'!AT15</f>
        <v>389.99999999998636</v>
      </c>
      <c r="AB13" s="35">
        <f>'FS Desroches Daily'!AV15</f>
        <v>290.00000000002046</v>
      </c>
      <c r="AC13" s="35">
        <f>'FS Desroches Daily'!AZ15</f>
        <v>330.00000000004093</v>
      </c>
      <c r="AD13" s="35">
        <f>'FS Desroches Daily'!BB15</f>
        <v>180.00000000000682</v>
      </c>
      <c r="AE13" s="35">
        <f>'FS Desroches Daily'!BD15</f>
        <v>289.99999999996362</v>
      </c>
      <c r="AF13" s="31">
        <f>'FS Desroches Daily'!BF15</f>
        <v>46</v>
      </c>
      <c r="AG13" s="32">
        <f>'FS Desroches Daily'!BH15</f>
        <v>80.000000000012506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60.000000000002274</v>
      </c>
      <c r="AK13" s="32">
        <f>'FS Desroches Daily'!BP15</f>
        <v>90.000000000031832</v>
      </c>
      <c r="AL13" s="32">
        <f>'FS Desroches Daily'!BR15</f>
        <v>43</v>
      </c>
      <c r="AM13" s="32">
        <f>'FS Desroches Daily'!BT15</f>
        <v>90.000000000003411</v>
      </c>
      <c r="AN13" s="32">
        <f>'FS Desroches Daily'!BV15</f>
        <v>62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38.19999999999709</v>
      </c>
      <c r="AR13" s="31">
        <f>'FS Desroches Daily'!CD15</f>
        <v>23.100000000000364</v>
      </c>
      <c r="AS13" s="31">
        <f>'FS Desroches Daily'!CF15</f>
        <v>1.3000000000001819</v>
      </c>
      <c r="AT13" s="31">
        <f>'FS Desroches Daily'!CH15</f>
        <v>64.899999999994179</v>
      </c>
      <c r="AU13" s="31">
        <f>'FS Desroches Daily'!CJ15</f>
        <v>431</v>
      </c>
      <c r="AV13" s="31">
        <f>'FS Desroches Daily'!CL15</f>
        <v>659.99999999996817</v>
      </c>
      <c r="AW13" s="31">
        <f>'FS Desroches Daily'!CM15</f>
        <v>74</v>
      </c>
      <c r="AX13" s="31" t="str">
        <f>IF(LPG!F20-LPG!F19&lt;0,"0",(LPG!F20-LPG!F19)*1.8315)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38100.000000000022</v>
      </c>
      <c r="F33" s="17">
        <f t="shared" ref="F33:BC33" si="1">SUM(F2:F32)</f>
        <v>38699.999999999956</v>
      </c>
      <c r="G33" s="17">
        <f t="shared" si="1"/>
        <v>33399.999999999869</v>
      </c>
      <c r="H33" s="17">
        <f t="shared" si="1"/>
        <v>20000.000000000022</v>
      </c>
      <c r="I33" s="17">
        <f t="shared" si="1"/>
        <v>26000.000000000247</v>
      </c>
      <c r="J33" s="17">
        <f t="shared" si="1"/>
        <v>18899.999999999916</v>
      </c>
      <c r="K33" s="17">
        <f t="shared" si="1"/>
        <v>469</v>
      </c>
      <c r="L33" s="17">
        <f t="shared" si="1"/>
        <v>69</v>
      </c>
      <c r="M33" s="17">
        <f t="shared" si="1"/>
        <v>13.299999999999955</v>
      </c>
      <c r="N33" s="17">
        <f t="shared" si="1"/>
        <v>5322.1000000000349</v>
      </c>
      <c r="O33" s="17">
        <f t="shared" si="1"/>
        <v>5169.9999999999582</v>
      </c>
      <c r="P33" s="17">
        <f t="shared" si="1"/>
        <v>34699.999999999942</v>
      </c>
      <c r="Q33" s="17">
        <f t="shared" si="1"/>
        <v>4400.0000000000346</v>
      </c>
      <c r="R33" s="17">
        <f t="shared" si="1"/>
        <v>7100.0000000000236</v>
      </c>
      <c r="S33" s="17">
        <f t="shared" si="1"/>
        <v>6670.0000000000728</v>
      </c>
      <c r="T33" s="17">
        <f t="shared" si="1"/>
        <v>554</v>
      </c>
      <c r="U33" s="35">
        <f t="shared" si="1"/>
        <v>10009.999999999993</v>
      </c>
      <c r="V33" s="35">
        <f t="shared" si="1"/>
        <v>2250.0000000000282</v>
      </c>
      <c r="W33" s="35">
        <f t="shared" si="1"/>
        <v>3339.999999999975</v>
      </c>
      <c r="X33" s="35">
        <f t="shared" si="1"/>
        <v>2689.9999999999973</v>
      </c>
      <c r="Y33" s="35">
        <f t="shared" si="1"/>
        <v>2949.9999999999886</v>
      </c>
      <c r="Z33" s="35">
        <f t="shared" si="1"/>
        <v>2959.9999999999795</v>
      </c>
      <c r="AA33" s="35">
        <f t="shared" si="1"/>
        <v>2959.9999999999795</v>
      </c>
      <c r="AB33" s="35">
        <f t="shared" si="1"/>
        <v>2379.9999999999955</v>
      </c>
      <c r="AC33" s="35">
        <f t="shared" si="1"/>
        <v>1830.0000000000409</v>
      </c>
      <c r="AD33" s="35">
        <f t="shared" si="1"/>
        <v>2699.9999999999886</v>
      </c>
      <c r="AE33" s="35">
        <f t="shared" si="1"/>
        <v>1899.9999999999773</v>
      </c>
      <c r="AF33" s="17">
        <f t="shared" si="1"/>
        <v>486</v>
      </c>
      <c r="AG33" s="32">
        <f t="shared" si="1"/>
        <v>620.00000000000455</v>
      </c>
      <c r="AH33" s="32">
        <f t="shared" si="1"/>
        <v>420.00000000001592</v>
      </c>
      <c r="AI33" s="32">
        <f t="shared" si="1"/>
        <v>610.00000000001364</v>
      </c>
      <c r="AJ33" s="32">
        <f t="shared" si="1"/>
        <v>569.99999999999318</v>
      </c>
      <c r="AK33" s="32">
        <f t="shared" si="1"/>
        <v>740.00000000000909</v>
      </c>
      <c r="AL33" s="32">
        <f t="shared" si="1"/>
        <v>476</v>
      </c>
      <c r="AM33" s="32">
        <f t="shared" si="1"/>
        <v>770.00000000001023</v>
      </c>
      <c r="AN33" s="32">
        <f t="shared" si="1"/>
        <v>506</v>
      </c>
      <c r="AO33" s="32">
        <f t="shared" si="1"/>
        <v>480.00000000001819</v>
      </c>
      <c r="AP33" s="32">
        <f t="shared" si="1"/>
        <v>538</v>
      </c>
      <c r="AQ33" s="17">
        <f t="shared" si="1"/>
        <v>505.79999999999563</v>
      </c>
      <c r="AR33" s="17">
        <f t="shared" si="1"/>
        <v>118.30000000000109</v>
      </c>
      <c r="AS33" s="17">
        <f t="shared" si="1"/>
        <v>45.699999999999818</v>
      </c>
      <c r="AT33" s="17">
        <f t="shared" si="1"/>
        <v>496.10000000000582</v>
      </c>
      <c r="AU33" s="17">
        <f t="shared" si="1"/>
        <v>3694</v>
      </c>
      <c r="AV33" s="17">
        <f t="shared" si="1"/>
        <v>7289.9999999999636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51.281999999999989</v>
      </c>
      <c r="BC33" s="17">
        <f t="shared" si="1"/>
        <v>268</v>
      </c>
    </row>
    <row r="35" spans="5:55" x14ac:dyDescent="0.25">
      <c r="E35" s="38">
        <f>E33/E37</f>
        <v>0.27168099944380331</v>
      </c>
      <c r="G35" s="29">
        <f>G33-M36</f>
        <v>28064.599999999835</v>
      </c>
      <c r="AE35" s="35">
        <f>SUM(U33:AE33)</f>
        <v>35969.999999999942</v>
      </c>
      <c r="AG35" s="32">
        <f>SUM(AG33:AP33)</f>
        <v>5730.0000000000646</v>
      </c>
    </row>
    <row r="36" spans="5:55" x14ac:dyDescent="0.25">
      <c r="G36" s="29">
        <f>G35-633*14</f>
        <v>19202.599999999835</v>
      </c>
      <c r="M36" s="29">
        <f>M33+N33</f>
        <v>5335.4000000000351</v>
      </c>
    </row>
    <row r="37" spans="5:55" x14ac:dyDescent="0.25">
      <c r="E37" s="17">
        <f>E33+F33+G33+H33+J33-633*14</f>
        <v>140237.99999999977</v>
      </c>
      <c r="G37" s="37">
        <f>M36/E37</f>
        <v>3.8045322950983639E-2</v>
      </c>
      <c r="M37" s="35">
        <f>AE35</f>
        <v>35969.999999999942</v>
      </c>
    </row>
    <row r="38" spans="5:55" x14ac:dyDescent="0.25">
      <c r="L38" s="27">
        <f>M38/E37</f>
        <v>4.0859110939973999E-2</v>
      </c>
      <c r="M38" s="29">
        <f>AG35</f>
        <v>5730.0000000000646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1" zoomScale="82" zoomScaleNormal="82" workbookViewId="0">
      <pane ySplit="1" topLeftCell="A2" activePane="bottomLeft" state="frozen"/>
      <selection pane="bottomLeft" activeCell="P15" sqref="P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>
        <v>2.8675999999999999</v>
      </c>
      <c r="D11" s="64">
        <f t="shared" si="1"/>
        <v>3099.9999999998809</v>
      </c>
      <c r="E11" s="58">
        <v>3.9499</v>
      </c>
      <c r="F11" s="64">
        <f t="shared" si="2"/>
        <v>3499.9999999998367</v>
      </c>
      <c r="G11" s="58">
        <v>3.9331999999999998</v>
      </c>
      <c r="H11" s="64">
        <f t="shared" si="3"/>
        <v>2599.9999999997135</v>
      </c>
      <c r="I11" s="58">
        <v>1.9644999999999999</v>
      </c>
      <c r="J11" s="64">
        <f t="shared" si="4"/>
        <v>1699.9999999998129</v>
      </c>
      <c r="K11" s="58">
        <v>3.1073</v>
      </c>
      <c r="L11" s="64">
        <f t="shared" si="5"/>
        <v>2099.9999999999909</v>
      </c>
      <c r="M11" s="58">
        <v>1.7295</v>
      </c>
      <c r="N11" s="64">
        <f t="shared" si="6"/>
        <v>1600.0000000000459</v>
      </c>
      <c r="O11" s="58">
        <v>17096</v>
      </c>
      <c r="P11" s="67">
        <f t="shared" si="7"/>
        <v>41</v>
      </c>
      <c r="Q11" s="58">
        <v>1957</v>
      </c>
      <c r="R11" s="67">
        <f t="shared" si="8"/>
        <v>6</v>
      </c>
      <c r="S11" s="58">
        <v>1212.5</v>
      </c>
      <c r="T11" s="67">
        <f t="shared" si="9"/>
        <v>0.79999999999995453</v>
      </c>
      <c r="U11" s="58">
        <v>501317.1</v>
      </c>
      <c r="V11" s="67">
        <f t="shared" si="10"/>
        <v>374.89999999996508</v>
      </c>
      <c r="W11" s="58">
        <v>468.83</v>
      </c>
      <c r="X11" s="65">
        <f t="shared" si="11"/>
        <v>419.99999999995907</v>
      </c>
      <c r="Y11" s="58">
        <v>3.4691999999999998</v>
      </c>
      <c r="Z11" s="65">
        <f t="shared" si="12"/>
        <v>2999.9999999996694</v>
      </c>
      <c r="AA11" s="58">
        <v>471.58</v>
      </c>
      <c r="AB11" s="65">
        <f t="shared" si="13"/>
        <v>339.99999999997499</v>
      </c>
      <c r="AC11" s="58">
        <v>453.98</v>
      </c>
      <c r="AD11" s="65">
        <f t="shared" si="14"/>
        <v>600.00000000002274</v>
      </c>
      <c r="AE11" s="58">
        <v>655.8</v>
      </c>
      <c r="AF11" s="65">
        <f t="shared" si="15"/>
        <v>509.99999999999091</v>
      </c>
      <c r="AG11" s="58">
        <v>12908</v>
      </c>
      <c r="AH11" s="67">
        <f t="shared" si="16"/>
        <v>42</v>
      </c>
      <c r="AI11" s="58">
        <v>767.44</v>
      </c>
      <c r="AJ11" s="65">
        <f t="shared" si="17"/>
        <v>850.00000000002274</v>
      </c>
      <c r="AK11" s="58">
        <v>256.05</v>
      </c>
      <c r="AL11" s="65">
        <f t="shared" si="18"/>
        <v>130.00000000002387</v>
      </c>
      <c r="AM11" s="58">
        <v>240.48</v>
      </c>
      <c r="AN11" s="65">
        <f t="shared" si="19"/>
        <v>219.99999999999886</v>
      </c>
      <c r="AO11" s="58">
        <v>231.63</v>
      </c>
      <c r="AP11" s="65">
        <f t="shared" si="20"/>
        <v>250</v>
      </c>
      <c r="AQ11" s="58">
        <v>288.98</v>
      </c>
      <c r="AR11" s="65">
        <f t="shared" si="21"/>
        <v>170.00000000001592</v>
      </c>
      <c r="AS11" s="58">
        <v>415.43</v>
      </c>
      <c r="AT11" s="65">
        <f t="shared" si="22"/>
        <v>269.99999999998181</v>
      </c>
      <c r="AU11" s="58">
        <v>320.87</v>
      </c>
      <c r="AV11" s="65">
        <f t="shared" si="23"/>
        <v>180.00000000000682</v>
      </c>
      <c r="AW11" s="58">
        <v>353.55</v>
      </c>
      <c r="AX11" s="65">
        <f t="shared" si="24"/>
        <v>210.00000000003638</v>
      </c>
      <c r="AY11" s="58">
        <v>387.7</v>
      </c>
      <c r="AZ11" s="65">
        <f t="shared" si="25"/>
        <v>159.99999999996817</v>
      </c>
      <c r="BA11" s="58">
        <v>408.61</v>
      </c>
      <c r="BB11" s="65">
        <f t="shared" si="26"/>
        <v>250</v>
      </c>
      <c r="BC11" s="58">
        <v>261.97000000000003</v>
      </c>
      <c r="BD11" s="65">
        <f t="shared" si="27"/>
        <v>180.00000000000682</v>
      </c>
      <c r="BE11" s="59">
        <v>47892</v>
      </c>
      <c r="BF11" s="67">
        <f t="shared" si="28"/>
        <v>38</v>
      </c>
      <c r="BG11" s="60">
        <v>243.53</v>
      </c>
      <c r="BH11" s="65">
        <f t="shared" si="29"/>
        <v>39.999999999992042</v>
      </c>
      <c r="BI11" s="60">
        <v>299.54000000000002</v>
      </c>
      <c r="BJ11" s="65">
        <f t="shared" si="30"/>
        <v>40.000000000020464</v>
      </c>
      <c r="BK11" s="60">
        <v>246.25</v>
      </c>
      <c r="BL11" s="65">
        <f t="shared" si="31"/>
        <v>50.000000000011369</v>
      </c>
      <c r="BM11" s="60">
        <v>233.36</v>
      </c>
      <c r="BN11" s="65">
        <f t="shared" si="32"/>
        <v>50.000000000011369</v>
      </c>
      <c r="BO11" s="60">
        <v>299.17</v>
      </c>
      <c r="BP11" s="65">
        <f t="shared" si="33"/>
        <v>50.000000000011369</v>
      </c>
      <c r="BQ11" s="60">
        <v>52279</v>
      </c>
      <c r="BR11" s="65">
        <f t="shared" si="34"/>
        <v>42</v>
      </c>
      <c r="BS11" s="60">
        <v>210.19</v>
      </c>
      <c r="BT11" s="65">
        <f t="shared" si="35"/>
        <v>60.000000000002274</v>
      </c>
      <c r="BU11" s="60">
        <v>49138</v>
      </c>
      <c r="BV11" s="65">
        <f t="shared" si="36"/>
        <v>49</v>
      </c>
      <c r="BW11" s="60">
        <v>238.7</v>
      </c>
      <c r="BX11" s="65">
        <f t="shared" si="37"/>
        <v>39.999999999992042</v>
      </c>
      <c r="BY11" s="60">
        <v>68946</v>
      </c>
      <c r="BZ11" s="67">
        <f t="shared" si="38"/>
        <v>46</v>
      </c>
      <c r="CA11" s="60">
        <v>42905.599999999999</v>
      </c>
      <c r="CB11" s="67">
        <f t="shared" si="39"/>
        <v>37.69999999999709</v>
      </c>
      <c r="CC11" s="60">
        <v>14251.1</v>
      </c>
      <c r="CD11" s="67">
        <f t="shared" si="40"/>
        <v>12.399999999999636</v>
      </c>
      <c r="CE11" s="60">
        <v>7579.1</v>
      </c>
      <c r="CF11" s="67">
        <f t="shared" si="41"/>
        <v>0.3000000000001819</v>
      </c>
      <c r="CG11" s="60">
        <v>69520.7</v>
      </c>
      <c r="CH11" s="67">
        <f t="shared" si="42"/>
        <v>38</v>
      </c>
      <c r="CI11" s="60">
        <v>1013351</v>
      </c>
      <c r="CJ11" s="67">
        <f t="shared" si="43"/>
        <v>280</v>
      </c>
      <c r="CK11" s="60">
        <v>908.17</v>
      </c>
      <c r="CL11" s="64">
        <f t="shared" si="44"/>
        <v>629.99999999999545</v>
      </c>
      <c r="CM11" s="65">
        <f t="shared" si="45"/>
        <v>159.29999999999927</v>
      </c>
      <c r="CN11" s="62">
        <v>17</v>
      </c>
      <c r="CO11" s="62">
        <v>38</v>
      </c>
      <c r="CP11" s="68">
        <v>21754</v>
      </c>
      <c r="CQ11" s="67">
        <f t="shared" si="46"/>
        <v>88</v>
      </c>
      <c r="CR11" s="68">
        <v>19150.3</v>
      </c>
      <c r="CS11" s="67">
        <f t="shared" si="47"/>
        <v>71.299999999999272</v>
      </c>
      <c r="CT11" s="75">
        <v>8803</v>
      </c>
      <c r="CU11" s="67">
        <f t="shared" si="48"/>
        <v>7</v>
      </c>
      <c r="CV11" s="68">
        <v>21799</v>
      </c>
      <c r="CW11" s="67">
        <f t="shared" si="49"/>
        <v>35</v>
      </c>
      <c r="CX11" s="58">
        <v>1795.8</v>
      </c>
      <c r="CY11" s="67">
        <f t="shared" si="50"/>
        <v>11.599999999999909</v>
      </c>
    </row>
    <row r="12" spans="1:103" ht="25.5" customHeight="1" thickBot="1" x14ac:dyDescent="0.45">
      <c r="A12" s="63">
        <v>44601</v>
      </c>
      <c r="B12" s="44"/>
      <c r="C12" s="58">
        <v>2.8706999999999998</v>
      </c>
      <c r="D12" s="64">
        <f t="shared" si="1"/>
        <v>3099.9999999998809</v>
      </c>
      <c r="E12" s="58">
        <v>3.9529000000000001</v>
      </c>
      <c r="F12" s="64">
        <f t="shared" si="2"/>
        <v>3000.0000000001137</v>
      </c>
      <c r="G12" s="58">
        <v>3.9359999999999999</v>
      </c>
      <c r="H12" s="64">
        <f t="shared" si="3"/>
        <v>2800.0000000001355</v>
      </c>
      <c r="I12" s="58">
        <v>1.9661999999999999</v>
      </c>
      <c r="J12" s="64">
        <f t="shared" si="4"/>
        <v>1700.0000000000348</v>
      </c>
      <c r="K12" s="58">
        <v>3.1095000000000002</v>
      </c>
      <c r="L12" s="64">
        <f t="shared" si="5"/>
        <v>2200.0000000002019</v>
      </c>
      <c r="M12" s="58">
        <v>1.7310000000000001</v>
      </c>
      <c r="N12" s="64">
        <f t="shared" si="6"/>
        <v>1500.0000000000568</v>
      </c>
      <c r="O12" s="58">
        <v>17111</v>
      </c>
      <c r="P12" s="67">
        <f t="shared" si="7"/>
        <v>15</v>
      </c>
      <c r="Q12" s="58">
        <v>1962</v>
      </c>
      <c r="R12" s="67">
        <f t="shared" si="8"/>
        <v>5</v>
      </c>
      <c r="S12" s="58">
        <v>1213.5</v>
      </c>
      <c r="T12" s="67">
        <f t="shared" si="9"/>
        <v>1</v>
      </c>
      <c r="U12" s="58">
        <v>501680.5</v>
      </c>
      <c r="V12" s="67">
        <f t="shared" si="10"/>
        <v>363.40000000002328</v>
      </c>
      <c r="W12" s="58">
        <v>469.19</v>
      </c>
      <c r="X12" s="65">
        <f t="shared" si="11"/>
        <v>360.00000000001364</v>
      </c>
      <c r="Y12" s="58">
        <v>3.4719000000000002</v>
      </c>
      <c r="Z12" s="65">
        <f t="shared" si="12"/>
        <v>2700.0000000003688</v>
      </c>
      <c r="AA12" s="58">
        <v>471.98</v>
      </c>
      <c r="AB12" s="65">
        <f t="shared" si="13"/>
        <v>400.00000000003411</v>
      </c>
      <c r="AC12" s="58">
        <v>454.51</v>
      </c>
      <c r="AD12" s="65">
        <f t="shared" si="14"/>
        <v>529.99999999997272</v>
      </c>
      <c r="AE12" s="58">
        <v>656.25</v>
      </c>
      <c r="AF12" s="65">
        <f t="shared" si="15"/>
        <v>450.00000000004547</v>
      </c>
      <c r="AG12" s="58">
        <v>12952</v>
      </c>
      <c r="AH12" s="67">
        <f t="shared" si="16"/>
        <v>44</v>
      </c>
      <c r="AI12" s="58">
        <v>768.25</v>
      </c>
      <c r="AJ12" s="65">
        <f t="shared" si="17"/>
        <v>809.99999999994543</v>
      </c>
      <c r="AK12" s="58">
        <v>256.19</v>
      </c>
      <c r="AL12" s="65">
        <f t="shared" si="18"/>
        <v>139.99999999998636</v>
      </c>
      <c r="AM12" s="58">
        <v>240.69</v>
      </c>
      <c r="AN12" s="65">
        <f t="shared" si="19"/>
        <v>210.00000000000796</v>
      </c>
      <c r="AO12" s="58">
        <v>231.85</v>
      </c>
      <c r="AP12" s="65">
        <f t="shared" si="20"/>
        <v>219.99999999999886</v>
      </c>
      <c r="AQ12" s="58">
        <v>289.17</v>
      </c>
      <c r="AR12" s="65">
        <f t="shared" si="21"/>
        <v>189.99999999999773</v>
      </c>
      <c r="AS12" s="58">
        <v>415.7</v>
      </c>
      <c r="AT12" s="65">
        <f t="shared" si="22"/>
        <v>269.99999999998181</v>
      </c>
      <c r="AU12" s="58">
        <v>321.07</v>
      </c>
      <c r="AV12" s="65">
        <f t="shared" si="23"/>
        <v>199.99999999998863</v>
      </c>
      <c r="AW12" s="58">
        <v>353.81</v>
      </c>
      <c r="AX12" s="65">
        <f t="shared" si="24"/>
        <v>259.99999999999091</v>
      </c>
      <c r="AY12" s="58">
        <v>387.84</v>
      </c>
      <c r="AZ12" s="65">
        <f t="shared" si="25"/>
        <v>139.99999999998636</v>
      </c>
      <c r="BA12" s="58">
        <v>408.84</v>
      </c>
      <c r="BB12" s="65">
        <f t="shared" si="26"/>
        <v>229.99999999996135</v>
      </c>
      <c r="BC12" s="58">
        <v>262.08</v>
      </c>
      <c r="BD12" s="65">
        <f t="shared" si="27"/>
        <v>109.9999999999568</v>
      </c>
      <c r="BE12" s="59">
        <v>47928</v>
      </c>
      <c r="BF12" s="67">
        <f t="shared" si="28"/>
        <v>36</v>
      </c>
      <c r="BG12" s="60">
        <v>243.58</v>
      </c>
      <c r="BH12" s="65">
        <f t="shared" si="29"/>
        <v>50.000000000011369</v>
      </c>
      <c r="BI12" s="60">
        <v>299.57</v>
      </c>
      <c r="BJ12" s="65">
        <f t="shared" si="30"/>
        <v>29.999999999972715</v>
      </c>
      <c r="BK12" s="60">
        <v>246.3</v>
      </c>
      <c r="BL12" s="65">
        <f t="shared" si="31"/>
        <v>50.000000000011369</v>
      </c>
      <c r="BM12" s="60">
        <v>233.4</v>
      </c>
      <c r="BN12" s="65">
        <f t="shared" si="32"/>
        <v>39.999999999992042</v>
      </c>
      <c r="BO12" s="60">
        <v>299.23</v>
      </c>
      <c r="BP12" s="65">
        <f t="shared" si="33"/>
        <v>60.000000000002274</v>
      </c>
      <c r="BQ12" s="60">
        <v>52315</v>
      </c>
      <c r="BR12" s="65">
        <f t="shared" si="34"/>
        <v>36</v>
      </c>
      <c r="BS12" s="60">
        <v>210.24</v>
      </c>
      <c r="BT12" s="65">
        <f t="shared" si="35"/>
        <v>50.000000000011369</v>
      </c>
      <c r="BU12" s="60">
        <v>49175</v>
      </c>
      <c r="BV12" s="65">
        <f t="shared" si="36"/>
        <v>37</v>
      </c>
      <c r="BW12" s="60">
        <v>238.74</v>
      </c>
      <c r="BX12" s="65">
        <f t="shared" si="37"/>
        <v>40.000000000020464</v>
      </c>
      <c r="BY12" s="60">
        <v>68985</v>
      </c>
      <c r="BZ12" s="67">
        <f t="shared" si="38"/>
        <v>39</v>
      </c>
      <c r="CA12" s="60">
        <v>42945.1</v>
      </c>
      <c r="CB12" s="67">
        <f t="shared" si="39"/>
        <v>39.5</v>
      </c>
      <c r="CC12" s="60">
        <v>14262.5</v>
      </c>
      <c r="CD12" s="67">
        <f t="shared" si="40"/>
        <v>11.399999999999636</v>
      </c>
      <c r="CE12" s="60">
        <v>7580.1</v>
      </c>
      <c r="CF12" s="67">
        <f t="shared" si="41"/>
        <v>1</v>
      </c>
      <c r="CG12" s="60">
        <v>69589.7</v>
      </c>
      <c r="CH12" s="67">
        <f t="shared" si="42"/>
        <v>69</v>
      </c>
      <c r="CI12" s="60">
        <v>1013656</v>
      </c>
      <c r="CJ12" s="67">
        <f t="shared" si="43"/>
        <v>305</v>
      </c>
      <c r="CK12" s="60">
        <v>908.82</v>
      </c>
      <c r="CL12" s="64">
        <f t="shared" si="44"/>
        <v>650.00000000009095</v>
      </c>
      <c r="CM12" s="65">
        <f t="shared" si="45"/>
        <v>103.20000000000073</v>
      </c>
      <c r="CN12" s="62">
        <v>18</v>
      </c>
      <c r="CO12" s="62">
        <v>44</v>
      </c>
      <c r="CP12" s="68">
        <v>21837</v>
      </c>
      <c r="CQ12" s="67">
        <f t="shared" si="46"/>
        <v>83</v>
      </c>
      <c r="CR12" s="68">
        <v>19170.5</v>
      </c>
      <c r="CS12" s="67">
        <f t="shared" si="47"/>
        <v>20.200000000000728</v>
      </c>
      <c r="CT12" s="75">
        <v>8812</v>
      </c>
      <c r="CU12" s="67">
        <f t="shared" si="48"/>
        <v>9</v>
      </c>
      <c r="CV12" s="68">
        <v>21834</v>
      </c>
      <c r="CW12" s="67">
        <f t="shared" si="49"/>
        <v>35</v>
      </c>
      <c r="CX12" s="58">
        <v>1806.6</v>
      </c>
      <c r="CY12" s="67">
        <f t="shared" si="50"/>
        <v>10.799999999999955</v>
      </c>
    </row>
    <row r="13" spans="1:103" ht="25.5" customHeight="1" thickBot="1" x14ac:dyDescent="0.45">
      <c r="A13" s="63">
        <v>44602</v>
      </c>
      <c r="B13" s="44"/>
      <c r="C13" s="58">
        <v>2.8740000000000001</v>
      </c>
      <c r="D13" s="64">
        <f t="shared" si="1"/>
        <v>3300.0000000003029</v>
      </c>
      <c r="E13" s="58">
        <v>3.9565000000000001</v>
      </c>
      <c r="F13" s="64">
        <f t="shared" si="2"/>
        <v>3600.0000000000477</v>
      </c>
      <c r="G13" s="58">
        <v>3.9388999999999998</v>
      </c>
      <c r="H13" s="64">
        <f t="shared" si="3"/>
        <v>2899.9999999999027</v>
      </c>
      <c r="I13" s="58">
        <v>1.9679</v>
      </c>
      <c r="J13" s="64">
        <f t="shared" si="4"/>
        <v>1700.0000000000348</v>
      </c>
      <c r="K13" s="58">
        <v>3.1116999999999999</v>
      </c>
      <c r="L13" s="64">
        <f t="shared" si="5"/>
        <v>2199.9999999997576</v>
      </c>
      <c r="M13" s="58">
        <v>1.7324999999999999</v>
      </c>
      <c r="N13" s="64">
        <f t="shared" si="6"/>
        <v>1499.9999999998347</v>
      </c>
      <c r="O13" s="58">
        <v>17138</v>
      </c>
      <c r="P13" s="67">
        <f t="shared" si="7"/>
        <v>27</v>
      </c>
      <c r="Q13" s="58">
        <v>1968</v>
      </c>
      <c r="R13" s="67">
        <f t="shared" si="8"/>
        <v>6</v>
      </c>
      <c r="S13" s="58">
        <v>1214.5999999999999</v>
      </c>
      <c r="T13" s="67">
        <f t="shared" si="9"/>
        <v>1.0999999999999091</v>
      </c>
      <c r="U13" s="58">
        <v>502110.5</v>
      </c>
      <c r="V13" s="67">
        <f t="shared" si="10"/>
        <v>430</v>
      </c>
      <c r="W13" s="58">
        <v>469.67</v>
      </c>
      <c r="X13" s="65">
        <f t="shared" si="11"/>
        <v>480.00000000001819</v>
      </c>
      <c r="Y13" s="58">
        <v>3.4752000000000001</v>
      </c>
      <c r="Z13" s="65">
        <f t="shared" si="12"/>
        <v>3299.9999999998586</v>
      </c>
      <c r="AA13" s="58">
        <v>472.24</v>
      </c>
      <c r="AB13" s="65">
        <f t="shared" si="13"/>
        <v>259.99999999999091</v>
      </c>
      <c r="AC13" s="58">
        <v>455.15</v>
      </c>
      <c r="AD13" s="65">
        <f t="shared" si="14"/>
        <v>639.99999999998636</v>
      </c>
      <c r="AE13" s="58">
        <v>656.83</v>
      </c>
      <c r="AF13" s="65">
        <f t="shared" si="15"/>
        <v>580.00000000004093</v>
      </c>
      <c r="AG13" s="58">
        <v>12998</v>
      </c>
      <c r="AH13" s="67">
        <f t="shared" si="16"/>
        <v>46</v>
      </c>
      <c r="AI13" s="58">
        <v>769.23</v>
      </c>
      <c r="AJ13" s="65">
        <f t="shared" si="17"/>
        <v>980.00000000001819</v>
      </c>
      <c r="AK13" s="58">
        <v>256.36</v>
      </c>
      <c r="AL13" s="65">
        <f t="shared" si="18"/>
        <v>170.00000000001592</v>
      </c>
      <c r="AM13" s="58">
        <v>241.09</v>
      </c>
      <c r="AN13" s="65">
        <f t="shared" si="19"/>
        <v>400.00000000000568</v>
      </c>
      <c r="AO13" s="58">
        <v>232.11</v>
      </c>
      <c r="AP13" s="65">
        <f t="shared" si="20"/>
        <v>260.00000000001933</v>
      </c>
      <c r="AQ13" s="58">
        <v>289.44</v>
      </c>
      <c r="AR13" s="65">
        <f t="shared" si="21"/>
        <v>269.99999999998181</v>
      </c>
      <c r="AS13" s="58">
        <v>415.9</v>
      </c>
      <c r="AT13" s="65">
        <f t="shared" si="22"/>
        <v>199.99999999998863</v>
      </c>
      <c r="AU13" s="58">
        <v>321.33999999999997</v>
      </c>
      <c r="AV13" s="65">
        <f t="shared" si="23"/>
        <v>269.99999999998181</v>
      </c>
      <c r="AW13" s="58">
        <v>354.01</v>
      </c>
      <c r="AX13" s="65">
        <f t="shared" si="24"/>
        <v>199.99999999998863</v>
      </c>
      <c r="AY13" s="58">
        <v>388</v>
      </c>
      <c r="AZ13" s="65">
        <f t="shared" si="25"/>
        <v>160.00000000002501</v>
      </c>
      <c r="BA13" s="58">
        <v>409.11</v>
      </c>
      <c r="BB13" s="65">
        <f t="shared" si="26"/>
        <v>270.00000000003865</v>
      </c>
      <c r="BC13" s="58">
        <v>262.14999999999998</v>
      </c>
      <c r="BD13" s="65">
        <f t="shared" si="27"/>
        <v>69.999999999993179</v>
      </c>
      <c r="BE13" s="59">
        <v>47961</v>
      </c>
      <c r="BF13" s="67">
        <f t="shared" si="28"/>
        <v>33</v>
      </c>
      <c r="BG13" s="60">
        <v>243.65</v>
      </c>
      <c r="BH13" s="65">
        <f t="shared" si="29"/>
        <v>69.999999999993179</v>
      </c>
      <c r="BI13" s="60">
        <v>299.60000000000002</v>
      </c>
      <c r="BJ13" s="65">
        <f t="shared" si="30"/>
        <v>30.000000000029559</v>
      </c>
      <c r="BK13" s="60">
        <v>246.35</v>
      </c>
      <c r="BL13" s="65">
        <f t="shared" si="31"/>
        <v>49.999999999982947</v>
      </c>
      <c r="BM13" s="60">
        <v>233.44</v>
      </c>
      <c r="BN13" s="65">
        <f t="shared" si="32"/>
        <v>39.999999999992042</v>
      </c>
      <c r="BO13" s="60">
        <v>299.29000000000002</v>
      </c>
      <c r="BP13" s="65">
        <f t="shared" si="33"/>
        <v>60.000000000002274</v>
      </c>
      <c r="BQ13" s="60">
        <v>52367</v>
      </c>
      <c r="BR13" s="65">
        <f t="shared" si="34"/>
        <v>52</v>
      </c>
      <c r="BS13" s="60">
        <v>210.31</v>
      </c>
      <c r="BT13" s="65">
        <f t="shared" si="35"/>
        <v>69.999999999993179</v>
      </c>
      <c r="BU13" s="60">
        <v>49221</v>
      </c>
      <c r="BV13" s="65">
        <f t="shared" si="36"/>
        <v>46</v>
      </c>
      <c r="BW13" s="60">
        <v>238.78</v>
      </c>
      <c r="BX13" s="65">
        <f t="shared" si="37"/>
        <v>39.999999999992042</v>
      </c>
      <c r="BY13" s="60">
        <v>69030</v>
      </c>
      <c r="BZ13" s="67">
        <f t="shared" si="38"/>
        <v>45</v>
      </c>
      <c r="CA13" s="60">
        <v>42990.7</v>
      </c>
      <c r="CB13" s="67">
        <f t="shared" si="39"/>
        <v>45.599999999998545</v>
      </c>
      <c r="CC13" s="60">
        <v>14279</v>
      </c>
      <c r="CD13" s="67">
        <f t="shared" si="40"/>
        <v>16.5</v>
      </c>
      <c r="CE13" s="60">
        <v>7585</v>
      </c>
      <c r="CF13" s="67">
        <f t="shared" si="41"/>
        <v>4.8999999999996362</v>
      </c>
      <c r="CG13" s="60">
        <v>69599.399999999994</v>
      </c>
      <c r="CH13" s="67">
        <f t="shared" si="42"/>
        <v>9.6999999999970896</v>
      </c>
      <c r="CI13" s="60">
        <v>1013960.4</v>
      </c>
      <c r="CJ13" s="67">
        <f t="shared" si="43"/>
        <v>304.40000000002328</v>
      </c>
      <c r="CK13" s="60">
        <v>909.53</v>
      </c>
      <c r="CL13" s="64">
        <f t="shared" si="44"/>
        <v>709.99999999992269</v>
      </c>
      <c r="CM13" s="65">
        <f t="shared" si="45"/>
        <v>94.5</v>
      </c>
      <c r="CN13" s="62">
        <v>24</v>
      </c>
      <c r="CO13" s="62">
        <v>57</v>
      </c>
      <c r="CP13" s="68">
        <v>21908</v>
      </c>
      <c r="CQ13" s="67">
        <f t="shared" si="46"/>
        <v>71</v>
      </c>
      <c r="CR13" s="68">
        <v>19194</v>
      </c>
      <c r="CS13" s="67">
        <f t="shared" si="47"/>
        <v>23.5</v>
      </c>
      <c r="CT13" s="75">
        <v>8827</v>
      </c>
      <c r="CU13" s="67">
        <f t="shared" si="48"/>
        <v>15</v>
      </c>
      <c r="CV13" s="68">
        <v>21877</v>
      </c>
      <c r="CW13" s="67">
        <f t="shared" si="49"/>
        <v>43</v>
      </c>
      <c r="CX13" s="58">
        <v>1818.5</v>
      </c>
      <c r="CY13" s="67">
        <f t="shared" si="50"/>
        <v>11.900000000000091</v>
      </c>
    </row>
    <row r="14" spans="1:103" ht="25.5" customHeight="1" thickBot="1" x14ac:dyDescent="0.45">
      <c r="A14" s="63">
        <v>44603</v>
      </c>
      <c r="B14" s="44"/>
      <c r="C14" s="58">
        <v>2.8773</v>
      </c>
      <c r="D14" s="64">
        <f t="shared" si="1"/>
        <v>3299.9999999998586</v>
      </c>
      <c r="E14" s="58">
        <v>3.9597000000000002</v>
      </c>
      <c r="F14" s="64">
        <f t="shared" si="2"/>
        <v>3200.0000000000919</v>
      </c>
      <c r="G14" s="58">
        <v>3.9417</v>
      </c>
      <c r="H14" s="64">
        <f t="shared" si="3"/>
        <v>2800.0000000001355</v>
      </c>
      <c r="I14" s="58">
        <v>1.9696</v>
      </c>
      <c r="J14" s="64">
        <f t="shared" si="4"/>
        <v>1700.0000000000348</v>
      </c>
      <c r="K14" s="58">
        <v>3.1137999999999999</v>
      </c>
      <c r="L14" s="64">
        <f t="shared" si="5"/>
        <v>2099.9999999999909</v>
      </c>
      <c r="M14" s="58">
        <v>1.7342</v>
      </c>
      <c r="N14" s="64">
        <f t="shared" si="6"/>
        <v>1700.0000000000348</v>
      </c>
      <c r="O14" s="58">
        <v>17201</v>
      </c>
      <c r="P14" s="67">
        <f t="shared" si="7"/>
        <v>63</v>
      </c>
      <c r="Q14" s="58">
        <v>1973</v>
      </c>
      <c r="R14" s="67">
        <f t="shared" si="8"/>
        <v>5</v>
      </c>
      <c r="S14" s="58">
        <v>1215.5</v>
      </c>
      <c r="T14" s="67">
        <f t="shared" si="9"/>
        <v>0.90000000000009095</v>
      </c>
      <c r="U14" s="58">
        <v>502430.9</v>
      </c>
      <c r="V14" s="67">
        <f t="shared" si="10"/>
        <v>320.40000000002328</v>
      </c>
      <c r="W14" s="58">
        <v>469.99</v>
      </c>
      <c r="X14" s="65">
        <f t="shared" si="11"/>
        <v>319.99999999999318</v>
      </c>
      <c r="Y14" s="58">
        <v>3.4779</v>
      </c>
      <c r="Z14" s="65">
        <f t="shared" si="12"/>
        <v>2699.9999999999245</v>
      </c>
      <c r="AA14" s="58">
        <v>472.68</v>
      </c>
      <c r="AB14" s="65">
        <f t="shared" si="13"/>
        <v>439.99999999999773</v>
      </c>
      <c r="AC14" s="58">
        <v>455.69</v>
      </c>
      <c r="AD14" s="65">
        <f t="shared" si="14"/>
        <v>540.00000000002046</v>
      </c>
      <c r="AE14" s="58">
        <v>657.39</v>
      </c>
      <c r="AF14" s="65">
        <f t="shared" si="15"/>
        <v>559.99999999994543</v>
      </c>
      <c r="AG14" s="58">
        <v>13042</v>
      </c>
      <c r="AH14" s="67">
        <f t="shared" si="16"/>
        <v>44</v>
      </c>
      <c r="AI14" s="58">
        <v>770.04</v>
      </c>
      <c r="AJ14" s="65">
        <f t="shared" si="17"/>
        <v>809.99999999994543</v>
      </c>
      <c r="AK14" s="58">
        <v>256.62</v>
      </c>
      <c r="AL14" s="65">
        <f t="shared" si="18"/>
        <v>259.99999999999091</v>
      </c>
      <c r="AM14" s="58">
        <v>241.42</v>
      </c>
      <c r="AN14" s="65">
        <f t="shared" si="19"/>
        <v>329.99999999998408</v>
      </c>
      <c r="AO14" s="58">
        <v>232.32</v>
      </c>
      <c r="AP14" s="65">
        <f t="shared" si="20"/>
        <v>209.99999999997954</v>
      </c>
      <c r="AQ14" s="58">
        <v>289.68</v>
      </c>
      <c r="AR14" s="65">
        <f t="shared" si="21"/>
        <v>240.00000000000909</v>
      </c>
      <c r="AS14" s="58">
        <v>416.2</v>
      </c>
      <c r="AT14" s="65">
        <f t="shared" si="22"/>
        <v>300.00000000001137</v>
      </c>
      <c r="AU14" s="58">
        <v>321.52</v>
      </c>
      <c r="AV14" s="65">
        <f t="shared" si="23"/>
        <v>180.00000000000682</v>
      </c>
      <c r="AW14" s="58">
        <v>354.19</v>
      </c>
      <c r="AX14" s="65">
        <f t="shared" si="24"/>
        <v>180.00000000000682</v>
      </c>
      <c r="AY14" s="58">
        <v>388.15</v>
      </c>
      <c r="AZ14" s="65">
        <f t="shared" si="25"/>
        <v>149.99999999997726</v>
      </c>
      <c r="BA14" s="58">
        <v>409.33</v>
      </c>
      <c r="BB14" s="65">
        <f t="shared" si="26"/>
        <v>219.99999999997044</v>
      </c>
      <c r="BC14" s="58">
        <v>262.24</v>
      </c>
      <c r="BD14" s="65">
        <f t="shared" si="27"/>
        <v>90.000000000031832</v>
      </c>
      <c r="BE14" s="59">
        <v>48005</v>
      </c>
      <c r="BF14" s="67">
        <f t="shared" si="28"/>
        <v>44</v>
      </c>
      <c r="BG14" s="60">
        <v>243.7</v>
      </c>
      <c r="BH14" s="65">
        <f t="shared" si="29"/>
        <v>49.999999999982947</v>
      </c>
      <c r="BI14" s="60">
        <v>299.64</v>
      </c>
      <c r="BJ14" s="65">
        <f t="shared" si="30"/>
        <v>39.99999999996362</v>
      </c>
      <c r="BK14" s="60">
        <v>246.4</v>
      </c>
      <c r="BL14" s="65">
        <f t="shared" si="31"/>
        <v>50.000000000011369</v>
      </c>
      <c r="BM14" s="60">
        <v>233.48</v>
      </c>
      <c r="BN14" s="65">
        <f t="shared" si="32"/>
        <v>39.999999999992042</v>
      </c>
      <c r="BO14" s="60">
        <v>299.33999999999997</v>
      </c>
      <c r="BP14" s="65">
        <f t="shared" si="33"/>
        <v>49.999999999954525</v>
      </c>
      <c r="BQ14" s="60">
        <v>52405</v>
      </c>
      <c r="BR14" s="65">
        <f t="shared" si="34"/>
        <v>38</v>
      </c>
      <c r="BS14" s="60">
        <v>210.37</v>
      </c>
      <c r="BT14" s="65">
        <f t="shared" si="35"/>
        <v>60.000000000002274</v>
      </c>
      <c r="BU14" s="60">
        <v>49261</v>
      </c>
      <c r="BV14" s="65">
        <f t="shared" si="36"/>
        <v>40</v>
      </c>
      <c r="BW14" s="60">
        <v>238.81</v>
      </c>
      <c r="BX14" s="65">
        <f t="shared" si="37"/>
        <v>30.000000000001137</v>
      </c>
      <c r="BY14" s="60">
        <v>69070</v>
      </c>
      <c r="BZ14" s="67">
        <f t="shared" si="38"/>
        <v>40</v>
      </c>
      <c r="CA14" s="60">
        <v>43027.4</v>
      </c>
      <c r="CB14" s="67">
        <f t="shared" si="39"/>
        <v>36.700000000004366</v>
      </c>
      <c r="CC14" s="60">
        <v>14288.5</v>
      </c>
      <c r="CD14" s="67">
        <f t="shared" si="40"/>
        <v>9.5</v>
      </c>
      <c r="CE14" s="60">
        <v>7586.5</v>
      </c>
      <c r="CF14" s="67">
        <f t="shared" si="41"/>
        <v>1.5</v>
      </c>
      <c r="CG14" s="60">
        <v>69638.100000000006</v>
      </c>
      <c r="CH14" s="67">
        <f t="shared" si="42"/>
        <v>38.700000000011642</v>
      </c>
      <c r="CI14" s="60">
        <v>1014288</v>
      </c>
      <c r="CJ14" s="67">
        <f t="shared" si="43"/>
        <v>327.59999999997672</v>
      </c>
      <c r="CK14" s="60">
        <v>910.24</v>
      </c>
      <c r="CL14" s="64">
        <f t="shared" si="44"/>
        <v>710.00000000003638</v>
      </c>
      <c r="CM14" s="65">
        <f t="shared" si="45"/>
        <v>93</v>
      </c>
      <c r="CN14" s="62">
        <v>24</v>
      </c>
      <c r="CO14" s="62">
        <v>57</v>
      </c>
      <c r="CP14" s="68">
        <v>21979</v>
      </c>
      <c r="CQ14" s="67">
        <f t="shared" si="46"/>
        <v>71</v>
      </c>
      <c r="CR14" s="68">
        <v>19216</v>
      </c>
      <c r="CS14" s="67">
        <f t="shared" si="47"/>
        <v>22</v>
      </c>
      <c r="CT14" s="75">
        <v>8841</v>
      </c>
      <c r="CU14" s="67">
        <f t="shared" si="48"/>
        <v>14</v>
      </c>
      <c r="CV14" s="68">
        <v>21922</v>
      </c>
      <c r="CW14" s="67">
        <f t="shared" si="49"/>
        <v>45</v>
      </c>
      <c r="CX14" s="58">
        <v>1830.2</v>
      </c>
      <c r="CY14" s="67">
        <f t="shared" si="50"/>
        <v>11.700000000000045</v>
      </c>
    </row>
    <row r="15" spans="1:103" ht="25.5" customHeight="1" thickBot="1" x14ac:dyDescent="0.45">
      <c r="A15" s="63">
        <v>44604</v>
      </c>
      <c r="B15" s="44"/>
      <c r="C15" s="58">
        <v>2.8807</v>
      </c>
      <c r="D15" s="64">
        <f t="shared" si="1"/>
        <v>3400.0000000000696</v>
      </c>
      <c r="E15" s="58">
        <v>3.9630000000000001</v>
      </c>
      <c r="F15" s="64">
        <f t="shared" si="2"/>
        <v>3299.9999999998586</v>
      </c>
      <c r="G15" s="58">
        <v>3.9447000000000001</v>
      </c>
      <c r="H15" s="64">
        <f t="shared" si="3"/>
        <v>3000.0000000001137</v>
      </c>
      <c r="I15" s="58">
        <v>1.9714</v>
      </c>
      <c r="J15" s="64">
        <f t="shared" si="4"/>
        <v>1800.0000000000239</v>
      </c>
      <c r="K15" s="58">
        <v>3.1160000000000001</v>
      </c>
      <c r="L15" s="64">
        <f t="shared" si="5"/>
        <v>2200.0000000002019</v>
      </c>
      <c r="M15" s="58">
        <v>1.7357</v>
      </c>
      <c r="N15" s="64">
        <f t="shared" si="6"/>
        <v>1500.0000000000568</v>
      </c>
      <c r="O15" s="58">
        <v>17265</v>
      </c>
      <c r="P15" s="67">
        <f t="shared" si="7"/>
        <v>64</v>
      </c>
      <c r="Q15" s="58">
        <v>1981</v>
      </c>
      <c r="R15" s="67">
        <f>IF((Q15-Q14&lt;0), "",Q15-Q14)</f>
        <v>8</v>
      </c>
      <c r="S15" s="58">
        <v>1217.5999999999999</v>
      </c>
      <c r="T15" s="67">
        <f t="shared" si="9"/>
        <v>2.0999999999999091</v>
      </c>
      <c r="U15" s="58">
        <v>503297.7</v>
      </c>
      <c r="V15" s="67">
        <f t="shared" si="10"/>
        <v>866.79999999998836</v>
      </c>
      <c r="W15" s="58">
        <v>470.52</v>
      </c>
      <c r="X15" s="65">
        <f t="shared" si="11"/>
        <v>529.99999999997272</v>
      </c>
      <c r="Y15" s="58">
        <v>3.4819</v>
      </c>
      <c r="Z15" s="65">
        <f t="shared" si="12"/>
        <v>4000.0000000000036</v>
      </c>
      <c r="AA15" s="58">
        <v>473.05</v>
      </c>
      <c r="AB15" s="65">
        <f t="shared" si="13"/>
        <v>370.00000000000455</v>
      </c>
      <c r="AC15" s="58">
        <v>456.42</v>
      </c>
      <c r="AD15" s="65">
        <f t="shared" si="14"/>
        <v>730.00000000001819</v>
      </c>
      <c r="AE15" s="58">
        <v>658.22</v>
      </c>
      <c r="AF15" s="65">
        <f t="shared" si="15"/>
        <v>830.00000000004093</v>
      </c>
      <c r="AG15" s="58">
        <v>13100</v>
      </c>
      <c r="AH15" s="67">
        <f t="shared" si="16"/>
        <v>58</v>
      </c>
      <c r="AI15" s="58">
        <v>771.11</v>
      </c>
      <c r="AJ15" s="65">
        <f t="shared" si="17"/>
        <v>1070.00000000005</v>
      </c>
      <c r="AK15" s="58">
        <v>257.04000000000002</v>
      </c>
      <c r="AL15" s="65">
        <f t="shared" si="18"/>
        <v>420.00000000001592</v>
      </c>
      <c r="AM15" s="58">
        <v>241.92</v>
      </c>
      <c r="AN15" s="65">
        <f t="shared" si="19"/>
        <v>500</v>
      </c>
      <c r="AO15" s="58">
        <v>232.53</v>
      </c>
      <c r="AP15" s="65">
        <f t="shared" si="20"/>
        <v>210.00000000000796</v>
      </c>
      <c r="AQ15" s="58">
        <v>289.89</v>
      </c>
      <c r="AR15" s="65">
        <f t="shared" si="21"/>
        <v>209.99999999997954</v>
      </c>
      <c r="AS15" s="58">
        <v>416.59</v>
      </c>
      <c r="AT15" s="65">
        <f t="shared" si="22"/>
        <v>389.99999999998636</v>
      </c>
      <c r="AU15" s="58">
        <v>321.81</v>
      </c>
      <c r="AV15" s="65">
        <f t="shared" si="23"/>
        <v>290.00000000002046</v>
      </c>
      <c r="AW15" s="58">
        <v>354.43</v>
      </c>
      <c r="AX15" s="65">
        <f t="shared" si="24"/>
        <v>240.00000000000909</v>
      </c>
      <c r="AY15" s="58">
        <v>388.48</v>
      </c>
      <c r="AZ15" s="65">
        <f t="shared" si="25"/>
        <v>330.00000000004093</v>
      </c>
      <c r="BA15" s="58">
        <v>409.51</v>
      </c>
      <c r="BB15" s="65">
        <f t="shared" si="26"/>
        <v>180.00000000000682</v>
      </c>
      <c r="BC15" s="58">
        <v>262.52999999999997</v>
      </c>
      <c r="BD15" s="65">
        <f t="shared" si="27"/>
        <v>289.99999999996362</v>
      </c>
      <c r="BE15" s="59">
        <v>48051</v>
      </c>
      <c r="BF15" s="67">
        <f t="shared" si="28"/>
        <v>46</v>
      </c>
      <c r="BG15" s="60">
        <v>243.78</v>
      </c>
      <c r="BH15" s="65">
        <f t="shared" si="29"/>
        <v>80.000000000012506</v>
      </c>
      <c r="BI15" s="60">
        <v>299.68</v>
      </c>
      <c r="BJ15" s="65">
        <f t="shared" si="30"/>
        <v>40.000000000020464</v>
      </c>
      <c r="BK15" s="60">
        <v>246.46</v>
      </c>
      <c r="BL15" s="65">
        <f t="shared" si="31"/>
        <v>60.000000000002274</v>
      </c>
      <c r="BM15" s="60">
        <v>233.54</v>
      </c>
      <c r="BN15" s="65">
        <f t="shared" si="32"/>
        <v>60.000000000002274</v>
      </c>
      <c r="BO15" s="60">
        <v>299.43</v>
      </c>
      <c r="BP15" s="65">
        <f t="shared" si="33"/>
        <v>90.000000000031832</v>
      </c>
      <c r="BQ15" s="60">
        <v>52448</v>
      </c>
      <c r="BR15" s="65">
        <f t="shared" si="34"/>
        <v>43</v>
      </c>
      <c r="BS15" s="60">
        <v>210.46</v>
      </c>
      <c r="BT15" s="65">
        <f t="shared" si="35"/>
        <v>90.000000000003411</v>
      </c>
      <c r="BU15" s="60">
        <v>49323</v>
      </c>
      <c r="BV15" s="65">
        <f t="shared" si="36"/>
        <v>62</v>
      </c>
      <c r="BW15" s="60">
        <v>238.86</v>
      </c>
      <c r="BX15" s="65">
        <f t="shared" si="37"/>
        <v>50.000000000011369</v>
      </c>
      <c r="BY15" s="60">
        <v>69121</v>
      </c>
      <c r="BZ15" s="67">
        <f t="shared" si="38"/>
        <v>51</v>
      </c>
      <c r="CA15" s="60">
        <v>43065.599999999999</v>
      </c>
      <c r="CB15" s="67">
        <f t="shared" si="39"/>
        <v>38.19999999999709</v>
      </c>
      <c r="CC15" s="60">
        <v>14311.6</v>
      </c>
      <c r="CD15" s="67">
        <f t="shared" si="40"/>
        <v>23.100000000000364</v>
      </c>
      <c r="CE15" s="60">
        <v>7587.8</v>
      </c>
      <c r="CF15" s="67">
        <f t="shared" si="41"/>
        <v>1.3000000000001819</v>
      </c>
      <c r="CG15" s="60">
        <v>69703</v>
      </c>
      <c r="CH15" s="67">
        <f t="shared" si="42"/>
        <v>64.899999999994179</v>
      </c>
      <c r="CI15" s="60">
        <v>1014719</v>
      </c>
      <c r="CJ15" s="67">
        <f t="shared" si="43"/>
        <v>431</v>
      </c>
      <c r="CK15" s="60">
        <v>910.9</v>
      </c>
      <c r="CL15" s="64">
        <f t="shared" si="44"/>
        <v>659.99999999996817</v>
      </c>
      <c r="CM15" s="65">
        <f t="shared" si="45"/>
        <v>74</v>
      </c>
      <c r="CN15" s="62">
        <v>23</v>
      </c>
      <c r="CO15" s="62">
        <v>53</v>
      </c>
      <c r="CP15" s="68">
        <v>22038</v>
      </c>
      <c r="CQ15" s="67">
        <f t="shared" si="46"/>
        <v>59</v>
      </c>
      <c r="CR15" s="68">
        <v>19231</v>
      </c>
      <c r="CS15" s="67">
        <f t="shared" si="47"/>
        <v>15</v>
      </c>
      <c r="CT15" s="75">
        <v>8861</v>
      </c>
      <c r="CU15" s="67">
        <f t="shared" si="48"/>
        <v>20</v>
      </c>
      <c r="CV15" s="68">
        <v>21936</v>
      </c>
      <c r="CW15" s="67">
        <f t="shared" si="49"/>
        <v>14</v>
      </c>
      <c r="CX15" s="58">
        <v>1842.3</v>
      </c>
      <c r="CY15" s="67">
        <f t="shared" si="50"/>
        <v>12.099999999999909</v>
      </c>
    </row>
    <row r="16" spans="1:103" ht="25.5" customHeight="1" thickBot="1" x14ac:dyDescent="0.45">
      <c r="A16" s="63">
        <v>44605</v>
      </c>
      <c r="B16" s="44"/>
      <c r="C16" s="58"/>
      <c r="D16" s="64" t="str">
        <f t="shared" si="1"/>
        <v>0</v>
      </c>
      <c r="E16" s="58"/>
      <c r="F16" s="64" t="str">
        <f t="shared" si="2"/>
        <v>0</v>
      </c>
      <c r="G16" s="58"/>
      <c r="H16" s="64" t="str">
        <f t="shared" si="3"/>
        <v>0</v>
      </c>
      <c r="I16" s="58"/>
      <c r="J16" s="64" t="str">
        <f>IF((I16-I15&lt;0), "0",(I16-I15)*1000000)</f>
        <v>0</v>
      </c>
      <c r="K16" s="58"/>
      <c r="L16" s="64" t="str">
        <f t="shared" si="5"/>
        <v>0</v>
      </c>
      <c r="M16" s="58"/>
      <c r="N16" s="64" t="str">
        <f t="shared" si="6"/>
        <v/>
      </c>
      <c r="O16" s="58"/>
      <c r="P16" s="67" t="str">
        <f t="shared" si="7"/>
        <v/>
      </c>
      <c r="Q16" s="58"/>
      <c r="R16" s="67" t="str">
        <f t="shared" si="8"/>
        <v/>
      </c>
      <c r="S16" s="58"/>
      <c r="T16" s="67" t="str">
        <f t="shared" si="9"/>
        <v/>
      </c>
      <c r="U16" s="58"/>
      <c r="V16" s="67" t="str">
        <f t="shared" si="10"/>
        <v/>
      </c>
      <c r="W16" s="58"/>
      <c r="X16" s="65" t="str">
        <f t="shared" si="11"/>
        <v/>
      </c>
      <c r="Y16" s="58"/>
      <c r="Z16" s="65" t="str">
        <f t="shared" si="12"/>
        <v/>
      </c>
      <c r="AA16" s="58"/>
      <c r="AB16" s="65" t="str">
        <f t="shared" si="13"/>
        <v/>
      </c>
      <c r="AC16" s="58"/>
      <c r="AD16" s="65" t="str">
        <f t="shared" si="14"/>
        <v/>
      </c>
      <c r="AE16" s="58"/>
      <c r="AF16" s="65" t="str">
        <f t="shared" si="15"/>
        <v/>
      </c>
      <c r="AG16" s="58"/>
      <c r="AH16" s="67" t="str">
        <f t="shared" si="16"/>
        <v/>
      </c>
      <c r="AI16" s="58"/>
      <c r="AJ16" s="65" t="str">
        <f t="shared" si="17"/>
        <v/>
      </c>
      <c r="AK16" s="58"/>
      <c r="AL16" s="65" t="str">
        <f t="shared" si="18"/>
        <v/>
      </c>
      <c r="AM16" s="58"/>
      <c r="AN16" s="65" t="str">
        <f t="shared" si="19"/>
        <v/>
      </c>
      <c r="AO16" s="58"/>
      <c r="AP16" s="65" t="str">
        <f t="shared" si="20"/>
        <v/>
      </c>
      <c r="AQ16" s="58"/>
      <c r="AR16" s="65" t="str">
        <f t="shared" si="21"/>
        <v/>
      </c>
      <c r="AS16" s="58"/>
      <c r="AT16" s="65" t="str">
        <f t="shared" si="22"/>
        <v/>
      </c>
      <c r="AU16" s="58"/>
      <c r="AV16" s="65" t="str">
        <f t="shared" si="23"/>
        <v/>
      </c>
      <c r="AW16" s="58"/>
      <c r="AX16" s="65" t="str">
        <f t="shared" si="24"/>
        <v/>
      </c>
      <c r="AY16" s="58"/>
      <c r="AZ16" s="65" t="str">
        <f t="shared" si="25"/>
        <v/>
      </c>
      <c r="BA16" s="58"/>
      <c r="BB16" s="65" t="str">
        <f t="shared" si="26"/>
        <v/>
      </c>
      <c r="BC16" s="58"/>
      <c r="BD16" s="65" t="str">
        <f t="shared" si="27"/>
        <v/>
      </c>
      <c r="BE16" s="59"/>
      <c r="BF16" s="67" t="str">
        <f t="shared" si="28"/>
        <v/>
      </c>
      <c r="BG16" s="60"/>
      <c r="BH16" s="65" t="str">
        <f t="shared" si="29"/>
        <v/>
      </c>
      <c r="BI16" s="60"/>
      <c r="BJ16" s="65" t="str">
        <f t="shared" si="30"/>
        <v/>
      </c>
      <c r="BK16" s="60"/>
      <c r="BL16" s="65" t="str">
        <f t="shared" si="31"/>
        <v/>
      </c>
      <c r="BM16" s="60"/>
      <c r="BN16" s="65" t="str">
        <f t="shared" si="32"/>
        <v/>
      </c>
      <c r="BO16" s="60"/>
      <c r="BP16" s="65" t="str">
        <f t="shared" si="33"/>
        <v/>
      </c>
      <c r="BQ16" s="60"/>
      <c r="BR16" s="65" t="str">
        <f t="shared" si="34"/>
        <v/>
      </c>
      <c r="BS16" s="60"/>
      <c r="BT16" s="65" t="str">
        <f t="shared" si="35"/>
        <v/>
      </c>
      <c r="BU16" s="60"/>
      <c r="BV16" s="65" t="str">
        <f t="shared" si="36"/>
        <v/>
      </c>
      <c r="BW16" s="60"/>
      <c r="BX16" s="65" t="str">
        <f t="shared" si="37"/>
        <v/>
      </c>
      <c r="BY16" s="60"/>
      <c r="BZ16" s="67" t="str">
        <f t="shared" si="38"/>
        <v/>
      </c>
      <c r="CA16" s="60"/>
      <c r="CB16" s="67" t="str">
        <f t="shared" si="39"/>
        <v/>
      </c>
      <c r="CC16" s="60"/>
      <c r="CD16" s="67" t="str">
        <f t="shared" si="40"/>
        <v/>
      </c>
      <c r="CE16" s="60"/>
      <c r="CF16" s="67" t="str">
        <f t="shared" si="41"/>
        <v/>
      </c>
      <c r="CG16" s="60"/>
      <c r="CH16" s="67" t="str">
        <f t="shared" si="42"/>
        <v/>
      </c>
      <c r="CI16" s="60"/>
      <c r="CJ16" s="67" t="str">
        <f t="shared" si="43"/>
        <v/>
      </c>
      <c r="CK16" s="60"/>
      <c r="CL16" s="64" t="str">
        <f t="shared" si="44"/>
        <v/>
      </c>
      <c r="CM16" s="65" t="e">
        <f t="shared" si="45"/>
        <v>#VALUE!</v>
      </c>
      <c r="CN16" s="62"/>
      <c r="CO16" s="62"/>
      <c r="CP16" s="68"/>
      <c r="CQ16" s="67" t="str">
        <f t="shared" si="46"/>
        <v/>
      </c>
      <c r="CR16" s="68"/>
      <c r="CS16" s="67" t="str">
        <f t="shared" si="47"/>
        <v/>
      </c>
      <c r="CT16" s="75"/>
      <c r="CU16" s="67" t="str">
        <f t="shared" si="48"/>
        <v/>
      </c>
      <c r="CV16" s="68"/>
      <c r="CW16" s="67" t="str">
        <f t="shared" si="49"/>
        <v/>
      </c>
      <c r="CX16" s="58"/>
      <c r="CY16" s="67" t="str">
        <f t="shared" si="50"/>
        <v/>
      </c>
    </row>
    <row r="17" spans="1:103" ht="25.5" customHeight="1" thickBot="1" x14ac:dyDescent="0.45">
      <c r="A17" s="63">
        <v>44606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44607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44608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44609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44610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44611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44612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0" sqref="B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>
        <v>0</v>
      </c>
      <c r="C15" s="40">
        <v>17</v>
      </c>
      <c r="D15" s="40">
        <v>38</v>
      </c>
      <c r="E15" s="41">
        <v>85</v>
      </c>
      <c r="F15" s="41">
        <v>6483</v>
      </c>
      <c r="G15" s="41">
        <v>20</v>
      </c>
      <c r="H15" s="41">
        <v>2029</v>
      </c>
      <c r="I15" s="41">
        <v>85</v>
      </c>
      <c r="J15" s="41">
        <v>541</v>
      </c>
      <c r="K15" s="42">
        <v>34</v>
      </c>
      <c r="L15" s="42">
        <v>85</v>
      </c>
      <c r="M15" s="42">
        <v>1576</v>
      </c>
      <c r="N15" s="39">
        <v>85</v>
      </c>
      <c r="O15" s="39">
        <v>65</v>
      </c>
      <c r="P15" s="39">
        <v>82</v>
      </c>
      <c r="Q15" s="39">
        <v>4662</v>
      </c>
      <c r="R15" s="77">
        <v>83</v>
      </c>
      <c r="S15" s="77">
        <v>220</v>
      </c>
      <c r="T15">
        <f t="shared" si="1"/>
        <v>0</v>
      </c>
    </row>
    <row r="16" spans="1:20" x14ac:dyDescent="0.25">
      <c r="A16" s="73">
        <v>44601</v>
      </c>
      <c r="B16" s="40">
        <v>0</v>
      </c>
      <c r="C16" s="40">
        <v>17</v>
      </c>
      <c r="D16" s="40">
        <v>38</v>
      </c>
      <c r="E16" s="41">
        <v>85</v>
      </c>
      <c r="F16" s="41">
        <v>6489</v>
      </c>
      <c r="G16" s="41">
        <v>15</v>
      </c>
      <c r="H16" s="41">
        <v>2031</v>
      </c>
      <c r="I16" s="41">
        <v>85</v>
      </c>
      <c r="J16" s="41">
        <v>541</v>
      </c>
      <c r="K16" s="42">
        <v>30</v>
      </c>
      <c r="L16" s="42">
        <v>85</v>
      </c>
      <c r="M16" s="42">
        <v>1578</v>
      </c>
      <c r="N16" s="39">
        <v>85</v>
      </c>
      <c r="O16" s="39">
        <v>61</v>
      </c>
      <c r="P16" s="39">
        <v>82</v>
      </c>
      <c r="Q16" s="39">
        <v>4665</v>
      </c>
      <c r="R16" s="77">
        <v>83</v>
      </c>
      <c r="S16" s="77">
        <v>220</v>
      </c>
      <c r="T16">
        <f t="shared" si="1"/>
        <v>0</v>
      </c>
    </row>
    <row r="17" spans="1:20" x14ac:dyDescent="0.25">
      <c r="A17" s="73">
        <v>44602</v>
      </c>
      <c r="B17" s="40">
        <v>0</v>
      </c>
      <c r="C17" s="40">
        <v>24</v>
      </c>
      <c r="D17" s="40">
        <v>57</v>
      </c>
      <c r="E17" s="41">
        <v>85</v>
      </c>
      <c r="F17" s="41">
        <v>6493</v>
      </c>
      <c r="G17" s="41">
        <v>8</v>
      </c>
      <c r="H17" s="41">
        <v>2034</v>
      </c>
      <c r="I17" s="41">
        <v>85</v>
      </c>
      <c r="J17" s="41">
        <v>541</v>
      </c>
      <c r="K17" s="42">
        <v>29</v>
      </c>
      <c r="L17" s="42">
        <v>85</v>
      </c>
      <c r="M17" s="42">
        <v>1578</v>
      </c>
      <c r="N17" s="39">
        <v>85</v>
      </c>
      <c r="O17" s="39">
        <v>60</v>
      </c>
      <c r="P17" s="39">
        <v>82</v>
      </c>
      <c r="Q17" s="39">
        <v>4667</v>
      </c>
      <c r="R17" s="77">
        <v>83</v>
      </c>
      <c r="S17" s="77">
        <v>220</v>
      </c>
      <c r="T17">
        <f t="shared" si="1"/>
        <v>0</v>
      </c>
    </row>
    <row r="18" spans="1:20" x14ac:dyDescent="0.25">
      <c r="A18" s="73">
        <v>44603</v>
      </c>
      <c r="B18" s="40">
        <v>0</v>
      </c>
      <c r="C18" s="40">
        <v>24</v>
      </c>
      <c r="D18" s="40">
        <v>57</v>
      </c>
      <c r="E18" s="41">
        <v>85</v>
      </c>
      <c r="F18" s="41">
        <v>6498</v>
      </c>
      <c r="G18" s="41">
        <v>0</v>
      </c>
      <c r="H18" s="41">
        <v>2036</v>
      </c>
      <c r="I18" s="41">
        <v>85</v>
      </c>
      <c r="J18" s="41">
        <v>541</v>
      </c>
      <c r="K18" s="42">
        <v>29</v>
      </c>
      <c r="L18" s="42">
        <v>85</v>
      </c>
      <c r="M18" s="42">
        <v>1580</v>
      </c>
      <c r="N18" s="39">
        <v>85</v>
      </c>
      <c r="O18" s="39">
        <v>55</v>
      </c>
      <c r="P18" s="39">
        <v>82</v>
      </c>
      <c r="Q18" s="39">
        <v>4669</v>
      </c>
      <c r="R18" s="77">
        <v>83</v>
      </c>
      <c r="S18" s="77">
        <v>220</v>
      </c>
      <c r="T18">
        <f t="shared" si="1"/>
        <v>0</v>
      </c>
    </row>
    <row r="19" spans="1:20" x14ac:dyDescent="0.25">
      <c r="A19" s="73">
        <v>44604</v>
      </c>
      <c r="B19" s="40">
        <v>0</v>
      </c>
      <c r="C19" s="40">
        <v>23</v>
      </c>
      <c r="D19" s="40">
        <v>53</v>
      </c>
      <c r="E19" s="41">
        <v>85</v>
      </c>
      <c r="F19" s="41">
        <v>6504</v>
      </c>
      <c r="G19" s="41">
        <v>0</v>
      </c>
      <c r="H19" s="41">
        <v>2039</v>
      </c>
      <c r="I19" s="41">
        <v>85</v>
      </c>
      <c r="J19" s="41">
        <v>541</v>
      </c>
      <c r="K19" s="42">
        <v>29</v>
      </c>
      <c r="L19" s="42">
        <v>85</v>
      </c>
      <c r="M19" s="42">
        <v>1580</v>
      </c>
      <c r="N19" s="39">
        <v>85</v>
      </c>
      <c r="O19" s="39">
        <v>50</v>
      </c>
      <c r="P19" s="39">
        <v>82</v>
      </c>
      <c r="Q19" s="39">
        <v>4671</v>
      </c>
      <c r="R19" s="77">
        <v>83</v>
      </c>
      <c r="S19" s="77">
        <v>220</v>
      </c>
      <c r="T19">
        <f t="shared" si="1"/>
        <v>0</v>
      </c>
    </row>
    <row r="20" spans="1:20" x14ac:dyDescent="0.25">
      <c r="A20" s="73">
        <v>44605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-220</v>
      </c>
    </row>
    <row r="21" spans="1:20" x14ac:dyDescent="0.25">
      <c r="A21" s="73">
        <v>44606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44607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44608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44609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44610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44611</v>
      </c>
      <c r="B26" s="40"/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2022-02-13T19:03:24Z</dcterms:modified>
</cp:coreProperties>
</file>