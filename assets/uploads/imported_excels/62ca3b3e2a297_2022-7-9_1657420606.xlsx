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3" i="2" l="1"/>
  <c r="T14" i="2"/>
  <c r="T15" i="2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T12" i="2"/>
  <c r="N13" i="2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12" i="2"/>
  <c r="L13" i="2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12" i="2"/>
  <c r="J13" i="2"/>
  <c r="J14" i="2"/>
  <c r="J15" i="2"/>
  <c r="J16" i="2"/>
  <c r="J17" i="2"/>
  <c r="J18" i="2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12" i="2"/>
  <c r="H13" i="2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12" i="2"/>
  <c r="F13" i="2"/>
  <c r="F14" i="2"/>
  <c r="F15" i="2"/>
  <c r="F16" i="2"/>
  <c r="F17" i="2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12" i="2"/>
  <c r="B12" i="2"/>
  <c r="B13" i="2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C8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E6" i="2"/>
  <c r="C6" i="2"/>
  <c r="C7" i="2"/>
  <c r="E7" i="2"/>
  <c r="E9" i="2" l="1"/>
  <c r="E8" i="2"/>
  <c r="J4" i="3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D12" i="2" l="1"/>
  <c r="E11" i="2"/>
  <c r="B34" i="4"/>
  <c r="K32" i="9"/>
  <c r="I32" i="9"/>
  <c r="G32" i="9"/>
  <c r="B32" i="9"/>
  <c r="AB32" i="8"/>
  <c r="AA32" i="8"/>
  <c r="X32" i="8"/>
  <c r="W32" i="8"/>
  <c r="V32" i="8"/>
  <c r="U32" i="8"/>
  <c r="T32" i="8"/>
  <c r="S32" i="8"/>
  <c r="R32" i="8"/>
  <c r="I32" i="8"/>
  <c r="H32" i="8"/>
  <c r="G32" i="8"/>
  <c r="F32" i="8"/>
  <c r="E32" i="8"/>
  <c r="B32" i="8"/>
  <c r="D13" i="2" l="1"/>
  <c r="E12" i="2"/>
  <c r="AD32" i="8"/>
  <c r="AE32" i="8" s="1"/>
  <c r="R33" i="1"/>
  <c r="O33" i="1"/>
  <c r="L33" i="1"/>
  <c r="I33" i="1"/>
  <c r="F33" i="1"/>
  <c r="C33" i="1"/>
  <c r="AG33" i="1"/>
  <c r="AE33" i="1"/>
  <c r="AC33" i="1"/>
  <c r="AA33" i="1"/>
  <c r="Y33" i="1"/>
  <c r="S2" i="1"/>
  <c r="P2" i="1"/>
  <c r="M2" i="1"/>
  <c r="J2" i="1"/>
  <c r="G2" i="1"/>
  <c r="D2" i="1"/>
  <c r="C33" i="5"/>
  <c r="I33" i="3"/>
  <c r="G33" i="3"/>
  <c r="E33" i="3"/>
  <c r="C33" i="3"/>
  <c r="J33" i="3" s="1"/>
  <c r="K33" i="3" s="1"/>
  <c r="J2" i="3"/>
  <c r="K2" i="3" s="1"/>
  <c r="V12" i="4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W33" i="4" s="1"/>
  <c r="P32" i="8" s="1"/>
  <c r="R12" i="4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S33" i="4" s="1"/>
  <c r="O32" i="8" s="1"/>
  <c r="P12" i="4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P33" i="4" s="1"/>
  <c r="Q33" i="4" s="1"/>
  <c r="N32" i="8" s="1"/>
  <c r="N12" i="4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O33" i="4" s="1"/>
  <c r="M32" i="8" s="1"/>
  <c r="L12" i="4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M33" i="4" s="1"/>
  <c r="L32" i="8" s="1"/>
  <c r="J12" i="4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K33" i="4" s="1"/>
  <c r="K32" i="8" s="1"/>
  <c r="G12" i="4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G33" i="4" s="1"/>
  <c r="H33" i="4" s="1"/>
  <c r="F33" i="4"/>
  <c r="C12" i="4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D33" i="4" s="1"/>
  <c r="Q32" i="8" s="1"/>
  <c r="U34" i="4"/>
  <c r="T34" i="4"/>
  <c r="Z2" i="4"/>
  <c r="X2" i="4"/>
  <c r="Y2" i="4" s="1"/>
  <c r="D14" i="2" l="1"/>
  <c r="E13" i="2"/>
  <c r="K25" i="4"/>
  <c r="K32" i="4"/>
  <c r="K24" i="4"/>
  <c r="K31" i="4"/>
  <c r="K23" i="4"/>
  <c r="K30" i="4"/>
  <c r="K20" i="4"/>
  <c r="K29" i="4"/>
  <c r="K19" i="4"/>
  <c r="K26" i="4"/>
  <c r="K18" i="4"/>
  <c r="I33" i="4"/>
  <c r="J32" i="8"/>
  <c r="Y32" i="8" s="1"/>
  <c r="Z33" i="4"/>
  <c r="X33" i="4"/>
  <c r="K28" i="4"/>
  <c r="K22" i="4"/>
  <c r="K27" i="4"/>
  <c r="K21" i="4"/>
  <c r="H9" i="4"/>
  <c r="T2" i="1"/>
  <c r="K7" i="9"/>
  <c r="D15" i="2" l="1"/>
  <c r="E14" i="2"/>
  <c r="Y33" i="4"/>
  <c r="G4" i="3"/>
  <c r="D16" i="2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D17" i="2" l="1"/>
  <c r="E16" i="2"/>
  <c r="U64" i="10"/>
  <c r="D18" i="2" l="1"/>
  <c r="E17" i="2"/>
  <c r="AC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J30" i="8" s="1"/>
  <c r="H32" i="4"/>
  <c r="D19" i="2" l="1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W13" i="4"/>
  <c r="D14" i="4"/>
  <c r="F14" i="4"/>
  <c r="I14" i="4" s="1"/>
  <c r="K14" i="4"/>
  <c r="M14" i="4"/>
  <c r="O14" i="4"/>
  <c r="Q14" i="4"/>
  <c r="S14" i="4"/>
  <c r="W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S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D20" i="2" l="1"/>
  <c r="E19" i="2"/>
  <c r="K34" i="4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Y14" i="4" s="1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D21" i="2" l="1"/>
  <c r="E20" i="2"/>
  <c r="AA33" i="4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25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Z34" i="4"/>
  <c r="AE16" i="1"/>
  <c r="D22" i="2" l="1"/>
  <c r="E21" i="2"/>
  <c r="AA34" i="4"/>
  <c r="Y34" i="4"/>
  <c r="AE7" i="1"/>
  <c r="D23" i="2" l="1"/>
  <c r="E22" i="2"/>
  <c r="AE8" i="1"/>
  <c r="AC6" i="8"/>
  <c r="D24" i="2" l="1"/>
  <c r="E23" i="2"/>
  <c r="M3" i="2"/>
  <c r="D25" i="2" l="1"/>
  <c r="E24" i="2"/>
  <c r="AE17" i="1"/>
  <c r="I3" i="11"/>
  <c r="D26" i="2" l="1"/>
  <c r="E25" i="2"/>
  <c r="AE18" i="1"/>
  <c r="D27" i="2" l="1"/>
  <c r="E26" i="2"/>
  <c r="AE19" i="1"/>
  <c r="AA4" i="8"/>
  <c r="AA5" i="8"/>
  <c r="AA6" i="8"/>
  <c r="AA7" i="8"/>
  <c r="AA8" i="8"/>
  <c r="K3" i="2"/>
  <c r="D28" i="2" l="1"/>
  <c r="E27" i="2"/>
  <c r="AA3" i="8"/>
  <c r="AA9" i="8"/>
  <c r="AE20" i="1"/>
  <c r="AA10" i="8"/>
  <c r="I16" i="11"/>
  <c r="I19" i="11"/>
  <c r="K3" i="11"/>
  <c r="D29" i="2" l="1"/>
  <c r="E28" i="2"/>
  <c r="AE21" i="1"/>
  <c r="AA11" i="8"/>
  <c r="K16" i="11"/>
  <c r="N94" i="10"/>
  <c r="N93" i="10"/>
  <c r="M94" i="10"/>
  <c r="M93" i="10"/>
  <c r="D30" i="2" l="1"/>
  <c r="E29" i="2"/>
  <c r="AE22" i="1"/>
  <c r="AC13" i="8"/>
  <c r="AA12" i="8"/>
  <c r="N9" i="10"/>
  <c r="D31" i="2" l="1"/>
  <c r="E30" i="2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D32" i="2" l="1"/>
  <c r="E31" i="2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G31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D33" i="2" l="1"/>
  <c r="E33" i="2" s="1"/>
  <c r="E32" i="2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AE28" i="1" l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4" i="1" l="1"/>
  <c r="AG34" i="1"/>
  <c r="AA34" i="1"/>
  <c r="AE32" i="1"/>
  <c r="AE31" i="1"/>
  <c r="AE34" i="1" s="1"/>
  <c r="AA21" i="8"/>
  <c r="F3" i="8"/>
  <c r="E3" i="3"/>
  <c r="Y3" i="1"/>
  <c r="G29" i="9"/>
  <c r="J22" i="11" l="1"/>
  <c r="Y34" i="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C3" i="2"/>
  <c r="E3" i="2"/>
  <c r="G3" i="2"/>
  <c r="I3" i="2"/>
  <c r="O3" i="2"/>
  <c r="U3" i="2"/>
  <c r="AC3" i="8" l="1"/>
  <c r="AA31" i="8"/>
  <c r="AB4" i="8"/>
  <c r="S5" i="2"/>
  <c r="AC4" i="8" l="1"/>
  <c r="AB3" i="8"/>
  <c r="Z4" i="8"/>
  <c r="E4" i="9" s="1"/>
  <c r="Z3" i="8" l="1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G13" i="8" s="1"/>
  <c r="AB13" i="8"/>
  <c r="AB12" i="8"/>
  <c r="G25" i="3"/>
  <c r="G24" i="8" s="1"/>
  <c r="G26" i="3"/>
  <c r="G25" i="8" s="1"/>
  <c r="G27" i="3"/>
  <c r="G26" i="8" s="1"/>
  <c r="Z13" i="8" l="1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U3" i="8" s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V3" i="8" s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T3" i="8" s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S3" i="8" s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W3" i="8" l="1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V4" i="8" s="1"/>
  <c r="L6" i="1"/>
  <c r="O5" i="1"/>
  <c r="U4" i="8" s="1"/>
  <c r="O6" i="1"/>
  <c r="R5" i="1"/>
  <c r="W4" i="8" s="1"/>
  <c r="R6" i="1"/>
  <c r="C5" i="1"/>
  <c r="R4" i="8" s="1"/>
  <c r="C6" i="1"/>
  <c r="F5" i="1"/>
  <c r="S4" i="8" s="1"/>
  <c r="F6" i="1"/>
  <c r="I5" i="1"/>
  <c r="T4" i="8" s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G6" i="1" l="1"/>
  <c r="S5" i="8"/>
  <c r="J6" i="1"/>
  <c r="T5" i="8"/>
  <c r="M6" i="1"/>
  <c r="V5" i="8"/>
  <c r="P6" i="1"/>
  <c r="U5" i="8"/>
  <c r="S6" i="1"/>
  <c r="W5" i="8"/>
  <c r="D6" i="1"/>
  <c r="R5" i="8"/>
  <c r="S5" i="1"/>
  <c r="P5" i="1"/>
  <c r="M5" i="1"/>
  <c r="J5" i="1"/>
  <c r="G5" i="1"/>
  <c r="D5" i="1"/>
  <c r="G16" i="3"/>
  <c r="G15" i="8" s="1"/>
  <c r="G17" i="3"/>
  <c r="G16" i="8" s="1"/>
  <c r="G18" i="3"/>
  <c r="G17" i="8" s="1"/>
  <c r="S33" i="1" l="1"/>
  <c r="O34" i="1"/>
  <c r="P33" i="1"/>
  <c r="P34" i="1" s="1"/>
  <c r="L34" i="1"/>
  <c r="M33" i="1"/>
  <c r="M34" i="1" s="1"/>
  <c r="I34" i="1"/>
  <c r="J33" i="1"/>
  <c r="J34" i="1" s="1"/>
  <c r="F34" i="1"/>
  <c r="G33" i="1"/>
  <c r="G34" i="1" s="1"/>
  <c r="C34" i="1"/>
  <c r="T33" i="1"/>
  <c r="U33" i="1" s="1"/>
  <c r="D33" i="1"/>
  <c r="D34" i="1"/>
  <c r="S34" i="1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s="1"/>
  <c r="T14" i="1" l="1"/>
  <c r="U14" i="1" s="1"/>
  <c r="C4" i="3" l="1"/>
  <c r="C5" i="3"/>
  <c r="E4" i="8" s="1"/>
  <c r="C6" i="3"/>
  <c r="E5" i="8" s="1"/>
  <c r="C7" i="3"/>
  <c r="E6" i="8" s="1"/>
  <c r="E3" i="8" l="1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G4" i="8" s="1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AC22" i="8" s="1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H15" i="8" s="1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18" i="8" s="1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Z22" i="8" l="1"/>
  <c r="E22" i="9" s="1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S17" i="2"/>
  <c r="AC16" i="8" s="1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8" i="9" l="1"/>
  <c r="E5" i="9"/>
  <c r="S33" i="2"/>
  <c r="E16" i="9"/>
  <c r="E15" i="9"/>
  <c r="E17" i="9"/>
  <c r="AE5" i="8"/>
  <c r="I5" i="9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S34" i="2" l="1"/>
  <c r="AC32" i="8"/>
  <c r="Z10" i="8"/>
  <c r="E10" i="9" s="1"/>
  <c r="AE4" i="8"/>
  <c r="I4" i="9"/>
  <c r="Z11" i="8"/>
  <c r="E11" i="9" s="1"/>
  <c r="Z12" i="8"/>
  <c r="E12" i="9" s="1"/>
  <c r="T30" i="1" l="1"/>
  <c r="U30" i="1" s="1"/>
  <c r="G34" i="2" l="1"/>
  <c r="Z32" i="8"/>
  <c r="E32" i="9" s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4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E13" i="8" s="1"/>
  <c r="AD13" i="8" s="1"/>
  <c r="J11" i="3"/>
  <c r="C13" i="3"/>
  <c r="E12" i="8" s="1"/>
  <c r="AD12" i="8" s="1"/>
  <c r="C15" i="3" l="1"/>
  <c r="E14" i="8" s="1"/>
  <c r="AD14" i="8" s="1"/>
  <c r="K11" i="3"/>
  <c r="J14" i="3"/>
  <c r="K14" i="3" s="1"/>
  <c r="J13" i="3"/>
  <c r="K13" i="3" s="1"/>
  <c r="AE11" i="8" l="1"/>
  <c r="I11" i="9" s="1"/>
  <c r="C16" i="3"/>
  <c r="E15" i="8" s="1"/>
  <c r="AD15" i="8" s="1"/>
  <c r="AE10" i="8"/>
  <c r="I10" i="9" s="1"/>
  <c r="J15" i="3"/>
  <c r="K15" i="3" s="1"/>
  <c r="AE13" i="8" l="1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/>
  <c r="K30" i="3"/>
  <c r="K34" i="3" s="1"/>
  <c r="AE29" i="8" l="1"/>
  <c r="I29" i="9" s="1"/>
  <c r="G13" i="9" l="1"/>
  <c r="G3" i="9"/>
  <c r="G7" i="9"/>
  <c r="G10" i="9"/>
  <c r="G8" i="9"/>
  <c r="G9" i="9"/>
  <c r="G6" i="9"/>
  <c r="C3" i="5"/>
  <c r="C34" i="5" s="1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<sst xmlns="http://schemas.openxmlformats.org/spreadsheetml/2006/main" count="514" uniqueCount="151">
  <si>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</si>
  <si>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</si>
  <si>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</si>
  <si>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</si>
  <si>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</si>
  <si>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</si>
  <si>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</si>
  <si>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</si>
  <si>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</si>
  <si>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</si>
  <si>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</si>
  <si>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</si>
  <si>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</si>
  <si>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</si>
  <si>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</si>
  <si>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</si>
  <si>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</si>
  <si>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</si>
  <si>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</si>
  <si>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</si>
  <si>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</si>
  <si>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</si>
  <si>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</si>
  <si>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</si>
  <si>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</si>
  <si>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</si>
  <si>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</si>
  <si>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</si>
  <si>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</si>
  <si>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</si>
  <si>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</si>
  <si>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</si>
  <si>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</si>
  <si>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</si>
  <si>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</si>
  <si>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</si>
  <si>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</si>
  <si>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</si>
  <si>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</si>
  <si>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</si>
  <si>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</si>
  <si>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</si>
  <si>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</si>
  <si>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</si>
  <si>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</si>
  <si>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</si>
  <si>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</si>
  <si>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</si>
  <si>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</si>
  <si>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</si>
  <si>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</si>
  <si>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</si>
  <si>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</si>
  <si>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</si>
  <si>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</si>
  <si>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</si>
  <si>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</si>
  <si>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</si>
  <si>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</si>
  <si>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</si>
  <si>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</si>
  <si>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</si>
  <si>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</si>
  <si>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</si>
  <si>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</si>
  <si>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</si>
  <si>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</si>
  <si>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</si>
  <si>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</si>
  <si>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</si>
  <si>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</si>
  <si>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</si>
  <si>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</si>
  <si>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</si>
  <si>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</si>
  <si>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</si>
  <si>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</si>
  <si>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</si>
  <si>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</si>
  <si>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</si>
  <si>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</si>
  <si>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</si>
  <si>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</si>
  <si>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</si>
  <si>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</si>
  <si>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</si>
  <si>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</si>
  <si>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</si>
  <si>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</si>
  <si>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</si>
  <si>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</si>
  <si>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</si>
  <si>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</si>
  <si>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</si>
  <si>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</si>
  <si>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</si>
  <si>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</si>
  <si>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</si>
  <si>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</si>
  <si>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</si>
  <si>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</si>
  <si>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</si>
  <si>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</si>
  <si>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</si>
  <si>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</si>
  <si>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</si>
  <si>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</si>
  <si>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</si>
  <si>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</si>
  <si>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</si>
  <si>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</si>
  <si>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</si>
  <si>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</si>
  <si>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</si>
  <si>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</si>
  <si>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</si>
  <si>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</si>
  <si>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</si>
  <si>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</si>
  <si>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</si>
  <si>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</si>
  <si>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</si>
  <si>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</si>
  <si>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</si>
  <si>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</si>
  <si>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</si>
  <si>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</si>
  <si>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</si>
  <si>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</si>
  <si>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</si>
  <si>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</si>
  <si>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</si>
  <si>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</si>
  <si>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</si>
  <si>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</si>
  <si>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</si>
  <si>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</si>
  <si>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</si>
  <si>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</si>
  <si>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</si>
  <si>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</si>
  <si>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</si>
  <si>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</si>
  <si>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</si>
  <si>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</si>
  <si>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</si>
  <si>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</si>
  <si>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</si>
  <si>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</si>
  <si>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</si>
  <si>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July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</si>
</sst>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tabSelected="1" zoomScale="85" zoomScaleNormal="85" workbookViewId="0">
      <pane ySplit="1" topLeftCell="A2" activePane="bottomLeft" state="frozen"/>
      <selection pane="bottomLeft" activeCell="G10" sqref="G10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90330.251655999993</v>
      </c>
      <c r="F2" s="138">
        <v>1.27</v>
      </c>
      <c r="G2" s="36">
        <f>Gas!C3*0.9147</f>
        <v>1860.4997999999998</v>
      </c>
      <c r="H2" s="139">
        <v>3.65</v>
      </c>
      <c r="I2" s="140">
        <f>Submetering!H2+Submetering!AD2+Submetering!AE2</f>
        <v>686</v>
      </c>
      <c r="J2" s="141">
        <v>10.029999999999999</v>
      </c>
      <c r="K2" s="36">
        <f>ELECT.!B3</f>
        <v>110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66114.074384000007</v>
      </c>
      <c r="F3" s="138">
        <v>1.27</v>
      </c>
      <c r="G3" s="36">
        <f>Gas!C4*0.9147</f>
        <v>2010.5105999999998</v>
      </c>
      <c r="H3" s="139">
        <v>3.65</v>
      </c>
      <c r="I3" s="141">
        <f>Submetering!H3+Submetering!AD3+Submetering!AE3</f>
        <v>826</v>
      </c>
      <c r="J3" s="141">
        <v>10.029999999999999</v>
      </c>
      <c r="K3" s="36">
        <f>ELECT.!B4</f>
        <v>113</v>
      </c>
    </row>
    <row r="4" spans="1:14" x14ac:dyDescent="0.2">
      <c r="A4" s="47" t="s">
        <v>53</v>
      </c>
      <c r="B4" s="52">
        <f t="shared" ref="B4:B32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69769.996620000005</v>
      </c>
      <c r="F4" s="138">
        <v>1.27</v>
      </c>
      <c r="G4" s="36">
        <f>Gas!C5*0.9147</f>
        <v>965.00849999999991</v>
      </c>
      <c r="H4" s="139">
        <v>3.65</v>
      </c>
      <c r="I4" s="141">
        <f>Submetering!H4+Submetering!AD4+Submetering!AE4</f>
        <v>806</v>
      </c>
      <c r="J4" s="141">
        <v>10.029999999999999</v>
      </c>
      <c r="K4" s="36">
        <f>ELECT.!B5</f>
        <v>168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87757.719559999998</v>
      </c>
      <c r="F5" s="138">
        <v>1.27</v>
      </c>
      <c r="G5" s="36">
        <f>Gas!C6*0.9147</f>
        <v>1925.4434999999999</v>
      </c>
      <c r="H5" s="139">
        <v>3.65</v>
      </c>
      <c r="I5" s="141">
        <f>Submetering!H5+Submetering!AD5+Submetering!AE5</f>
        <v>855.99999999999989</v>
      </c>
      <c r="J5" s="141">
        <v>10.029999999999999</v>
      </c>
      <c r="K5" s="36">
        <f>ELECT.!B6</f>
        <v>190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63099.332567999998</v>
      </c>
      <c r="F6" s="138">
        <v>1.27</v>
      </c>
      <c r="G6" s="36">
        <f>Gas!C7*0.9147</f>
        <v>3042.2921999999999</v>
      </c>
      <c r="H6" s="139">
        <v>3.65</v>
      </c>
      <c r="I6" s="141">
        <f>Submetering!H6+Submetering!AD6+Submetering!AE6</f>
        <v>886</v>
      </c>
      <c r="J6" s="141">
        <v>10.029999999999999</v>
      </c>
      <c r="K6" s="36">
        <f>ELECT.!B7</f>
        <v>185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86781.94288799999</v>
      </c>
      <c r="F7" s="138">
        <v>1.27</v>
      </c>
      <c r="G7" s="36">
        <f>Gas!C8*0.9147</f>
        <v>1930.0169999999998</v>
      </c>
      <c r="H7" s="139">
        <v>3.65</v>
      </c>
      <c r="I7" s="141">
        <f>Submetering!H7+Submetering!AD7+Submetering!AE7</f>
        <v>876</v>
      </c>
      <c r="J7" s="141">
        <v>10.029999999999999</v>
      </c>
      <c r="K7" s="36">
        <f>ELECT.!B8</f>
        <v>170</v>
      </c>
    </row>
    <row r="8" spans="1:14" x14ac:dyDescent="0.2">
      <c r="A8" s="47" t="s">
        <v>53</v>
      </c>
      <c r="B8" s="52">
        <f t="shared" si="0"/>
        <v>7</v>
      </c>
      <c r="C8" s="52">
        <v>7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63789.811824000019</v>
      </c>
      <c r="F8" s="138">
        <v>1.27</v>
      </c>
      <c r="G8" s="36">
        <f>Gas!C9*0.9147</f>
        <v>2015.0840999999998</v>
      </c>
      <c r="H8" s="139">
        <v>3.65</v>
      </c>
      <c r="I8" s="141">
        <f>Submetering!H8+Submetering!AD8+Submetering!AE8</f>
        <v>876</v>
      </c>
      <c r="J8" s="141">
        <v>10.029999999999999</v>
      </c>
      <c r="K8" s="36">
        <f>ELECT.!B9</f>
        <v>180</v>
      </c>
    </row>
    <row r="9" spans="1:14" x14ac:dyDescent="0.2">
      <c r="A9" s="47" t="s">
        <v>53</v>
      </c>
      <c r="B9" s="52">
        <f t="shared" si="0"/>
        <v>8</v>
      </c>
      <c r="C9" s="52">
        <v>7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72630.27464399999</v>
      </c>
      <c r="F9" s="138">
        <v>1.27</v>
      </c>
      <c r="G9" s="36">
        <f>Gas!C10*0.9147</f>
        <v>2210.8298999999997</v>
      </c>
      <c r="H9" s="139">
        <v>3.65</v>
      </c>
      <c r="I9" s="141">
        <f>Submetering!H9+Submetering!AD9+Submetering!AE9</f>
        <v>876</v>
      </c>
      <c r="J9" s="141">
        <v>10.029999999999999</v>
      </c>
      <c r="K9" s="36">
        <f>ELECT.!B10</f>
        <v>185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7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77582.314072000008</v>
      </c>
      <c r="F10" s="138">
        <v>1.27</v>
      </c>
      <c r="G10" s="36">
        <f>Gas!C11*0.9147</f>
        <v>1738.8446999999999</v>
      </c>
      <c r="H10" s="139">
        <v>3.65</v>
      </c>
      <c r="I10" s="141">
        <f>Submetering!H10+Submetering!AD10+Submetering!AE10</f>
        <v>886</v>
      </c>
      <c r="J10" s="141">
        <v>10.029999999999999</v>
      </c>
      <c r="K10" s="36">
        <f>ELECT.!B11</f>
        <v>146</v>
      </c>
    </row>
    <row r="11" spans="1:14" x14ac:dyDescent="0.2">
      <c r="A11" s="47" t="s">
        <v>53</v>
      </c>
      <c r="B11" s="52">
        <f t="shared" si="0"/>
        <v>10</v>
      </c>
      <c r="C11" s="52">
        <v>7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38">
        <v>1.27</v>
      </c>
      <c r="G11" s="36">
        <f>Gas!C12*0.9147</f>
        <v>0</v>
      </c>
      <c r="H11" s="139">
        <v>3.65</v>
      </c>
      <c r="I11" s="141">
        <f>Submetering!H11+Submetering!AD11+Submetering!AE11</f>
        <v>-194</v>
      </c>
      <c r="J11" s="141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7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38">
        <v>1.27</v>
      </c>
      <c r="G12" s="36">
        <f>Gas!C13*0.9147</f>
        <v>0</v>
      </c>
      <c r="H12" s="139">
        <v>3.65</v>
      </c>
      <c r="I12" s="141">
        <f>Submetering!H12+Submetering!AD12+Submetering!AE12</f>
        <v>-194</v>
      </c>
      <c r="J12" s="141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7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38">
        <v>1.27</v>
      </c>
      <c r="G13" s="36">
        <f>Gas!C14*0.9147</f>
        <v>0</v>
      </c>
      <c r="H13" s="139">
        <v>3.65</v>
      </c>
      <c r="I13" s="141">
        <f>Submetering!H13+Submetering!AD13+Submetering!AE13</f>
        <v>-194</v>
      </c>
      <c r="J13" s="141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7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38">
        <v>1.27</v>
      </c>
      <c r="G14" s="36">
        <f>Gas!C15*0.9147</f>
        <v>0</v>
      </c>
      <c r="H14" s="139">
        <v>3.65</v>
      </c>
      <c r="I14" s="141">
        <f>Submetering!H14+Submetering!AD14+Submetering!AE14</f>
        <v>-194</v>
      </c>
      <c r="J14" s="141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7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38">
        <v>1.27</v>
      </c>
      <c r="G15" s="36">
        <f>Gas!C16*0.9147</f>
        <v>0</v>
      </c>
      <c r="H15" s="139">
        <v>3.65</v>
      </c>
      <c r="I15" s="141">
        <f>Submetering!H15+Submetering!AD15+Submetering!AE15</f>
        <v>-194</v>
      </c>
      <c r="J15" s="141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7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38">
        <v>1.27</v>
      </c>
      <c r="G16" s="36">
        <f>Gas!C17*0.9147</f>
        <v>0</v>
      </c>
      <c r="H16" s="139">
        <v>3.65</v>
      </c>
      <c r="I16" s="141">
        <f>Submetering!H16+Submetering!AD16+Submetering!AE16</f>
        <v>-194</v>
      </c>
      <c r="J16" s="141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7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38">
        <v>1.27</v>
      </c>
      <c r="G17" s="36">
        <f>Gas!C18*0.9147</f>
        <v>0</v>
      </c>
      <c r="H17" s="139">
        <v>3.65</v>
      </c>
      <c r="I17" s="141">
        <f>Submetering!H17+Submetering!AD17+Submetering!AE17</f>
        <v>-194</v>
      </c>
      <c r="J17" s="141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7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7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7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7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7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7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7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7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7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7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7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7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7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31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f>Gas!C33*0.9147</f>
        <v>0</v>
      </c>
      <c r="H32" s="139">
        <v>3.65</v>
      </c>
      <c r="I32" s="141">
        <f>Submetering!H32+Submetering!AD32+Submetering!AE32</f>
        <v>-194</v>
      </c>
      <c r="J32" s="141">
        <v>10.029999999999999</v>
      </c>
      <c r="K32" s="36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43" sqref="B43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7</v>
      </c>
      <c r="D2" s="52">
        <v>2022</v>
      </c>
      <c r="E2" s="36">
        <f>Water!C3</f>
        <v>880</v>
      </c>
      <c r="F2" s="36">
        <f>Water!E3</f>
        <v>420</v>
      </c>
      <c r="G2" s="36">
        <f>Water!G3</f>
        <v>661.5</v>
      </c>
      <c r="H2" s="36">
        <f>Water!I3</f>
        <v>3.5369999999999999</v>
      </c>
      <c r="I2" s="36">
        <f>ELECT.!F3</f>
        <v>26565</v>
      </c>
      <c r="J2" s="36">
        <f>ELECT.!H3</f>
        <v>66128</v>
      </c>
      <c r="K2" s="36">
        <f>ELECT.!K3</f>
        <v>14424</v>
      </c>
      <c r="L2" s="36">
        <f>ELECT.!M3</f>
        <v>8135</v>
      </c>
      <c r="M2" s="36">
        <f>ELECT.!O3</f>
        <v>18194</v>
      </c>
      <c r="N2" s="36">
        <f>ELECT.!Q3</f>
        <v>16546</v>
      </c>
      <c r="O2" s="36">
        <f>ELECT.!S3</f>
        <v>13008</v>
      </c>
      <c r="P2" s="36">
        <f>ELECT.!W3*2</f>
        <v>28726</v>
      </c>
      <c r="Q2" s="36">
        <f>ELECT.!D3</f>
        <v>640</v>
      </c>
      <c r="R2" s="37">
        <f>BTU!C3</f>
        <v>12.303999999996449</v>
      </c>
      <c r="S2" s="37">
        <f>BTU!F3</f>
        <v>1.4960000000000946</v>
      </c>
      <c r="T2" s="37">
        <f>BTU!I3</f>
        <v>6</v>
      </c>
      <c r="U2" s="37">
        <f>BTU!O3</f>
        <v>1.4850000000001273</v>
      </c>
      <c r="V2" s="37">
        <f>BTU!L3</f>
        <v>1.9599999999991269</v>
      </c>
      <c r="W2" s="37">
        <f>BTU!R3</f>
        <v>2.2100000000000364</v>
      </c>
      <c r="X2" s="34">
        <f>ELECT.!B3</f>
        <v>110</v>
      </c>
      <c r="Y2" s="34">
        <f>I2+J2-(K2+L2+M2+N2+O2+P2)</f>
        <v>-6340</v>
      </c>
      <c r="Z2">
        <f>'Mall, Citadel, Rotana'!C3+'Mall, Citadel, Rotana'!E3+'Mall, Citadel, Rotana'!G3+'Mall, Citadel, Rotana'!I3</f>
        <v>686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107</v>
      </c>
      <c r="AD2" s="34">
        <f>(E2-H2-194)*0.1318</f>
        <v>89.948623400000002</v>
      </c>
      <c r="AE2" s="34">
        <f>E2-H2-AD2-194</f>
        <v>592.51437659999999</v>
      </c>
    </row>
    <row r="3" spans="1:31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Water!C4</f>
        <v>1020</v>
      </c>
      <c r="F3" s="36">
        <f>Water!E4</f>
        <v>460</v>
      </c>
      <c r="G3" s="36">
        <f>Water!G4</f>
        <v>402.3</v>
      </c>
      <c r="H3" s="36">
        <f>Water!I4</f>
        <v>5.1840000000000002</v>
      </c>
      <c r="I3" s="36">
        <f>ELECT.!F4</f>
        <v>19486</v>
      </c>
      <c r="J3" s="36">
        <f>ELECT.!H4</f>
        <v>48950</v>
      </c>
      <c r="K3" s="36">
        <f>ELECT.!K4</f>
        <v>10074</v>
      </c>
      <c r="L3" s="36">
        <f>ELECT.!M4</f>
        <v>5786</v>
      </c>
      <c r="M3" s="36">
        <f>ELECT.!O4</f>
        <v>13520</v>
      </c>
      <c r="N3" s="36">
        <f>ELECT.!Q4</f>
        <v>12313</v>
      </c>
      <c r="O3" s="36">
        <f>ELECT.!S4</f>
        <v>8836</v>
      </c>
      <c r="P3" s="36">
        <f>ELECT.!W4*2</f>
        <v>21240</v>
      </c>
      <c r="Q3" s="36">
        <f>ELECT.!D4</f>
        <v>640</v>
      </c>
      <c r="R3" s="141">
        <f>BTU!C4</f>
        <v>16.704000000001543</v>
      </c>
      <c r="S3" s="141">
        <f>BTU!F4</f>
        <v>2.2549999999991996</v>
      </c>
      <c r="T3" s="141">
        <f>BTU!I4</f>
        <v>9</v>
      </c>
      <c r="U3" s="141">
        <f>BTU!O4</f>
        <v>2.0309999999999491</v>
      </c>
      <c r="V3" s="141">
        <f>BTU!L4</f>
        <v>3.1100000000005821</v>
      </c>
      <c r="W3" s="141">
        <f>BTU!R4</f>
        <v>3.0299999999997453</v>
      </c>
      <c r="X3" s="34">
        <f>ELECT.!B4</f>
        <v>113</v>
      </c>
      <c r="Y3" s="34">
        <f t="shared" ref="Y3:Y31" si="0">I3+J3-(K3+L3+M3+N3+O3+P3)</f>
        <v>-3333</v>
      </c>
      <c r="Z3">
        <f>'Mall, Citadel, Rotana'!C4+'Mall, Citadel, Rotana'!E4+'Mall, Citadel, Rotana'!G4+'Mall, Citadel, Rotana'!I4</f>
        <v>1052</v>
      </c>
      <c r="AA3">
        <f>'Mall, Citadel, Rotana'!K4+'Mall, Citadel, Rotana'!M4</f>
        <v>240</v>
      </c>
      <c r="AB3">
        <f>'Mall, Citadel, Rotana'!O4</f>
        <v>3</v>
      </c>
      <c r="AC3">
        <f>'Mall, Citadel, Rotana'!Q4+'Mall, Citadel, Rotana'!S4</f>
        <v>107</v>
      </c>
      <c r="AD3" s="34">
        <f t="shared" ref="AD3:AD31" si="1">(E3-H3-194)*0.1318</f>
        <v>108.18354880000001</v>
      </c>
      <c r="AE3" s="34">
        <f t="shared" ref="AE3:AE31" si="2">E3-H3-AD3-194</f>
        <v>712.63245119999999</v>
      </c>
    </row>
    <row r="4" spans="1:31" x14ac:dyDescent="0.2">
      <c r="A4" s="47" t="s">
        <v>53</v>
      </c>
      <c r="B4" s="52">
        <f t="shared" ref="B4:B32" si="3">B3+1</f>
        <v>3</v>
      </c>
      <c r="C4" s="52">
        <v>7</v>
      </c>
      <c r="D4" s="52">
        <v>2022</v>
      </c>
      <c r="E4" s="36">
        <f>Water!C5</f>
        <v>1000</v>
      </c>
      <c r="F4" s="36">
        <f>Water!E5</f>
        <v>460</v>
      </c>
      <c r="G4" s="36">
        <f>Water!G5</f>
        <v>464.4</v>
      </c>
      <c r="H4" s="36">
        <f>Water!I5</f>
        <v>4.806</v>
      </c>
      <c r="I4" s="36">
        <f>ELECT.!F5</f>
        <v>21557</v>
      </c>
      <c r="J4" s="36">
        <f>ELECT.!H5</f>
        <v>52088</v>
      </c>
      <c r="K4" s="36">
        <f>ELECT.!K5</f>
        <v>11270</v>
      </c>
      <c r="L4" s="36">
        <f>ELECT.!M5</f>
        <v>6623</v>
      </c>
      <c r="M4" s="36">
        <f>ELECT.!O5</f>
        <v>14754</v>
      </c>
      <c r="N4" s="36">
        <f>ELECT.!Q5</f>
        <v>13473</v>
      </c>
      <c r="O4" s="36">
        <f>ELECT.!S5</f>
        <v>10455</v>
      </c>
      <c r="P4" s="36">
        <f>ELECT.!W5*2</f>
        <v>21950</v>
      </c>
      <c r="Q4" s="36">
        <f>ELECT.!D5</f>
        <v>800</v>
      </c>
      <c r="R4" s="141">
        <f>BTU!C5</f>
        <v>11.604999999999563</v>
      </c>
      <c r="S4" s="141">
        <f>BTU!F5</f>
        <v>3.5390000000006694</v>
      </c>
      <c r="T4" s="141">
        <f>BTU!I5</f>
        <v>8</v>
      </c>
      <c r="U4" s="141">
        <f>BTU!O5</f>
        <v>1.9639999999999418</v>
      </c>
      <c r="V4" s="141">
        <f>BTU!L5</f>
        <v>1.8899999999994179</v>
      </c>
      <c r="W4" s="141">
        <f>BTU!R5</f>
        <v>2.1500000000005457</v>
      </c>
      <c r="X4" s="34">
        <f>ELECT.!B5</f>
        <v>168</v>
      </c>
      <c r="Y4" s="34">
        <f t="shared" si="0"/>
        <v>-4880</v>
      </c>
      <c r="Z4">
        <f>'Mall, Citadel, Rotana'!C5+'Mall, Citadel, Rotana'!E5+'Mall, Citadel, Rotana'!G5+'Mall, Citadel, Rotana'!I5</f>
        <v>2388</v>
      </c>
      <c r="AA4">
        <f>'Mall, Citadel, Rotana'!K5+'Mall, Citadel, Rotana'!M5</f>
        <v>432</v>
      </c>
      <c r="AB4">
        <f>'Mall, Citadel, Rotana'!O5</f>
        <v>4</v>
      </c>
      <c r="AC4">
        <f>'Mall, Citadel, Rotana'!Q5+'Mall, Citadel, Rotana'!S5</f>
        <v>106</v>
      </c>
      <c r="AD4" s="34">
        <f t="shared" si="1"/>
        <v>105.59736919999999</v>
      </c>
      <c r="AE4" s="34">
        <f t="shared" si="2"/>
        <v>695.59663079999996</v>
      </c>
    </row>
    <row r="5" spans="1:31" x14ac:dyDescent="0.2">
      <c r="A5" s="47" t="s">
        <v>53</v>
      </c>
      <c r="B5" s="52">
        <f t="shared" si="3"/>
        <v>4</v>
      </c>
      <c r="C5" s="52">
        <v>7</v>
      </c>
      <c r="D5" s="52">
        <v>2022</v>
      </c>
      <c r="E5" s="36">
        <f>Water!C6</f>
        <v>1050</v>
      </c>
      <c r="F5" s="36">
        <f>Water!E6</f>
        <v>440</v>
      </c>
      <c r="G5" s="36">
        <f>Water!G6</f>
        <v>553.5</v>
      </c>
      <c r="H5" s="36">
        <f>Water!I6</f>
        <v>4.6710000000000003</v>
      </c>
      <c r="I5" s="36">
        <f>ELECT.!F6</f>
        <v>27133</v>
      </c>
      <c r="J5" s="36">
        <f>ELECT.!H6</f>
        <v>63675</v>
      </c>
      <c r="K5" s="36">
        <f>ELECT.!K6</f>
        <v>13800</v>
      </c>
      <c r="L5" s="36">
        <f>ELECT.!M6</f>
        <v>8419</v>
      </c>
      <c r="M5" s="36">
        <f>ELECT.!O6</f>
        <v>18506</v>
      </c>
      <c r="N5" s="36">
        <f>ELECT.!Q6</f>
        <v>17128</v>
      </c>
      <c r="O5" s="36">
        <f>ELECT.!S6</f>
        <v>11848</v>
      </c>
      <c r="P5" s="36">
        <f>ELECT.!W6*2</f>
        <v>26442</v>
      </c>
      <c r="Q5" s="36">
        <f>ELECT.!D6</f>
        <v>800</v>
      </c>
      <c r="R5" s="141">
        <f>BTU!C6</f>
        <v>8.9809999999997672</v>
      </c>
      <c r="S5" s="141">
        <f>BTU!F6</f>
        <v>2.4650000000001455</v>
      </c>
      <c r="T5" s="141">
        <f>BTU!I6</f>
        <v>6</v>
      </c>
      <c r="U5" s="141">
        <f>BTU!O6</f>
        <v>1.0730000000003201</v>
      </c>
      <c r="V5" s="141">
        <f>BTU!L6</f>
        <v>1.2299999999995634</v>
      </c>
      <c r="W5" s="141">
        <f>BTU!R6</f>
        <v>0.96000000000003638</v>
      </c>
      <c r="X5" s="34">
        <f>ELECT.!B6</f>
        <v>190</v>
      </c>
      <c r="Y5" s="34">
        <f t="shared" si="0"/>
        <v>-5335</v>
      </c>
      <c r="Z5">
        <f>'Mall, Citadel, Rotana'!C6+'Mall, Citadel, Rotana'!E6+'Mall, Citadel, Rotana'!G6+'Mall, Citadel, Rotana'!I6</f>
        <v>1346</v>
      </c>
      <c r="AA5">
        <f>'Mall, Citadel, Rotana'!K6+'Mall, Citadel, Rotana'!M6</f>
        <v>364</v>
      </c>
      <c r="AB5">
        <f>'Mall, Citadel, Rotana'!O6</f>
        <v>2</v>
      </c>
      <c r="AC5">
        <f>'Mall, Citadel, Rotana'!Q6+'Mall, Citadel, Rotana'!S6</f>
        <v>110</v>
      </c>
      <c r="AD5" s="34">
        <f t="shared" si="1"/>
        <v>112.20516219999999</v>
      </c>
      <c r="AE5" s="34">
        <f t="shared" si="2"/>
        <v>739.12383779999993</v>
      </c>
    </row>
    <row r="6" spans="1:31" x14ac:dyDescent="0.2">
      <c r="A6" s="47" t="s">
        <v>53</v>
      </c>
      <c r="B6" s="52">
        <f t="shared" si="3"/>
        <v>5</v>
      </c>
      <c r="C6" s="52">
        <v>7</v>
      </c>
      <c r="D6" s="52">
        <v>2022</v>
      </c>
      <c r="E6" s="36">
        <f>Water!C7</f>
        <v>1080</v>
      </c>
      <c r="F6" s="36">
        <f>Water!E7</f>
        <v>470</v>
      </c>
      <c r="G6" s="36">
        <f>Water!G7</f>
        <v>607.5</v>
      </c>
      <c r="H6" s="36">
        <f>Water!I7</f>
        <v>5.3460000000000001</v>
      </c>
      <c r="I6" s="36">
        <f>ELECT.!F7</f>
        <v>19298</v>
      </c>
      <c r="J6" s="36">
        <f>ELECT.!H7</f>
        <v>46472</v>
      </c>
      <c r="K6" s="36">
        <f>ELECT.!K7</f>
        <v>10152</v>
      </c>
      <c r="L6" s="36">
        <f>ELECT.!M7</f>
        <v>5905</v>
      </c>
      <c r="M6" s="36">
        <f>ELECT.!O7</f>
        <v>13210</v>
      </c>
      <c r="N6" s="36">
        <f>ELECT.!Q7</f>
        <v>12524</v>
      </c>
      <c r="O6" s="36">
        <f>ELECT.!S7</f>
        <v>8642</v>
      </c>
      <c r="P6" s="36">
        <f>ELECT.!W7*2</f>
        <v>19260</v>
      </c>
      <c r="Q6" s="36">
        <f>ELECT.!D7</f>
        <v>640</v>
      </c>
      <c r="R6" s="141">
        <f>BTU!C7</f>
        <v>13.263000000002648</v>
      </c>
      <c r="S6" s="141">
        <f>BTU!F7</f>
        <v>3.6829999999999927</v>
      </c>
      <c r="T6" s="141">
        <f>BTU!I7</f>
        <v>8</v>
      </c>
      <c r="U6" s="141">
        <f>BTU!O7</f>
        <v>1.7929999999996653</v>
      </c>
      <c r="V6" s="141">
        <f>BTU!L7</f>
        <v>2.0799999999999272</v>
      </c>
      <c r="W6" s="141">
        <f>BTU!R7</f>
        <v>1.2399999999997817</v>
      </c>
      <c r="X6" s="34">
        <f>ELECT.!B7</f>
        <v>185</v>
      </c>
      <c r="Y6" s="34">
        <f t="shared" si="0"/>
        <v>-3923</v>
      </c>
      <c r="Z6">
        <f>'Mall, Citadel, Rotana'!C7+'Mall, Citadel, Rotana'!E7+'Mall, Citadel, Rotana'!G7+'Mall, Citadel, Rotana'!I7</f>
        <v>1371</v>
      </c>
      <c r="AA6">
        <f>'Mall, Citadel, Rotana'!K7+'Mall, Citadel, Rotana'!M7</f>
        <v>419</v>
      </c>
      <c r="AB6">
        <f>'Mall, Citadel, Rotana'!O7</f>
        <v>3</v>
      </c>
      <c r="AC6">
        <f>'Mall, Citadel, Rotana'!Q7+'Mall, Citadel, Rotana'!S7</f>
        <v>0</v>
      </c>
      <c r="AD6" s="34">
        <f t="shared" si="1"/>
        <v>116.0701972</v>
      </c>
      <c r="AE6" s="34">
        <f t="shared" si="2"/>
        <v>764.58380280000006</v>
      </c>
    </row>
    <row r="7" spans="1:31" x14ac:dyDescent="0.2">
      <c r="A7" s="47" t="s">
        <v>53</v>
      </c>
      <c r="B7" s="52">
        <f t="shared" si="3"/>
        <v>6</v>
      </c>
      <c r="C7" s="52">
        <v>7</v>
      </c>
      <c r="D7" s="52">
        <v>2022</v>
      </c>
      <c r="E7" s="36">
        <f>Water!C8</f>
        <v>1070</v>
      </c>
      <c r="F7" s="36">
        <f>Water!E8</f>
        <v>480</v>
      </c>
      <c r="G7" s="36">
        <f>Water!G8</f>
        <v>583.20000000000005</v>
      </c>
      <c r="H7" s="36">
        <f>Water!I8</f>
        <v>4.32</v>
      </c>
      <c r="I7" s="36">
        <f>ELECT.!F8</f>
        <v>25688</v>
      </c>
      <c r="J7" s="36">
        <f>ELECT.!H8</f>
        <v>64080</v>
      </c>
      <c r="K7" s="36">
        <f>ELECT.!K8</f>
        <v>13274</v>
      </c>
      <c r="L7" s="36">
        <f>ELECT.!M8</f>
        <v>7658</v>
      </c>
      <c r="M7" s="36">
        <f>ELECT.!O8</f>
        <v>17830</v>
      </c>
      <c r="N7" s="36">
        <f>ELECT.!Q8</f>
        <v>16417</v>
      </c>
      <c r="O7" s="36">
        <f>ELECT.!S8</f>
        <v>12178</v>
      </c>
      <c r="P7" s="36">
        <f>ELECT.!W8*2</f>
        <v>27604</v>
      </c>
      <c r="Q7" s="36">
        <f>ELECT.!D8</f>
        <v>640</v>
      </c>
      <c r="R7" s="141">
        <f>BTU!C8</f>
        <v>11.736999999997352</v>
      </c>
      <c r="S7" s="141">
        <f>BTU!F8</f>
        <v>2.8629999999993743</v>
      </c>
      <c r="T7" s="141">
        <f>BTU!I8</f>
        <v>7</v>
      </c>
      <c r="U7" s="141">
        <f>BTU!O8</f>
        <v>1.2950000000000728</v>
      </c>
      <c r="V7" s="141">
        <f>BTU!L8</f>
        <v>1.7700000000004366</v>
      </c>
      <c r="W7" s="141">
        <f>BTU!R8</f>
        <v>2.069999999999709</v>
      </c>
      <c r="X7" s="34">
        <f>ELECT.!B8</f>
        <v>170</v>
      </c>
      <c r="Y7" s="34">
        <f t="shared" si="0"/>
        <v>-5193</v>
      </c>
      <c r="Z7">
        <f>'Mall, Citadel, Rotana'!C8+'Mall, Citadel, Rotana'!E8+'Mall, Citadel, Rotana'!G8+'Mall, Citadel, Rotana'!I8</f>
        <v>1388</v>
      </c>
      <c r="AA7">
        <f>'Mall, Citadel, Rotana'!K8+'Mall, Citadel, Rotana'!M8</f>
        <v>370</v>
      </c>
      <c r="AB7">
        <f>'Mall, Citadel, Rotana'!O8</f>
        <v>4</v>
      </c>
      <c r="AC7">
        <f>'Mall, Citadel, Rotana'!Q8+'Mall, Citadel, Rotana'!S8</f>
        <v>0</v>
      </c>
      <c r="AD7" s="34">
        <f t="shared" si="1"/>
        <v>114.88742400000001</v>
      </c>
      <c r="AE7" s="34">
        <f t="shared" si="2"/>
        <v>756.79257600000005</v>
      </c>
    </row>
    <row r="8" spans="1:31" x14ac:dyDescent="0.2">
      <c r="A8" s="47" t="s">
        <v>53</v>
      </c>
      <c r="B8" s="52">
        <f t="shared" si="3"/>
        <v>7</v>
      </c>
      <c r="C8" s="52">
        <v>7</v>
      </c>
      <c r="D8" s="52">
        <v>2022</v>
      </c>
      <c r="E8" s="36">
        <f>Water!C9</f>
        <v>1070</v>
      </c>
      <c r="F8" s="36">
        <f>Water!E9</f>
        <v>480</v>
      </c>
      <c r="G8" s="36">
        <f>Water!G9</f>
        <v>550.79999999999995</v>
      </c>
      <c r="H8" s="36">
        <f>Water!I9</f>
        <v>4.4279999999999999</v>
      </c>
      <c r="I8" s="36">
        <f>ELECT.!F9</f>
        <v>17669</v>
      </c>
      <c r="J8" s="36">
        <f>ELECT.!H9</f>
        <v>43939</v>
      </c>
      <c r="K8" s="36">
        <f>ELECT.!K9</f>
        <v>316</v>
      </c>
      <c r="L8" s="36">
        <f>ELECT.!M9</f>
        <v>5288</v>
      </c>
      <c r="M8" s="36">
        <f>ELECT.!O9</f>
        <v>12206</v>
      </c>
      <c r="N8" s="36">
        <f>ELECT.!Q9</f>
        <v>10123</v>
      </c>
      <c r="O8" s="36">
        <f>ELECT.!S9</f>
        <v>8740</v>
      </c>
      <c r="P8" s="36">
        <f>ELECT.!W9*2</f>
        <v>218896</v>
      </c>
      <c r="Q8" s="36">
        <f>ELECT.!D9</f>
        <v>640</v>
      </c>
      <c r="R8" s="141">
        <f>BTU!C9</f>
        <v>12.924000000002707</v>
      </c>
      <c r="S8" s="141">
        <f>BTU!F9</f>
        <v>3.6270000000004075</v>
      </c>
      <c r="T8" s="141">
        <f>BTU!I9</f>
        <v>7</v>
      </c>
      <c r="U8" s="141">
        <f>BTU!O9</f>
        <v>1.7519999999999527</v>
      </c>
      <c r="V8" s="141">
        <f>BTU!L9</f>
        <v>2.2999999999992724</v>
      </c>
      <c r="W8" s="141">
        <f>BTU!R9</f>
        <v>1.8000000000001819</v>
      </c>
      <c r="X8" s="34">
        <f>ELECT.!B9</f>
        <v>180</v>
      </c>
      <c r="Y8" s="34">
        <f t="shared" si="0"/>
        <v>-193961</v>
      </c>
      <c r="Z8">
        <f>'Mall, Citadel, Rotana'!C9+'Mall, Citadel, Rotana'!E9+'Mall, Citadel, Rotana'!G9+'Mall, Citadel, Rotana'!I9</f>
        <v>1220</v>
      </c>
      <c r="AA8">
        <f>'Mall, Citadel, Rotana'!K9+'Mall, Citadel, Rotana'!M9</f>
        <v>359</v>
      </c>
      <c r="AB8">
        <f>'Mall, Citadel, Rotana'!O9</f>
        <v>3</v>
      </c>
      <c r="AC8">
        <f>'Mall, Citadel, Rotana'!Q9+'Mall, Citadel, Rotana'!S9</f>
        <v>0</v>
      </c>
      <c r="AD8" s="34">
        <f t="shared" si="1"/>
        <v>114.87318959999999</v>
      </c>
      <c r="AE8" s="34">
        <f t="shared" si="2"/>
        <v>756.69881039999996</v>
      </c>
    </row>
    <row r="9" spans="1:31" x14ac:dyDescent="0.2">
      <c r="A9" s="47" t="s">
        <v>53</v>
      </c>
      <c r="B9" s="52">
        <f t="shared" si="3"/>
        <v>8</v>
      </c>
      <c r="C9" s="52">
        <v>7</v>
      </c>
      <c r="D9" s="52">
        <v>2022</v>
      </c>
      <c r="E9" s="36">
        <f>Water!C10</f>
        <v>1070</v>
      </c>
      <c r="F9" s="36">
        <f>Water!E10</f>
        <v>480</v>
      </c>
      <c r="G9" s="36">
        <f>Water!G10</f>
        <v>550.79999999999995</v>
      </c>
      <c r="H9" s="36">
        <f>Water!I10</f>
        <v>4.4279999999999999</v>
      </c>
      <c r="I9" s="36">
        <f>ELECT.!F10</f>
        <v>22103</v>
      </c>
      <c r="J9" s="36">
        <f>ELECT.!H10</f>
        <v>53076</v>
      </c>
      <c r="K9" s="36">
        <f>ELECT.!K10</f>
        <v>19528</v>
      </c>
      <c r="L9" s="36">
        <f>ELECT.!M10</f>
        <v>6755</v>
      </c>
      <c r="M9" s="36">
        <f>ELECT.!O10</f>
        <v>15152</v>
      </c>
      <c r="N9" s="36">
        <f>ELECT.!Q10</f>
        <v>14273</v>
      </c>
      <c r="O9" s="36">
        <f>ELECT.!S10</f>
        <v>10791</v>
      </c>
      <c r="P9" s="36">
        <f>ELECT.!W10*2</f>
        <v>22300</v>
      </c>
      <c r="Q9" s="36">
        <f>ELECT.!D10</f>
        <v>800</v>
      </c>
      <c r="R9" s="141">
        <f>BTU!C10</f>
        <v>12.276999999998225</v>
      </c>
      <c r="S9" s="141">
        <f>BTU!F10</f>
        <v>1.8469999999997526</v>
      </c>
      <c r="T9" s="141">
        <f>BTU!I10</f>
        <v>6</v>
      </c>
      <c r="U9" s="141">
        <f>BTU!O10</f>
        <v>1.5880000000001928</v>
      </c>
      <c r="V9" s="141">
        <f>BTU!L10</f>
        <v>2.0900000000001455</v>
      </c>
      <c r="W9" s="141">
        <f>BTU!R10</f>
        <v>1.8599999999996726</v>
      </c>
      <c r="X9" s="34">
        <f>ELECT.!B10</f>
        <v>185</v>
      </c>
      <c r="Y9" s="34">
        <f t="shared" si="0"/>
        <v>-13620</v>
      </c>
      <c r="Z9">
        <f>'Mall, Citadel, Rotana'!C10+'Mall, Citadel, Rotana'!E10+'Mall, Citadel, Rotana'!G10+'Mall, Citadel, Rotana'!I10</f>
        <v>1545</v>
      </c>
      <c r="AA9">
        <f>'Mall, Citadel, Rotana'!K10+'Mall, Citadel, Rotana'!M10</f>
        <v>300</v>
      </c>
      <c r="AB9">
        <f>'Mall, Citadel, Rotana'!O10</f>
        <v>3</v>
      </c>
      <c r="AC9">
        <f>'Mall, Citadel, Rotana'!Q10+'Mall, Citadel, Rotana'!S10</f>
        <v>0</v>
      </c>
      <c r="AD9" s="34">
        <f t="shared" si="1"/>
        <v>114.87318959999999</v>
      </c>
      <c r="AE9" s="34">
        <f t="shared" si="2"/>
        <v>756.69881039999996</v>
      </c>
    </row>
    <row r="10" spans="1:31" x14ac:dyDescent="0.2">
      <c r="A10" s="47" t="s">
        <v>53</v>
      </c>
      <c r="B10" s="52">
        <f t="shared" si="3"/>
        <v>9</v>
      </c>
      <c r="C10" s="52">
        <v>7</v>
      </c>
      <c r="D10" s="52">
        <v>2022</v>
      </c>
      <c r="E10" s="36">
        <f>Water!C11</f>
        <v>1080</v>
      </c>
      <c r="F10" s="36">
        <f>Water!E11</f>
        <v>530</v>
      </c>
      <c r="G10" s="36">
        <f>Water!G11</f>
        <v>526.5</v>
      </c>
      <c r="H10" s="36">
        <f>Water!I11</f>
        <v>3.0779999999999998</v>
      </c>
      <c r="I10" s="36">
        <f>ELECT.!F11</f>
        <v>23907</v>
      </c>
      <c r="J10" s="36">
        <f>ELECT.!H11</f>
        <v>56199</v>
      </c>
      <c r="K10" s="36">
        <f>ELECT.!K11</f>
        <v>11042</v>
      </c>
      <c r="L10" s="36">
        <f>ELECT.!M11</f>
        <v>7233</v>
      </c>
      <c r="M10" s="36">
        <f>ELECT.!O11</f>
        <v>16450</v>
      </c>
      <c r="N10" s="36">
        <f>ELECT.!Q11</f>
        <v>14749</v>
      </c>
      <c r="O10" s="36">
        <f>ELECT.!S11</f>
        <v>11246</v>
      </c>
      <c r="P10" s="36">
        <f>ELECT.!W11*2</f>
        <v>23512</v>
      </c>
      <c r="Q10" s="36">
        <f>ELECT.!D11</f>
        <v>800</v>
      </c>
      <c r="R10" s="141">
        <f>BTU!C11</f>
        <v>13.882000000001426</v>
      </c>
      <c r="S10" s="141">
        <f>BTU!F11</f>
        <v>1.443000000000211</v>
      </c>
      <c r="T10" s="141">
        <f>BTU!I11</f>
        <v>6</v>
      </c>
      <c r="U10" s="141">
        <f>BTU!O11</f>
        <v>1.5779999999999745</v>
      </c>
      <c r="V10" s="141">
        <f>BTU!L11</f>
        <v>2.5500000000010914</v>
      </c>
      <c r="W10" s="141">
        <f>BTU!R11</f>
        <v>1.8800000000001091</v>
      </c>
      <c r="X10" s="34">
        <f>ELECT.!B11</f>
        <v>146</v>
      </c>
      <c r="Y10" s="34">
        <f t="shared" si="0"/>
        <v>-4126</v>
      </c>
      <c r="Z10">
        <f>'Mall, Citadel, Rotana'!C11+'Mall, Citadel, Rotana'!E11+'Mall, Citadel, Rotana'!G11+'Mall, Citadel, Rotana'!I11</f>
        <v>1218</v>
      </c>
      <c r="AA10">
        <f>'Mall, Citadel, Rotana'!K11+'Mall, Citadel, Rotana'!M11</f>
        <v>212</v>
      </c>
      <c r="AB10">
        <f>'Mall, Citadel, Rotana'!O11</f>
        <v>4</v>
      </c>
      <c r="AC10">
        <f>'Mall, Citadel, Rotana'!Q11+'Mall, Citadel, Rotana'!S11</f>
        <v>0</v>
      </c>
      <c r="AD10" s="34">
        <f t="shared" si="1"/>
        <v>116.3691196</v>
      </c>
      <c r="AE10" s="34">
        <f t="shared" si="2"/>
        <v>766.55288040000005</v>
      </c>
    </row>
    <row r="11" spans="1:31" x14ac:dyDescent="0.2">
      <c r="A11" s="47" t="s">
        <v>53</v>
      </c>
      <c r="B11" s="52">
        <f t="shared" si="3"/>
        <v>10</v>
      </c>
      <c r="C11" s="52">
        <v>7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 t="str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41" t="str">
        <f>BTU!C12</f>
        <v>0</v>
      </c>
      <c r="S11" s="141" t="str">
        <f>BTU!F12</f>
        <v>0</v>
      </c>
      <c r="T11" s="141" t="str">
        <f>BTU!I12</f>
        <v>0</v>
      </c>
      <c r="U11" s="141" t="str">
        <f>BTU!O12</f>
        <v>0</v>
      </c>
      <c r="V11" s="141" t="str">
        <f>BTU!L12</f>
        <v>0</v>
      </c>
      <c r="W11" s="141" t="str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7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41">
        <f>BTU!C13</f>
        <v>0</v>
      </c>
      <c r="S12" s="141">
        <f>BTU!F13</f>
        <v>0</v>
      </c>
      <c r="T12" s="141">
        <f>BTU!I13</f>
        <v>0</v>
      </c>
      <c r="U12" s="141">
        <f>BTU!O13</f>
        <v>0</v>
      </c>
      <c r="V12" s="141">
        <f>BTU!L13</f>
        <v>0</v>
      </c>
      <c r="W12" s="141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7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41">
        <f>BTU!C14</f>
        <v>0</v>
      </c>
      <c r="S13" s="141">
        <f>BTU!F14</f>
        <v>0</v>
      </c>
      <c r="T13" s="141">
        <f>BTU!I14</f>
        <v>0</v>
      </c>
      <c r="U13" s="141">
        <f>BTU!O14</f>
        <v>0</v>
      </c>
      <c r="V13" s="141">
        <f>BTU!L14</f>
        <v>0</v>
      </c>
      <c r="W13" s="141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7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41">
        <f>BTU!C15</f>
        <v>0</v>
      </c>
      <c r="S14" s="141">
        <f>BTU!F15</f>
        <v>0</v>
      </c>
      <c r="T14" s="141">
        <f>BTU!I15</f>
        <v>0</v>
      </c>
      <c r="U14" s="141">
        <f>BTU!O15</f>
        <v>0</v>
      </c>
      <c r="V14" s="141">
        <f>BTU!L15</f>
        <v>0</v>
      </c>
      <c r="W14" s="141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7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41">
        <f>BTU!C16</f>
        <v>0</v>
      </c>
      <c r="S15" s="141">
        <f>BTU!F16</f>
        <v>0</v>
      </c>
      <c r="T15" s="141">
        <f>BTU!I16</f>
        <v>0</v>
      </c>
      <c r="U15" s="141">
        <f>BTU!O16</f>
        <v>0</v>
      </c>
      <c r="V15" s="141">
        <f>BTU!L16</f>
        <v>0</v>
      </c>
      <c r="W15" s="141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7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41">
        <f>BTU!C17</f>
        <v>0</v>
      </c>
      <c r="S16" s="141">
        <f>BTU!F17</f>
        <v>0</v>
      </c>
      <c r="T16" s="141">
        <f>BTU!I17</f>
        <v>0</v>
      </c>
      <c r="U16" s="141">
        <f>BTU!O17</f>
        <v>0</v>
      </c>
      <c r="V16" s="141">
        <f>BTU!L17</f>
        <v>0</v>
      </c>
      <c r="W16" s="141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7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41">
        <f>BTU!C18</f>
        <v>0</v>
      </c>
      <c r="S17" s="141">
        <f>BTU!F18</f>
        <v>0</v>
      </c>
      <c r="T17" s="141">
        <f>BTU!I18</f>
        <v>0</v>
      </c>
      <c r="U17" s="141">
        <f>BTU!O18</f>
        <v>0</v>
      </c>
      <c r="V17" s="141">
        <f>BTU!L18</f>
        <v>0</v>
      </c>
      <c r="W17" s="141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7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7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7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7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7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7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7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7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7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7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7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7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7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7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A32" s="47" t="s">
        <v>53</v>
      </c>
      <c r="B32" s="52">
        <f t="shared" si="3"/>
        <v>31</v>
      </c>
      <c r="C32" s="52">
        <v>7</v>
      </c>
      <c r="D32" s="52">
        <v>2022</v>
      </c>
      <c r="E32" s="36">
        <f>Water!C33</f>
        <v>0</v>
      </c>
      <c r="F32" s="36">
        <f>Water!E33</f>
        <v>0</v>
      </c>
      <c r="G32" s="36">
        <f>Water!G33</f>
        <v>0</v>
      </c>
      <c r="H32" s="36">
        <f>Water!I33</f>
        <v>0</v>
      </c>
      <c r="I32" s="36">
        <f>ELECT.!F33</f>
        <v>0</v>
      </c>
      <c r="J32" s="36">
        <f>ELECT.!H33</f>
        <v>0</v>
      </c>
      <c r="K32" s="36">
        <f>ELECT.!K33</f>
        <v>0</v>
      </c>
      <c r="L32" s="36">
        <f>ELECT.!M33</f>
        <v>0</v>
      </c>
      <c r="M32" s="36">
        <f>ELECT.!O33</f>
        <v>0</v>
      </c>
      <c r="N32" s="36">
        <f>ELECT.!Q33</f>
        <v>0</v>
      </c>
      <c r="O32" s="36">
        <f>ELECT.!S33</f>
        <v>0</v>
      </c>
      <c r="P32" s="36">
        <f>ELECT.!W33*2</f>
        <v>0</v>
      </c>
      <c r="Q32" s="36">
        <f>ELECT.!D33</f>
        <v>0</v>
      </c>
      <c r="R32" s="141">
        <f>BTU!C33</f>
        <v>0</v>
      </c>
      <c r="S32" s="141">
        <f>BTU!F33</f>
        <v>0</v>
      </c>
      <c r="T32" s="141">
        <f>BTU!I33</f>
        <v>0</v>
      </c>
      <c r="U32" s="141">
        <f>BTU!O33</f>
        <v>0</v>
      </c>
      <c r="V32" s="141">
        <f>BTU!L33</f>
        <v>0</v>
      </c>
      <c r="W32" s="141">
        <f>BTU!R33</f>
        <v>0</v>
      </c>
      <c r="X32" s="34">
        <f>ELECT.!B33</f>
        <v>0</v>
      </c>
      <c r="Y32" s="34">
        <f t="shared" ref="Y32" si="4"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34">
        <f t="shared" ref="AD32" si="5">(E32-H32-194)*0.1318</f>
        <v>-25.569199999999999</v>
      </c>
      <c r="AE32" s="34">
        <f t="shared" ref="AE32" si="6"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T38" sqref="T3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44742</v>
      </c>
      <c r="B2" s="32">
        <v>47229</v>
      </c>
      <c r="C2" s="14"/>
      <c r="D2" s="32">
        <v>40735</v>
      </c>
      <c r="E2" s="14"/>
      <c r="F2" s="32">
        <v>21796</v>
      </c>
      <c r="G2" s="14"/>
      <c r="H2" s="32">
        <v>256113</v>
      </c>
      <c r="I2" s="14"/>
      <c r="J2" s="32">
        <v>321030</v>
      </c>
      <c r="K2" s="14"/>
      <c r="L2" s="32">
        <v>26265</v>
      </c>
      <c r="M2" s="14"/>
      <c r="N2" s="32">
        <v>226132</v>
      </c>
      <c r="O2" s="14"/>
      <c r="P2" s="32">
        <v>158584</v>
      </c>
      <c r="Q2" s="14"/>
      <c r="R2" s="32">
        <v>55047</v>
      </c>
      <c r="S2" s="14"/>
      <c r="T2" s="32">
        <v>4015</v>
      </c>
      <c r="U2" s="14"/>
    </row>
    <row r="3" spans="1:24" ht="13.5" thickBot="1" x14ac:dyDescent="0.25">
      <c r="A3" s="9">
        <v>44743</v>
      </c>
      <c r="B3" s="32">
        <v>47230</v>
      </c>
      <c r="C3" s="14">
        <f>(B3-B2)*800/5</f>
        <v>160</v>
      </c>
      <c r="D3" s="32">
        <v>40738</v>
      </c>
      <c r="E3" s="14">
        <f>(D3-D2)*800/5</f>
        <v>480</v>
      </c>
      <c r="F3" s="32">
        <v>21796</v>
      </c>
      <c r="G3" s="14">
        <f>(F3-F2)*100/5</f>
        <v>0</v>
      </c>
      <c r="H3" s="32">
        <v>256159</v>
      </c>
      <c r="I3" s="14">
        <f>(H3-H2)</f>
        <v>46</v>
      </c>
      <c r="J3" s="32">
        <v>321257</v>
      </c>
      <c r="K3" s="14">
        <f>(J3-J2)</f>
        <v>227</v>
      </c>
      <c r="L3" s="32">
        <v>26267</v>
      </c>
      <c r="M3" s="14">
        <f>(L3-L2)*300/5</f>
        <v>120</v>
      </c>
      <c r="N3" s="32">
        <v>226135</v>
      </c>
      <c r="O3" s="14">
        <f>N3-N2</f>
        <v>3</v>
      </c>
      <c r="P3" s="32">
        <v>158691</v>
      </c>
      <c r="Q3" s="14">
        <f t="shared" ref="Q3:Q33" si="0">P3-P2</f>
        <v>107</v>
      </c>
      <c r="R3" s="32">
        <v>55047</v>
      </c>
      <c r="S3" s="14">
        <v>0</v>
      </c>
      <c r="T3" s="32">
        <v>4016</v>
      </c>
      <c r="U3" s="14">
        <f>(T3-T2)*800/5</f>
        <v>160</v>
      </c>
    </row>
    <row r="4" spans="1:24" ht="13.5" thickBot="1" x14ac:dyDescent="0.25">
      <c r="A4" s="9">
        <v>44744</v>
      </c>
      <c r="B4" s="32">
        <v>47233</v>
      </c>
      <c r="C4" s="14">
        <f t="shared" ref="C4:C33" si="1">(B4-B3)*800/5</f>
        <v>480</v>
      </c>
      <c r="D4" s="32">
        <v>40741</v>
      </c>
      <c r="E4" s="14">
        <f t="shared" ref="E4:E33" si="2">(D4-D3)*800/5</f>
        <v>480</v>
      </c>
      <c r="F4" s="32">
        <v>21797</v>
      </c>
      <c r="G4" s="14">
        <f t="shared" ref="G4:G33" si="3">(F4-F3)*100/5</f>
        <v>20</v>
      </c>
      <c r="H4" s="32">
        <v>256231</v>
      </c>
      <c r="I4" s="14">
        <f t="shared" ref="I4:I33" si="4">(H4-H3)</f>
        <v>72</v>
      </c>
      <c r="J4" s="32">
        <v>321377</v>
      </c>
      <c r="K4" s="14">
        <f t="shared" ref="K4:K33" si="5">(J4-J3)</f>
        <v>120</v>
      </c>
      <c r="L4" s="32">
        <v>26269</v>
      </c>
      <c r="M4" s="14">
        <f t="shared" ref="M4:M33" si="6">(L4-L3)*300/5</f>
        <v>120</v>
      </c>
      <c r="N4" s="32">
        <v>226138</v>
      </c>
      <c r="O4" s="14">
        <f t="shared" ref="O4:O33" si="7">N4-N3</f>
        <v>3</v>
      </c>
      <c r="P4" s="32">
        <v>158798</v>
      </c>
      <c r="Q4" s="14">
        <f t="shared" si="0"/>
        <v>107</v>
      </c>
      <c r="R4" s="1">
        <v>55047</v>
      </c>
      <c r="S4" s="14">
        <v>0</v>
      </c>
      <c r="T4" s="32">
        <v>4016</v>
      </c>
      <c r="U4" s="14">
        <f t="shared" ref="U4:U33" si="8">(T4-T3)*800/5</f>
        <v>0</v>
      </c>
    </row>
    <row r="5" spans="1:24" ht="13.5" thickBot="1" x14ac:dyDescent="0.25">
      <c r="A5" s="9">
        <v>44745</v>
      </c>
      <c r="B5" s="32">
        <v>47243</v>
      </c>
      <c r="C5" s="14">
        <f t="shared" si="1"/>
        <v>1600</v>
      </c>
      <c r="D5" s="32">
        <v>40745</v>
      </c>
      <c r="E5" s="14">
        <f t="shared" si="2"/>
        <v>640</v>
      </c>
      <c r="F5" s="32">
        <v>21803</v>
      </c>
      <c r="G5" s="14">
        <f t="shared" si="3"/>
        <v>120</v>
      </c>
      <c r="H5" s="32">
        <v>256259</v>
      </c>
      <c r="I5" s="14">
        <f t="shared" si="4"/>
        <v>28</v>
      </c>
      <c r="J5" s="32">
        <v>321569</v>
      </c>
      <c r="K5" s="14">
        <f t="shared" si="5"/>
        <v>192</v>
      </c>
      <c r="L5" s="32">
        <v>26273</v>
      </c>
      <c r="M5" s="14">
        <f t="shared" si="6"/>
        <v>240</v>
      </c>
      <c r="N5" s="32">
        <v>226142</v>
      </c>
      <c r="O5" s="14">
        <f t="shared" si="7"/>
        <v>4</v>
      </c>
      <c r="P5" s="32">
        <v>158904</v>
      </c>
      <c r="Q5" s="14">
        <f t="shared" si="0"/>
        <v>106</v>
      </c>
      <c r="R5" s="1">
        <v>55047</v>
      </c>
      <c r="S5" s="14">
        <f t="shared" ref="S5:S32" si="9">R5-R4</f>
        <v>0</v>
      </c>
      <c r="T5" s="32">
        <v>4016</v>
      </c>
      <c r="U5" s="14">
        <f t="shared" si="8"/>
        <v>0</v>
      </c>
    </row>
    <row r="6" spans="1:24" ht="13.5" thickBot="1" x14ac:dyDescent="0.25">
      <c r="A6" s="9">
        <v>44746</v>
      </c>
      <c r="B6" s="32">
        <v>47248</v>
      </c>
      <c r="C6" s="14">
        <f t="shared" si="1"/>
        <v>800</v>
      </c>
      <c r="D6" s="32">
        <v>40748</v>
      </c>
      <c r="E6" s="14">
        <f t="shared" si="2"/>
        <v>480</v>
      </c>
      <c r="F6" s="32">
        <v>21806</v>
      </c>
      <c r="G6" s="14">
        <f t="shared" si="3"/>
        <v>60</v>
      </c>
      <c r="H6" s="32">
        <v>256265</v>
      </c>
      <c r="I6" s="14">
        <f t="shared" si="4"/>
        <v>6</v>
      </c>
      <c r="J6" s="32">
        <v>321753</v>
      </c>
      <c r="K6" s="14">
        <f t="shared" si="5"/>
        <v>184</v>
      </c>
      <c r="L6" s="32">
        <v>26276</v>
      </c>
      <c r="M6" s="14">
        <f t="shared" si="6"/>
        <v>180</v>
      </c>
      <c r="N6" s="32">
        <v>226144</v>
      </c>
      <c r="O6" s="14">
        <f t="shared" si="7"/>
        <v>2</v>
      </c>
      <c r="P6" s="32">
        <v>159014</v>
      </c>
      <c r="Q6" s="14">
        <f t="shared" si="0"/>
        <v>110</v>
      </c>
      <c r="R6" s="1">
        <v>55047</v>
      </c>
      <c r="S6" s="14">
        <v>0</v>
      </c>
      <c r="T6" s="32">
        <v>4017</v>
      </c>
      <c r="U6" s="14">
        <f t="shared" si="8"/>
        <v>160</v>
      </c>
    </row>
    <row r="7" spans="1:24" ht="13.5" thickBot="1" x14ac:dyDescent="0.25">
      <c r="A7" s="9">
        <v>44747</v>
      </c>
      <c r="B7" s="32">
        <v>47253</v>
      </c>
      <c r="C7" s="14">
        <f t="shared" si="1"/>
        <v>800</v>
      </c>
      <c r="D7" s="32">
        <v>40751</v>
      </c>
      <c r="E7" s="14">
        <f t="shared" si="2"/>
        <v>480</v>
      </c>
      <c r="F7" s="32">
        <v>21809</v>
      </c>
      <c r="G7" s="14">
        <f t="shared" si="3"/>
        <v>60</v>
      </c>
      <c r="H7" s="32">
        <v>256296</v>
      </c>
      <c r="I7" s="14">
        <f t="shared" si="4"/>
        <v>31</v>
      </c>
      <c r="J7" s="32">
        <v>321932</v>
      </c>
      <c r="K7" s="14">
        <f t="shared" si="5"/>
        <v>179</v>
      </c>
      <c r="L7" s="32">
        <v>26280</v>
      </c>
      <c r="M7" s="14">
        <f t="shared" si="6"/>
        <v>240</v>
      </c>
      <c r="N7" s="32">
        <v>226147</v>
      </c>
      <c r="O7" s="14">
        <f t="shared" si="7"/>
        <v>3</v>
      </c>
      <c r="P7" s="32">
        <v>159014</v>
      </c>
      <c r="Q7" s="14">
        <f t="shared" si="0"/>
        <v>0</v>
      </c>
      <c r="R7" s="1">
        <v>55047</v>
      </c>
      <c r="S7" s="14">
        <v>0</v>
      </c>
      <c r="T7" s="32">
        <v>4017</v>
      </c>
      <c r="U7" s="14">
        <f t="shared" si="8"/>
        <v>0</v>
      </c>
    </row>
    <row r="8" spans="1:24" ht="13.5" thickBot="1" x14ac:dyDescent="0.25">
      <c r="A8" s="9">
        <v>44748</v>
      </c>
      <c r="B8" s="32">
        <v>47258</v>
      </c>
      <c r="C8" s="14">
        <f t="shared" si="1"/>
        <v>800</v>
      </c>
      <c r="D8" s="32">
        <v>40754</v>
      </c>
      <c r="E8" s="14">
        <f t="shared" si="2"/>
        <v>480</v>
      </c>
      <c r="F8" s="32">
        <v>21813</v>
      </c>
      <c r="G8" s="14">
        <f t="shared" si="3"/>
        <v>80</v>
      </c>
      <c r="H8" s="32">
        <v>256324</v>
      </c>
      <c r="I8" s="14">
        <f t="shared" si="4"/>
        <v>28</v>
      </c>
      <c r="J8" s="32">
        <v>322122</v>
      </c>
      <c r="K8" s="14">
        <f t="shared" si="5"/>
        <v>190</v>
      </c>
      <c r="L8" s="32">
        <v>26283</v>
      </c>
      <c r="M8" s="14">
        <f t="shared" si="6"/>
        <v>180</v>
      </c>
      <c r="N8" s="32">
        <v>226151</v>
      </c>
      <c r="O8" s="14">
        <f t="shared" si="7"/>
        <v>4</v>
      </c>
      <c r="P8" s="32">
        <v>159014</v>
      </c>
      <c r="Q8" s="14">
        <f t="shared" si="0"/>
        <v>0</v>
      </c>
      <c r="R8" s="1">
        <v>55047</v>
      </c>
      <c r="S8" s="14">
        <f>R8-R7</f>
        <v>0</v>
      </c>
      <c r="T8" s="32">
        <v>4018</v>
      </c>
      <c r="U8" s="14">
        <f t="shared" si="8"/>
        <v>160</v>
      </c>
    </row>
    <row r="9" spans="1:24" ht="13.5" thickBot="1" x14ac:dyDescent="0.25">
      <c r="A9" s="9">
        <v>44749</v>
      </c>
      <c r="B9" s="32">
        <v>47262</v>
      </c>
      <c r="C9" s="14">
        <f t="shared" si="1"/>
        <v>640</v>
      </c>
      <c r="D9" s="32">
        <v>40757</v>
      </c>
      <c r="E9" s="14">
        <f t="shared" si="2"/>
        <v>480</v>
      </c>
      <c r="F9" s="32">
        <v>21816</v>
      </c>
      <c r="G9" s="14">
        <f t="shared" si="3"/>
        <v>60</v>
      </c>
      <c r="H9" s="32">
        <v>256364</v>
      </c>
      <c r="I9" s="14">
        <f t="shared" si="4"/>
        <v>40</v>
      </c>
      <c r="J9" s="32">
        <v>322301</v>
      </c>
      <c r="K9" s="14">
        <f t="shared" si="5"/>
        <v>179</v>
      </c>
      <c r="L9" s="32">
        <v>26286</v>
      </c>
      <c r="M9" s="14">
        <f t="shared" si="6"/>
        <v>180</v>
      </c>
      <c r="N9" s="32">
        <v>226154</v>
      </c>
      <c r="O9" s="14">
        <f t="shared" si="7"/>
        <v>3</v>
      </c>
      <c r="P9" s="32">
        <v>159014</v>
      </c>
      <c r="Q9" s="14">
        <f t="shared" si="0"/>
        <v>0</v>
      </c>
      <c r="R9" s="1">
        <v>55047</v>
      </c>
      <c r="S9" s="14">
        <f>R9-R8</f>
        <v>0</v>
      </c>
      <c r="T9" s="32">
        <v>4019</v>
      </c>
      <c r="U9" s="14">
        <f t="shared" si="8"/>
        <v>160</v>
      </c>
    </row>
    <row r="10" spans="1:24" ht="13.5" thickBot="1" x14ac:dyDescent="0.25">
      <c r="A10" s="9">
        <v>44750</v>
      </c>
      <c r="B10" s="32">
        <v>47267</v>
      </c>
      <c r="C10" s="14">
        <f t="shared" si="1"/>
        <v>800</v>
      </c>
      <c r="D10" s="32">
        <v>40761</v>
      </c>
      <c r="E10" s="14">
        <f t="shared" si="2"/>
        <v>640</v>
      </c>
      <c r="F10" s="32">
        <v>21820</v>
      </c>
      <c r="G10" s="14">
        <f t="shared" si="3"/>
        <v>80</v>
      </c>
      <c r="H10" s="32">
        <v>256389</v>
      </c>
      <c r="I10" s="14">
        <f t="shared" si="4"/>
        <v>25</v>
      </c>
      <c r="J10" s="32">
        <v>322421</v>
      </c>
      <c r="K10" s="14">
        <f t="shared" si="5"/>
        <v>120</v>
      </c>
      <c r="L10" s="32">
        <v>26289</v>
      </c>
      <c r="M10" s="14">
        <f t="shared" si="6"/>
        <v>180</v>
      </c>
      <c r="N10" s="32">
        <v>226157</v>
      </c>
      <c r="O10" s="14">
        <f t="shared" si="7"/>
        <v>3</v>
      </c>
      <c r="P10" s="32">
        <v>159014</v>
      </c>
      <c r="Q10" s="14">
        <f t="shared" si="0"/>
        <v>0</v>
      </c>
      <c r="R10" s="1">
        <v>55047</v>
      </c>
      <c r="S10" s="14">
        <f>R10-R9</f>
        <v>0</v>
      </c>
      <c r="T10" s="32">
        <v>4019</v>
      </c>
      <c r="U10" s="14">
        <f t="shared" si="8"/>
        <v>0</v>
      </c>
    </row>
    <row r="11" spans="1:24" ht="13.5" thickBot="1" x14ac:dyDescent="0.25">
      <c r="A11" s="9">
        <v>44751</v>
      </c>
      <c r="B11" s="32">
        <v>47271</v>
      </c>
      <c r="C11" s="14">
        <f t="shared" si="1"/>
        <v>640</v>
      </c>
      <c r="D11" s="32">
        <v>40764</v>
      </c>
      <c r="E11" s="14">
        <f t="shared" si="2"/>
        <v>480</v>
      </c>
      <c r="F11" s="32">
        <v>21824</v>
      </c>
      <c r="G11" s="14">
        <f t="shared" si="3"/>
        <v>80</v>
      </c>
      <c r="H11" s="32">
        <v>256407</v>
      </c>
      <c r="I11" s="14">
        <f t="shared" si="4"/>
        <v>18</v>
      </c>
      <c r="J11" s="32">
        <v>322513</v>
      </c>
      <c r="K11" s="14">
        <f t="shared" si="5"/>
        <v>92</v>
      </c>
      <c r="L11" s="32">
        <v>26291</v>
      </c>
      <c r="M11" s="14">
        <f t="shared" si="6"/>
        <v>120</v>
      </c>
      <c r="N11" s="32">
        <v>226161</v>
      </c>
      <c r="O11" s="14">
        <f t="shared" si="7"/>
        <v>4</v>
      </c>
      <c r="P11" s="32">
        <v>159014</v>
      </c>
      <c r="Q11" s="14">
        <f t="shared" si="0"/>
        <v>0</v>
      </c>
      <c r="R11" s="1">
        <v>55047</v>
      </c>
      <c r="S11" s="14">
        <f t="shared" si="9"/>
        <v>0</v>
      </c>
      <c r="T11" s="32">
        <v>4019</v>
      </c>
      <c r="U11" s="14">
        <f t="shared" si="8"/>
        <v>0</v>
      </c>
    </row>
    <row r="12" spans="1:24" ht="13.5" thickBot="1" x14ac:dyDescent="0.25">
      <c r="A12" s="9">
        <v>44752</v>
      </c>
      <c r="B12" s="32">
        <f>B11</f>
        <v>47271</v>
      </c>
      <c r="C12" s="14">
        <f t="shared" si="1"/>
        <v>0</v>
      </c>
      <c r="D12" s="32">
        <f t="shared" ref="D12:D33" si="10">D11</f>
        <v>40764</v>
      </c>
      <c r="E12" s="14">
        <f t="shared" si="2"/>
        <v>0</v>
      </c>
      <c r="F12" s="32">
        <f>F11</f>
        <v>21824</v>
      </c>
      <c r="G12" s="14">
        <f t="shared" si="3"/>
        <v>0</v>
      </c>
      <c r="H12" s="32">
        <f>H11</f>
        <v>256407</v>
      </c>
      <c r="I12" s="14">
        <f t="shared" si="4"/>
        <v>0</v>
      </c>
      <c r="J12" s="32">
        <f>J11</f>
        <v>322513</v>
      </c>
      <c r="K12" s="14">
        <f t="shared" si="5"/>
        <v>0</v>
      </c>
      <c r="L12" s="32">
        <f>L11</f>
        <v>26291</v>
      </c>
      <c r="M12" s="14">
        <f t="shared" si="6"/>
        <v>0</v>
      </c>
      <c r="N12" s="32">
        <f>N11</f>
        <v>226161</v>
      </c>
      <c r="O12" s="14">
        <f t="shared" si="7"/>
        <v>0</v>
      </c>
      <c r="P12" s="32">
        <v>159014</v>
      </c>
      <c r="Q12" s="14">
        <f t="shared" si="0"/>
        <v>0</v>
      </c>
      <c r="R12" s="1">
        <v>55047</v>
      </c>
      <c r="S12" s="14">
        <f t="shared" si="9"/>
        <v>0</v>
      </c>
      <c r="T12" s="32">
        <f>T11</f>
        <v>4019</v>
      </c>
      <c r="U12" s="14">
        <f t="shared" si="8"/>
        <v>0</v>
      </c>
    </row>
    <row r="13" spans="1:24" ht="13.5" thickBot="1" x14ac:dyDescent="0.25">
      <c r="A13" s="9">
        <v>44753</v>
      </c>
      <c r="B13" s="32">
        <f>B12</f>
        <v>47271</v>
      </c>
      <c r="C13" s="14">
        <f t="shared" si="1"/>
        <v>0</v>
      </c>
      <c r="D13" s="32">
        <f t="shared" si="10"/>
        <v>40764</v>
      </c>
      <c r="E13" s="14">
        <f t="shared" si="2"/>
        <v>0</v>
      </c>
      <c r="F13" s="32">
        <f t="shared" ref="F13:F33" si="11">F12</f>
        <v>21824</v>
      </c>
      <c r="G13" s="14">
        <f t="shared" si="3"/>
        <v>0</v>
      </c>
      <c r="H13" s="32">
        <f t="shared" ref="H13:H33" si="12">H12</f>
        <v>256407</v>
      </c>
      <c r="I13" s="14">
        <f t="shared" si="4"/>
        <v>0</v>
      </c>
      <c r="J13" s="32">
        <f t="shared" ref="J13:J33" si="13">J12</f>
        <v>322513</v>
      </c>
      <c r="K13" s="14">
        <f t="shared" si="5"/>
        <v>0</v>
      </c>
      <c r="L13" s="32">
        <f t="shared" ref="L13:L33" si="14">L12</f>
        <v>26291</v>
      </c>
      <c r="M13" s="14">
        <f t="shared" si="6"/>
        <v>0</v>
      </c>
      <c r="N13" s="32">
        <f t="shared" ref="N13:N33" si="15">N12</f>
        <v>226161</v>
      </c>
      <c r="O13" s="14">
        <f t="shared" si="7"/>
        <v>0</v>
      </c>
      <c r="P13" s="32">
        <v>159014</v>
      </c>
      <c r="Q13" s="14">
        <f t="shared" si="0"/>
        <v>0</v>
      </c>
      <c r="R13" s="1">
        <v>55047</v>
      </c>
      <c r="S13" s="14">
        <f t="shared" si="9"/>
        <v>0</v>
      </c>
      <c r="T13" s="32">
        <f t="shared" ref="T13:T33" si="16">T12</f>
        <v>4019</v>
      </c>
      <c r="U13" s="14">
        <f t="shared" si="8"/>
        <v>0</v>
      </c>
    </row>
    <row r="14" spans="1:24" ht="13.5" thickBot="1" x14ac:dyDescent="0.25">
      <c r="A14" s="9">
        <v>44754</v>
      </c>
      <c r="B14" s="32">
        <f t="shared" ref="B14:B33" si="17">B13</f>
        <v>47271</v>
      </c>
      <c r="C14" s="14">
        <f t="shared" si="1"/>
        <v>0</v>
      </c>
      <c r="D14" s="32">
        <f t="shared" si="10"/>
        <v>40764</v>
      </c>
      <c r="E14" s="14">
        <f t="shared" si="2"/>
        <v>0</v>
      </c>
      <c r="F14" s="32">
        <f t="shared" si="11"/>
        <v>21824</v>
      </c>
      <c r="G14" s="14">
        <f t="shared" si="3"/>
        <v>0</v>
      </c>
      <c r="H14" s="32">
        <f t="shared" si="12"/>
        <v>256407</v>
      </c>
      <c r="I14" s="14">
        <f t="shared" si="4"/>
        <v>0</v>
      </c>
      <c r="J14" s="32">
        <f t="shared" si="13"/>
        <v>322513</v>
      </c>
      <c r="K14" s="14">
        <f t="shared" si="5"/>
        <v>0</v>
      </c>
      <c r="L14" s="32">
        <f t="shared" si="14"/>
        <v>26291</v>
      </c>
      <c r="M14" s="14">
        <f t="shared" si="6"/>
        <v>0</v>
      </c>
      <c r="N14" s="32">
        <f t="shared" si="15"/>
        <v>226161</v>
      </c>
      <c r="O14" s="14">
        <f t="shared" si="7"/>
        <v>0</v>
      </c>
      <c r="P14" s="32">
        <v>159014</v>
      </c>
      <c r="Q14" s="14">
        <f t="shared" si="0"/>
        <v>0</v>
      </c>
      <c r="R14" s="1">
        <v>55047</v>
      </c>
      <c r="S14" s="14">
        <v>0</v>
      </c>
      <c r="T14" s="32">
        <f t="shared" si="16"/>
        <v>4019</v>
      </c>
      <c r="U14" s="14">
        <f t="shared" si="8"/>
        <v>0</v>
      </c>
    </row>
    <row r="15" spans="1:24" ht="13.5" thickBot="1" x14ac:dyDescent="0.25">
      <c r="A15" s="9">
        <v>44755</v>
      </c>
      <c r="B15" s="32">
        <f t="shared" si="17"/>
        <v>47271</v>
      </c>
      <c r="C15" s="14">
        <f t="shared" si="1"/>
        <v>0</v>
      </c>
      <c r="D15" s="32">
        <f t="shared" si="10"/>
        <v>40764</v>
      </c>
      <c r="E15" s="14">
        <f t="shared" si="2"/>
        <v>0</v>
      </c>
      <c r="F15" s="32">
        <f t="shared" si="11"/>
        <v>21824</v>
      </c>
      <c r="G15" s="14">
        <f t="shared" si="3"/>
        <v>0</v>
      </c>
      <c r="H15" s="32">
        <f t="shared" si="12"/>
        <v>256407</v>
      </c>
      <c r="I15" s="14">
        <f t="shared" si="4"/>
        <v>0</v>
      </c>
      <c r="J15" s="32">
        <f t="shared" si="13"/>
        <v>322513</v>
      </c>
      <c r="K15" s="14">
        <f t="shared" si="5"/>
        <v>0</v>
      </c>
      <c r="L15" s="32">
        <f t="shared" si="14"/>
        <v>26291</v>
      </c>
      <c r="M15" s="14">
        <f t="shared" si="6"/>
        <v>0</v>
      </c>
      <c r="N15" s="32">
        <f t="shared" si="15"/>
        <v>226161</v>
      </c>
      <c r="O15" s="14">
        <f t="shared" si="7"/>
        <v>0</v>
      </c>
      <c r="P15" s="32">
        <v>159014</v>
      </c>
      <c r="Q15" s="14">
        <f t="shared" si="0"/>
        <v>0</v>
      </c>
      <c r="R15" s="1">
        <v>55047</v>
      </c>
      <c r="S15" s="14">
        <v>0</v>
      </c>
      <c r="T15" s="32">
        <f t="shared" si="16"/>
        <v>4019</v>
      </c>
      <c r="U15" s="14">
        <f t="shared" si="8"/>
        <v>0</v>
      </c>
      <c r="X15" t="s">
        <v>12</v>
      </c>
    </row>
    <row r="16" spans="1:24" ht="13.5" thickBot="1" x14ac:dyDescent="0.25">
      <c r="A16" s="9">
        <v>44756</v>
      </c>
      <c r="B16" s="32">
        <f t="shared" si="17"/>
        <v>47271</v>
      </c>
      <c r="C16" s="14">
        <f t="shared" si="1"/>
        <v>0</v>
      </c>
      <c r="D16" s="32">
        <f t="shared" si="10"/>
        <v>40764</v>
      </c>
      <c r="E16" s="14">
        <f t="shared" si="2"/>
        <v>0</v>
      </c>
      <c r="F16" s="32">
        <f t="shared" si="11"/>
        <v>21824</v>
      </c>
      <c r="G16" s="14">
        <f t="shared" si="3"/>
        <v>0</v>
      </c>
      <c r="H16" s="32">
        <f t="shared" si="12"/>
        <v>256407</v>
      </c>
      <c r="I16" s="14">
        <f t="shared" si="4"/>
        <v>0</v>
      </c>
      <c r="J16" s="32">
        <f t="shared" si="13"/>
        <v>322513</v>
      </c>
      <c r="K16" s="14">
        <f t="shared" si="5"/>
        <v>0</v>
      </c>
      <c r="L16" s="32">
        <f t="shared" si="14"/>
        <v>26291</v>
      </c>
      <c r="M16" s="14">
        <f t="shared" si="6"/>
        <v>0</v>
      </c>
      <c r="N16" s="32">
        <f t="shared" si="15"/>
        <v>226161</v>
      </c>
      <c r="O16" s="14">
        <f t="shared" si="7"/>
        <v>0</v>
      </c>
      <c r="P16" s="32">
        <v>159014</v>
      </c>
      <c r="Q16" s="14">
        <f t="shared" si="0"/>
        <v>0</v>
      </c>
      <c r="R16" s="1">
        <v>55047</v>
      </c>
      <c r="S16" s="14">
        <f t="shared" si="9"/>
        <v>0</v>
      </c>
      <c r="T16" s="32">
        <f t="shared" si="16"/>
        <v>4019</v>
      </c>
      <c r="U16" s="14">
        <f t="shared" si="8"/>
        <v>0</v>
      </c>
      <c r="W16" t="s">
        <v>12</v>
      </c>
    </row>
    <row r="17" spans="1:23" ht="13.5" thickBot="1" x14ac:dyDescent="0.25">
      <c r="A17" s="9">
        <v>44757</v>
      </c>
      <c r="B17" s="32">
        <f t="shared" si="17"/>
        <v>47271</v>
      </c>
      <c r="C17" s="14">
        <f t="shared" si="1"/>
        <v>0</v>
      </c>
      <c r="D17" s="32">
        <f t="shared" si="10"/>
        <v>40764</v>
      </c>
      <c r="E17" s="14">
        <f t="shared" si="2"/>
        <v>0</v>
      </c>
      <c r="F17" s="32">
        <f t="shared" si="11"/>
        <v>21824</v>
      </c>
      <c r="G17" s="14">
        <f t="shared" si="3"/>
        <v>0</v>
      </c>
      <c r="H17" s="32">
        <f t="shared" si="12"/>
        <v>256407</v>
      </c>
      <c r="I17" s="14">
        <f t="shared" si="4"/>
        <v>0</v>
      </c>
      <c r="J17" s="32">
        <f t="shared" si="13"/>
        <v>322513</v>
      </c>
      <c r="K17" s="14">
        <f t="shared" si="5"/>
        <v>0</v>
      </c>
      <c r="L17" s="32">
        <f t="shared" si="14"/>
        <v>26291</v>
      </c>
      <c r="M17" s="14">
        <f t="shared" si="6"/>
        <v>0</v>
      </c>
      <c r="N17" s="32">
        <f t="shared" si="15"/>
        <v>226161</v>
      </c>
      <c r="O17" s="14">
        <f t="shared" si="7"/>
        <v>0</v>
      </c>
      <c r="P17" s="32">
        <v>159014</v>
      </c>
      <c r="Q17" s="14">
        <f t="shared" si="0"/>
        <v>0</v>
      </c>
      <c r="R17" s="1">
        <v>55047</v>
      </c>
      <c r="S17" s="14">
        <f>S16</f>
        <v>0</v>
      </c>
      <c r="T17" s="32">
        <f t="shared" si="16"/>
        <v>4019</v>
      </c>
      <c r="U17" s="14">
        <f t="shared" si="8"/>
        <v>0</v>
      </c>
    </row>
    <row r="18" spans="1:23" ht="13.5" thickBot="1" x14ac:dyDescent="0.25">
      <c r="A18" s="9">
        <v>44758</v>
      </c>
      <c r="B18" s="32">
        <f t="shared" si="17"/>
        <v>47271</v>
      </c>
      <c r="C18" s="14">
        <f t="shared" si="1"/>
        <v>0</v>
      </c>
      <c r="D18" s="32">
        <f t="shared" si="10"/>
        <v>40764</v>
      </c>
      <c r="E18" s="14">
        <f t="shared" si="2"/>
        <v>0</v>
      </c>
      <c r="F18" s="32">
        <f t="shared" si="11"/>
        <v>21824</v>
      </c>
      <c r="G18" s="14">
        <f t="shared" si="3"/>
        <v>0</v>
      </c>
      <c r="H18" s="32">
        <f t="shared" si="12"/>
        <v>256407</v>
      </c>
      <c r="I18" s="14">
        <f t="shared" si="4"/>
        <v>0</v>
      </c>
      <c r="J18" s="32">
        <f t="shared" si="13"/>
        <v>322513</v>
      </c>
      <c r="K18" s="14">
        <f t="shared" si="5"/>
        <v>0</v>
      </c>
      <c r="L18" s="32">
        <f t="shared" si="14"/>
        <v>26291</v>
      </c>
      <c r="M18" s="14">
        <f t="shared" si="6"/>
        <v>0</v>
      </c>
      <c r="N18" s="32">
        <f t="shared" si="15"/>
        <v>226161</v>
      </c>
      <c r="O18" s="14">
        <f t="shared" si="7"/>
        <v>0</v>
      </c>
      <c r="P18" s="32">
        <v>159014</v>
      </c>
      <c r="Q18" s="14">
        <f t="shared" si="0"/>
        <v>0</v>
      </c>
      <c r="R18" s="1">
        <v>55047</v>
      </c>
      <c r="S18" s="14">
        <f t="shared" si="9"/>
        <v>0</v>
      </c>
      <c r="T18" s="32">
        <f t="shared" si="16"/>
        <v>4019</v>
      </c>
      <c r="U18" s="14">
        <f t="shared" si="8"/>
        <v>0</v>
      </c>
    </row>
    <row r="19" spans="1:23" ht="13.5" thickBot="1" x14ac:dyDescent="0.25">
      <c r="A19" s="9">
        <v>44759</v>
      </c>
      <c r="B19" s="32">
        <f t="shared" si="17"/>
        <v>47271</v>
      </c>
      <c r="C19" s="14">
        <f t="shared" si="1"/>
        <v>0</v>
      </c>
      <c r="D19" s="32">
        <f t="shared" si="10"/>
        <v>40764</v>
      </c>
      <c r="E19" s="14">
        <f t="shared" si="2"/>
        <v>0</v>
      </c>
      <c r="F19" s="32">
        <f t="shared" si="11"/>
        <v>21824</v>
      </c>
      <c r="G19" s="14">
        <f t="shared" si="3"/>
        <v>0</v>
      </c>
      <c r="H19" s="32">
        <f t="shared" si="12"/>
        <v>256407</v>
      </c>
      <c r="I19" s="14">
        <f t="shared" si="4"/>
        <v>0</v>
      </c>
      <c r="J19" s="32">
        <f t="shared" si="13"/>
        <v>322513</v>
      </c>
      <c r="K19" s="14">
        <f t="shared" si="5"/>
        <v>0</v>
      </c>
      <c r="L19" s="32">
        <f t="shared" si="14"/>
        <v>26291</v>
      </c>
      <c r="M19" s="14">
        <f t="shared" si="6"/>
        <v>0</v>
      </c>
      <c r="N19" s="32">
        <f t="shared" si="15"/>
        <v>226161</v>
      </c>
      <c r="O19" s="14">
        <f t="shared" si="7"/>
        <v>0</v>
      </c>
      <c r="P19" s="32">
        <v>159014</v>
      </c>
      <c r="Q19" s="14">
        <f t="shared" si="0"/>
        <v>0</v>
      </c>
      <c r="R19" s="1">
        <v>55047</v>
      </c>
      <c r="S19" s="14">
        <f t="shared" si="9"/>
        <v>0</v>
      </c>
      <c r="T19" s="32">
        <f t="shared" si="16"/>
        <v>4019</v>
      </c>
      <c r="U19" s="14">
        <f t="shared" si="8"/>
        <v>0</v>
      </c>
      <c r="W19" t="s">
        <v>12</v>
      </c>
    </row>
    <row r="20" spans="1:23" ht="13.5" thickBot="1" x14ac:dyDescent="0.25">
      <c r="A20" s="9">
        <v>44760</v>
      </c>
      <c r="B20" s="32">
        <f t="shared" si="17"/>
        <v>47271</v>
      </c>
      <c r="C20" s="14">
        <f t="shared" si="1"/>
        <v>0</v>
      </c>
      <c r="D20" s="32">
        <f t="shared" si="10"/>
        <v>40764</v>
      </c>
      <c r="E20" s="14">
        <f t="shared" si="2"/>
        <v>0</v>
      </c>
      <c r="F20" s="32">
        <f t="shared" si="11"/>
        <v>21824</v>
      </c>
      <c r="G20" s="14">
        <f t="shared" si="3"/>
        <v>0</v>
      </c>
      <c r="H20" s="32">
        <f t="shared" si="12"/>
        <v>256407</v>
      </c>
      <c r="I20" s="14">
        <f t="shared" si="4"/>
        <v>0</v>
      </c>
      <c r="J20" s="32">
        <f t="shared" si="13"/>
        <v>322513</v>
      </c>
      <c r="K20" s="14">
        <f t="shared" si="5"/>
        <v>0</v>
      </c>
      <c r="L20" s="32">
        <f t="shared" si="14"/>
        <v>26291</v>
      </c>
      <c r="M20" s="14">
        <f t="shared" si="6"/>
        <v>0</v>
      </c>
      <c r="N20" s="32">
        <f t="shared" si="15"/>
        <v>226161</v>
      </c>
      <c r="O20" s="14">
        <f t="shared" si="7"/>
        <v>0</v>
      </c>
      <c r="P20" s="32">
        <v>159014</v>
      </c>
      <c r="Q20" s="14">
        <f t="shared" si="0"/>
        <v>0</v>
      </c>
      <c r="R20" s="1">
        <v>55047</v>
      </c>
      <c r="S20" s="14">
        <f t="shared" si="9"/>
        <v>0</v>
      </c>
      <c r="T20" s="32">
        <f t="shared" si="16"/>
        <v>4019</v>
      </c>
      <c r="U20" s="14">
        <f t="shared" si="8"/>
        <v>0</v>
      </c>
    </row>
    <row r="21" spans="1:23" ht="13.5" thickBot="1" x14ac:dyDescent="0.25">
      <c r="A21" s="9">
        <v>44761</v>
      </c>
      <c r="B21" s="32">
        <f t="shared" si="17"/>
        <v>47271</v>
      </c>
      <c r="C21" s="14">
        <f t="shared" si="1"/>
        <v>0</v>
      </c>
      <c r="D21" s="32">
        <f t="shared" si="10"/>
        <v>40764</v>
      </c>
      <c r="E21" s="14">
        <f t="shared" si="2"/>
        <v>0</v>
      </c>
      <c r="F21" s="32">
        <f t="shared" si="11"/>
        <v>21824</v>
      </c>
      <c r="G21" s="14">
        <f t="shared" si="3"/>
        <v>0</v>
      </c>
      <c r="H21" s="32">
        <f t="shared" si="12"/>
        <v>256407</v>
      </c>
      <c r="I21" s="14">
        <f t="shared" si="4"/>
        <v>0</v>
      </c>
      <c r="J21" s="32">
        <f t="shared" si="13"/>
        <v>322513</v>
      </c>
      <c r="K21" s="14">
        <f t="shared" si="5"/>
        <v>0</v>
      </c>
      <c r="L21" s="32">
        <f t="shared" si="14"/>
        <v>26291</v>
      </c>
      <c r="M21" s="14">
        <f t="shared" si="6"/>
        <v>0</v>
      </c>
      <c r="N21" s="32">
        <f t="shared" si="15"/>
        <v>226161</v>
      </c>
      <c r="O21" s="14">
        <f t="shared" si="7"/>
        <v>0</v>
      </c>
      <c r="P21" s="32">
        <v>159014</v>
      </c>
      <c r="Q21" s="14">
        <f t="shared" si="0"/>
        <v>0</v>
      </c>
      <c r="R21" s="1">
        <v>55047</v>
      </c>
      <c r="S21" s="14">
        <f t="shared" si="9"/>
        <v>0</v>
      </c>
      <c r="T21" s="32">
        <f t="shared" si="16"/>
        <v>4019</v>
      </c>
      <c r="U21" s="14">
        <f t="shared" si="8"/>
        <v>0</v>
      </c>
    </row>
    <row r="22" spans="1:23" ht="13.5" thickBot="1" x14ac:dyDescent="0.25">
      <c r="A22" s="9">
        <v>44762</v>
      </c>
      <c r="B22" s="32">
        <f t="shared" si="17"/>
        <v>47271</v>
      </c>
      <c r="C22" s="14">
        <f t="shared" si="1"/>
        <v>0</v>
      </c>
      <c r="D22" s="32">
        <f t="shared" si="10"/>
        <v>40764</v>
      </c>
      <c r="E22" s="14">
        <f t="shared" si="2"/>
        <v>0</v>
      </c>
      <c r="F22" s="32">
        <f t="shared" si="11"/>
        <v>21824</v>
      </c>
      <c r="G22" s="14">
        <f t="shared" si="3"/>
        <v>0</v>
      </c>
      <c r="H22" s="32">
        <f t="shared" si="12"/>
        <v>256407</v>
      </c>
      <c r="I22" s="14">
        <f t="shared" si="4"/>
        <v>0</v>
      </c>
      <c r="J22" s="32">
        <f t="shared" si="13"/>
        <v>322513</v>
      </c>
      <c r="K22" s="14">
        <f t="shared" si="5"/>
        <v>0</v>
      </c>
      <c r="L22" s="32">
        <f t="shared" si="14"/>
        <v>26291</v>
      </c>
      <c r="M22" s="14">
        <f t="shared" si="6"/>
        <v>0</v>
      </c>
      <c r="N22" s="32">
        <f t="shared" si="15"/>
        <v>226161</v>
      </c>
      <c r="O22" s="14">
        <f t="shared" si="7"/>
        <v>0</v>
      </c>
      <c r="P22" s="32">
        <v>159014</v>
      </c>
      <c r="Q22" s="14">
        <f t="shared" si="0"/>
        <v>0</v>
      </c>
      <c r="R22" s="1">
        <v>55047</v>
      </c>
      <c r="S22" s="14">
        <f t="shared" si="9"/>
        <v>0</v>
      </c>
      <c r="T22" s="32">
        <f t="shared" si="16"/>
        <v>4019</v>
      </c>
      <c r="U22" s="14">
        <f t="shared" si="8"/>
        <v>0</v>
      </c>
    </row>
    <row r="23" spans="1:23" ht="13.5" thickBot="1" x14ac:dyDescent="0.25">
      <c r="A23" s="9">
        <v>44763</v>
      </c>
      <c r="B23" s="32">
        <f t="shared" si="17"/>
        <v>47271</v>
      </c>
      <c r="C23" s="14">
        <f t="shared" si="1"/>
        <v>0</v>
      </c>
      <c r="D23" s="32">
        <f t="shared" si="10"/>
        <v>40764</v>
      </c>
      <c r="E23" s="14">
        <f t="shared" si="2"/>
        <v>0</v>
      </c>
      <c r="F23" s="32">
        <f t="shared" si="11"/>
        <v>21824</v>
      </c>
      <c r="G23" s="14">
        <f t="shared" si="3"/>
        <v>0</v>
      </c>
      <c r="H23" s="32">
        <f t="shared" si="12"/>
        <v>256407</v>
      </c>
      <c r="I23" s="14">
        <f t="shared" si="4"/>
        <v>0</v>
      </c>
      <c r="J23" s="32">
        <f t="shared" si="13"/>
        <v>322513</v>
      </c>
      <c r="K23" s="14">
        <f t="shared" si="5"/>
        <v>0</v>
      </c>
      <c r="L23" s="32">
        <f t="shared" si="14"/>
        <v>26291</v>
      </c>
      <c r="M23" s="14">
        <f t="shared" si="6"/>
        <v>0</v>
      </c>
      <c r="N23" s="32">
        <f t="shared" si="15"/>
        <v>226161</v>
      </c>
      <c r="O23" s="14">
        <f t="shared" si="7"/>
        <v>0</v>
      </c>
      <c r="P23" s="32">
        <v>159014</v>
      </c>
      <c r="Q23" s="14">
        <f t="shared" si="0"/>
        <v>0</v>
      </c>
      <c r="R23" s="1">
        <v>55047</v>
      </c>
      <c r="S23" s="14">
        <f t="shared" si="9"/>
        <v>0</v>
      </c>
      <c r="T23" s="32">
        <f t="shared" si="16"/>
        <v>4019</v>
      </c>
      <c r="U23" s="14">
        <f t="shared" si="8"/>
        <v>0</v>
      </c>
    </row>
    <row r="24" spans="1:23" s="131" customFormat="1" ht="13.5" thickBot="1" x14ac:dyDescent="0.25">
      <c r="A24" s="9">
        <v>44764</v>
      </c>
      <c r="B24" s="32">
        <f t="shared" si="17"/>
        <v>47271</v>
      </c>
      <c r="C24" s="14">
        <f t="shared" si="1"/>
        <v>0</v>
      </c>
      <c r="D24" s="32">
        <f t="shared" si="10"/>
        <v>40764</v>
      </c>
      <c r="E24" s="14">
        <f t="shared" si="2"/>
        <v>0</v>
      </c>
      <c r="F24" s="32">
        <f t="shared" si="11"/>
        <v>21824</v>
      </c>
      <c r="G24" s="14">
        <f t="shared" si="3"/>
        <v>0</v>
      </c>
      <c r="H24" s="32">
        <f t="shared" si="12"/>
        <v>256407</v>
      </c>
      <c r="I24" s="14">
        <f t="shared" si="4"/>
        <v>0</v>
      </c>
      <c r="J24" s="32">
        <f t="shared" si="13"/>
        <v>322513</v>
      </c>
      <c r="K24" s="14">
        <f t="shared" si="5"/>
        <v>0</v>
      </c>
      <c r="L24" s="32">
        <f t="shared" si="14"/>
        <v>26291</v>
      </c>
      <c r="M24" s="14">
        <f t="shared" si="6"/>
        <v>0</v>
      </c>
      <c r="N24" s="32">
        <f t="shared" si="15"/>
        <v>226161</v>
      </c>
      <c r="O24" s="14">
        <f t="shared" si="7"/>
        <v>0</v>
      </c>
      <c r="P24" s="32">
        <v>159014</v>
      </c>
      <c r="Q24" s="14">
        <f t="shared" si="0"/>
        <v>0</v>
      </c>
      <c r="R24" s="1">
        <v>55047</v>
      </c>
      <c r="S24" s="14">
        <f t="shared" si="9"/>
        <v>0</v>
      </c>
      <c r="T24" s="32">
        <f t="shared" si="16"/>
        <v>4019</v>
      </c>
      <c r="U24" s="14">
        <f t="shared" si="8"/>
        <v>0</v>
      </c>
    </row>
    <row r="25" spans="1:23" ht="13.5" thickBot="1" x14ac:dyDescent="0.25">
      <c r="A25" s="9">
        <v>44765</v>
      </c>
      <c r="B25" s="32">
        <f t="shared" si="17"/>
        <v>47271</v>
      </c>
      <c r="C25" s="14">
        <f t="shared" si="1"/>
        <v>0</v>
      </c>
      <c r="D25" s="32">
        <f t="shared" si="10"/>
        <v>40764</v>
      </c>
      <c r="E25" s="14">
        <f t="shared" si="2"/>
        <v>0</v>
      </c>
      <c r="F25" s="32">
        <f t="shared" si="11"/>
        <v>21824</v>
      </c>
      <c r="G25" s="14">
        <f t="shared" si="3"/>
        <v>0</v>
      </c>
      <c r="H25" s="32">
        <f t="shared" si="12"/>
        <v>256407</v>
      </c>
      <c r="I25" s="14">
        <f t="shared" si="4"/>
        <v>0</v>
      </c>
      <c r="J25" s="32">
        <f t="shared" si="13"/>
        <v>322513</v>
      </c>
      <c r="K25" s="14">
        <f t="shared" si="5"/>
        <v>0</v>
      </c>
      <c r="L25" s="32">
        <f t="shared" si="14"/>
        <v>26291</v>
      </c>
      <c r="M25" s="14">
        <f t="shared" si="6"/>
        <v>0</v>
      </c>
      <c r="N25" s="32">
        <f t="shared" si="15"/>
        <v>226161</v>
      </c>
      <c r="O25" s="14">
        <f t="shared" si="7"/>
        <v>0</v>
      </c>
      <c r="P25" s="32">
        <v>159014</v>
      </c>
      <c r="Q25" s="14">
        <f t="shared" si="0"/>
        <v>0</v>
      </c>
      <c r="R25" s="1">
        <v>55047</v>
      </c>
      <c r="S25" s="14">
        <f t="shared" si="9"/>
        <v>0</v>
      </c>
      <c r="T25" s="32">
        <f t="shared" si="16"/>
        <v>4019</v>
      </c>
      <c r="U25" s="14">
        <f t="shared" si="8"/>
        <v>0</v>
      </c>
      <c r="V25" t="s">
        <v>12</v>
      </c>
    </row>
    <row r="26" spans="1:23" ht="12.75" customHeight="1" thickBot="1" x14ac:dyDescent="0.25">
      <c r="A26" s="9">
        <v>44766</v>
      </c>
      <c r="B26" s="32">
        <f t="shared" si="17"/>
        <v>47271</v>
      </c>
      <c r="C26" s="14">
        <f t="shared" si="1"/>
        <v>0</v>
      </c>
      <c r="D26" s="32">
        <f t="shared" si="10"/>
        <v>40764</v>
      </c>
      <c r="E26" s="14">
        <f t="shared" si="2"/>
        <v>0</v>
      </c>
      <c r="F26" s="32">
        <f t="shared" si="11"/>
        <v>21824</v>
      </c>
      <c r="G26" s="14">
        <f t="shared" si="3"/>
        <v>0</v>
      </c>
      <c r="H26" s="32">
        <f t="shared" si="12"/>
        <v>256407</v>
      </c>
      <c r="I26" s="14">
        <f t="shared" si="4"/>
        <v>0</v>
      </c>
      <c r="J26" s="32">
        <f t="shared" si="13"/>
        <v>322513</v>
      </c>
      <c r="K26" s="14">
        <f t="shared" si="5"/>
        <v>0</v>
      </c>
      <c r="L26" s="32">
        <f t="shared" si="14"/>
        <v>26291</v>
      </c>
      <c r="M26" s="14">
        <f t="shared" si="6"/>
        <v>0</v>
      </c>
      <c r="N26" s="32">
        <f t="shared" si="15"/>
        <v>226161</v>
      </c>
      <c r="O26" s="14">
        <f t="shared" si="7"/>
        <v>0</v>
      </c>
      <c r="P26" s="32">
        <v>159014</v>
      </c>
      <c r="Q26" s="14">
        <f t="shared" si="0"/>
        <v>0</v>
      </c>
      <c r="R26" s="1">
        <v>55047</v>
      </c>
      <c r="S26" s="14">
        <f t="shared" si="9"/>
        <v>0</v>
      </c>
      <c r="T26" s="32">
        <f t="shared" si="16"/>
        <v>4019</v>
      </c>
      <c r="U26" s="14">
        <f t="shared" si="8"/>
        <v>0</v>
      </c>
      <c r="W26" t="s">
        <v>12</v>
      </c>
    </row>
    <row r="27" spans="1:23" ht="13.5" thickBot="1" x14ac:dyDescent="0.25">
      <c r="A27" s="9">
        <v>44767</v>
      </c>
      <c r="B27" s="32">
        <f t="shared" si="17"/>
        <v>47271</v>
      </c>
      <c r="C27" s="14">
        <f t="shared" si="1"/>
        <v>0</v>
      </c>
      <c r="D27" s="32">
        <f t="shared" si="10"/>
        <v>40764</v>
      </c>
      <c r="E27" s="14">
        <f t="shared" si="2"/>
        <v>0</v>
      </c>
      <c r="F27" s="32">
        <f t="shared" si="11"/>
        <v>21824</v>
      </c>
      <c r="G27" s="14">
        <f t="shared" si="3"/>
        <v>0</v>
      </c>
      <c r="H27" s="32">
        <f t="shared" si="12"/>
        <v>256407</v>
      </c>
      <c r="I27" s="14">
        <f t="shared" si="4"/>
        <v>0</v>
      </c>
      <c r="J27" s="32">
        <f t="shared" si="13"/>
        <v>322513</v>
      </c>
      <c r="K27" s="14">
        <f t="shared" si="5"/>
        <v>0</v>
      </c>
      <c r="L27" s="32">
        <f t="shared" si="14"/>
        <v>26291</v>
      </c>
      <c r="M27" s="14">
        <f t="shared" si="6"/>
        <v>0</v>
      </c>
      <c r="N27" s="32">
        <f t="shared" si="15"/>
        <v>226161</v>
      </c>
      <c r="O27" s="14">
        <f t="shared" si="7"/>
        <v>0</v>
      </c>
      <c r="P27" s="32">
        <v>159014</v>
      </c>
      <c r="Q27" s="14">
        <f t="shared" si="0"/>
        <v>0</v>
      </c>
      <c r="R27" s="1">
        <v>55047</v>
      </c>
      <c r="S27" s="14">
        <f t="shared" si="9"/>
        <v>0</v>
      </c>
      <c r="T27" s="32">
        <f t="shared" si="16"/>
        <v>4019</v>
      </c>
      <c r="U27" s="14">
        <f t="shared" si="8"/>
        <v>0</v>
      </c>
    </row>
    <row r="28" spans="1:23" ht="13.5" thickBot="1" x14ac:dyDescent="0.25">
      <c r="A28" s="9">
        <v>44768</v>
      </c>
      <c r="B28" s="32">
        <f t="shared" si="17"/>
        <v>47271</v>
      </c>
      <c r="C28" s="14">
        <f t="shared" si="1"/>
        <v>0</v>
      </c>
      <c r="D28" s="32">
        <f t="shared" si="10"/>
        <v>40764</v>
      </c>
      <c r="E28" s="14">
        <f t="shared" si="2"/>
        <v>0</v>
      </c>
      <c r="F28" s="32">
        <f t="shared" si="11"/>
        <v>21824</v>
      </c>
      <c r="G28" s="14">
        <f t="shared" si="3"/>
        <v>0</v>
      </c>
      <c r="H28" s="32">
        <f t="shared" si="12"/>
        <v>256407</v>
      </c>
      <c r="I28" s="14">
        <f t="shared" si="4"/>
        <v>0</v>
      </c>
      <c r="J28" s="32">
        <f t="shared" si="13"/>
        <v>322513</v>
      </c>
      <c r="K28" s="14">
        <f t="shared" si="5"/>
        <v>0</v>
      </c>
      <c r="L28" s="32">
        <f t="shared" si="14"/>
        <v>26291</v>
      </c>
      <c r="M28" s="14">
        <f t="shared" si="6"/>
        <v>0</v>
      </c>
      <c r="N28" s="32">
        <f t="shared" si="15"/>
        <v>226161</v>
      </c>
      <c r="O28" s="14">
        <f t="shared" si="7"/>
        <v>0</v>
      </c>
      <c r="P28" s="32">
        <v>159014</v>
      </c>
      <c r="Q28" s="14">
        <f t="shared" si="0"/>
        <v>0</v>
      </c>
      <c r="R28" s="1">
        <v>55047</v>
      </c>
      <c r="S28" s="15">
        <f t="shared" si="9"/>
        <v>0</v>
      </c>
      <c r="T28" s="32">
        <f t="shared" si="16"/>
        <v>4019</v>
      </c>
      <c r="U28" s="14">
        <f t="shared" si="8"/>
        <v>0</v>
      </c>
    </row>
    <row r="29" spans="1:23" ht="13.5" thickBot="1" x14ac:dyDescent="0.25">
      <c r="A29" s="9">
        <v>44769</v>
      </c>
      <c r="B29" s="32">
        <f t="shared" si="17"/>
        <v>47271</v>
      </c>
      <c r="C29" s="14">
        <f t="shared" si="1"/>
        <v>0</v>
      </c>
      <c r="D29" s="32">
        <f t="shared" si="10"/>
        <v>40764</v>
      </c>
      <c r="E29" s="14">
        <f t="shared" si="2"/>
        <v>0</v>
      </c>
      <c r="F29" s="32">
        <f t="shared" si="11"/>
        <v>21824</v>
      </c>
      <c r="G29" s="14">
        <f t="shared" si="3"/>
        <v>0</v>
      </c>
      <c r="H29" s="32">
        <f t="shared" si="12"/>
        <v>256407</v>
      </c>
      <c r="I29" s="14">
        <f t="shared" si="4"/>
        <v>0</v>
      </c>
      <c r="J29" s="32">
        <f t="shared" si="13"/>
        <v>322513</v>
      </c>
      <c r="K29" s="14">
        <f t="shared" si="5"/>
        <v>0</v>
      </c>
      <c r="L29" s="32">
        <f t="shared" si="14"/>
        <v>26291</v>
      </c>
      <c r="M29" s="14">
        <f t="shared" si="6"/>
        <v>0</v>
      </c>
      <c r="N29" s="32">
        <f t="shared" si="15"/>
        <v>226161</v>
      </c>
      <c r="O29" s="14">
        <f t="shared" si="7"/>
        <v>0</v>
      </c>
      <c r="P29" s="32">
        <v>159014</v>
      </c>
      <c r="Q29" s="14">
        <f t="shared" si="0"/>
        <v>0</v>
      </c>
      <c r="R29" s="1">
        <v>55047</v>
      </c>
      <c r="S29" s="14">
        <f t="shared" si="9"/>
        <v>0</v>
      </c>
      <c r="T29" s="32">
        <f t="shared" si="16"/>
        <v>4019</v>
      </c>
      <c r="U29" s="14">
        <f t="shared" si="8"/>
        <v>0</v>
      </c>
    </row>
    <row r="30" spans="1:23" ht="13.5" thickBot="1" x14ac:dyDescent="0.25">
      <c r="A30" s="9">
        <v>44770</v>
      </c>
      <c r="B30" s="32">
        <f t="shared" si="17"/>
        <v>47271</v>
      </c>
      <c r="C30" s="14">
        <f t="shared" si="1"/>
        <v>0</v>
      </c>
      <c r="D30" s="32">
        <f t="shared" si="10"/>
        <v>40764</v>
      </c>
      <c r="E30" s="14">
        <f t="shared" si="2"/>
        <v>0</v>
      </c>
      <c r="F30" s="32">
        <f t="shared" si="11"/>
        <v>21824</v>
      </c>
      <c r="G30" s="14">
        <f t="shared" si="3"/>
        <v>0</v>
      </c>
      <c r="H30" s="32">
        <f t="shared" si="12"/>
        <v>256407</v>
      </c>
      <c r="I30" s="14">
        <f t="shared" si="4"/>
        <v>0</v>
      </c>
      <c r="J30" s="32">
        <f t="shared" si="13"/>
        <v>322513</v>
      </c>
      <c r="K30" s="14">
        <f t="shared" si="5"/>
        <v>0</v>
      </c>
      <c r="L30" s="32">
        <f t="shared" si="14"/>
        <v>26291</v>
      </c>
      <c r="M30" s="14">
        <f t="shared" si="6"/>
        <v>0</v>
      </c>
      <c r="N30" s="32">
        <f t="shared" si="15"/>
        <v>226161</v>
      </c>
      <c r="O30" s="14">
        <f t="shared" si="7"/>
        <v>0</v>
      </c>
      <c r="P30" s="32">
        <v>159014</v>
      </c>
      <c r="Q30" s="14">
        <f t="shared" si="0"/>
        <v>0</v>
      </c>
      <c r="R30" s="1">
        <v>55047</v>
      </c>
      <c r="S30" s="14">
        <f t="shared" si="9"/>
        <v>0</v>
      </c>
      <c r="T30" s="32">
        <f t="shared" si="16"/>
        <v>4019</v>
      </c>
      <c r="U30" s="14">
        <f t="shared" si="8"/>
        <v>0</v>
      </c>
    </row>
    <row r="31" spans="1:23" ht="13.5" thickBot="1" x14ac:dyDescent="0.25">
      <c r="A31" s="9">
        <v>44771</v>
      </c>
      <c r="B31" s="32">
        <f t="shared" si="17"/>
        <v>47271</v>
      </c>
      <c r="C31" s="14">
        <f t="shared" si="1"/>
        <v>0</v>
      </c>
      <c r="D31" s="32">
        <f t="shared" si="10"/>
        <v>40764</v>
      </c>
      <c r="E31" s="14">
        <f t="shared" si="2"/>
        <v>0</v>
      </c>
      <c r="F31" s="32">
        <f t="shared" si="11"/>
        <v>21824</v>
      </c>
      <c r="G31" s="14">
        <f t="shared" si="3"/>
        <v>0</v>
      </c>
      <c r="H31" s="32">
        <f t="shared" si="12"/>
        <v>256407</v>
      </c>
      <c r="I31" s="14">
        <f t="shared" si="4"/>
        <v>0</v>
      </c>
      <c r="J31" s="32">
        <f t="shared" si="13"/>
        <v>322513</v>
      </c>
      <c r="K31" s="14">
        <f t="shared" si="5"/>
        <v>0</v>
      </c>
      <c r="L31" s="32">
        <f t="shared" si="14"/>
        <v>26291</v>
      </c>
      <c r="M31" s="14">
        <f t="shared" si="6"/>
        <v>0</v>
      </c>
      <c r="N31" s="32">
        <f t="shared" si="15"/>
        <v>226161</v>
      </c>
      <c r="O31" s="14">
        <f t="shared" si="7"/>
        <v>0</v>
      </c>
      <c r="P31" s="32">
        <v>159014</v>
      </c>
      <c r="Q31" s="14">
        <f t="shared" si="0"/>
        <v>0</v>
      </c>
      <c r="R31" s="1">
        <v>55047</v>
      </c>
      <c r="S31" s="14">
        <v>0</v>
      </c>
      <c r="T31" s="32">
        <f t="shared" si="16"/>
        <v>4019</v>
      </c>
      <c r="U31" s="14">
        <f t="shared" si="8"/>
        <v>0</v>
      </c>
    </row>
    <row r="32" spans="1:23" ht="13.5" thickBot="1" x14ac:dyDescent="0.25">
      <c r="A32" s="9">
        <v>44772</v>
      </c>
      <c r="B32" s="32">
        <f t="shared" si="17"/>
        <v>47271</v>
      </c>
      <c r="C32" s="14">
        <f t="shared" si="1"/>
        <v>0</v>
      </c>
      <c r="D32" s="32">
        <f t="shared" si="10"/>
        <v>40764</v>
      </c>
      <c r="E32" s="14">
        <f t="shared" si="2"/>
        <v>0</v>
      </c>
      <c r="F32" s="32">
        <f t="shared" si="11"/>
        <v>21824</v>
      </c>
      <c r="G32" s="14">
        <f t="shared" si="3"/>
        <v>0</v>
      </c>
      <c r="H32" s="32">
        <f t="shared" si="12"/>
        <v>256407</v>
      </c>
      <c r="I32" s="14">
        <f t="shared" si="4"/>
        <v>0</v>
      </c>
      <c r="J32" s="32">
        <f t="shared" si="13"/>
        <v>322513</v>
      </c>
      <c r="K32" s="14">
        <f t="shared" si="5"/>
        <v>0</v>
      </c>
      <c r="L32" s="32">
        <f t="shared" si="14"/>
        <v>26291</v>
      </c>
      <c r="M32" s="14">
        <f t="shared" si="6"/>
        <v>0</v>
      </c>
      <c r="N32" s="32">
        <f t="shared" si="15"/>
        <v>226161</v>
      </c>
      <c r="O32" s="14">
        <f t="shared" si="7"/>
        <v>0</v>
      </c>
      <c r="P32" s="32">
        <v>159014</v>
      </c>
      <c r="Q32" s="14">
        <f t="shared" si="0"/>
        <v>0</v>
      </c>
      <c r="R32" s="1">
        <v>55047</v>
      </c>
      <c r="S32" s="14">
        <f t="shared" si="9"/>
        <v>0</v>
      </c>
      <c r="T32" s="32">
        <f t="shared" si="16"/>
        <v>4019</v>
      </c>
      <c r="U32" s="14">
        <f t="shared" si="8"/>
        <v>0</v>
      </c>
    </row>
    <row r="33" spans="1:21" ht="13.5" thickBot="1" x14ac:dyDescent="0.25">
      <c r="A33" s="9">
        <v>44773</v>
      </c>
      <c r="B33" s="32">
        <f t="shared" si="17"/>
        <v>47271</v>
      </c>
      <c r="C33" s="14">
        <f t="shared" si="1"/>
        <v>0</v>
      </c>
      <c r="D33" s="32">
        <f t="shared" si="10"/>
        <v>40764</v>
      </c>
      <c r="E33" s="14">
        <f t="shared" si="2"/>
        <v>0</v>
      </c>
      <c r="F33" s="32">
        <f t="shared" si="11"/>
        <v>21824</v>
      </c>
      <c r="G33" s="14">
        <f t="shared" si="3"/>
        <v>0</v>
      </c>
      <c r="H33" s="32">
        <f t="shared" si="12"/>
        <v>256407</v>
      </c>
      <c r="I33" s="14">
        <f t="shared" si="4"/>
        <v>0</v>
      </c>
      <c r="J33" s="32">
        <f t="shared" si="13"/>
        <v>322513</v>
      </c>
      <c r="K33" s="14">
        <f t="shared" si="5"/>
        <v>0</v>
      </c>
      <c r="L33" s="32">
        <f t="shared" si="14"/>
        <v>26291</v>
      </c>
      <c r="M33" s="14">
        <f t="shared" si="6"/>
        <v>0</v>
      </c>
      <c r="N33" s="32">
        <f t="shared" si="15"/>
        <v>226161</v>
      </c>
      <c r="O33" s="14">
        <f t="shared" si="7"/>
        <v>0</v>
      </c>
      <c r="P33" s="32">
        <v>159014</v>
      </c>
      <c r="Q33" s="14">
        <f t="shared" si="0"/>
        <v>0</v>
      </c>
      <c r="R33" s="1">
        <v>55047</v>
      </c>
      <c r="S33" s="14">
        <f>SUM(S3:S32)</f>
        <v>0</v>
      </c>
      <c r="T33" s="32">
        <f t="shared" si="16"/>
        <v>4019</v>
      </c>
      <c r="U33" s="14">
        <f t="shared" si="8"/>
        <v>0</v>
      </c>
    </row>
    <row r="34" spans="1:21" ht="13.5" thickBot="1" x14ac:dyDescent="0.25">
      <c r="A34" s="14" t="s">
        <v>23</v>
      </c>
      <c r="B34" s="14"/>
      <c r="C34" s="14">
        <v>160</v>
      </c>
      <c r="D34" s="14"/>
      <c r="E34" s="14">
        <v>480</v>
      </c>
      <c r="F34" s="14"/>
      <c r="G34" s="14">
        <f>SUM(G4:G33)</f>
        <v>560</v>
      </c>
      <c r="H34" s="14"/>
      <c r="I34" s="14">
        <v>46</v>
      </c>
      <c r="J34" s="14"/>
      <c r="K34" s="14">
        <v>227</v>
      </c>
      <c r="L34" s="14"/>
      <c r="M34" s="14">
        <v>120</v>
      </c>
      <c r="N34" s="14"/>
      <c r="O34" s="14">
        <v>3</v>
      </c>
      <c r="P34" s="14"/>
      <c r="Q34" s="14">
        <v>107</v>
      </c>
      <c r="R34" s="14"/>
      <c r="S34" s="14">
        <f>SUM(S4:S33)</f>
        <v>0</v>
      </c>
      <c r="T34" s="14"/>
      <c r="U34" s="14">
        <v>160</v>
      </c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opLeftCell="I1" zoomScaleNormal="100" zoomScaleSheetLayoutView="110" workbookViewId="0">
      <pane ySplit="1" topLeftCell="A2" activePane="bottomLeft" state="frozen"/>
      <selection pane="bottomLeft" activeCell="Z11" sqref="Z11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44742</v>
      </c>
      <c r="B2" s="38"/>
      <c r="C2" s="144">
        <v>19799</v>
      </c>
      <c r="D2" s="38"/>
      <c r="E2" s="145">
        <v>31740258</v>
      </c>
      <c r="F2" s="38"/>
      <c r="G2" s="146">
        <v>1234650</v>
      </c>
      <c r="H2" s="38"/>
      <c r="I2" s="147"/>
      <c r="J2" s="145">
        <v>74032</v>
      </c>
      <c r="K2" s="38"/>
      <c r="L2" s="148">
        <v>296483</v>
      </c>
      <c r="M2" s="38"/>
      <c r="N2" s="145">
        <v>6864831</v>
      </c>
      <c r="O2" s="38"/>
      <c r="P2" s="148">
        <v>7034662</v>
      </c>
      <c r="Q2" s="38"/>
      <c r="R2" s="145">
        <v>21540253</v>
      </c>
      <c r="S2" s="38"/>
      <c r="T2" s="145">
        <v>0</v>
      </c>
      <c r="U2" s="149"/>
      <c r="V2" s="145">
        <v>9504597</v>
      </c>
      <c r="W2" s="38"/>
      <c r="X2" s="19">
        <f t="shared" ref="X2" si="0">K2+M2+O2+Q2+S2+U2+W2</f>
        <v>0</v>
      </c>
      <c r="Y2" s="150">
        <f t="shared" ref="Y2" si="1">I2-X2</f>
        <v>0</v>
      </c>
      <c r="Z2" s="3">
        <f t="shared" ref="Z2" si="2">(0.93352*(W2+S2)+0.5568*(Q2+O2))*0.26</f>
        <v>0</v>
      </c>
      <c r="AA2" s="3"/>
    </row>
    <row r="3" spans="1:27" ht="16.5" thickBot="1" x14ac:dyDescent="0.3">
      <c r="A3" s="9">
        <v>44743</v>
      </c>
      <c r="B3" s="38">
        <v>110</v>
      </c>
      <c r="C3" s="144">
        <v>19803</v>
      </c>
      <c r="D3" s="38">
        <f>IF((C3-C2)&lt;0,"0",(C3-C2))*160</f>
        <v>640</v>
      </c>
      <c r="E3" s="145">
        <v>31766823</v>
      </c>
      <c r="F3" s="38">
        <f>IF((E3-E2)&lt;0,"0",(E3-E2))</f>
        <v>26565</v>
      </c>
      <c r="G3" s="146">
        <v>1300778</v>
      </c>
      <c r="H3" s="38">
        <f>IF((G3-G2)&lt;0,"0",(G3-G2))</f>
        <v>66128</v>
      </c>
      <c r="I3" s="19">
        <f>F3+H3</f>
        <v>92693</v>
      </c>
      <c r="J3" s="145">
        <v>81244</v>
      </c>
      <c r="K3" s="38">
        <f>(IF((J3-J2)&lt;L90,"0",(J3-J2)))*2</f>
        <v>14424</v>
      </c>
      <c r="L3" s="148">
        <v>304618</v>
      </c>
      <c r="M3" s="38">
        <f>IF((L3-L2)&lt;0,"0",(L3-L2))</f>
        <v>8135</v>
      </c>
      <c r="N3" s="145">
        <v>6873928</v>
      </c>
      <c r="O3" s="38">
        <f>(IF((N3-N2)&lt;P90,"0",(N3-N2)))*2</f>
        <v>18194</v>
      </c>
      <c r="P3" s="148">
        <v>7051208</v>
      </c>
      <c r="Q3" s="38">
        <f>IF((P3-P2)&lt;0,"0",(P3-P2))</f>
        <v>16546</v>
      </c>
      <c r="R3" s="145">
        <v>21553261</v>
      </c>
      <c r="S3" s="38">
        <f>IF((R3-R2)&lt;0,"0",(R3-R2))</f>
        <v>13008</v>
      </c>
      <c r="T3" s="145">
        <v>0</v>
      </c>
      <c r="U3" s="149"/>
      <c r="V3" s="145">
        <v>9518960</v>
      </c>
      <c r="W3" s="38">
        <f>IF((V3-V2)&lt;0,"0",(V3-V2))</f>
        <v>14363</v>
      </c>
      <c r="X3" s="19">
        <f>K3+M3+O3+Q3+S3+U3+W3</f>
        <v>84670</v>
      </c>
      <c r="Y3" s="150">
        <f>I3-X3</f>
        <v>8023</v>
      </c>
      <c r="Z3" s="3">
        <f>(0.93352*(W3+S3)+0.5568*(Q3+O3))*0.26</f>
        <v>11672.598059200001</v>
      </c>
      <c r="AA3" s="3">
        <f>SUM(Z1:Z3)</f>
        <v>11672.598059200001</v>
      </c>
    </row>
    <row r="4" spans="1:27" ht="16.5" thickBot="1" x14ac:dyDescent="0.3">
      <c r="A4" s="9">
        <v>44744</v>
      </c>
      <c r="B4" s="38">
        <v>113</v>
      </c>
      <c r="C4" s="144">
        <v>19807</v>
      </c>
      <c r="D4" s="38">
        <f t="shared" ref="D4:D29" si="3">IF((C4-C3)&lt;0,"0",(C4-C3))*160</f>
        <v>640</v>
      </c>
      <c r="E4" s="145">
        <v>31786309</v>
      </c>
      <c r="F4" s="38">
        <f t="shared" ref="F4:F29" si="4">IF((E4-E3)&lt;0,"0",(E4-E3))</f>
        <v>19486</v>
      </c>
      <c r="G4" s="146">
        <v>1349728</v>
      </c>
      <c r="H4" s="38">
        <f t="shared" ref="H4:H33" si="5">IF((G4-G3)&lt;0,"0",(G4-G3))</f>
        <v>48950</v>
      </c>
      <c r="I4" s="147">
        <f t="shared" ref="I4:I30" si="6">F4+H4</f>
        <v>68436</v>
      </c>
      <c r="J4" s="145">
        <v>86281</v>
      </c>
      <c r="K4" s="38">
        <f>(IF((J4-J3)&lt;L92,"0",(J4-J3)))*2</f>
        <v>10074</v>
      </c>
      <c r="L4" s="148">
        <v>310404</v>
      </c>
      <c r="M4" s="38">
        <f t="shared" ref="M4:M29" si="7">IF((L4-L3)&lt;0,"0",(L4-L3))</f>
        <v>5786</v>
      </c>
      <c r="N4" s="145">
        <v>6880688</v>
      </c>
      <c r="O4" s="38">
        <f>(IF((N4-N3)&lt;P92,"0",(N4-N3)))*2</f>
        <v>13520</v>
      </c>
      <c r="P4" s="148">
        <v>7063521</v>
      </c>
      <c r="Q4" s="38">
        <f t="shared" ref="Q4:Q29" si="8">IF((P4-P3)&lt;0,"0",(P4-P3))</f>
        <v>12313</v>
      </c>
      <c r="R4" s="145">
        <v>21562097</v>
      </c>
      <c r="S4" s="38">
        <f t="shared" ref="S4:S29" si="9">IF((R4-R3)&lt;0,"0",(R4-R3))</f>
        <v>8836</v>
      </c>
      <c r="T4" s="145">
        <v>0</v>
      </c>
      <c r="U4" s="149"/>
      <c r="V4" s="145">
        <v>9529580</v>
      </c>
      <c r="W4" s="38">
        <f t="shared" ref="W4:W29" si="10">IF((V4-V3)&lt;0,"0",(V4-V3))</f>
        <v>10620</v>
      </c>
      <c r="X4" s="19">
        <f t="shared" ref="X4:X30" si="11">K4+M4+O4+Q4+S4+U4+W4</f>
        <v>61149</v>
      </c>
      <c r="Y4" s="150">
        <f t="shared" ref="Y4:Y30" si="12">I4-X4</f>
        <v>7287</v>
      </c>
      <c r="Z4" s="3">
        <f t="shared" ref="Z4:Z30" si="13">(0.93352*(W4+S4)+0.5568*(Q4+O4))*0.26</f>
        <v>8462.0586751999999</v>
      </c>
      <c r="AA4" s="3">
        <f>SUM(Z1:Z4)</f>
        <v>20134.6567344</v>
      </c>
    </row>
    <row r="5" spans="1:27" ht="16.5" thickBot="1" x14ac:dyDescent="0.3">
      <c r="A5" s="9">
        <v>44745</v>
      </c>
      <c r="B5" s="38">
        <v>168</v>
      </c>
      <c r="C5" s="144">
        <v>19812</v>
      </c>
      <c r="D5" s="38">
        <f t="shared" si="3"/>
        <v>800</v>
      </c>
      <c r="E5" s="145">
        <v>31807866</v>
      </c>
      <c r="F5" s="38">
        <f t="shared" si="4"/>
        <v>21557</v>
      </c>
      <c r="G5" s="146">
        <v>1401816</v>
      </c>
      <c r="H5" s="38">
        <f t="shared" si="5"/>
        <v>52088</v>
      </c>
      <c r="I5" s="147">
        <f t="shared" si="6"/>
        <v>73645</v>
      </c>
      <c r="J5" s="145">
        <v>91916</v>
      </c>
      <c r="K5" s="38">
        <f t="shared" ref="K5:K33" si="14">(IF((J5-J4)&lt;0,"0",(J5-J4)))*2</f>
        <v>11270</v>
      </c>
      <c r="L5" s="148">
        <v>317027</v>
      </c>
      <c r="M5" s="38">
        <f t="shared" si="7"/>
        <v>6623</v>
      </c>
      <c r="N5" s="145">
        <v>6888065</v>
      </c>
      <c r="O5" s="38">
        <f t="shared" ref="O5:O29" si="15">(IF((N5-N4)&lt;0,"0",(N5-N4)))*2</f>
        <v>14754</v>
      </c>
      <c r="P5" s="148">
        <v>7076994</v>
      </c>
      <c r="Q5" s="38">
        <f t="shared" si="8"/>
        <v>13473</v>
      </c>
      <c r="R5" s="145">
        <v>21572552</v>
      </c>
      <c r="S5" s="38">
        <f t="shared" si="9"/>
        <v>10455</v>
      </c>
      <c r="T5" s="145">
        <v>0</v>
      </c>
      <c r="U5" s="149"/>
      <c r="V5" s="145">
        <v>9540555</v>
      </c>
      <c r="W5" s="38">
        <f t="shared" si="10"/>
        <v>10975</v>
      </c>
      <c r="X5" s="19">
        <f t="shared" si="11"/>
        <v>67550</v>
      </c>
      <c r="Y5" s="150">
        <f t="shared" si="12"/>
        <v>6095</v>
      </c>
      <c r="Z5" s="3">
        <f t="shared" si="13"/>
        <v>9287.7530720000013</v>
      </c>
      <c r="AA5" s="3">
        <f>SUM(Z1:Z5)</f>
        <v>29422.409806399999</v>
      </c>
    </row>
    <row r="6" spans="1:27" ht="16.5" thickBot="1" x14ac:dyDescent="0.3">
      <c r="A6" s="9">
        <v>44746</v>
      </c>
      <c r="B6" s="38">
        <v>190</v>
      </c>
      <c r="C6" s="144">
        <v>19817</v>
      </c>
      <c r="D6" s="38">
        <f t="shared" si="3"/>
        <v>800</v>
      </c>
      <c r="E6" s="145">
        <v>31834999</v>
      </c>
      <c r="F6" s="38">
        <f t="shared" si="4"/>
        <v>27133</v>
      </c>
      <c r="G6" s="146">
        <v>1465491</v>
      </c>
      <c r="H6" s="38">
        <f t="shared" si="5"/>
        <v>63675</v>
      </c>
      <c r="I6" s="147">
        <f t="shared" si="6"/>
        <v>90808</v>
      </c>
      <c r="J6" s="145">
        <v>98816</v>
      </c>
      <c r="K6" s="38">
        <f t="shared" si="14"/>
        <v>13800</v>
      </c>
      <c r="L6" s="148">
        <v>325446</v>
      </c>
      <c r="M6" s="38">
        <f t="shared" si="7"/>
        <v>8419</v>
      </c>
      <c r="N6" s="145">
        <v>6897318</v>
      </c>
      <c r="O6" s="38">
        <f t="shared" si="15"/>
        <v>18506</v>
      </c>
      <c r="P6" s="148">
        <v>7094122</v>
      </c>
      <c r="Q6" s="38">
        <f t="shared" si="8"/>
        <v>17128</v>
      </c>
      <c r="R6" s="145">
        <v>21584400</v>
      </c>
      <c r="S6" s="38">
        <f t="shared" si="9"/>
        <v>11848</v>
      </c>
      <c r="T6" s="145">
        <v>0</v>
      </c>
      <c r="U6" s="149"/>
      <c r="V6" s="145">
        <v>9553776</v>
      </c>
      <c r="W6" s="38">
        <f t="shared" si="10"/>
        <v>13221</v>
      </c>
      <c r="X6" s="19">
        <f t="shared" si="11"/>
        <v>82922</v>
      </c>
      <c r="Y6" s="150">
        <f t="shared" si="12"/>
        <v>7886</v>
      </c>
      <c r="Z6" s="3">
        <f t="shared" si="13"/>
        <v>11243.2902608</v>
      </c>
      <c r="AA6" s="3">
        <f>SUM(Z1:Z6)</f>
        <v>40665.700067199999</v>
      </c>
    </row>
    <row r="7" spans="1:27" ht="16.5" thickBot="1" x14ac:dyDescent="0.3">
      <c r="A7" s="9">
        <v>44747</v>
      </c>
      <c r="B7" s="38">
        <v>185</v>
      </c>
      <c r="C7" s="144">
        <v>19821</v>
      </c>
      <c r="D7" s="38">
        <f t="shared" si="3"/>
        <v>640</v>
      </c>
      <c r="E7" s="145">
        <v>31854297</v>
      </c>
      <c r="F7" s="38">
        <f t="shared" si="4"/>
        <v>19298</v>
      </c>
      <c r="G7" s="146">
        <v>1511963</v>
      </c>
      <c r="H7" s="38">
        <f t="shared" si="5"/>
        <v>46472</v>
      </c>
      <c r="I7" s="147">
        <f t="shared" si="6"/>
        <v>65770</v>
      </c>
      <c r="J7" s="145">
        <v>103892</v>
      </c>
      <c r="K7" s="38">
        <f t="shared" si="14"/>
        <v>10152</v>
      </c>
      <c r="L7" s="148">
        <v>331351</v>
      </c>
      <c r="M7" s="38">
        <f t="shared" si="7"/>
        <v>5905</v>
      </c>
      <c r="N7" s="145">
        <v>6903923</v>
      </c>
      <c r="O7" s="38">
        <f t="shared" si="15"/>
        <v>13210</v>
      </c>
      <c r="P7" s="148">
        <v>7106646</v>
      </c>
      <c r="Q7" s="38">
        <f t="shared" si="8"/>
        <v>12524</v>
      </c>
      <c r="R7" s="145">
        <v>21593042</v>
      </c>
      <c r="S7" s="38">
        <f t="shared" si="9"/>
        <v>8642</v>
      </c>
      <c r="T7" s="145">
        <v>0</v>
      </c>
      <c r="U7" s="149"/>
      <c r="V7" s="145">
        <v>9563406</v>
      </c>
      <c r="W7" s="38">
        <f t="shared" si="10"/>
        <v>9630</v>
      </c>
      <c r="X7" s="19">
        <f t="shared" si="11"/>
        <v>60063</v>
      </c>
      <c r="Y7" s="150">
        <f t="shared" si="12"/>
        <v>5707</v>
      </c>
      <c r="Z7" s="3">
        <f t="shared" si="13"/>
        <v>8160.3518463999999</v>
      </c>
      <c r="AA7" s="3">
        <f>SUM(Z1:Z7)</f>
        <v>48826.0519136</v>
      </c>
    </row>
    <row r="8" spans="1:27" ht="16.5" thickBot="1" x14ac:dyDescent="0.3">
      <c r="A8" s="9">
        <v>44748</v>
      </c>
      <c r="B8" s="38">
        <v>170</v>
      </c>
      <c r="C8" s="144">
        <v>19825</v>
      </c>
      <c r="D8" s="38">
        <f t="shared" si="3"/>
        <v>640</v>
      </c>
      <c r="E8" s="145">
        <v>31879985</v>
      </c>
      <c r="F8" s="38">
        <f t="shared" si="4"/>
        <v>25688</v>
      </c>
      <c r="G8" s="146">
        <v>1576043</v>
      </c>
      <c r="H8" s="38">
        <f t="shared" si="5"/>
        <v>64080</v>
      </c>
      <c r="I8" s="147">
        <f t="shared" si="6"/>
        <v>89768</v>
      </c>
      <c r="J8" s="145">
        <v>110529</v>
      </c>
      <c r="K8" s="38">
        <f t="shared" si="14"/>
        <v>13274</v>
      </c>
      <c r="L8" s="148">
        <v>339009</v>
      </c>
      <c r="M8" s="38">
        <f t="shared" si="7"/>
        <v>7658</v>
      </c>
      <c r="N8" s="145">
        <v>6912838</v>
      </c>
      <c r="O8" s="38">
        <f t="shared" si="15"/>
        <v>17830</v>
      </c>
      <c r="P8" s="148">
        <v>7123063</v>
      </c>
      <c r="Q8" s="38">
        <f t="shared" si="8"/>
        <v>16417</v>
      </c>
      <c r="R8" s="145">
        <v>21605220</v>
      </c>
      <c r="S8" s="38">
        <f t="shared" si="9"/>
        <v>12178</v>
      </c>
      <c r="T8" s="145">
        <v>0</v>
      </c>
      <c r="U8" s="149"/>
      <c r="V8" s="145">
        <v>9577208</v>
      </c>
      <c r="W8" s="38">
        <f t="shared" si="10"/>
        <v>13802</v>
      </c>
      <c r="X8" s="19">
        <f t="shared" si="11"/>
        <v>81159</v>
      </c>
      <c r="Y8" s="150">
        <f t="shared" si="12"/>
        <v>8609</v>
      </c>
      <c r="Z8" s="3">
        <f t="shared" si="13"/>
        <v>11263.610592000001</v>
      </c>
      <c r="AA8" s="3">
        <f>SUM(Z1:Z8)</f>
        <v>60089.662505600005</v>
      </c>
    </row>
    <row r="9" spans="1:27" ht="16.5" thickBot="1" x14ac:dyDescent="0.3">
      <c r="A9" s="9">
        <v>44749</v>
      </c>
      <c r="B9" s="38">
        <v>180</v>
      </c>
      <c r="C9" s="144">
        <v>19829</v>
      </c>
      <c r="D9" s="38">
        <f t="shared" si="3"/>
        <v>640</v>
      </c>
      <c r="E9" s="145">
        <v>31897654</v>
      </c>
      <c r="F9" s="38">
        <f t="shared" si="4"/>
        <v>17669</v>
      </c>
      <c r="G9" s="146">
        <v>1619982</v>
      </c>
      <c r="H9" s="38">
        <f t="shared" si="5"/>
        <v>43939</v>
      </c>
      <c r="I9" s="147">
        <f t="shared" si="6"/>
        <v>61608</v>
      </c>
      <c r="J9" s="145">
        <v>110687</v>
      </c>
      <c r="K9" s="38">
        <f t="shared" si="14"/>
        <v>316</v>
      </c>
      <c r="L9" s="148">
        <v>344297</v>
      </c>
      <c r="M9" s="38">
        <f t="shared" si="7"/>
        <v>5288</v>
      </c>
      <c r="N9" s="145">
        <v>6918941</v>
      </c>
      <c r="O9" s="38">
        <f t="shared" si="15"/>
        <v>12206</v>
      </c>
      <c r="P9" s="148">
        <v>7133186</v>
      </c>
      <c r="Q9" s="38">
        <f t="shared" si="8"/>
        <v>10123</v>
      </c>
      <c r="R9" s="145">
        <v>21613960</v>
      </c>
      <c r="S9" s="38">
        <f t="shared" si="9"/>
        <v>8740</v>
      </c>
      <c r="T9" s="145">
        <v>0</v>
      </c>
      <c r="U9" s="149"/>
      <c r="V9" s="145">
        <v>9686656</v>
      </c>
      <c r="W9" s="38">
        <f t="shared" si="10"/>
        <v>109448</v>
      </c>
      <c r="X9" s="19">
        <f t="shared" si="11"/>
        <v>146121</v>
      </c>
      <c r="Y9" s="150">
        <f t="shared" si="12"/>
        <v>-84513</v>
      </c>
      <c r="Z9" s="3">
        <f t="shared" si="13"/>
        <v>31918.548729599999</v>
      </c>
      <c r="AA9" s="3">
        <f>SUM(Z1:Z9)</f>
        <v>92008.211235199997</v>
      </c>
    </row>
    <row r="10" spans="1:27" ht="16.5" thickBot="1" x14ac:dyDescent="0.3">
      <c r="A10" s="9">
        <v>44750</v>
      </c>
      <c r="B10" s="38">
        <v>185</v>
      </c>
      <c r="C10" s="144">
        <v>19834</v>
      </c>
      <c r="D10" s="38">
        <f t="shared" si="3"/>
        <v>800</v>
      </c>
      <c r="E10" s="145">
        <v>31919757</v>
      </c>
      <c r="F10" s="38">
        <f t="shared" si="4"/>
        <v>22103</v>
      </c>
      <c r="G10" s="146">
        <v>1673058</v>
      </c>
      <c r="H10" s="38">
        <f t="shared" si="5"/>
        <v>53076</v>
      </c>
      <c r="I10" s="147">
        <f t="shared" si="6"/>
        <v>75179</v>
      </c>
      <c r="J10" s="145">
        <v>120451</v>
      </c>
      <c r="K10" s="38">
        <f t="shared" si="14"/>
        <v>19528</v>
      </c>
      <c r="L10" s="148">
        <v>351052</v>
      </c>
      <c r="M10" s="38">
        <f t="shared" si="7"/>
        <v>6755</v>
      </c>
      <c r="N10" s="145">
        <v>6926517</v>
      </c>
      <c r="O10" s="38">
        <f t="shared" si="15"/>
        <v>15152</v>
      </c>
      <c r="P10" s="148">
        <v>7147459</v>
      </c>
      <c r="Q10" s="38">
        <f t="shared" si="8"/>
        <v>14273</v>
      </c>
      <c r="R10" s="145">
        <v>21624751</v>
      </c>
      <c r="S10" s="38">
        <f t="shared" si="9"/>
        <v>10791</v>
      </c>
      <c r="T10" s="145">
        <v>0</v>
      </c>
      <c r="U10" s="149"/>
      <c r="V10" s="145">
        <v>9697806</v>
      </c>
      <c r="W10" s="38">
        <f t="shared" si="10"/>
        <v>11150</v>
      </c>
      <c r="X10" s="19">
        <f t="shared" si="11"/>
        <v>77649</v>
      </c>
      <c r="Y10" s="150">
        <f t="shared" si="12"/>
        <v>-2470</v>
      </c>
      <c r="Z10" s="3">
        <f t="shared" si="13"/>
        <v>9585.2126031999996</v>
      </c>
      <c r="AA10" s="3">
        <f>SUM(Z1:Z10)</f>
        <v>101593.42383839999</v>
      </c>
    </row>
    <row r="11" spans="1:27" ht="15.75" customHeight="1" thickBot="1" x14ac:dyDescent="0.3">
      <c r="A11" s="9">
        <v>44751</v>
      </c>
      <c r="B11" s="38">
        <v>146</v>
      </c>
      <c r="C11" s="144">
        <v>19839</v>
      </c>
      <c r="D11" s="38">
        <f t="shared" si="3"/>
        <v>800</v>
      </c>
      <c r="E11" s="145">
        <v>31943664</v>
      </c>
      <c r="F11" s="38">
        <f t="shared" si="4"/>
        <v>23907</v>
      </c>
      <c r="G11" s="146">
        <v>1729257</v>
      </c>
      <c r="H11" s="38">
        <f t="shared" si="5"/>
        <v>56199</v>
      </c>
      <c r="I11" s="147">
        <f t="shared" si="6"/>
        <v>80106</v>
      </c>
      <c r="J11" s="145">
        <v>125972</v>
      </c>
      <c r="K11" s="38">
        <f t="shared" si="14"/>
        <v>11042</v>
      </c>
      <c r="L11" s="148">
        <v>358285</v>
      </c>
      <c r="M11" s="38">
        <f t="shared" si="7"/>
        <v>7233</v>
      </c>
      <c r="N11" s="145">
        <v>6934742</v>
      </c>
      <c r="O11" s="38">
        <f t="shared" si="15"/>
        <v>16450</v>
      </c>
      <c r="P11" s="148">
        <v>7162208</v>
      </c>
      <c r="Q11" s="38">
        <f t="shared" si="8"/>
        <v>14749</v>
      </c>
      <c r="R11" s="145">
        <v>21635997</v>
      </c>
      <c r="S11" s="38">
        <f t="shared" si="9"/>
        <v>11246</v>
      </c>
      <c r="T11" s="145">
        <v>0</v>
      </c>
      <c r="U11" s="149"/>
      <c r="V11" s="145">
        <v>9709562</v>
      </c>
      <c r="W11" s="38">
        <f t="shared" si="10"/>
        <v>11756</v>
      </c>
      <c r="X11" s="19">
        <f t="shared" si="11"/>
        <v>72476</v>
      </c>
      <c r="Y11" s="150">
        <f t="shared" si="12"/>
        <v>7630</v>
      </c>
      <c r="Z11" s="3">
        <f t="shared" si="13"/>
        <v>10099.551862400001</v>
      </c>
      <c r="AA11" s="3">
        <f>SUM(Z1:Z11)</f>
        <v>111692.97570079999</v>
      </c>
    </row>
    <row r="12" spans="1:27" ht="16.5" thickBot="1" x14ac:dyDescent="0.3">
      <c r="A12" s="9">
        <v>44752</v>
      </c>
      <c r="B12" s="38"/>
      <c r="C12" s="144">
        <f t="shared" ref="C12:C33" si="16">C11</f>
        <v>19839</v>
      </c>
      <c r="D12" s="38">
        <f t="shared" si="3"/>
        <v>0</v>
      </c>
      <c r="E12" s="145"/>
      <c r="F12" s="38" t="str">
        <f t="shared" si="4"/>
        <v>0</v>
      </c>
      <c r="G12" s="146">
        <f t="shared" ref="G12:G33" si="17">G11</f>
        <v>1729257</v>
      </c>
      <c r="H12" s="38">
        <f t="shared" si="5"/>
        <v>0</v>
      </c>
      <c r="I12" s="147">
        <f t="shared" si="6"/>
        <v>0</v>
      </c>
      <c r="J12" s="145">
        <f t="shared" ref="J12:J33" si="18">J11</f>
        <v>125972</v>
      </c>
      <c r="K12" s="38">
        <f t="shared" si="14"/>
        <v>0</v>
      </c>
      <c r="L12" s="148">
        <f t="shared" ref="L12:L33" si="19">L11</f>
        <v>358285</v>
      </c>
      <c r="M12" s="38">
        <f t="shared" si="7"/>
        <v>0</v>
      </c>
      <c r="N12" s="145">
        <f t="shared" ref="N12:N33" si="20">N11</f>
        <v>6934742</v>
      </c>
      <c r="O12" s="38">
        <f t="shared" si="15"/>
        <v>0</v>
      </c>
      <c r="P12" s="148">
        <f t="shared" ref="P12:P33" si="21">P11</f>
        <v>7162208</v>
      </c>
      <c r="Q12" s="38">
        <f t="shared" si="8"/>
        <v>0</v>
      </c>
      <c r="R12" s="145">
        <f t="shared" ref="R12:R33" si="22">R11</f>
        <v>21635997</v>
      </c>
      <c r="S12" s="38">
        <f t="shared" si="9"/>
        <v>0</v>
      </c>
      <c r="T12" s="145">
        <v>0</v>
      </c>
      <c r="U12" s="149"/>
      <c r="V12" s="145">
        <f t="shared" ref="V12:V33" si="23">V11</f>
        <v>9709562</v>
      </c>
      <c r="W12" s="38">
        <f t="shared" si="10"/>
        <v>0</v>
      </c>
      <c r="X12" s="19">
        <f t="shared" si="11"/>
        <v>0</v>
      </c>
      <c r="Y12" s="150">
        <f t="shared" si="12"/>
        <v>0</v>
      </c>
      <c r="Z12" s="3">
        <f t="shared" si="13"/>
        <v>0</v>
      </c>
      <c r="AA12" s="3">
        <f>SUM(Z1:Z12)</f>
        <v>111692.97570079999</v>
      </c>
    </row>
    <row r="13" spans="1:27" ht="16.5" thickBot="1" x14ac:dyDescent="0.3">
      <c r="A13" s="9">
        <v>44753</v>
      </c>
      <c r="B13" s="38"/>
      <c r="C13" s="144">
        <f t="shared" si="16"/>
        <v>19839</v>
      </c>
      <c r="D13" s="38">
        <f t="shared" ref="D13" si="24">IF((C13-C12)&lt;0,"0",(C13-C12))*160</f>
        <v>0</v>
      </c>
      <c r="E13" s="145"/>
      <c r="F13" s="38">
        <f t="shared" ref="F13" si="25">IF((E13-E12)&lt;0,"0",(E13-E12))</f>
        <v>0</v>
      </c>
      <c r="G13" s="146">
        <f t="shared" si="17"/>
        <v>1729257</v>
      </c>
      <c r="H13" s="38">
        <f t="shared" si="5"/>
        <v>0</v>
      </c>
      <c r="I13" s="147">
        <f t="shared" ref="I13" si="26">F13+H13</f>
        <v>0</v>
      </c>
      <c r="J13" s="145">
        <f t="shared" si="18"/>
        <v>125972</v>
      </c>
      <c r="K13" s="38">
        <f t="shared" ref="K13" si="27">(IF((J13-J12)&lt;0,"0",(J13-J12)))*2</f>
        <v>0</v>
      </c>
      <c r="L13" s="148">
        <f t="shared" si="19"/>
        <v>358285</v>
      </c>
      <c r="M13" s="38">
        <f t="shared" ref="M13" si="28">IF((L13-L12)&lt;0,"0",(L13-L12))</f>
        <v>0</v>
      </c>
      <c r="N13" s="145">
        <f t="shared" si="20"/>
        <v>6934742</v>
      </c>
      <c r="O13" s="38">
        <f t="shared" ref="O13" si="29">(IF((N13-N12)&lt;0,"0",(N13-N12)))*2</f>
        <v>0</v>
      </c>
      <c r="P13" s="148">
        <f t="shared" si="21"/>
        <v>7162208</v>
      </c>
      <c r="Q13" s="38">
        <f t="shared" ref="Q13" si="30">IF((P13-P12)&lt;0,"0",(P13-P12))</f>
        <v>0</v>
      </c>
      <c r="R13" s="145">
        <f t="shared" si="22"/>
        <v>21635997</v>
      </c>
      <c r="S13" s="38">
        <f t="shared" ref="S13" si="31">IF((R13-R12)&lt;0,"0",(R13-R12))</f>
        <v>0</v>
      </c>
      <c r="T13" s="145">
        <v>0</v>
      </c>
      <c r="U13" s="149"/>
      <c r="V13" s="145">
        <f t="shared" si="23"/>
        <v>9709562</v>
      </c>
      <c r="W13" s="38">
        <f t="shared" ref="W13" si="32">IF((V13-V12)&lt;0,"0",(V13-V12))</f>
        <v>0</v>
      </c>
      <c r="X13" s="19">
        <f t="shared" ref="X13" si="33">K13+M13+O13+Q13+S13+U13+W13</f>
        <v>0</v>
      </c>
      <c r="Y13" s="150">
        <f t="shared" si="12"/>
        <v>0</v>
      </c>
      <c r="Z13" s="3">
        <f t="shared" ref="Z13" si="34">(0.93352*(W13+S13)+0.5568*(Q13+O13))*0.26</f>
        <v>0</v>
      </c>
      <c r="AA13" s="3">
        <f>SUM(Z1:Z13)</f>
        <v>111692.97570079999</v>
      </c>
    </row>
    <row r="14" spans="1:27" ht="16.5" thickBot="1" x14ac:dyDescent="0.3">
      <c r="A14" s="9">
        <v>44754</v>
      </c>
      <c r="B14" s="38"/>
      <c r="C14" s="144">
        <f t="shared" si="16"/>
        <v>19839</v>
      </c>
      <c r="D14" s="38">
        <f t="shared" si="3"/>
        <v>0</v>
      </c>
      <c r="E14" s="145"/>
      <c r="F14" s="38">
        <f t="shared" si="4"/>
        <v>0</v>
      </c>
      <c r="G14" s="146">
        <f t="shared" si="17"/>
        <v>1729257</v>
      </c>
      <c r="H14" s="38">
        <f t="shared" si="5"/>
        <v>0</v>
      </c>
      <c r="I14" s="147">
        <f t="shared" si="6"/>
        <v>0</v>
      </c>
      <c r="J14" s="145">
        <f t="shared" si="18"/>
        <v>125972</v>
      </c>
      <c r="K14" s="38">
        <f t="shared" si="14"/>
        <v>0</v>
      </c>
      <c r="L14" s="148">
        <f t="shared" si="19"/>
        <v>358285</v>
      </c>
      <c r="M14" s="38">
        <f t="shared" si="7"/>
        <v>0</v>
      </c>
      <c r="N14" s="145">
        <f t="shared" si="20"/>
        <v>6934742</v>
      </c>
      <c r="O14" s="38">
        <f t="shared" si="15"/>
        <v>0</v>
      </c>
      <c r="P14" s="148">
        <f t="shared" si="21"/>
        <v>7162208</v>
      </c>
      <c r="Q14" s="38">
        <f t="shared" si="8"/>
        <v>0</v>
      </c>
      <c r="R14" s="145">
        <f t="shared" si="22"/>
        <v>21635997</v>
      </c>
      <c r="S14" s="38">
        <f>IF((R14-R13)&lt;0,"0",(R14-R13))</f>
        <v>0</v>
      </c>
      <c r="T14" s="145">
        <v>0</v>
      </c>
      <c r="U14" s="149"/>
      <c r="V14" s="145">
        <f t="shared" si="23"/>
        <v>9709562</v>
      </c>
      <c r="W14" s="38">
        <f t="shared" si="10"/>
        <v>0</v>
      </c>
      <c r="X14" s="19">
        <f t="shared" si="11"/>
        <v>0</v>
      </c>
      <c r="Y14" s="150">
        <f t="shared" si="12"/>
        <v>0</v>
      </c>
      <c r="Z14" s="3">
        <f t="shared" si="13"/>
        <v>0</v>
      </c>
      <c r="AA14" s="3">
        <f>SUM(Z1:Z14)</f>
        <v>111692.97570079999</v>
      </c>
    </row>
    <row r="15" spans="1:27" ht="16.5" thickBot="1" x14ac:dyDescent="0.3">
      <c r="A15" s="9">
        <v>44755</v>
      </c>
      <c r="B15" s="38"/>
      <c r="C15" s="144">
        <f t="shared" si="16"/>
        <v>19839</v>
      </c>
      <c r="D15" s="38">
        <f t="shared" si="3"/>
        <v>0</v>
      </c>
      <c r="E15" s="145"/>
      <c r="F15" s="38">
        <f t="shared" si="4"/>
        <v>0</v>
      </c>
      <c r="G15" s="146">
        <f t="shared" si="17"/>
        <v>1729257</v>
      </c>
      <c r="H15" s="38">
        <f t="shared" si="5"/>
        <v>0</v>
      </c>
      <c r="I15" s="147">
        <f t="shared" si="6"/>
        <v>0</v>
      </c>
      <c r="J15" s="145">
        <f t="shared" si="18"/>
        <v>125972</v>
      </c>
      <c r="K15" s="38">
        <f t="shared" si="14"/>
        <v>0</v>
      </c>
      <c r="L15" s="148">
        <f t="shared" si="19"/>
        <v>358285</v>
      </c>
      <c r="M15" s="38">
        <f t="shared" si="7"/>
        <v>0</v>
      </c>
      <c r="N15" s="145">
        <f t="shared" si="20"/>
        <v>6934742</v>
      </c>
      <c r="O15" s="38">
        <f t="shared" si="15"/>
        <v>0</v>
      </c>
      <c r="P15" s="148">
        <f t="shared" si="21"/>
        <v>7162208</v>
      </c>
      <c r="Q15" s="38">
        <f t="shared" si="8"/>
        <v>0</v>
      </c>
      <c r="R15" s="145">
        <f t="shared" si="22"/>
        <v>21635997</v>
      </c>
      <c r="S15" s="38">
        <f>IF((R15-R14)&lt;0,"0",(R15-R14))</f>
        <v>0</v>
      </c>
      <c r="T15" s="145">
        <v>0</v>
      </c>
      <c r="U15" s="149"/>
      <c r="V15" s="145">
        <f t="shared" si="23"/>
        <v>9709562</v>
      </c>
      <c r="W15" s="38">
        <f t="shared" si="10"/>
        <v>0</v>
      </c>
      <c r="X15" s="19">
        <f t="shared" si="11"/>
        <v>0</v>
      </c>
      <c r="Y15" s="150">
        <f t="shared" si="12"/>
        <v>0</v>
      </c>
      <c r="Z15" s="3">
        <f t="shared" si="13"/>
        <v>0</v>
      </c>
      <c r="AA15" s="3">
        <f>SUM(Z1:Z15)</f>
        <v>111692.97570079999</v>
      </c>
    </row>
    <row r="16" spans="1:27" ht="16.5" thickBot="1" x14ac:dyDescent="0.3">
      <c r="A16" s="9">
        <v>44756</v>
      </c>
      <c r="B16" s="38"/>
      <c r="C16" s="144">
        <f t="shared" si="16"/>
        <v>19839</v>
      </c>
      <c r="D16" s="38">
        <f t="shared" si="3"/>
        <v>0</v>
      </c>
      <c r="E16" s="145"/>
      <c r="F16" s="38">
        <f t="shared" si="4"/>
        <v>0</v>
      </c>
      <c r="G16" s="146">
        <f t="shared" si="17"/>
        <v>1729257</v>
      </c>
      <c r="H16" s="38">
        <f t="shared" si="5"/>
        <v>0</v>
      </c>
      <c r="I16" s="147">
        <f t="shared" si="6"/>
        <v>0</v>
      </c>
      <c r="J16" s="145">
        <f t="shared" si="18"/>
        <v>125972</v>
      </c>
      <c r="K16" s="38">
        <f t="shared" si="14"/>
        <v>0</v>
      </c>
      <c r="L16" s="148">
        <f t="shared" si="19"/>
        <v>358285</v>
      </c>
      <c r="M16" s="38">
        <f t="shared" si="7"/>
        <v>0</v>
      </c>
      <c r="N16" s="145">
        <f t="shared" si="20"/>
        <v>6934742</v>
      </c>
      <c r="O16" s="38">
        <f t="shared" si="15"/>
        <v>0</v>
      </c>
      <c r="P16" s="148">
        <f t="shared" si="21"/>
        <v>7162208</v>
      </c>
      <c r="Q16" s="38">
        <f t="shared" si="8"/>
        <v>0</v>
      </c>
      <c r="R16" s="145">
        <f t="shared" si="22"/>
        <v>21635997</v>
      </c>
      <c r="S16" s="38">
        <f t="shared" si="9"/>
        <v>0</v>
      </c>
      <c r="T16" s="145">
        <v>0</v>
      </c>
      <c r="U16" s="149"/>
      <c r="V16" s="145">
        <f t="shared" si="23"/>
        <v>9709562</v>
      </c>
      <c r="W16" s="38">
        <f t="shared" si="10"/>
        <v>0</v>
      </c>
      <c r="X16" s="19">
        <f t="shared" si="11"/>
        <v>0</v>
      </c>
      <c r="Y16" s="150">
        <f t="shared" si="12"/>
        <v>0</v>
      </c>
      <c r="Z16" s="3">
        <f t="shared" si="13"/>
        <v>0</v>
      </c>
      <c r="AA16" s="3">
        <f>SUM(Z1:Z16)</f>
        <v>111692.97570079999</v>
      </c>
    </row>
    <row r="17" spans="1:27" s="130" customFormat="1" ht="16.5" thickBot="1" x14ac:dyDescent="0.3">
      <c r="A17" s="9">
        <v>44757</v>
      </c>
      <c r="B17" s="38"/>
      <c r="C17" s="144">
        <f t="shared" si="16"/>
        <v>19839</v>
      </c>
      <c r="D17" s="38">
        <f t="shared" si="3"/>
        <v>0</v>
      </c>
      <c r="E17" s="145"/>
      <c r="F17" s="38">
        <f t="shared" si="4"/>
        <v>0</v>
      </c>
      <c r="G17" s="146">
        <f t="shared" si="17"/>
        <v>1729257</v>
      </c>
      <c r="H17" s="38">
        <f t="shared" si="5"/>
        <v>0</v>
      </c>
      <c r="I17" s="151">
        <f t="shared" si="6"/>
        <v>0</v>
      </c>
      <c r="J17" s="145">
        <f t="shared" si="18"/>
        <v>125972</v>
      </c>
      <c r="K17" s="129">
        <f t="shared" si="14"/>
        <v>0</v>
      </c>
      <c r="L17" s="148">
        <f t="shared" si="19"/>
        <v>358285</v>
      </c>
      <c r="M17" s="129">
        <f t="shared" si="7"/>
        <v>0</v>
      </c>
      <c r="N17" s="145">
        <f t="shared" si="20"/>
        <v>6934742</v>
      </c>
      <c r="O17" s="129">
        <f t="shared" si="15"/>
        <v>0</v>
      </c>
      <c r="P17" s="148">
        <f t="shared" si="21"/>
        <v>7162208</v>
      </c>
      <c r="Q17" s="129">
        <f t="shared" si="8"/>
        <v>0</v>
      </c>
      <c r="R17" s="145">
        <f t="shared" si="22"/>
        <v>21635997</v>
      </c>
      <c r="S17" s="129">
        <f t="shared" si="9"/>
        <v>0</v>
      </c>
      <c r="T17" s="152">
        <v>0</v>
      </c>
      <c r="U17" s="149"/>
      <c r="V17" s="145">
        <f t="shared" si="23"/>
        <v>9709562</v>
      </c>
      <c r="W17" s="129">
        <f t="shared" si="10"/>
        <v>0</v>
      </c>
      <c r="X17" s="19">
        <f t="shared" si="11"/>
        <v>0</v>
      </c>
      <c r="Y17" s="153">
        <f t="shared" si="12"/>
        <v>0</v>
      </c>
      <c r="Z17" s="154">
        <f t="shared" si="13"/>
        <v>0</v>
      </c>
      <c r="AA17" s="3">
        <f>SUM(Z1:Z17)</f>
        <v>111692.97570079999</v>
      </c>
    </row>
    <row r="18" spans="1:27" s="130" customFormat="1" ht="16.5" thickBot="1" x14ac:dyDescent="0.3">
      <c r="A18" s="9">
        <v>44758</v>
      </c>
      <c r="B18" s="38"/>
      <c r="C18" s="144">
        <f t="shared" si="16"/>
        <v>19839</v>
      </c>
      <c r="D18" s="38">
        <f t="shared" si="3"/>
        <v>0</v>
      </c>
      <c r="E18" s="145"/>
      <c r="F18" s="38">
        <f t="shared" si="4"/>
        <v>0</v>
      </c>
      <c r="G18" s="146">
        <f t="shared" si="17"/>
        <v>1729257</v>
      </c>
      <c r="H18" s="38">
        <f t="shared" si="5"/>
        <v>0</v>
      </c>
      <c r="I18" s="151">
        <f t="shared" si="6"/>
        <v>0</v>
      </c>
      <c r="J18" s="145">
        <f t="shared" si="18"/>
        <v>125972</v>
      </c>
      <c r="K18" s="129">
        <f t="shared" si="14"/>
        <v>0</v>
      </c>
      <c r="L18" s="148">
        <f t="shared" si="19"/>
        <v>358285</v>
      </c>
      <c r="M18" s="129">
        <f t="shared" si="7"/>
        <v>0</v>
      </c>
      <c r="N18" s="145">
        <f t="shared" si="20"/>
        <v>6934742</v>
      </c>
      <c r="O18" s="129">
        <f t="shared" si="15"/>
        <v>0</v>
      </c>
      <c r="P18" s="148">
        <f t="shared" si="21"/>
        <v>7162208</v>
      </c>
      <c r="Q18" s="129">
        <f t="shared" si="8"/>
        <v>0</v>
      </c>
      <c r="R18" s="145">
        <f t="shared" si="22"/>
        <v>21635997</v>
      </c>
      <c r="S18" s="129">
        <f t="shared" si="9"/>
        <v>0</v>
      </c>
      <c r="T18" s="152">
        <v>0</v>
      </c>
      <c r="U18" s="149"/>
      <c r="V18" s="145">
        <f t="shared" si="23"/>
        <v>9709562</v>
      </c>
      <c r="W18" s="129">
        <f t="shared" si="10"/>
        <v>0</v>
      </c>
      <c r="X18" s="19">
        <f t="shared" si="11"/>
        <v>0</v>
      </c>
      <c r="Y18" s="153">
        <f t="shared" si="12"/>
        <v>0</v>
      </c>
      <c r="Z18" s="154">
        <f t="shared" si="13"/>
        <v>0</v>
      </c>
      <c r="AA18" s="3">
        <f>SUM(Z1:Z18)</f>
        <v>111692.97570079999</v>
      </c>
    </row>
    <row r="19" spans="1:27" s="130" customFormat="1" ht="16.5" thickBot="1" x14ac:dyDescent="0.3">
      <c r="A19" s="9">
        <v>44759</v>
      </c>
      <c r="B19" s="38"/>
      <c r="C19" s="144">
        <f t="shared" si="16"/>
        <v>19839</v>
      </c>
      <c r="D19" s="38">
        <f t="shared" si="3"/>
        <v>0</v>
      </c>
      <c r="E19" s="145"/>
      <c r="F19" s="38">
        <f t="shared" si="4"/>
        <v>0</v>
      </c>
      <c r="G19" s="146">
        <f t="shared" si="17"/>
        <v>1729257</v>
      </c>
      <c r="H19" s="38">
        <f t="shared" si="5"/>
        <v>0</v>
      </c>
      <c r="I19" s="151">
        <f t="shared" si="6"/>
        <v>0</v>
      </c>
      <c r="J19" s="145">
        <f t="shared" si="18"/>
        <v>125972</v>
      </c>
      <c r="K19" s="129">
        <f t="shared" si="14"/>
        <v>0</v>
      </c>
      <c r="L19" s="148">
        <f t="shared" si="19"/>
        <v>358285</v>
      </c>
      <c r="M19" s="129">
        <f t="shared" si="7"/>
        <v>0</v>
      </c>
      <c r="N19" s="145">
        <f t="shared" si="20"/>
        <v>6934742</v>
      </c>
      <c r="O19" s="129">
        <f t="shared" si="15"/>
        <v>0</v>
      </c>
      <c r="P19" s="148">
        <f t="shared" si="21"/>
        <v>7162208</v>
      </c>
      <c r="Q19" s="129">
        <f t="shared" si="8"/>
        <v>0</v>
      </c>
      <c r="R19" s="145">
        <f t="shared" si="22"/>
        <v>21635997</v>
      </c>
      <c r="S19" s="129">
        <f t="shared" si="9"/>
        <v>0</v>
      </c>
      <c r="T19" s="152">
        <v>0</v>
      </c>
      <c r="U19" s="149"/>
      <c r="V19" s="145">
        <f t="shared" si="23"/>
        <v>9709562</v>
      </c>
      <c r="W19" s="129">
        <f t="shared" si="10"/>
        <v>0</v>
      </c>
      <c r="X19" s="19">
        <f t="shared" si="11"/>
        <v>0</v>
      </c>
      <c r="Y19" s="153">
        <f t="shared" si="12"/>
        <v>0</v>
      </c>
      <c r="Z19" s="154">
        <f t="shared" si="13"/>
        <v>0</v>
      </c>
      <c r="AA19" s="3">
        <f>SUM(Z1:Z19)</f>
        <v>111692.97570079999</v>
      </c>
    </row>
    <row r="20" spans="1:27" s="130" customFormat="1" ht="16.5" thickBot="1" x14ac:dyDescent="0.3">
      <c r="A20" s="9">
        <v>44760</v>
      </c>
      <c r="B20" s="38"/>
      <c r="C20" s="144">
        <f t="shared" si="16"/>
        <v>19839</v>
      </c>
      <c r="D20" s="38">
        <f t="shared" si="3"/>
        <v>0</v>
      </c>
      <c r="E20" s="145"/>
      <c r="F20" s="38">
        <f t="shared" si="4"/>
        <v>0</v>
      </c>
      <c r="G20" s="146">
        <f t="shared" si="17"/>
        <v>1729257</v>
      </c>
      <c r="H20" s="38">
        <f t="shared" si="5"/>
        <v>0</v>
      </c>
      <c r="I20" s="151">
        <f t="shared" si="6"/>
        <v>0</v>
      </c>
      <c r="J20" s="145">
        <f t="shared" si="18"/>
        <v>125972</v>
      </c>
      <c r="K20" s="129">
        <f t="shared" si="14"/>
        <v>0</v>
      </c>
      <c r="L20" s="148">
        <f t="shared" si="19"/>
        <v>358285</v>
      </c>
      <c r="M20" s="129">
        <f t="shared" si="7"/>
        <v>0</v>
      </c>
      <c r="N20" s="145">
        <f t="shared" si="20"/>
        <v>6934742</v>
      </c>
      <c r="O20" s="129">
        <f t="shared" si="15"/>
        <v>0</v>
      </c>
      <c r="P20" s="148">
        <f t="shared" si="21"/>
        <v>7162208</v>
      </c>
      <c r="Q20" s="129">
        <f t="shared" si="8"/>
        <v>0</v>
      </c>
      <c r="R20" s="145">
        <f t="shared" si="22"/>
        <v>21635997</v>
      </c>
      <c r="S20" s="129">
        <f t="shared" si="9"/>
        <v>0</v>
      </c>
      <c r="T20" s="152">
        <v>0</v>
      </c>
      <c r="U20" s="149"/>
      <c r="V20" s="145">
        <f t="shared" si="23"/>
        <v>9709562</v>
      </c>
      <c r="W20" s="129">
        <f t="shared" si="10"/>
        <v>0</v>
      </c>
      <c r="X20" s="19">
        <f t="shared" si="11"/>
        <v>0</v>
      </c>
      <c r="Y20" s="153">
        <f t="shared" si="12"/>
        <v>0</v>
      </c>
      <c r="Z20" s="154">
        <f t="shared" si="13"/>
        <v>0</v>
      </c>
      <c r="AA20" s="3">
        <f>SUM(Z1:Z20)</f>
        <v>111692.97570079999</v>
      </c>
    </row>
    <row r="21" spans="1:27" s="130" customFormat="1" ht="16.5" thickBot="1" x14ac:dyDescent="0.3">
      <c r="A21" s="9">
        <v>44761</v>
      </c>
      <c r="B21" s="38"/>
      <c r="C21" s="144">
        <f t="shared" si="16"/>
        <v>19839</v>
      </c>
      <c r="D21" s="38">
        <f t="shared" si="3"/>
        <v>0</v>
      </c>
      <c r="E21" s="145"/>
      <c r="F21" s="38">
        <f t="shared" si="4"/>
        <v>0</v>
      </c>
      <c r="G21" s="146">
        <f t="shared" si="17"/>
        <v>1729257</v>
      </c>
      <c r="H21" s="38">
        <f t="shared" si="5"/>
        <v>0</v>
      </c>
      <c r="I21" s="151">
        <f t="shared" si="6"/>
        <v>0</v>
      </c>
      <c r="J21" s="145">
        <f t="shared" si="18"/>
        <v>125972</v>
      </c>
      <c r="K21" s="129">
        <f t="shared" si="14"/>
        <v>0</v>
      </c>
      <c r="L21" s="148">
        <f t="shared" si="19"/>
        <v>358285</v>
      </c>
      <c r="M21" s="129">
        <f t="shared" si="7"/>
        <v>0</v>
      </c>
      <c r="N21" s="145">
        <f t="shared" si="20"/>
        <v>6934742</v>
      </c>
      <c r="O21" s="129">
        <f t="shared" si="15"/>
        <v>0</v>
      </c>
      <c r="P21" s="148">
        <f t="shared" si="21"/>
        <v>7162208</v>
      </c>
      <c r="Q21" s="129">
        <f t="shared" si="8"/>
        <v>0</v>
      </c>
      <c r="R21" s="145">
        <f t="shared" si="22"/>
        <v>21635997</v>
      </c>
      <c r="S21" s="129">
        <f t="shared" si="9"/>
        <v>0</v>
      </c>
      <c r="T21" s="152">
        <v>0</v>
      </c>
      <c r="U21" s="149"/>
      <c r="V21" s="145">
        <f t="shared" si="23"/>
        <v>9709562</v>
      </c>
      <c r="W21" s="129">
        <f t="shared" si="10"/>
        <v>0</v>
      </c>
      <c r="X21" s="19">
        <f t="shared" si="11"/>
        <v>0</v>
      </c>
      <c r="Y21" s="153">
        <f t="shared" si="12"/>
        <v>0</v>
      </c>
      <c r="Z21" s="154">
        <f t="shared" si="13"/>
        <v>0</v>
      </c>
      <c r="AA21" s="3">
        <f>SUM(Z1:Z21)</f>
        <v>111692.97570079999</v>
      </c>
    </row>
    <row r="22" spans="1:27" ht="16.5" thickBot="1" x14ac:dyDescent="0.3">
      <c r="A22" s="9">
        <v>44762</v>
      </c>
      <c r="B22" s="38"/>
      <c r="C22" s="144">
        <f t="shared" si="16"/>
        <v>19839</v>
      </c>
      <c r="D22" s="38">
        <f t="shared" si="3"/>
        <v>0</v>
      </c>
      <c r="E22" s="145"/>
      <c r="F22" s="38">
        <f t="shared" si="4"/>
        <v>0</v>
      </c>
      <c r="G22" s="146">
        <f t="shared" si="17"/>
        <v>1729257</v>
      </c>
      <c r="H22" s="38">
        <f t="shared" si="5"/>
        <v>0</v>
      </c>
      <c r="I22" s="147">
        <f t="shared" si="6"/>
        <v>0</v>
      </c>
      <c r="J22" s="145">
        <f t="shared" si="18"/>
        <v>125972</v>
      </c>
      <c r="K22" s="129">
        <f t="shared" si="14"/>
        <v>0</v>
      </c>
      <c r="L22" s="148">
        <f t="shared" si="19"/>
        <v>358285</v>
      </c>
      <c r="M22" s="38">
        <f t="shared" si="7"/>
        <v>0</v>
      </c>
      <c r="N22" s="145">
        <f t="shared" si="20"/>
        <v>6934742</v>
      </c>
      <c r="O22" s="38">
        <f t="shared" si="15"/>
        <v>0</v>
      </c>
      <c r="P22" s="148">
        <f t="shared" si="21"/>
        <v>7162208</v>
      </c>
      <c r="Q22" s="38">
        <f t="shared" si="8"/>
        <v>0</v>
      </c>
      <c r="R22" s="145">
        <f t="shared" si="22"/>
        <v>21635997</v>
      </c>
      <c r="S22" s="38">
        <f t="shared" si="9"/>
        <v>0</v>
      </c>
      <c r="T22" s="145">
        <v>0</v>
      </c>
      <c r="U22" s="149"/>
      <c r="V22" s="145">
        <f t="shared" si="23"/>
        <v>9709562</v>
      </c>
      <c r="W22" s="38">
        <f t="shared" si="10"/>
        <v>0</v>
      </c>
      <c r="X22" s="19">
        <f t="shared" si="11"/>
        <v>0</v>
      </c>
      <c r="Y22" s="150">
        <f t="shared" si="12"/>
        <v>0</v>
      </c>
      <c r="Z22" s="3">
        <f t="shared" si="13"/>
        <v>0</v>
      </c>
      <c r="AA22" s="3">
        <f>SUM(Z1:Z22)</f>
        <v>111692.97570079999</v>
      </c>
    </row>
    <row r="23" spans="1:27" ht="16.5" thickBot="1" x14ac:dyDescent="0.3">
      <c r="A23" s="9">
        <v>44763</v>
      </c>
      <c r="B23" s="38"/>
      <c r="C23" s="144">
        <f t="shared" si="16"/>
        <v>19839</v>
      </c>
      <c r="D23" s="38">
        <f t="shared" si="3"/>
        <v>0</v>
      </c>
      <c r="E23" s="145"/>
      <c r="F23" s="38">
        <f t="shared" si="4"/>
        <v>0</v>
      </c>
      <c r="G23" s="146">
        <f t="shared" si="17"/>
        <v>1729257</v>
      </c>
      <c r="H23" s="38">
        <f t="shared" si="5"/>
        <v>0</v>
      </c>
      <c r="I23" s="147">
        <f t="shared" si="6"/>
        <v>0</v>
      </c>
      <c r="J23" s="145">
        <f t="shared" si="18"/>
        <v>125972</v>
      </c>
      <c r="K23" s="129">
        <f t="shared" si="14"/>
        <v>0</v>
      </c>
      <c r="L23" s="148">
        <f t="shared" si="19"/>
        <v>358285</v>
      </c>
      <c r="M23" s="38">
        <f t="shared" si="7"/>
        <v>0</v>
      </c>
      <c r="N23" s="145">
        <f t="shared" si="20"/>
        <v>6934742</v>
      </c>
      <c r="O23" s="38">
        <f t="shared" si="15"/>
        <v>0</v>
      </c>
      <c r="P23" s="148">
        <f t="shared" si="21"/>
        <v>7162208</v>
      </c>
      <c r="Q23" s="38">
        <f t="shared" si="8"/>
        <v>0</v>
      </c>
      <c r="R23" s="145">
        <f t="shared" si="22"/>
        <v>21635997</v>
      </c>
      <c r="S23" s="38">
        <f t="shared" si="9"/>
        <v>0</v>
      </c>
      <c r="T23" s="145">
        <v>0</v>
      </c>
      <c r="U23" s="149"/>
      <c r="V23" s="145">
        <f t="shared" si="23"/>
        <v>9709562</v>
      </c>
      <c r="W23" s="38">
        <f t="shared" si="10"/>
        <v>0</v>
      </c>
      <c r="X23" s="19">
        <f t="shared" si="11"/>
        <v>0</v>
      </c>
      <c r="Y23" s="150">
        <f t="shared" si="12"/>
        <v>0</v>
      </c>
      <c r="Z23" s="3">
        <f t="shared" si="13"/>
        <v>0</v>
      </c>
      <c r="AA23" s="3">
        <f>SUM(Z1:Z23)</f>
        <v>111692.97570079999</v>
      </c>
    </row>
    <row r="24" spans="1:27" ht="16.5" thickBot="1" x14ac:dyDescent="0.3">
      <c r="A24" s="9">
        <v>44764</v>
      </c>
      <c r="B24" s="38"/>
      <c r="C24" s="144">
        <f t="shared" si="16"/>
        <v>19839</v>
      </c>
      <c r="D24" s="38">
        <f t="shared" si="3"/>
        <v>0</v>
      </c>
      <c r="E24" s="145"/>
      <c r="F24" s="38">
        <f t="shared" si="4"/>
        <v>0</v>
      </c>
      <c r="G24" s="146">
        <f t="shared" si="17"/>
        <v>1729257</v>
      </c>
      <c r="H24" s="38">
        <f t="shared" si="5"/>
        <v>0</v>
      </c>
      <c r="I24" s="147">
        <f t="shared" si="6"/>
        <v>0</v>
      </c>
      <c r="J24" s="145">
        <f t="shared" si="18"/>
        <v>125972</v>
      </c>
      <c r="K24" s="129">
        <f t="shared" si="14"/>
        <v>0</v>
      </c>
      <c r="L24" s="148">
        <f t="shared" si="19"/>
        <v>358285</v>
      </c>
      <c r="M24" s="38">
        <f t="shared" si="7"/>
        <v>0</v>
      </c>
      <c r="N24" s="145">
        <f t="shared" si="20"/>
        <v>6934742</v>
      </c>
      <c r="O24" s="38">
        <f t="shared" si="15"/>
        <v>0</v>
      </c>
      <c r="P24" s="148">
        <f t="shared" si="21"/>
        <v>7162208</v>
      </c>
      <c r="Q24" s="38">
        <f t="shared" si="8"/>
        <v>0</v>
      </c>
      <c r="R24" s="145">
        <f t="shared" si="22"/>
        <v>21635997</v>
      </c>
      <c r="S24" s="38">
        <f t="shared" si="9"/>
        <v>0</v>
      </c>
      <c r="T24" s="145">
        <v>0</v>
      </c>
      <c r="U24" s="149"/>
      <c r="V24" s="145">
        <f t="shared" si="23"/>
        <v>9709562</v>
      </c>
      <c r="W24" s="38">
        <f t="shared" si="10"/>
        <v>0</v>
      </c>
      <c r="X24" s="19">
        <f t="shared" si="11"/>
        <v>0</v>
      </c>
      <c r="Y24" s="150">
        <f t="shared" si="12"/>
        <v>0</v>
      </c>
      <c r="Z24" s="3">
        <f t="shared" si="13"/>
        <v>0</v>
      </c>
      <c r="AA24" s="3">
        <f>SUM(Z1:Z24)</f>
        <v>111692.97570079999</v>
      </c>
    </row>
    <row r="25" spans="1:27" ht="16.5" thickBot="1" x14ac:dyDescent="0.3">
      <c r="A25" s="9">
        <v>44765</v>
      </c>
      <c r="B25" s="38"/>
      <c r="C25" s="144">
        <f t="shared" si="16"/>
        <v>19839</v>
      </c>
      <c r="D25" s="38">
        <f t="shared" si="3"/>
        <v>0</v>
      </c>
      <c r="E25" s="145"/>
      <c r="F25" s="38">
        <f t="shared" si="4"/>
        <v>0</v>
      </c>
      <c r="G25" s="146">
        <f t="shared" si="17"/>
        <v>1729257</v>
      </c>
      <c r="H25" s="38">
        <f t="shared" si="5"/>
        <v>0</v>
      </c>
      <c r="I25" s="147">
        <f t="shared" si="6"/>
        <v>0</v>
      </c>
      <c r="J25" s="145">
        <f t="shared" si="18"/>
        <v>125972</v>
      </c>
      <c r="K25" s="129">
        <f t="shared" si="14"/>
        <v>0</v>
      </c>
      <c r="L25" s="148">
        <f t="shared" si="19"/>
        <v>358285</v>
      </c>
      <c r="M25" s="38">
        <f t="shared" si="7"/>
        <v>0</v>
      </c>
      <c r="N25" s="145">
        <f t="shared" si="20"/>
        <v>6934742</v>
      </c>
      <c r="O25" s="38">
        <f t="shared" si="15"/>
        <v>0</v>
      </c>
      <c r="P25" s="148">
        <f t="shared" si="21"/>
        <v>7162208</v>
      </c>
      <c r="Q25" s="38">
        <f t="shared" si="8"/>
        <v>0</v>
      </c>
      <c r="R25" s="145">
        <f t="shared" si="22"/>
        <v>21635997</v>
      </c>
      <c r="S25" s="38">
        <f t="shared" si="9"/>
        <v>0</v>
      </c>
      <c r="T25" s="145">
        <v>0</v>
      </c>
      <c r="U25" s="149"/>
      <c r="V25" s="145">
        <f t="shared" si="23"/>
        <v>9709562</v>
      </c>
      <c r="W25" s="38">
        <f t="shared" si="10"/>
        <v>0</v>
      </c>
      <c r="X25" s="19">
        <f t="shared" si="11"/>
        <v>0</v>
      </c>
      <c r="Y25" s="150">
        <f t="shared" si="12"/>
        <v>0</v>
      </c>
      <c r="Z25" s="3">
        <f t="shared" si="13"/>
        <v>0</v>
      </c>
      <c r="AA25" s="3">
        <f>SUM(Z1:Z25)</f>
        <v>111692.97570079999</v>
      </c>
    </row>
    <row r="26" spans="1:27" ht="16.5" thickBot="1" x14ac:dyDescent="0.3">
      <c r="A26" s="9">
        <v>44766</v>
      </c>
      <c r="B26" s="38"/>
      <c r="C26" s="144">
        <f t="shared" si="16"/>
        <v>19839</v>
      </c>
      <c r="D26" s="38">
        <f t="shared" si="3"/>
        <v>0</v>
      </c>
      <c r="E26" s="145"/>
      <c r="F26" s="38">
        <f t="shared" si="4"/>
        <v>0</v>
      </c>
      <c r="G26" s="146">
        <f t="shared" si="17"/>
        <v>1729257</v>
      </c>
      <c r="H26" s="38">
        <f t="shared" si="5"/>
        <v>0</v>
      </c>
      <c r="I26" s="147">
        <f t="shared" si="6"/>
        <v>0</v>
      </c>
      <c r="J26" s="145">
        <f t="shared" si="18"/>
        <v>125972</v>
      </c>
      <c r="K26" s="129">
        <f t="shared" si="14"/>
        <v>0</v>
      </c>
      <c r="L26" s="148">
        <f t="shared" si="19"/>
        <v>358285</v>
      </c>
      <c r="M26" s="38">
        <f t="shared" si="7"/>
        <v>0</v>
      </c>
      <c r="N26" s="145">
        <f t="shared" si="20"/>
        <v>6934742</v>
      </c>
      <c r="O26" s="38">
        <f t="shared" si="15"/>
        <v>0</v>
      </c>
      <c r="P26" s="148">
        <f t="shared" si="21"/>
        <v>7162208</v>
      </c>
      <c r="Q26" s="38">
        <f t="shared" si="8"/>
        <v>0</v>
      </c>
      <c r="R26" s="145">
        <f t="shared" si="22"/>
        <v>21635997</v>
      </c>
      <c r="S26" s="38">
        <f t="shared" si="9"/>
        <v>0</v>
      </c>
      <c r="T26" s="145">
        <v>0</v>
      </c>
      <c r="U26" s="149"/>
      <c r="V26" s="145">
        <f t="shared" si="23"/>
        <v>9709562</v>
      </c>
      <c r="W26" s="38">
        <f t="shared" si="10"/>
        <v>0</v>
      </c>
      <c r="X26" s="19">
        <f t="shared" si="11"/>
        <v>0</v>
      </c>
      <c r="Y26" s="150">
        <f t="shared" si="12"/>
        <v>0</v>
      </c>
      <c r="Z26" s="3">
        <f t="shared" si="13"/>
        <v>0</v>
      </c>
      <c r="AA26" s="3">
        <f>SUM(Z1:Z26)</f>
        <v>111692.97570079999</v>
      </c>
    </row>
    <row r="27" spans="1:27" ht="16.5" thickBot="1" x14ac:dyDescent="0.3">
      <c r="A27" s="9">
        <v>44767</v>
      </c>
      <c r="B27" s="38"/>
      <c r="C27" s="144">
        <f t="shared" si="16"/>
        <v>19839</v>
      </c>
      <c r="D27" s="38">
        <f t="shared" si="3"/>
        <v>0</v>
      </c>
      <c r="E27" s="145"/>
      <c r="F27" s="38">
        <f t="shared" si="4"/>
        <v>0</v>
      </c>
      <c r="G27" s="146">
        <f t="shared" si="17"/>
        <v>1729257</v>
      </c>
      <c r="H27" s="38">
        <f t="shared" si="5"/>
        <v>0</v>
      </c>
      <c r="I27" s="147">
        <f t="shared" si="6"/>
        <v>0</v>
      </c>
      <c r="J27" s="145">
        <f t="shared" si="18"/>
        <v>125972</v>
      </c>
      <c r="K27" s="129">
        <f t="shared" si="14"/>
        <v>0</v>
      </c>
      <c r="L27" s="148">
        <f t="shared" si="19"/>
        <v>358285</v>
      </c>
      <c r="M27" s="38">
        <f t="shared" si="7"/>
        <v>0</v>
      </c>
      <c r="N27" s="145">
        <f t="shared" si="20"/>
        <v>6934742</v>
      </c>
      <c r="O27" s="38">
        <f t="shared" si="15"/>
        <v>0</v>
      </c>
      <c r="P27" s="148">
        <f t="shared" si="21"/>
        <v>7162208</v>
      </c>
      <c r="Q27" s="38">
        <f t="shared" si="8"/>
        <v>0</v>
      </c>
      <c r="R27" s="145">
        <f t="shared" si="22"/>
        <v>21635997</v>
      </c>
      <c r="S27" s="38">
        <f t="shared" si="9"/>
        <v>0</v>
      </c>
      <c r="T27" s="145">
        <v>0</v>
      </c>
      <c r="U27" s="149"/>
      <c r="V27" s="145">
        <f t="shared" si="23"/>
        <v>9709562</v>
      </c>
      <c r="W27" s="38">
        <f t="shared" si="10"/>
        <v>0</v>
      </c>
      <c r="X27" s="19">
        <f t="shared" si="11"/>
        <v>0</v>
      </c>
      <c r="Y27" s="150">
        <f t="shared" si="12"/>
        <v>0</v>
      </c>
      <c r="Z27" s="3">
        <f t="shared" si="13"/>
        <v>0</v>
      </c>
      <c r="AA27" s="3">
        <f>SUM(Z1:Z27)</f>
        <v>111692.97570079999</v>
      </c>
    </row>
    <row r="28" spans="1:27" ht="16.5" thickBot="1" x14ac:dyDescent="0.3">
      <c r="A28" s="9">
        <v>44768</v>
      </c>
      <c r="B28" s="38"/>
      <c r="C28" s="144">
        <f t="shared" si="16"/>
        <v>19839</v>
      </c>
      <c r="D28" s="38">
        <f t="shared" si="3"/>
        <v>0</v>
      </c>
      <c r="E28" s="145"/>
      <c r="F28" s="38">
        <f t="shared" si="4"/>
        <v>0</v>
      </c>
      <c r="G28" s="146">
        <f t="shared" si="17"/>
        <v>1729257</v>
      </c>
      <c r="H28" s="38">
        <f t="shared" si="5"/>
        <v>0</v>
      </c>
      <c r="I28" s="147">
        <f t="shared" si="6"/>
        <v>0</v>
      </c>
      <c r="J28" s="145">
        <f t="shared" si="18"/>
        <v>125972</v>
      </c>
      <c r="K28" s="129">
        <f t="shared" si="14"/>
        <v>0</v>
      </c>
      <c r="L28" s="148">
        <f t="shared" si="19"/>
        <v>358285</v>
      </c>
      <c r="M28" s="38">
        <f t="shared" si="7"/>
        <v>0</v>
      </c>
      <c r="N28" s="145">
        <f t="shared" si="20"/>
        <v>6934742</v>
      </c>
      <c r="O28" s="38">
        <f t="shared" si="15"/>
        <v>0</v>
      </c>
      <c r="P28" s="148">
        <f t="shared" si="21"/>
        <v>7162208</v>
      </c>
      <c r="Q28" s="38">
        <f t="shared" si="8"/>
        <v>0</v>
      </c>
      <c r="R28" s="145">
        <f t="shared" si="22"/>
        <v>21635997</v>
      </c>
      <c r="S28" s="38">
        <f t="shared" si="9"/>
        <v>0</v>
      </c>
      <c r="T28" s="145">
        <v>0</v>
      </c>
      <c r="U28" s="149"/>
      <c r="V28" s="145">
        <f t="shared" si="23"/>
        <v>9709562</v>
      </c>
      <c r="W28" s="38">
        <f t="shared" si="10"/>
        <v>0</v>
      </c>
      <c r="X28" s="19">
        <f t="shared" si="11"/>
        <v>0</v>
      </c>
      <c r="Y28" s="150">
        <f t="shared" si="12"/>
        <v>0</v>
      </c>
      <c r="Z28" s="3">
        <f t="shared" si="13"/>
        <v>0</v>
      </c>
      <c r="AA28" s="3">
        <f>SUM(Z1:Z28)</f>
        <v>111692.97570079999</v>
      </c>
    </row>
    <row r="29" spans="1:27" ht="16.5" thickBot="1" x14ac:dyDescent="0.3">
      <c r="A29" s="9">
        <v>44769</v>
      </c>
      <c r="B29" s="38"/>
      <c r="C29" s="144">
        <f t="shared" si="16"/>
        <v>19839</v>
      </c>
      <c r="D29" s="38">
        <f t="shared" si="3"/>
        <v>0</v>
      </c>
      <c r="E29" s="145"/>
      <c r="F29" s="38">
        <f t="shared" si="4"/>
        <v>0</v>
      </c>
      <c r="G29" s="146">
        <f t="shared" si="17"/>
        <v>1729257</v>
      </c>
      <c r="H29" s="38">
        <f t="shared" si="5"/>
        <v>0</v>
      </c>
      <c r="I29" s="147">
        <f t="shared" si="6"/>
        <v>0</v>
      </c>
      <c r="J29" s="145">
        <f t="shared" si="18"/>
        <v>125972</v>
      </c>
      <c r="K29" s="129">
        <f t="shared" si="14"/>
        <v>0</v>
      </c>
      <c r="L29" s="148">
        <f t="shared" si="19"/>
        <v>358285</v>
      </c>
      <c r="M29" s="38">
        <f t="shared" si="7"/>
        <v>0</v>
      </c>
      <c r="N29" s="145">
        <f t="shared" si="20"/>
        <v>6934742</v>
      </c>
      <c r="O29" s="38">
        <f t="shared" si="15"/>
        <v>0</v>
      </c>
      <c r="P29" s="148">
        <f t="shared" si="21"/>
        <v>7162208</v>
      </c>
      <c r="Q29" s="38">
        <f t="shared" si="8"/>
        <v>0</v>
      </c>
      <c r="R29" s="145">
        <f t="shared" si="22"/>
        <v>21635997</v>
      </c>
      <c r="S29" s="38">
        <f t="shared" si="9"/>
        <v>0</v>
      </c>
      <c r="T29" s="145">
        <v>0</v>
      </c>
      <c r="U29" s="149"/>
      <c r="V29" s="145">
        <f t="shared" si="23"/>
        <v>9709562</v>
      </c>
      <c r="W29" s="38">
        <f t="shared" si="10"/>
        <v>0</v>
      </c>
      <c r="X29" s="19">
        <f t="shared" si="11"/>
        <v>0</v>
      </c>
      <c r="Y29" s="150">
        <f t="shared" si="12"/>
        <v>0</v>
      </c>
      <c r="Z29" s="3">
        <f t="shared" si="13"/>
        <v>0</v>
      </c>
      <c r="AA29" s="3">
        <f>SUM(Z1:Z29)</f>
        <v>111692.97570079999</v>
      </c>
    </row>
    <row r="30" spans="1:27" ht="16.5" thickBot="1" x14ac:dyDescent="0.3">
      <c r="A30" s="9">
        <v>44770</v>
      </c>
      <c r="B30" s="38"/>
      <c r="C30" s="144">
        <f t="shared" si="16"/>
        <v>19839</v>
      </c>
      <c r="D30" s="38">
        <f>IF((C30-C29)&lt;0,"0",(C30-C29))*160</f>
        <v>0</v>
      </c>
      <c r="E30" s="145"/>
      <c r="F30" s="38">
        <f>IF((E30-E29)&lt;0,"0",(E30-E29))</f>
        <v>0</v>
      </c>
      <c r="G30" s="146">
        <f t="shared" si="17"/>
        <v>1729257</v>
      </c>
      <c r="H30" s="38">
        <f t="shared" si="5"/>
        <v>0</v>
      </c>
      <c r="I30" s="147">
        <f t="shared" si="6"/>
        <v>0</v>
      </c>
      <c r="J30" s="145">
        <f t="shared" si="18"/>
        <v>125972</v>
      </c>
      <c r="K30" s="129">
        <f t="shared" si="14"/>
        <v>0</v>
      </c>
      <c r="L30" s="148">
        <f t="shared" si="19"/>
        <v>358285</v>
      </c>
      <c r="M30" s="38">
        <f>IF((L30-L29)&lt;0,"0",(L30-L29))</f>
        <v>0</v>
      </c>
      <c r="N30" s="145">
        <f t="shared" si="20"/>
        <v>6934742</v>
      </c>
      <c r="O30" s="38">
        <f>(IF((N30-N29)&lt;0,"0",(N30-N29)))*2</f>
        <v>0</v>
      </c>
      <c r="P30" s="148">
        <f t="shared" si="21"/>
        <v>7162208</v>
      </c>
      <c r="Q30" s="38">
        <f>IF((P30-P29)&lt;0,"0",(P30-P29))</f>
        <v>0</v>
      </c>
      <c r="R30" s="145">
        <f t="shared" si="22"/>
        <v>21635997</v>
      </c>
      <c r="S30" s="38">
        <f>IF((R30-R29)&lt;0,"0",(R30-R29))</f>
        <v>0</v>
      </c>
      <c r="T30" s="145">
        <v>0</v>
      </c>
      <c r="U30" s="149"/>
      <c r="V30" s="145">
        <f t="shared" si="23"/>
        <v>9709562</v>
      </c>
      <c r="W30" s="38">
        <f>IF((V30-V29)&lt;0,"0",(V30-V29))</f>
        <v>0</v>
      </c>
      <c r="X30" s="19">
        <f t="shared" si="11"/>
        <v>0</v>
      </c>
      <c r="Y30" s="150">
        <f t="shared" si="12"/>
        <v>0</v>
      </c>
      <c r="Z30" s="3">
        <f t="shared" si="13"/>
        <v>0</v>
      </c>
      <c r="AA30" s="3">
        <f>SUM(Z1:Z30)</f>
        <v>111692.97570079999</v>
      </c>
    </row>
    <row r="31" spans="1:27" ht="16.5" thickBot="1" x14ac:dyDescent="0.3">
      <c r="A31" s="9">
        <v>44771</v>
      </c>
      <c r="B31" s="38"/>
      <c r="C31" s="144">
        <f t="shared" si="16"/>
        <v>19839</v>
      </c>
      <c r="D31" s="38">
        <f t="shared" ref="D31:D33" si="35">IF((C31-C30)&lt;0,"0",(C31-C30))*160</f>
        <v>0</v>
      </c>
      <c r="E31" s="145"/>
      <c r="F31" s="38">
        <f t="shared" ref="F31:F33" si="36">IF((E31-E30)&lt;0,"0",(E31-E30))</f>
        <v>0</v>
      </c>
      <c r="G31" s="146">
        <f t="shared" si="17"/>
        <v>1729257</v>
      </c>
      <c r="H31" s="38">
        <f t="shared" si="5"/>
        <v>0</v>
      </c>
      <c r="I31" s="147">
        <f t="shared" ref="I31:I33" si="37">F31+H31</f>
        <v>0</v>
      </c>
      <c r="J31" s="145">
        <f t="shared" si="18"/>
        <v>125972</v>
      </c>
      <c r="K31" s="129">
        <f t="shared" si="14"/>
        <v>0</v>
      </c>
      <c r="L31" s="148">
        <f t="shared" si="19"/>
        <v>358285</v>
      </c>
      <c r="M31" s="38">
        <f t="shared" ref="M31:M33" si="38">IF((L31-L30)&lt;0,"0",(L31-L30))</f>
        <v>0</v>
      </c>
      <c r="N31" s="145">
        <f t="shared" si="20"/>
        <v>6934742</v>
      </c>
      <c r="O31" s="38">
        <f t="shared" ref="O31:O33" si="39">(IF((N31-N30)&lt;0,"0",(N31-N30)))*2</f>
        <v>0</v>
      </c>
      <c r="P31" s="148">
        <f t="shared" si="21"/>
        <v>7162208</v>
      </c>
      <c r="Q31" s="38">
        <f t="shared" ref="Q31:Q33" si="40">IF((P31-P30)&lt;0,"0",(P31-P30))</f>
        <v>0</v>
      </c>
      <c r="R31" s="145">
        <f t="shared" si="22"/>
        <v>21635997</v>
      </c>
      <c r="S31" s="38">
        <f t="shared" ref="S31:S33" si="41">IF((R31-R30)&lt;0,"0",(R31-R30))</f>
        <v>0</v>
      </c>
      <c r="T31" s="145">
        <v>0</v>
      </c>
      <c r="U31" s="149"/>
      <c r="V31" s="145">
        <f t="shared" si="23"/>
        <v>9709562</v>
      </c>
      <c r="W31" s="38">
        <f t="shared" ref="W31:W33" si="42">IF((V31-V30)&lt;0,"0",(V31-V30))</f>
        <v>0</v>
      </c>
      <c r="X31" s="19">
        <f t="shared" ref="X31:X33" si="43">K31+M31+O31+Q31+S31+U31+W31</f>
        <v>0</v>
      </c>
      <c r="Y31" s="150">
        <f t="shared" ref="Y31:Y33" si="44">I31-X31</f>
        <v>0</v>
      </c>
      <c r="Z31" s="3">
        <f t="shared" ref="Z31:Z33" si="45">(0.93352*(W31+S31)+0.5568*(Q31+O31))*0.26</f>
        <v>0</v>
      </c>
      <c r="AA31" s="3">
        <f>SUM(Z1:Z31)</f>
        <v>111692.97570079999</v>
      </c>
    </row>
    <row r="32" spans="1:27" ht="16.5" thickBot="1" x14ac:dyDescent="0.3">
      <c r="A32" s="9">
        <v>44772</v>
      </c>
      <c r="B32" s="38"/>
      <c r="C32" s="144">
        <f t="shared" si="16"/>
        <v>19839</v>
      </c>
      <c r="D32" s="38">
        <f t="shared" si="35"/>
        <v>0</v>
      </c>
      <c r="E32" s="145"/>
      <c r="F32" s="38">
        <f t="shared" si="36"/>
        <v>0</v>
      </c>
      <c r="G32" s="146">
        <f t="shared" si="17"/>
        <v>1729257</v>
      </c>
      <c r="H32" s="38">
        <f t="shared" si="5"/>
        <v>0</v>
      </c>
      <c r="I32" s="147">
        <f t="shared" si="37"/>
        <v>0</v>
      </c>
      <c r="J32" s="145">
        <f t="shared" si="18"/>
        <v>125972</v>
      </c>
      <c r="K32" s="129">
        <f t="shared" si="14"/>
        <v>0</v>
      </c>
      <c r="L32" s="148">
        <f t="shared" si="19"/>
        <v>358285</v>
      </c>
      <c r="M32" s="38">
        <f t="shared" si="38"/>
        <v>0</v>
      </c>
      <c r="N32" s="145">
        <f t="shared" si="20"/>
        <v>6934742</v>
      </c>
      <c r="O32" s="38">
        <f t="shared" si="39"/>
        <v>0</v>
      </c>
      <c r="P32" s="148">
        <f t="shared" si="21"/>
        <v>7162208</v>
      </c>
      <c r="Q32" s="38">
        <f t="shared" si="40"/>
        <v>0</v>
      </c>
      <c r="R32" s="145">
        <f t="shared" si="22"/>
        <v>21635997</v>
      </c>
      <c r="S32" s="38">
        <f t="shared" si="41"/>
        <v>0</v>
      </c>
      <c r="T32" s="145">
        <v>0</v>
      </c>
      <c r="U32" s="149"/>
      <c r="V32" s="145">
        <f t="shared" si="23"/>
        <v>9709562</v>
      </c>
      <c r="W32" s="38">
        <f t="shared" si="42"/>
        <v>0</v>
      </c>
      <c r="X32" s="19">
        <f t="shared" si="43"/>
        <v>0</v>
      </c>
      <c r="Y32" s="150">
        <f t="shared" si="44"/>
        <v>0</v>
      </c>
      <c r="Z32" s="3">
        <f t="shared" si="45"/>
        <v>0</v>
      </c>
      <c r="AA32" s="3">
        <f>SUM(Z1:Z32)</f>
        <v>111692.97570079999</v>
      </c>
    </row>
    <row r="33" spans="1:27" ht="16.5" thickBot="1" x14ac:dyDescent="0.3">
      <c r="A33" s="9">
        <v>44773</v>
      </c>
      <c r="B33" s="38"/>
      <c r="C33" s="144">
        <f t="shared" si="16"/>
        <v>19839</v>
      </c>
      <c r="D33" s="38">
        <f t="shared" si="35"/>
        <v>0</v>
      </c>
      <c r="E33" s="145"/>
      <c r="F33" s="38">
        <f t="shared" si="36"/>
        <v>0</v>
      </c>
      <c r="G33" s="146">
        <f t="shared" si="17"/>
        <v>1729257</v>
      </c>
      <c r="H33" s="38">
        <f t="shared" si="5"/>
        <v>0</v>
      </c>
      <c r="I33" s="147">
        <f t="shared" si="37"/>
        <v>0</v>
      </c>
      <c r="J33" s="145">
        <f t="shared" si="18"/>
        <v>125972</v>
      </c>
      <c r="K33" s="129">
        <f t="shared" si="14"/>
        <v>0</v>
      </c>
      <c r="L33" s="148">
        <f t="shared" si="19"/>
        <v>358285</v>
      </c>
      <c r="M33" s="38">
        <f t="shared" si="38"/>
        <v>0</v>
      </c>
      <c r="N33" s="145">
        <f t="shared" si="20"/>
        <v>6934742</v>
      </c>
      <c r="O33" s="38">
        <f t="shared" si="39"/>
        <v>0</v>
      </c>
      <c r="P33" s="148">
        <f t="shared" si="21"/>
        <v>7162208</v>
      </c>
      <c r="Q33" s="38">
        <f t="shared" si="40"/>
        <v>0</v>
      </c>
      <c r="R33" s="145">
        <f t="shared" si="22"/>
        <v>21635997</v>
      </c>
      <c r="S33" s="38">
        <f t="shared" si="41"/>
        <v>0</v>
      </c>
      <c r="T33" s="145">
        <v>0</v>
      </c>
      <c r="U33" s="55"/>
      <c r="V33" s="145">
        <f t="shared" si="23"/>
        <v>9709562</v>
      </c>
      <c r="W33" s="38">
        <f t="shared" si="42"/>
        <v>0</v>
      </c>
      <c r="X33" s="19">
        <f t="shared" si="43"/>
        <v>0</v>
      </c>
      <c r="Y33" s="150">
        <f t="shared" si="44"/>
        <v>0</v>
      </c>
      <c r="Z33" s="3">
        <f t="shared" si="45"/>
        <v>0</v>
      </c>
      <c r="AA33" s="3">
        <f>SUM(Z2:Z33)</f>
        <v>111692.97570079999</v>
      </c>
    </row>
    <row r="34" spans="1:27" ht="16.5" thickBot="1" x14ac:dyDescent="0.3">
      <c r="A34" s="136" t="s">
        <v>23</v>
      </c>
      <c r="B34" s="136">
        <f>SUM(B4:B33)</f>
        <v>1337</v>
      </c>
      <c r="C34" s="136">
        <v>0</v>
      </c>
      <c r="D34" s="136">
        <v>640</v>
      </c>
      <c r="E34" s="55">
        <v>0</v>
      </c>
      <c r="F34" s="55">
        <v>36565</v>
      </c>
      <c r="G34" s="55">
        <v>0</v>
      </c>
      <c r="H34" s="55">
        <v>66128</v>
      </c>
      <c r="I34" s="55">
        <v>92693</v>
      </c>
      <c r="J34" s="55">
        <v>0</v>
      </c>
      <c r="K34" s="55">
        <f>SUM(K3:K33)</f>
        <v>103880</v>
      </c>
      <c r="L34" s="55">
        <v>0</v>
      </c>
      <c r="M34" s="55">
        <v>8135</v>
      </c>
      <c r="N34" s="55">
        <v>0</v>
      </c>
      <c r="O34" s="55">
        <v>18194</v>
      </c>
      <c r="P34" s="55">
        <v>0</v>
      </c>
      <c r="Q34" s="55">
        <v>16546</v>
      </c>
      <c r="R34" s="55">
        <v>0</v>
      </c>
      <c r="S34" s="55">
        <v>13008</v>
      </c>
      <c r="T34" s="55">
        <f>SUM(T4:T33)</f>
        <v>0</v>
      </c>
      <c r="U34" s="55">
        <f>SUM(U4:U33)</f>
        <v>0</v>
      </c>
      <c r="V34" s="55">
        <v>0</v>
      </c>
      <c r="W34" s="55">
        <v>14363</v>
      </c>
      <c r="X34" s="55">
        <v>84670</v>
      </c>
      <c r="Y34" s="55">
        <f>SUM(Y4:Y33)</f>
        <v>-43769</v>
      </c>
      <c r="Z34" s="55">
        <f>SUM(Z4:Z33)</f>
        <v>100020.3776416</v>
      </c>
      <c r="AA34" s="55">
        <f>SUM(AA4:AA33)</f>
        <v>2961678.5572191994</v>
      </c>
    </row>
    <row r="35" spans="1:27" x14ac:dyDescent="0.25">
      <c r="H35" s="165"/>
    </row>
    <row r="36" spans="1:27" x14ac:dyDescent="0.25">
      <c r="D36" s="163"/>
      <c r="H36" s="165"/>
    </row>
    <row r="37" spans="1:27" x14ac:dyDescent="0.25">
      <c r="E37" s="165"/>
      <c r="F37" s="165"/>
    </row>
    <row r="39" spans="1:27" x14ac:dyDescent="0.25">
      <c r="E39" s="165"/>
      <c r="H39" s="165"/>
      <c r="L39" s="165"/>
    </row>
    <row r="42" spans="1:27" x14ac:dyDescent="0.25">
      <c r="J42" s="165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I11" sqref="I11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44742</v>
      </c>
      <c r="B2" s="3">
        <v>453330</v>
      </c>
      <c r="C2" s="38"/>
      <c r="D2" s="3">
        <v>10231</v>
      </c>
      <c r="E2" s="38"/>
      <c r="F2" s="3">
        <v>9886600</v>
      </c>
      <c r="G2" s="38"/>
      <c r="H2" s="3">
        <v>799520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44743</v>
      </c>
      <c r="B3" s="3">
        <v>453418</v>
      </c>
      <c r="C3" s="38">
        <f t="shared" ref="C3:E18" si="2">(IF((B3-B2)&lt;0,"0",(B3-B2)))*10</f>
        <v>880</v>
      </c>
      <c r="D3" s="3">
        <v>10273</v>
      </c>
      <c r="E3" s="38">
        <f t="shared" si="2"/>
        <v>420</v>
      </c>
      <c r="F3" s="3">
        <v>9911100</v>
      </c>
      <c r="G3" s="38">
        <f>(IF((F3-F2)&lt;0,"0",(F3-F2)))*0.027</f>
        <v>661.5</v>
      </c>
      <c r="H3" s="3">
        <v>799651</v>
      </c>
      <c r="I3" s="43">
        <f>(IF((H3-H2)&lt;0,"0",(H3-H2)))*0.027</f>
        <v>3.5369999999999999</v>
      </c>
      <c r="J3" s="19">
        <f>C3+E3+G3+I3</f>
        <v>1965.037</v>
      </c>
      <c r="K3" s="20">
        <f>J3*5.86</f>
        <v>11515.116820000001</v>
      </c>
    </row>
    <row r="4" spans="1:14" ht="16.5" thickBot="1" x14ac:dyDescent="0.3">
      <c r="A4" s="9">
        <v>44744</v>
      </c>
      <c r="B4" s="3">
        <v>453520</v>
      </c>
      <c r="C4" s="38">
        <f t="shared" si="2"/>
        <v>1020</v>
      </c>
      <c r="D4" s="3">
        <v>10319</v>
      </c>
      <c r="E4" s="38">
        <f t="shared" si="2"/>
        <v>460</v>
      </c>
      <c r="F4" s="3">
        <v>9926000</v>
      </c>
      <c r="G4" s="38">
        <f>(IF((F4-F3)&lt;0,"0",(F4-F3)))*0.027</f>
        <v>402.3</v>
      </c>
      <c r="H4" s="3">
        <v>799843</v>
      </c>
      <c r="I4" s="43">
        <f>(IF((H4-H3)&lt;0,"0",(H4-H3)))*0.027</f>
        <v>5.1840000000000002</v>
      </c>
      <c r="J4" s="19">
        <f t="shared" ref="J4:J33" si="3">C4+E4+G4+I4</f>
        <v>1887.4839999999999</v>
      </c>
      <c r="K4" s="20">
        <f t="shared" ref="K4:K33" si="4">J4*5.86</f>
        <v>11060.65624</v>
      </c>
    </row>
    <row r="5" spans="1:14" ht="16.5" thickBot="1" x14ac:dyDescent="0.3">
      <c r="A5" s="9">
        <v>44745</v>
      </c>
      <c r="B5" s="3">
        <v>453620</v>
      </c>
      <c r="C5" s="38">
        <f t="shared" si="2"/>
        <v>1000</v>
      </c>
      <c r="D5" s="3">
        <v>10365</v>
      </c>
      <c r="E5" s="38">
        <f t="shared" si="2"/>
        <v>460</v>
      </c>
      <c r="F5" s="3">
        <v>9943200</v>
      </c>
      <c r="G5" s="38">
        <f t="shared" ref="G5:G33" si="5">(IF((F5-F4)&lt;0,"0",(F5-F4)))*0.027</f>
        <v>464.4</v>
      </c>
      <c r="H5" s="3">
        <v>800021</v>
      </c>
      <c r="I5" s="43">
        <f t="shared" ref="I5:I33" si="6">(IF((H5-H4)&lt;0,"0",(H5-H4)))*0.027</f>
        <v>4.806</v>
      </c>
      <c r="J5" s="19">
        <f t="shared" si="3"/>
        <v>1929.2060000000001</v>
      </c>
      <c r="K5" s="20">
        <f t="shared" si="4"/>
        <v>11305.147160000002</v>
      </c>
    </row>
    <row r="6" spans="1:14" ht="16.5" thickBot="1" x14ac:dyDescent="0.3">
      <c r="A6" s="9">
        <v>44746</v>
      </c>
      <c r="B6" s="3">
        <v>453725</v>
      </c>
      <c r="C6" s="38">
        <f t="shared" si="2"/>
        <v>1050</v>
      </c>
      <c r="D6" s="3">
        <v>10409</v>
      </c>
      <c r="E6" s="38">
        <f t="shared" si="2"/>
        <v>440</v>
      </c>
      <c r="F6" s="3">
        <v>9963700</v>
      </c>
      <c r="G6" s="38">
        <f t="shared" si="5"/>
        <v>553.5</v>
      </c>
      <c r="H6" s="3">
        <v>800194</v>
      </c>
      <c r="I6" s="43">
        <f t="shared" si="6"/>
        <v>4.6710000000000003</v>
      </c>
      <c r="J6" s="19">
        <f t="shared" si="3"/>
        <v>2048.1709999999998</v>
      </c>
      <c r="K6" s="20">
        <f t="shared" si="4"/>
        <v>12002.28206</v>
      </c>
    </row>
    <row r="7" spans="1:14" ht="16.5" thickBot="1" x14ac:dyDescent="0.3">
      <c r="A7" s="9">
        <v>44747</v>
      </c>
      <c r="B7" s="3">
        <v>453833</v>
      </c>
      <c r="C7" s="38">
        <f t="shared" si="2"/>
        <v>1080</v>
      </c>
      <c r="D7" s="3">
        <v>10456</v>
      </c>
      <c r="E7" s="38">
        <f t="shared" si="2"/>
        <v>470</v>
      </c>
      <c r="F7" s="3">
        <v>9986200</v>
      </c>
      <c r="G7" s="38">
        <f t="shared" si="5"/>
        <v>607.5</v>
      </c>
      <c r="H7" s="3">
        <v>800392</v>
      </c>
      <c r="I7" s="43">
        <f t="shared" si="6"/>
        <v>5.3460000000000001</v>
      </c>
      <c r="J7" s="19">
        <f t="shared" si="3"/>
        <v>2162.846</v>
      </c>
      <c r="K7" s="20">
        <f t="shared" si="4"/>
        <v>12674.27756</v>
      </c>
      <c r="L7" t="s">
        <v>12</v>
      </c>
      <c r="N7" t="s">
        <v>12</v>
      </c>
    </row>
    <row r="8" spans="1:14" ht="16.5" thickBot="1" x14ac:dyDescent="0.3">
      <c r="A8" s="9">
        <v>44748</v>
      </c>
      <c r="B8" s="3">
        <v>453940</v>
      </c>
      <c r="C8" s="38">
        <f t="shared" si="2"/>
        <v>1070</v>
      </c>
      <c r="D8" s="3">
        <v>10504</v>
      </c>
      <c r="E8" s="38">
        <f t="shared" si="2"/>
        <v>480</v>
      </c>
      <c r="F8" s="3">
        <v>10007800</v>
      </c>
      <c r="G8" s="38">
        <f t="shared" si="5"/>
        <v>583.20000000000005</v>
      </c>
      <c r="H8" s="3">
        <v>800552</v>
      </c>
      <c r="I8" s="43">
        <f t="shared" si="6"/>
        <v>4.32</v>
      </c>
      <c r="J8" s="19">
        <f t="shared" si="3"/>
        <v>2137.52</v>
      </c>
      <c r="K8" s="20">
        <f t="shared" si="4"/>
        <v>12525.867200000001</v>
      </c>
    </row>
    <row r="9" spans="1:14" ht="16.5" thickBot="1" x14ac:dyDescent="0.3">
      <c r="A9" s="9">
        <v>44749</v>
      </c>
      <c r="B9" s="3">
        <v>454047</v>
      </c>
      <c r="C9" s="38">
        <f t="shared" ref="C9:C33" si="7">(IF((B9-B8)&lt;0,"0",(B9-B8)))*10</f>
        <v>1070</v>
      </c>
      <c r="D9" s="3">
        <v>10552</v>
      </c>
      <c r="E9" s="38">
        <f t="shared" si="2"/>
        <v>480</v>
      </c>
      <c r="F9" s="3">
        <v>10028200</v>
      </c>
      <c r="G9" s="38">
        <f t="shared" si="5"/>
        <v>550.79999999999995</v>
      </c>
      <c r="H9" s="3">
        <v>800716</v>
      </c>
      <c r="I9" s="43">
        <f t="shared" si="6"/>
        <v>4.4279999999999999</v>
      </c>
      <c r="J9" s="19">
        <f t="shared" si="3"/>
        <v>2105.2280000000001</v>
      </c>
      <c r="K9" s="20">
        <f t="shared" si="4"/>
        <v>12336.63608</v>
      </c>
    </row>
    <row r="10" spans="1:14" ht="16.5" thickBot="1" x14ac:dyDescent="0.3">
      <c r="A10" s="9">
        <v>44750</v>
      </c>
      <c r="B10" s="3">
        <v>454154</v>
      </c>
      <c r="C10" s="38">
        <f>(IF((B10-B9)&lt;0,"0",(B10-B9)))*10</f>
        <v>1070</v>
      </c>
      <c r="D10" s="3">
        <v>10600</v>
      </c>
      <c r="E10" s="38">
        <f t="shared" si="2"/>
        <v>480</v>
      </c>
      <c r="F10" s="3">
        <v>10048600</v>
      </c>
      <c r="G10" s="38">
        <f t="shared" si="5"/>
        <v>550.79999999999995</v>
      </c>
      <c r="H10" s="3">
        <v>800880</v>
      </c>
      <c r="I10" s="43">
        <f t="shared" si="6"/>
        <v>4.4279999999999999</v>
      </c>
      <c r="J10" s="19">
        <f t="shared" si="3"/>
        <v>2105.2280000000001</v>
      </c>
      <c r="K10" s="20">
        <f t="shared" si="4"/>
        <v>12336.63608</v>
      </c>
    </row>
    <row r="11" spans="1:14" ht="16.5" thickBot="1" x14ac:dyDescent="0.3">
      <c r="A11" s="9">
        <v>44751</v>
      </c>
      <c r="B11" s="3">
        <v>454262</v>
      </c>
      <c r="C11" s="38">
        <f t="shared" si="7"/>
        <v>1080</v>
      </c>
      <c r="D11" s="3">
        <v>10653</v>
      </c>
      <c r="E11" s="38">
        <f t="shared" si="2"/>
        <v>530</v>
      </c>
      <c r="F11" s="3">
        <v>10068100</v>
      </c>
      <c r="G11" s="38">
        <f t="shared" si="5"/>
        <v>526.5</v>
      </c>
      <c r="H11" s="3">
        <v>800994</v>
      </c>
      <c r="I11" s="43">
        <f t="shared" si="6"/>
        <v>3.0779999999999998</v>
      </c>
      <c r="J11" s="19">
        <f t="shared" si="3"/>
        <v>2139.578</v>
      </c>
      <c r="K11" s="20">
        <f t="shared" si="4"/>
        <v>12537.927080000001</v>
      </c>
      <c r="N11" t="s">
        <v>12</v>
      </c>
    </row>
    <row r="12" spans="1:14" ht="16.5" thickBot="1" x14ac:dyDescent="0.3">
      <c r="A12" s="9">
        <v>44752</v>
      </c>
      <c r="B12" s="3"/>
      <c r="C12" s="38">
        <f t="shared" si="7"/>
        <v>0</v>
      </c>
      <c r="D12" s="3"/>
      <c r="E12" s="38">
        <f t="shared" si="2"/>
        <v>0</v>
      </c>
      <c r="F12" s="3"/>
      <c r="G12" s="38">
        <f t="shared" si="5"/>
        <v>0</v>
      </c>
      <c r="H12" s="3"/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44753</v>
      </c>
      <c r="B13" s="3"/>
      <c r="C13" s="38">
        <f t="shared" si="7"/>
        <v>0</v>
      </c>
      <c r="D13" s="3"/>
      <c r="E13" s="38">
        <f t="shared" si="2"/>
        <v>0</v>
      </c>
      <c r="F13" s="3"/>
      <c r="G13" s="38">
        <f t="shared" si="5"/>
        <v>0</v>
      </c>
      <c r="H13" s="3"/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44754</v>
      </c>
      <c r="B14" s="3"/>
      <c r="C14" s="38">
        <f t="shared" si="7"/>
        <v>0</v>
      </c>
      <c r="D14" s="3"/>
      <c r="E14" s="38">
        <f t="shared" si="2"/>
        <v>0</v>
      </c>
      <c r="F14" s="3"/>
      <c r="G14" s="38">
        <f t="shared" si="5"/>
        <v>0</v>
      </c>
      <c r="H14" s="3"/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44755</v>
      </c>
      <c r="B15" s="3"/>
      <c r="C15" s="38">
        <f t="shared" si="7"/>
        <v>0</v>
      </c>
      <c r="D15" s="3"/>
      <c r="E15" s="38">
        <f t="shared" si="2"/>
        <v>0</v>
      </c>
      <c r="F15" s="3"/>
      <c r="G15" s="38">
        <f t="shared" si="5"/>
        <v>0</v>
      </c>
      <c r="H15" s="3"/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44756</v>
      </c>
      <c r="B16" s="3"/>
      <c r="C16" s="38">
        <f t="shared" si="7"/>
        <v>0</v>
      </c>
      <c r="D16" s="3"/>
      <c r="E16" s="38">
        <f t="shared" si="2"/>
        <v>0</v>
      </c>
      <c r="F16" s="3"/>
      <c r="G16" s="38">
        <f t="shared" si="5"/>
        <v>0</v>
      </c>
      <c r="H16" s="3"/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44757</v>
      </c>
      <c r="B17" s="3"/>
      <c r="C17" s="38">
        <f t="shared" si="7"/>
        <v>0</v>
      </c>
      <c r="D17" s="3"/>
      <c r="E17" s="38">
        <f t="shared" si="2"/>
        <v>0</v>
      </c>
      <c r="F17" s="3"/>
      <c r="G17" s="38">
        <f t="shared" si="5"/>
        <v>0</v>
      </c>
      <c r="H17" s="3"/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44758</v>
      </c>
      <c r="B18" s="3"/>
      <c r="C18" s="38">
        <f t="shared" si="7"/>
        <v>0</v>
      </c>
      <c r="D18" s="3"/>
      <c r="E18" s="38">
        <f t="shared" si="2"/>
        <v>0</v>
      </c>
      <c r="F18" s="3"/>
      <c r="G18" s="38">
        <f t="shared" si="5"/>
        <v>0</v>
      </c>
      <c r="H18" s="3"/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44759</v>
      </c>
      <c r="B19" s="3"/>
      <c r="C19" s="38">
        <f t="shared" si="7"/>
        <v>0</v>
      </c>
      <c r="D19" s="3"/>
      <c r="E19" s="38">
        <f t="shared" ref="E19:E33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44760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44761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44762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44763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44764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44765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44766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44767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44768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44769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44770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44771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44772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9">
        <v>44773</v>
      </c>
      <c r="B33" s="3"/>
      <c r="C33" s="38">
        <f t="shared" si="7"/>
        <v>0</v>
      </c>
      <c r="D33" s="3"/>
      <c r="E33" s="38">
        <f t="shared" si="8"/>
        <v>0</v>
      </c>
      <c r="F33" s="3"/>
      <c r="G33" s="38">
        <f t="shared" si="5"/>
        <v>0</v>
      </c>
      <c r="H33" s="3"/>
      <c r="I33" s="43">
        <f t="shared" si="6"/>
        <v>0</v>
      </c>
      <c r="J33" s="19">
        <f t="shared" si="3"/>
        <v>0</v>
      </c>
      <c r="K33" s="20">
        <f t="shared" si="4"/>
        <v>0</v>
      </c>
    </row>
    <row r="34" spans="1:11" ht="16.5" thickBot="1" x14ac:dyDescent="0.3">
      <c r="A34" s="55" t="s">
        <v>23</v>
      </c>
      <c r="B34" s="55"/>
      <c r="C34" s="55">
        <v>880</v>
      </c>
      <c r="D34" s="55"/>
      <c r="E34" s="55">
        <v>420</v>
      </c>
      <c r="F34" s="55"/>
      <c r="G34" s="55">
        <v>662</v>
      </c>
      <c r="H34" s="3"/>
      <c r="I34" s="55">
        <v>3</v>
      </c>
      <c r="J34" s="55">
        <v>0</v>
      </c>
      <c r="K34" s="55">
        <f>SUM(K4:K33)</f>
        <v>96779.429460000014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ySplit="1" topLeftCell="A2" activePane="bottomLeft" state="frozen"/>
      <selection pane="bottomLeft" activeCell="B11" sqref="B11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44742</v>
      </c>
      <c r="B2" s="132">
        <v>18364753</v>
      </c>
      <c r="C2" s="44"/>
    </row>
    <row r="3" spans="1:9" ht="24" thickBot="1" x14ac:dyDescent="0.4">
      <c r="A3" s="9">
        <v>44743</v>
      </c>
      <c r="B3" s="132">
        <v>18366787</v>
      </c>
      <c r="C3" s="44">
        <f>IF((B3-B2)&lt;0,"0",(B3-B2))</f>
        <v>2034</v>
      </c>
    </row>
    <row r="4" spans="1:9" ht="24" thickBot="1" x14ac:dyDescent="0.4">
      <c r="A4" s="9">
        <v>44744</v>
      </c>
      <c r="B4" s="132">
        <v>18368985</v>
      </c>
      <c r="C4" s="44">
        <f t="shared" ref="C4:C33" si="0">IF((B4-B3)&lt;0,"0",(B4-B3))</f>
        <v>2198</v>
      </c>
    </row>
    <row r="5" spans="1:9" ht="24" thickBot="1" x14ac:dyDescent="0.4">
      <c r="A5" s="9">
        <v>44745</v>
      </c>
      <c r="B5" s="132">
        <v>18370040</v>
      </c>
      <c r="C5" s="44">
        <f t="shared" si="0"/>
        <v>1055</v>
      </c>
    </row>
    <row r="6" spans="1:9" ht="24" thickBot="1" x14ac:dyDescent="0.4">
      <c r="A6" s="9">
        <v>44746</v>
      </c>
      <c r="B6" s="132">
        <v>18372145</v>
      </c>
      <c r="C6" s="44">
        <f t="shared" si="0"/>
        <v>2105</v>
      </c>
    </row>
    <row r="7" spans="1:9" ht="24" thickBot="1" x14ac:dyDescent="0.4">
      <c r="A7" s="9">
        <v>44747</v>
      </c>
      <c r="B7" s="132">
        <v>18375471</v>
      </c>
      <c r="C7" s="44">
        <f t="shared" si="0"/>
        <v>3326</v>
      </c>
    </row>
    <row r="8" spans="1:9" ht="24" thickBot="1" x14ac:dyDescent="0.4">
      <c r="A8" s="9">
        <v>44748</v>
      </c>
      <c r="B8" s="132">
        <v>18377581</v>
      </c>
      <c r="C8" s="44">
        <f t="shared" si="0"/>
        <v>2110</v>
      </c>
    </row>
    <row r="9" spans="1:9" ht="24" thickBot="1" x14ac:dyDescent="0.4">
      <c r="A9" s="9">
        <v>44749</v>
      </c>
      <c r="B9" s="132">
        <v>18379784</v>
      </c>
      <c r="C9" s="44">
        <f t="shared" si="0"/>
        <v>2203</v>
      </c>
    </row>
    <row r="10" spans="1:9" ht="24" thickBot="1" x14ac:dyDescent="0.4">
      <c r="A10" s="9">
        <v>44750</v>
      </c>
      <c r="B10" s="132">
        <v>18382201</v>
      </c>
      <c r="C10" s="44">
        <f t="shared" si="0"/>
        <v>2417</v>
      </c>
    </row>
    <row r="11" spans="1:9" ht="24" thickBot="1" x14ac:dyDescent="0.4">
      <c r="A11" s="9">
        <v>44751</v>
      </c>
      <c r="B11" s="132">
        <v>18384102</v>
      </c>
      <c r="C11" s="44">
        <f t="shared" si="0"/>
        <v>1901</v>
      </c>
    </row>
    <row r="12" spans="1:9" ht="24" thickBot="1" x14ac:dyDescent="0.4">
      <c r="A12" s="9">
        <v>44752</v>
      </c>
      <c r="B12" s="132"/>
      <c r="C12" s="44" t="str">
        <f t="shared" si="0"/>
        <v>0</v>
      </c>
    </row>
    <row r="13" spans="1:9" ht="24" thickBot="1" x14ac:dyDescent="0.4">
      <c r="A13" s="9">
        <v>44753</v>
      </c>
      <c r="B13" s="132"/>
      <c r="C13" s="44">
        <f t="shared" si="0"/>
        <v>0</v>
      </c>
    </row>
    <row r="14" spans="1:9" ht="24" thickBot="1" x14ac:dyDescent="0.4">
      <c r="A14" s="9">
        <v>44754</v>
      </c>
      <c r="B14" s="132"/>
      <c r="C14" s="44">
        <f t="shared" si="0"/>
        <v>0</v>
      </c>
    </row>
    <row r="15" spans="1:9" ht="24" thickBot="1" x14ac:dyDescent="0.4">
      <c r="A15" s="9">
        <v>44755</v>
      </c>
      <c r="B15" s="132"/>
      <c r="C15" s="44">
        <f t="shared" si="0"/>
        <v>0</v>
      </c>
      <c r="I15" t="s">
        <v>12</v>
      </c>
    </row>
    <row r="16" spans="1:9" ht="26.25" customHeight="1" thickBot="1" x14ac:dyDescent="0.4">
      <c r="A16" s="9">
        <v>44756</v>
      </c>
      <c r="B16" s="132"/>
      <c r="C16" s="44">
        <f t="shared" si="0"/>
        <v>0</v>
      </c>
      <c r="F16" s="155"/>
    </row>
    <row r="17" spans="1:9" ht="25.5" customHeight="1" thickBot="1" x14ac:dyDescent="0.4">
      <c r="A17" s="9">
        <v>44757</v>
      </c>
      <c r="B17" s="132"/>
      <c r="C17" s="44">
        <f t="shared" si="0"/>
        <v>0</v>
      </c>
    </row>
    <row r="18" spans="1:9" ht="24" thickBot="1" x14ac:dyDescent="0.4">
      <c r="A18" s="9">
        <v>44758</v>
      </c>
      <c r="B18" s="132"/>
      <c r="C18" s="44">
        <f t="shared" si="0"/>
        <v>0</v>
      </c>
      <c r="I18" s="34"/>
    </row>
    <row r="19" spans="1:9" ht="24" thickBot="1" x14ac:dyDescent="0.4">
      <c r="A19" s="9">
        <v>44759</v>
      </c>
      <c r="B19" s="132"/>
      <c r="C19" s="44">
        <f t="shared" si="0"/>
        <v>0</v>
      </c>
    </row>
    <row r="20" spans="1:9" ht="24" thickBot="1" x14ac:dyDescent="0.4">
      <c r="A20" s="9">
        <v>44760</v>
      </c>
      <c r="B20" s="132"/>
      <c r="C20" s="44">
        <f t="shared" si="0"/>
        <v>0</v>
      </c>
    </row>
    <row r="21" spans="1:9" ht="24" thickBot="1" x14ac:dyDescent="0.4">
      <c r="A21" s="9">
        <v>44761</v>
      </c>
      <c r="B21" s="132"/>
      <c r="C21" s="44">
        <f t="shared" si="0"/>
        <v>0</v>
      </c>
    </row>
    <row r="22" spans="1:9" ht="24" thickBot="1" x14ac:dyDescent="0.4">
      <c r="A22" s="9">
        <v>44762</v>
      </c>
      <c r="B22" s="132"/>
      <c r="C22" s="44">
        <f t="shared" si="0"/>
        <v>0</v>
      </c>
    </row>
    <row r="23" spans="1:9" ht="24" thickBot="1" x14ac:dyDescent="0.4">
      <c r="A23" s="9">
        <v>44763</v>
      </c>
      <c r="B23" s="132"/>
      <c r="C23" s="44">
        <f t="shared" si="0"/>
        <v>0</v>
      </c>
      <c r="F23" t="s">
        <v>12</v>
      </c>
    </row>
    <row r="24" spans="1:9" ht="24" thickBot="1" x14ac:dyDescent="0.4">
      <c r="A24" s="9">
        <v>44764</v>
      </c>
      <c r="B24" s="132"/>
      <c r="C24" s="44">
        <f t="shared" si="0"/>
        <v>0</v>
      </c>
      <c r="E24" t="s">
        <v>12</v>
      </c>
    </row>
    <row r="25" spans="1:9" ht="24" thickBot="1" x14ac:dyDescent="0.4">
      <c r="A25" s="9">
        <v>44765</v>
      </c>
      <c r="B25" s="132"/>
      <c r="C25" s="44">
        <f t="shared" si="0"/>
        <v>0</v>
      </c>
    </row>
    <row r="26" spans="1:9" ht="24" thickBot="1" x14ac:dyDescent="0.4">
      <c r="A26" s="9">
        <v>44766</v>
      </c>
      <c r="B26" s="132"/>
      <c r="C26" s="44">
        <f t="shared" si="0"/>
        <v>0</v>
      </c>
    </row>
    <row r="27" spans="1:9" ht="24" thickBot="1" x14ac:dyDescent="0.4">
      <c r="A27" s="9">
        <v>44767</v>
      </c>
      <c r="B27" s="132"/>
      <c r="C27" s="44">
        <f t="shared" si="0"/>
        <v>0</v>
      </c>
    </row>
    <row r="28" spans="1:9" ht="24" thickBot="1" x14ac:dyDescent="0.4">
      <c r="A28" s="9">
        <v>44768</v>
      </c>
      <c r="B28" s="132"/>
      <c r="C28" s="44">
        <f t="shared" si="0"/>
        <v>0</v>
      </c>
      <c r="I28" t="s">
        <v>12</v>
      </c>
    </row>
    <row r="29" spans="1:9" ht="24" thickBot="1" x14ac:dyDescent="0.4">
      <c r="A29" s="9">
        <v>44769</v>
      </c>
      <c r="B29" s="132"/>
      <c r="C29" s="44">
        <f t="shared" si="0"/>
        <v>0</v>
      </c>
    </row>
    <row r="30" spans="1:9" ht="24" thickBot="1" x14ac:dyDescent="0.4">
      <c r="A30" s="9">
        <v>44770</v>
      </c>
      <c r="B30" s="132"/>
      <c r="C30" s="44">
        <f t="shared" si="0"/>
        <v>0</v>
      </c>
    </row>
    <row r="31" spans="1:9" ht="24" thickBot="1" x14ac:dyDescent="0.4">
      <c r="A31" s="9">
        <v>44771</v>
      </c>
      <c r="B31" s="132"/>
      <c r="C31" s="44">
        <f t="shared" si="0"/>
        <v>0</v>
      </c>
    </row>
    <row r="32" spans="1:9" ht="24" thickBot="1" x14ac:dyDescent="0.4">
      <c r="A32" s="9">
        <v>44772</v>
      </c>
      <c r="B32" s="132"/>
      <c r="C32" s="44">
        <f t="shared" si="0"/>
        <v>0</v>
      </c>
    </row>
    <row r="33" spans="1:3" ht="24" thickBot="1" x14ac:dyDescent="0.4">
      <c r="A33" s="9">
        <v>44773</v>
      </c>
      <c r="B33" s="132"/>
      <c r="C33" s="44">
        <f t="shared" si="0"/>
        <v>0</v>
      </c>
    </row>
    <row r="34" spans="1:3" ht="24" thickBot="1" x14ac:dyDescent="0.4">
      <c r="A34" s="134" t="s">
        <v>138</v>
      </c>
      <c r="B34" s="134"/>
      <c r="C34" s="134">
        <f>SUM(C4:C33)</f>
        <v>17315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I1" zoomScale="90" zoomScaleNormal="90" workbookViewId="0">
      <pane ySplit="1" topLeftCell="A2" activePane="bottomLeft" state="frozen"/>
      <selection pane="bottomLeft" activeCell="AD11" sqref="AD11"/>
    </sheetView>
  </sheetViews>
  <sheetFormatPr defaultRowHeight="12.75" x14ac:dyDescent="0.2"/>
  <cols>
    <col min="1" max="1" width="20.85546875" bestFit="1" customWidth="1"/>
    <col min="2" max="2" width="12.85546875" style="161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5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8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ht="16.5" thickBot="1" x14ac:dyDescent="0.25">
      <c r="A2" s="9">
        <v>44742</v>
      </c>
      <c r="B2" s="159">
        <v>23890.723000000002</v>
      </c>
      <c r="C2" s="43"/>
      <c r="D2" s="28">
        <f t="shared" ref="D2" si="0">C2*1.9*1000</f>
        <v>0</v>
      </c>
      <c r="E2" s="159">
        <v>4323.0460000000003</v>
      </c>
      <c r="F2" s="43"/>
      <c r="G2" s="28">
        <f t="shared" ref="G2" si="1">F2*1.9*1000</f>
        <v>0</v>
      </c>
      <c r="H2" s="159">
        <v>5541</v>
      </c>
      <c r="I2" s="43"/>
      <c r="J2" s="28">
        <f t="shared" ref="J2" si="2">I2*1.9*1000</f>
        <v>0</v>
      </c>
      <c r="K2" s="7">
        <v>14040.12</v>
      </c>
      <c r="L2" s="43"/>
      <c r="M2" s="28">
        <f t="shared" ref="M2" si="3">L2*1.9*1000</f>
        <v>0</v>
      </c>
      <c r="N2" s="159">
        <v>3604.47</v>
      </c>
      <c r="O2" s="43"/>
      <c r="P2" s="28">
        <f t="shared" ref="P2" si="4">O2*1.9*1000</f>
        <v>0</v>
      </c>
      <c r="Q2" s="159">
        <v>5411.91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W2" s="156">
        <v>44742</v>
      </c>
      <c r="X2" s="157">
        <v>184999</v>
      </c>
      <c r="Y2" s="162"/>
      <c r="Z2" s="157">
        <v>9489</v>
      </c>
      <c r="AA2" s="162"/>
      <c r="AB2" s="157">
        <v>29.2</v>
      </c>
      <c r="AC2" s="162"/>
      <c r="AD2" s="157">
        <v>564</v>
      </c>
      <c r="AE2" s="162"/>
      <c r="AF2" s="157">
        <v>8009</v>
      </c>
      <c r="AG2" s="162"/>
    </row>
    <row r="3" spans="1:33" ht="16.5" thickBot="1" x14ac:dyDescent="0.25">
      <c r="A3" s="9">
        <v>44743</v>
      </c>
      <c r="B3" s="159">
        <v>23903.026999999998</v>
      </c>
      <c r="C3" s="43">
        <f t="shared" ref="C3" si="7">IF((B3-B2)&lt;0,"0",(B3-B2))</f>
        <v>12.303999999996449</v>
      </c>
      <c r="D3" s="28">
        <f t="shared" ref="D3" si="8">C3*1.9*1000</f>
        <v>23377.59999999325</v>
      </c>
      <c r="E3" s="1">
        <v>4324.5420000000004</v>
      </c>
      <c r="F3" s="43">
        <f t="shared" ref="F3" si="9">IF((E3-E2)&lt;0,"0",(E3-E2))</f>
        <v>1.4960000000000946</v>
      </c>
      <c r="G3" s="28">
        <f t="shared" ref="G3" si="10">F3*1.9*1000</f>
        <v>2842.4000000001793</v>
      </c>
      <c r="H3" s="1">
        <v>5547</v>
      </c>
      <c r="I3" s="43">
        <f t="shared" ref="I3" si="11">IF((H3-H2)&lt;0,"0",(H3-H2))</f>
        <v>6</v>
      </c>
      <c r="J3" s="28">
        <f t="shared" ref="J3" si="12">I3*1.9*1000</f>
        <v>11399.999999999998</v>
      </c>
      <c r="K3" s="7">
        <v>14042.08</v>
      </c>
      <c r="L3" s="43">
        <f t="shared" ref="L3" si="13">IF((K3-K2)&lt;0,"0",(K3-K2))</f>
        <v>1.9599999999991269</v>
      </c>
      <c r="M3" s="28">
        <f t="shared" ref="M3" si="14">L3*1.9*1000</f>
        <v>3723.9999999983411</v>
      </c>
      <c r="N3" s="7">
        <v>3605.9549999999999</v>
      </c>
      <c r="O3" s="43">
        <f t="shared" ref="O3" si="15">IF((N3-N2)&lt;0,"0",(N3-N2))</f>
        <v>1.4850000000001273</v>
      </c>
      <c r="P3" s="28">
        <f t="shared" ref="P3" si="16">O3*1.9*1000</f>
        <v>2821.5000000002419</v>
      </c>
      <c r="Q3" s="7">
        <v>5414.12</v>
      </c>
      <c r="R3" s="43">
        <f t="shared" ref="R3" si="17">IF((Q3-Q2)&lt;0,"0",(Q3-Q2))</f>
        <v>2.2100000000000364</v>
      </c>
      <c r="S3" s="28">
        <f t="shared" ref="S3" si="18">R3*1.9*1000</f>
        <v>4199.0000000000691</v>
      </c>
      <c r="T3" s="8">
        <f>C3+F3+I3+L3+O3+R3</f>
        <v>25.454999999995835</v>
      </c>
      <c r="U3" s="30">
        <f t="shared" ref="U3" si="19">T3*1.9*1000</f>
        <v>48364.499999992084</v>
      </c>
      <c r="W3" s="156">
        <v>44743</v>
      </c>
      <c r="X3" s="157">
        <v>185207</v>
      </c>
      <c r="Y3" s="162">
        <f t="shared" ref="Y3:AG31" si="20">IF((X3-X2)&lt;0,"0",(X3-X2))</f>
        <v>208</v>
      </c>
      <c r="Z3" s="157">
        <v>9495</v>
      </c>
      <c r="AA3" s="162">
        <f t="shared" si="20"/>
        <v>6</v>
      </c>
      <c r="AB3" s="157">
        <v>29.2</v>
      </c>
      <c r="AC3" s="162">
        <f t="shared" si="20"/>
        <v>0</v>
      </c>
      <c r="AD3" s="157">
        <v>567</v>
      </c>
      <c r="AE3" s="162">
        <f t="shared" si="20"/>
        <v>3</v>
      </c>
      <c r="AF3" s="157">
        <v>8020</v>
      </c>
      <c r="AG3" s="162">
        <f t="shared" si="20"/>
        <v>11</v>
      </c>
    </row>
    <row r="4" spans="1:33" ht="16.5" thickBot="1" x14ac:dyDescent="0.25">
      <c r="A4" s="9">
        <v>44744</v>
      </c>
      <c r="B4" s="159">
        <v>23919.731</v>
      </c>
      <c r="C4" s="43">
        <f t="shared" ref="C4:C33" si="21">IF((B4-B3)&lt;0,"0",(B4-B3))</f>
        <v>16.704000000001543</v>
      </c>
      <c r="D4" s="28">
        <f t="shared" ref="D4:D33" si="22">C4*1.9*1000</f>
        <v>31737.600000002927</v>
      </c>
      <c r="E4" s="1">
        <v>4326.7969999999996</v>
      </c>
      <c r="F4" s="43">
        <f t="shared" ref="F4:F33" si="23">IF((E4-E3)&lt;0,"0",(E4-E3))</f>
        <v>2.2549999999991996</v>
      </c>
      <c r="G4" s="28">
        <f t="shared" ref="G4:G33" si="24">F4*1.9*1000</f>
        <v>4284.4999999984793</v>
      </c>
      <c r="H4" s="1">
        <v>5556</v>
      </c>
      <c r="I4" s="43">
        <f t="shared" ref="I4:I33" si="25">IF((H4-H3)&lt;0,"0",(H4-H3))</f>
        <v>9</v>
      </c>
      <c r="J4" s="28">
        <f t="shared" ref="J4:J33" si="26">I4*1.9*1000</f>
        <v>17099.999999999996</v>
      </c>
      <c r="K4" s="7">
        <v>14045.19</v>
      </c>
      <c r="L4" s="43">
        <f t="shared" ref="L4:L33" si="27">IF((K4-K3)&lt;0,"0",(K4-K3))</f>
        <v>3.1100000000005821</v>
      </c>
      <c r="M4" s="28">
        <f t="shared" ref="M4:M33" si="28">L4*1.9*1000</f>
        <v>5909.0000000011059</v>
      </c>
      <c r="N4" s="7">
        <v>3607.9859999999999</v>
      </c>
      <c r="O4" s="43">
        <f t="shared" ref="O4:O33" si="29">IF((N4-N3)&lt;0,"0",(N4-N3))</f>
        <v>2.0309999999999491</v>
      </c>
      <c r="P4" s="28">
        <f t="shared" ref="P4:P33" si="30">O4*1.9*1000</f>
        <v>3858.8999999999028</v>
      </c>
      <c r="Q4" s="7">
        <v>5417.15</v>
      </c>
      <c r="R4" s="43">
        <f t="shared" ref="R4:R33" si="31">IF((Q4-Q3)&lt;0,"0",(Q4-Q3))</f>
        <v>3.0299999999997453</v>
      </c>
      <c r="S4" s="28">
        <f t="shared" ref="S4:S33" si="32">R4*1.9*1000</f>
        <v>5756.9999999995152</v>
      </c>
      <c r="T4" s="8">
        <f>C4+F4+I4+L4+O4+R4</f>
        <v>36.130000000001019</v>
      </c>
      <c r="U4" s="30">
        <f t="shared" ref="U4:U33" si="33">T4*1.9*1000</f>
        <v>68647.000000001935</v>
      </c>
      <c r="W4" s="156">
        <v>44744</v>
      </c>
      <c r="X4" s="157">
        <v>185494</v>
      </c>
      <c r="Y4" s="162">
        <f t="shared" si="20"/>
        <v>287</v>
      </c>
      <c r="Z4" s="157">
        <v>9503</v>
      </c>
      <c r="AA4" s="162">
        <f t="shared" si="20"/>
        <v>8</v>
      </c>
      <c r="AB4" s="157">
        <v>29.2</v>
      </c>
      <c r="AC4" s="162">
        <f t="shared" si="20"/>
        <v>0</v>
      </c>
      <c r="AD4" s="157">
        <v>568</v>
      </c>
      <c r="AE4" s="162">
        <f t="shared" si="20"/>
        <v>1</v>
      </c>
      <c r="AF4" s="157">
        <v>8039</v>
      </c>
      <c r="AG4" s="162">
        <f t="shared" si="20"/>
        <v>19</v>
      </c>
    </row>
    <row r="5" spans="1:33" ht="16.5" thickBot="1" x14ac:dyDescent="0.25">
      <c r="A5" s="9">
        <v>44745</v>
      </c>
      <c r="B5" s="159">
        <v>23931.335999999999</v>
      </c>
      <c r="C5" s="43">
        <f t="shared" si="21"/>
        <v>11.604999999999563</v>
      </c>
      <c r="D5" s="28">
        <f t="shared" si="22"/>
        <v>22049.499999999171</v>
      </c>
      <c r="E5" s="1">
        <v>4330.3360000000002</v>
      </c>
      <c r="F5" s="43">
        <f t="shared" si="23"/>
        <v>3.5390000000006694</v>
      </c>
      <c r="G5" s="28">
        <f t="shared" si="24"/>
        <v>6724.1000000012718</v>
      </c>
      <c r="H5" s="1">
        <v>5564</v>
      </c>
      <c r="I5" s="43">
        <f t="shared" si="25"/>
        <v>8</v>
      </c>
      <c r="J5" s="28">
        <f t="shared" si="26"/>
        <v>15200</v>
      </c>
      <c r="K5" s="7">
        <v>14047.08</v>
      </c>
      <c r="L5" s="43">
        <f t="shared" si="27"/>
        <v>1.8899999999994179</v>
      </c>
      <c r="M5" s="28">
        <f t="shared" si="28"/>
        <v>3590.9999999988941</v>
      </c>
      <c r="N5" s="7">
        <v>3609.95</v>
      </c>
      <c r="O5" s="43">
        <f t="shared" si="29"/>
        <v>1.9639999999999418</v>
      </c>
      <c r="P5" s="28">
        <f t="shared" si="30"/>
        <v>3731.5999999998894</v>
      </c>
      <c r="Q5" s="7">
        <v>5419.3</v>
      </c>
      <c r="R5" s="43">
        <f t="shared" si="31"/>
        <v>2.1500000000005457</v>
      </c>
      <c r="S5" s="28">
        <f t="shared" si="32"/>
        <v>4085.0000000010364</v>
      </c>
      <c r="T5" s="8">
        <f>C5+F5+I5+L5+O5+R5</f>
        <v>29.148000000000138</v>
      </c>
      <c r="U5" s="30">
        <f t="shared" si="33"/>
        <v>55381.200000000259</v>
      </c>
      <c r="W5" s="156">
        <v>44745</v>
      </c>
      <c r="X5" s="157">
        <v>185707</v>
      </c>
      <c r="Y5" s="162">
        <f t="shared" si="20"/>
        <v>213</v>
      </c>
      <c r="Z5" s="157">
        <v>9508</v>
      </c>
      <c r="AA5" s="162">
        <f t="shared" si="20"/>
        <v>5</v>
      </c>
      <c r="AB5" s="157">
        <v>29.2</v>
      </c>
      <c r="AC5" s="162">
        <f t="shared" si="20"/>
        <v>0</v>
      </c>
      <c r="AD5" s="157">
        <v>571</v>
      </c>
      <c r="AE5" s="162">
        <f t="shared" si="20"/>
        <v>3</v>
      </c>
      <c r="AF5" s="157">
        <v>8053</v>
      </c>
      <c r="AG5" s="162">
        <f t="shared" si="20"/>
        <v>14</v>
      </c>
    </row>
    <row r="6" spans="1:33" ht="16.5" thickBot="1" x14ac:dyDescent="0.25">
      <c r="A6" s="9">
        <v>44746</v>
      </c>
      <c r="B6" s="159">
        <v>23940.316999999999</v>
      </c>
      <c r="C6" s="43">
        <f t="shared" si="21"/>
        <v>8.9809999999997672</v>
      </c>
      <c r="D6" s="28">
        <f t="shared" si="22"/>
        <v>17063.899999999558</v>
      </c>
      <c r="E6" s="1">
        <v>4332.8010000000004</v>
      </c>
      <c r="F6" s="43">
        <f t="shared" si="23"/>
        <v>2.4650000000001455</v>
      </c>
      <c r="G6" s="28">
        <f t="shared" si="24"/>
        <v>4683.5000000002765</v>
      </c>
      <c r="H6" s="1">
        <v>5570</v>
      </c>
      <c r="I6" s="43">
        <f t="shared" si="25"/>
        <v>6</v>
      </c>
      <c r="J6" s="28">
        <f t="shared" si="26"/>
        <v>11399.999999999998</v>
      </c>
      <c r="K6" s="7">
        <v>14048.31</v>
      </c>
      <c r="L6" s="43">
        <f t="shared" si="27"/>
        <v>1.2299999999995634</v>
      </c>
      <c r="M6" s="28">
        <f t="shared" si="28"/>
        <v>2336.9999999991705</v>
      </c>
      <c r="N6" s="7">
        <v>3611.0230000000001</v>
      </c>
      <c r="O6" s="43">
        <f t="shared" si="29"/>
        <v>1.0730000000003201</v>
      </c>
      <c r="P6" s="28">
        <f t="shared" si="30"/>
        <v>2038.7000000006083</v>
      </c>
      <c r="Q6" s="7">
        <v>5420.26</v>
      </c>
      <c r="R6" s="43">
        <f t="shared" si="31"/>
        <v>0.96000000000003638</v>
      </c>
      <c r="S6" s="28">
        <f t="shared" si="32"/>
        <v>1824.0000000000691</v>
      </c>
      <c r="T6" s="8">
        <f t="shared" ref="T6:T33" si="34">C6+F6+I6+L6+O6+R6</f>
        <v>20.708999999999833</v>
      </c>
      <c r="U6" s="30">
        <f t="shared" si="33"/>
        <v>39347.099999999678</v>
      </c>
      <c r="W6" s="156">
        <v>44746</v>
      </c>
      <c r="X6" s="157">
        <v>185846</v>
      </c>
      <c r="Y6" s="162">
        <f t="shared" si="20"/>
        <v>139</v>
      </c>
      <c r="Z6" s="157">
        <v>9514</v>
      </c>
      <c r="AA6" s="162">
        <f t="shared" si="20"/>
        <v>6</v>
      </c>
      <c r="AB6" s="157">
        <v>29.2</v>
      </c>
      <c r="AC6" s="162">
        <f t="shared" si="20"/>
        <v>0</v>
      </c>
      <c r="AD6" s="157">
        <v>572</v>
      </c>
      <c r="AE6" s="162">
        <f t="shared" si="20"/>
        <v>1</v>
      </c>
      <c r="AF6" s="157">
        <v>8066</v>
      </c>
      <c r="AG6" s="162">
        <f t="shared" si="20"/>
        <v>13</v>
      </c>
    </row>
    <row r="7" spans="1:33" ht="16.5" thickBot="1" x14ac:dyDescent="0.25">
      <c r="A7" s="9">
        <v>44747</v>
      </c>
      <c r="B7" s="159">
        <v>23953.58</v>
      </c>
      <c r="C7" s="43">
        <f t="shared" si="21"/>
        <v>13.263000000002648</v>
      </c>
      <c r="D7" s="28">
        <f t="shared" si="22"/>
        <v>25199.700000005032</v>
      </c>
      <c r="E7" s="1">
        <v>4336.4840000000004</v>
      </c>
      <c r="F7" s="43">
        <f t="shared" si="23"/>
        <v>3.6829999999999927</v>
      </c>
      <c r="G7" s="28">
        <f t="shared" si="24"/>
        <v>6997.6999999999862</v>
      </c>
      <c r="H7" s="1">
        <v>5578</v>
      </c>
      <c r="I7" s="43">
        <f t="shared" si="25"/>
        <v>8</v>
      </c>
      <c r="J7" s="28">
        <f t="shared" si="26"/>
        <v>15200</v>
      </c>
      <c r="K7" s="7">
        <v>14050.39</v>
      </c>
      <c r="L7" s="43">
        <f t="shared" si="27"/>
        <v>2.0799999999999272</v>
      </c>
      <c r="M7" s="28">
        <f t="shared" si="28"/>
        <v>3951.9999999998613</v>
      </c>
      <c r="N7" s="7">
        <v>3612.8159999999998</v>
      </c>
      <c r="O7" s="43">
        <f t="shared" si="29"/>
        <v>1.7929999999996653</v>
      </c>
      <c r="P7" s="28">
        <f t="shared" si="30"/>
        <v>3406.6999999993641</v>
      </c>
      <c r="Q7" s="7">
        <v>5421.5</v>
      </c>
      <c r="R7" s="43">
        <f t="shared" si="31"/>
        <v>1.2399999999997817</v>
      </c>
      <c r="S7" s="28">
        <f t="shared" si="32"/>
        <v>2355.9999999995853</v>
      </c>
      <c r="T7" s="8">
        <f t="shared" si="34"/>
        <v>30.059000000002015</v>
      </c>
      <c r="U7" s="30">
        <f t="shared" si="33"/>
        <v>57112.100000003826</v>
      </c>
      <c r="W7" s="156">
        <v>44747</v>
      </c>
      <c r="X7" s="157">
        <v>186211</v>
      </c>
      <c r="Y7" s="162">
        <f t="shared" si="20"/>
        <v>365</v>
      </c>
      <c r="Z7" s="157">
        <v>9522</v>
      </c>
      <c r="AA7" s="162">
        <f t="shared" si="20"/>
        <v>8</v>
      </c>
      <c r="AB7" s="157">
        <v>29.2</v>
      </c>
      <c r="AC7" s="162">
        <f t="shared" si="20"/>
        <v>0</v>
      </c>
      <c r="AD7" s="157">
        <v>573</v>
      </c>
      <c r="AE7" s="162">
        <f t="shared" si="20"/>
        <v>1</v>
      </c>
      <c r="AF7" s="157">
        <v>8089</v>
      </c>
      <c r="AG7" s="162">
        <f t="shared" si="20"/>
        <v>23</v>
      </c>
    </row>
    <row r="8" spans="1:33" ht="16.5" thickBot="1" x14ac:dyDescent="0.25">
      <c r="A8" s="9">
        <v>44748</v>
      </c>
      <c r="B8" s="159">
        <v>23965.316999999999</v>
      </c>
      <c r="C8" s="43">
        <f t="shared" si="21"/>
        <v>11.736999999997352</v>
      </c>
      <c r="D8" s="28">
        <f t="shared" si="22"/>
        <v>22300.299999994964</v>
      </c>
      <c r="E8" s="1">
        <v>4339.3469999999998</v>
      </c>
      <c r="F8" s="43">
        <f t="shared" si="23"/>
        <v>2.8629999999993743</v>
      </c>
      <c r="G8" s="28">
        <f t="shared" si="24"/>
        <v>5439.6999999988111</v>
      </c>
      <c r="H8" s="1">
        <v>5585</v>
      </c>
      <c r="I8" s="43">
        <f t="shared" si="25"/>
        <v>7</v>
      </c>
      <c r="J8" s="28">
        <f t="shared" si="26"/>
        <v>13299.999999999998</v>
      </c>
      <c r="K8" s="7">
        <v>14052.16</v>
      </c>
      <c r="L8" s="43">
        <f t="shared" si="27"/>
        <v>1.7700000000004366</v>
      </c>
      <c r="M8" s="28">
        <f t="shared" si="28"/>
        <v>3363.000000000829</v>
      </c>
      <c r="N8" s="7">
        <v>3614.1109999999999</v>
      </c>
      <c r="O8" s="43">
        <f t="shared" si="29"/>
        <v>1.2950000000000728</v>
      </c>
      <c r="P8" s="28">
        <f t="shared" si="30"/>
        <v>2460.5000000001382</v>
      </c>
      <c r="Q8" s="7">
        <v>5423.57</v>
      </c>
      <c r="R8" s="43">
        <f t="shared" si="31"/>
        <v>2.069999999999709</v>
      </c>
      <c r="S8" s="28">
        <f t="shared" si="32"/>
        <v>3932.999999999447</v>
      </c>
      <c r="T8" s="8">
        <f t="shared" si="34"/>
        <v>26.734999999996944</v>
      </c>
      <c r="U8" s="30">
        <f t="shared" si="33"/>
        <v>50796.499999994187</v>
      </c>
      <c r="W8" s="156">
        <v>44748</v>
      </c>
      <c r="X8" s="157">
        <v>186564</v>
      </c>
      <c r="Y8" s="162">
        <f t="shared" si="20"/>
        <v>353</v>
      </c>
      <c r="Z8" s="157">
        <v>9530</v>
      </c>
      <c r="AA8" s="162">
        <f t="shared" si="20"/>
        <v>8</v>
      </c>
      <c r="AB8" s="157">
        <v>29.2</v>
      </c>
      <c r="AC8" s="162">
        <f t="shared" si="20"/>
        <v>0</v>
      </c>
      <c r="AD8" s="157">
        <v>574</v>
      </c>
      <c r="AE8" s="162">
        <f t="shared" si="20"/>
        <v>1</v>
      </c>
      <c r="AF8" s="157">
        <v>8103</v>
      </c>
      <c r="AG8" s="162">
        <f t="shared" si="20"/>
        <v>14</v>
      </c>
    </row>
    <row r="9" spans="1:33" ht="16.5" thickBot="1" x14ac:dyDescent="0.25">
      <c r="A9" s="9">
        <v>44749</v>
      </c>
      <c r="B9" s="159">
        <v>23978.241000000002</v>
      </c>
      <c r="C9" s="43">
        <f t="shared" si="21"/>
        <v>12.924000000002707</v>
      </c>
      <c r="D9" s="28">
        <f t="shared" si="22"/>
        <v>24555.600000005143</v>
      </c>
      <c r="E9" s="1">
        <v>4342.9740000000002</v>
      </c>
      <c r="F9" s="43">
        <f t="shared" si="23"/>
        <v>3.6270000000004075</v>
      </c>
      <c r="G9" s="28">
        <f t="shared" si="24"/>
        <v>6891.3000000007742</v>
      </c>
      <c r="H9" s="1">
        <v>5592</v>
      </c>
      <c r="I9" s="43">
        <f t="shared" si="25"/>
        <v>7</v>
      </c>
      <c r="J9" s="28">
        <f t="shared" si="26"/>
        <v>13299.999999999998</v>
      </c>
      <c r="K9" s="7">
        <v>14054.46</v>
      </c>
      <c r="L9" s="43">
        <f t="shared" si="27"/>
        <v>2.2999999999992724</v>
      </c>
      <c r="M9" s="28">
        <f t="shared" si="28"/>
        <v>4369.9999999986176</v>
      </c>
      <c r="N9" s="7">
        <v>3615.8629999999998</v>
      </c>
      <c r="O9" s="43">
        <f t="shared" si="29"/>
        <v>1.7519999999999527</v>
      </c>
      <c r="P9" s="28">
        <f t="shared" si="30"/>
        <v>3328.7999999999101</v>
      </c>
      <c r="Q9" s="7">
        <v>5425.37</v>
      </c>
      <c r="R9" s="43">
        <f t="shared" si="31"/>
        <v>1.8000000000001819</v>
      </c>
      <c r="S9" s="28">
        <f t="shared" si="32"/>
        <v>3420.0000000003456</v>
      </c>
      <c r="T9" s="8">
        <f t="shared" si="34"/>
        <v>29.403000000002521</v>
      </c>
      <c r="U9" s="30">
        <f t="shared" si="33"/>
        <v>55865.700000004785</v>
      </c>
      <c r="W9" s="156">
        <v>44749</v>
      </c>
      <c r="X9" s="157">
        <v>186898</v>
      </c>
      <c r="Y9" s="162">
        <f t="shared" si="20"/>
        <v>334</v>
      </c>
      <c r="Z9" s="157">
        <v>9538</v>
      </c>
      <c r="AA9" s="162">
        <f t="shared" si="20"/>
        <v>8</v>
      </c>
      <c r="AB9" s="157">
        <v>29.2</v>
      </c>
      <c r="AC9" s="162">
        <f t="shared" si="20"/>
        <v>0</v>
      </c>
      <c r="AD9" s="157">
        <v>575</v>
      </c>
      <c r="AE9" s="162">
        <f t="shared" si="20"/>
        <v>1</v>
      </c>
      <c r="AF9" s="157">
        <v>8118</v>
      </c>
      <c r="AG9" s="162">
        <f t="shared" si="20"/>
        <v>15</v>
      </c>
    </row>
    <row r="10" spans="1:33" ht="16.5" thickBot="1" x14ac:dyDescent="0.25">
      <c r="A10" s="9">
        <v>44750</v>
      </c>
      <c r="B10" s="159">
        <v>23990.518</v>
      </c>
      <c r="C10" s="43">
        <f t="shared" si="21"/>
        <v>12.276999999998225</v>
      </c>
      <c r="D10" s="28">
        <f t="shared" si="22"/>
        <v>23326.299999996623</v>
      </c>
      <c r="E10" s="1">
        <v>4344.8209999999999</v>
      </c>
      <c r="F10" s="43">
        <f t="shared" si="23"/>
        <v>1.8469999999997526</v>
      </c>
      <c r="G10" s="28">
        <f t="shared" si="24"/>
        <v>3509.29999999953</v>
      </c>
      <c r="H10" s="1">
        <v>5598</v>
      </c>
      <c r="I10" s="43">
        <f t="shared" si="25"/>
        <v>6</v>
      </c>
      <c r="J10" s="28">
        <f t="shared" si="26"/>
        <v>11399.999999999998</v>
      </c>
      <c r="K10" s="7">
        <v>14056.55</v>
      </c>
      <c r="L10" s="43">
        <f t="shared" si="27"/>
        <v>2.0900000000001455</v>
      </c>
      <c r="M10" s="28">
        <f t="shared" si="28"/>
        <v>3971.0000000002765</v>
      </c>
      <c r="N10" s="7">
        <v>3617.451</v>
      </c>
      <c r="O10" s="43">
        <f>IF((N10-N9)&lt;0,"0",(N10-N9))</f>
        <v>1.5880000000001928</v>
      </c>
      <c r="P10" s="28">
        <f t="shared" si="30"/>
        <v>3017.2000000003663</v>
      </c>
      <c r="Q10" s="7">
        <v>5427.23</v>
      </c>
      <c r="R10" s="43">
        <f t="shared" si="31"/>
        <v>1.8599999999996726</v>
      </c>
      <c r="S10" s="28">
        <f t="shared" si="32"/>
        <v>3533.9999999993775</v>
      </c>
      <c r="T10" s="8">
        <f t="shared" si="34"/>
        <v>25.661999999997988</v>
      </c>
      <c r="U10" s="30">
        <f t="shared" si="33"/>
        <v>48757.799999996176</v>
      </c>
      <c r="W10" s="156">
        <v>44750</v>
      </c>
      <c r="X10" s="157">
        <v>187172</v>
      </c>
      <c r="Y10" s="162">
        <f t="shared" si="20"/>
        <v>274</v>
      </c>
      <c r="Z10" s="157">
        <v>9542</v>
      </c>
      <c r="AA10" s="162">
        <f t="shared" si="20"/>
        <v>4</v>
      </c>
      <c r="AB10" s="157">
        <v>26.2</v>
      </c>
      <c r="AC10" s="162" t="str">
        <f t="shared" si="20"/>
        <v>0</v>
      </c>
      <c r="AD10" s="157">
        <v>576</v>
      </c>
      <c r="AE10" s="162">
        <f t="shared" si="20"/>
        <v>1</v>
      </c>
      <c r="AF10" s="157">
        <v>8133</v>
      </c>
      <c r="AG10" s="162">
        <f t="shared" si="20"/>
        <v>15</v>
      </c>
    </row>
    <row r="11" spans="1:33" ht="16.5" thickBot="1" x14ac:dyDescent="0.25">
      <c r="A11" s="9">
        <v>44751</v>
      </c>
      <c r="B11" s="159">
        <v>24004.400000000001</v>
      </c>
      <c r="C11" s="43">
        <f t="shared" si="21"/>
        <v>13.882000000001426</v>
      </c>
      <c r="D11" s="28">
        <f t="shared" si="22"/>
        <v>26375.80000000271</v>
      </c>
      <c r="E11" s="1">
        <v>4346.2640000000001</v>
      </c>
      <c r="F11" s="43">
        <f t="shared" si="23"/>
        <v>1.443000000000211</v>
      </c>
      <c r="G11" s="28">
        <f t="shared" si="24"/>
        <v>2741.7000000004009</v>
      </c>
      <c r="H11" s="1">
        <v>5604</v>
      </c>
      <c r="I11" s="43">
        <f t="shared" si="25"/>
        <v>6</v>
      </c>
      <c r="J11" s="28">
        <f t="shared" si="26"/>
        <v>11399.999999999998</v>
      </c>
      <c r="K11" s="7">
        <v>14059.1</v>
      </c>
      <c r="L11" s="43">
        <f t="shared" si="27"/>
        <v>2.5500000000010914</v>
      </c>
      <c r="M11" s="28">
        <f t="shared" si="28"/>
        <v>4845.0000000020736</v>
      </c>
      <c r="N11" s="7">
        <v>3619.029</v>
      </c>
      <c r="O11" s="43">
        <f t="shared" si="29"/>
        <v>1.5779999999999745</v>
      </c>
      <c r="P11" s="28">
        <f t="shared" si="30"/>
        <v>2998.1999999999512</v>
      </c>
      <c r="Q11" s="7">
        <v>5429.11</v>
      </c>
      <c r="R11" s="43">
        <f t="shared" si="31"/>
        <v>1.8800000000001091</v>
      </c>
      <c r="S11" s="28">
        <f t="shared" si="32"/>
        <v>3572.0000000002069</v>
      </c>
      <c r="T11" s="8">
        <f t="shared" si="34"/>
        <v>27.333000000002812</v>
      </c>
      <c r="U11" s="30">
        <f t="shared" si="33"/>
        <v>51932.700000005338</v>
      </c>
      <c r="W11" s="156">
        <v>44751</v>
      </c>
      <c r="X11" s="157">
        <v>187428</v>
      </c>
      <c r="Y11" s="162">
        <f t="shared" si="20"/>
        <v>256</v>
      </c>
      <c r="Z11" s="157">
        <v>9546</v>
      </c>
      <c r="AA11" s="162">
        <f t="shared" si="20"/>
        <v>4</v>
      </c>
      <c r="AB11" s="157">
        <v>30.7</v>
      </c>
      <c r="AC11" s="162">
        <f t="shared" si="20"/>
        <v>4.5</v>
      </c>
      <c r="AD11" s="157">
        <v>577</v>
      </c>
      <c r="AE11" s="162">
        <f t="shared" si="20"/>
        <v>1</v>
      </c>
      <c r="AF11" s="157">
        <v>8149</v>
      </c>
      <c r="AG11" s="162">
        <f t="shared" si="20"/>
        <v>16</v>
      </c>
    </row>
    <row r="12" spans="1:33" ht="16.5" thickBot="1" x14ac:dyDescent="0.25">
      <c r="A12" s="9">
        <v>44752</v>
      </c>
      <c r="B12" s="159"/>
      <c r="C12" s="43" t="str">
        <f t="shared" si="21"/>
        <v>0</v>
      </c>
      <c r="D12" s="28">
        <f t="shared" si="22"/>
        <v>0</v>
      </c>
      <c r="E12" s="1"/>
      <c r="F12" s="43" t="str">
        <f t="shared" si="23"/>
        <v>0</v>
      </c>
      <c r="G12" s="28">
        <f t="shared" si="24"/>
        <v>0</v>
      </c>
      <c r="H12" s="1"/>
      <c r="I12" s="43" t="str">
        <f t="shared" si="25"/>
        <v>0</v>
      </c>
      <c r="J12" s="28">
        <f t="shared" si="26"/>
        <v>0</v>
      </c>
      <c r="K12" s="7"/>
      <c r="L12" s="43" t="str">
        <f t="shared" si="27"/>
        <v>0</v>
      </c>
      <c r="M12" s="28">
        <f t="shared" si="28"/>
        <v>0</v>
      </c>
      <c r="N12" s="7"/>
      <c r="O12" s="43" t="str">
        <f t="shared" si="29"/>
        <v>0</v>
      </c>
      <c r="P12" s="28">
        <f t="shared" si="30"/>
        <v>0</v>
      </c>
      <c r="Q12" s="7"/>
      <c r="R12" s="43" t="str">
        <f t="shared" si="31"/>
        <v>0</v>
      </c>
      <c r="S12" s="28">
        <f t="shared" si="32"/>
        <v>0</v>
      </c>
      <c r="T12" s="8">
        <f t="shared" si="34"/>
        <v>0</v>
      </c>
      <c r="U12" s="30">
        <f t="shared" si="33"/>
        <v>0</v>
      </c>
      <c r="W12" s="156">
        <v>44752</v>
      </c>
      <c r="X12" s="157"/>
      <c r="Y12" s="162" t="str">
        <f t="shared" si="20"/>
        <v>0</v>
      </c>
      <c r="Z12" s="157"/>
      <c r="AA12" s="162" t="str">
        <f t="shared" si="20"/>
        <v>0</v>
      </c>
      <c r="AB12" s="157"/>
      <c r="AC12" s="162" t="str">
        <f t="shared" si="20"/>
        <v>0</v>
      </c>
      <c r="AD12" s="157"/>
      <c r="AE12" s="162" t="str">
        <f t="shared" si="20"/>
        <v>0</v>
      </c>
      <c r="AF12" s="157"/>
      <c r="AG12" s="162" t="str">
        <f t="shared" si="20"/>
        <v>0</v>
      </c>
    </row>
    <row r="13" spans="1:33" ht="16.5" thickBot="1" x14ac:dyDescent="0.25">
      <c r="A13" s="9">
        <v>44753</v>
      </c>
      <c r="B13" s="159"/>
      <c r="C13" s="43">
        <f t="shared" si="21"/>
        <v>0</v>
      </c>
      <c r="D13" s="28">
        <f t="shared" si="22"/>
        <v>0</v>
      </c>
      <c r="E13" s="1"/>
      <c r="F13" s="43">
        <f t="shared" si="23"/>
        <v>0</v>
      </c>
      <c r="G13" s="28">
        <f t="shared" si="24"/>
        <v>0</v>
      </c>
      <c r="H13" s="1"/>
      <c r="I13" s="43">
        <f t="shared" si="25"/>
        <v>0</v>
      </c>
      <c r="J13" s="28">
        <f t="shared" si="26"/>
        <v>0</v>
      </c>
      <c r="K13" s="7"/>
      <c r="L13" s="43">
        <f t="shared" si="27"/>
        <v>0</v>
      </c>
      <c r="M13" s="28">
        <f t="shared" si="28"/>
        <v>0</v>
      </c>
      <c r="N13" s="7"/>
      <c r="O13" s="43">
        <f t="shared" si="29"/>
        <v>0</v>
      </c>
      <c r="P13" s="28">
        <f t="shared" si="30"/>
        <v>0</v>
      </c>
      <c r="Q13" s="7"/>
      <c r="R13" s="43">
        <f t="shared" si="31"/>
        <v>0</v>
      </c>
      <c r="S13" s="28">
        <f t="shared" si="32"/>
        <v>0</v>
      </c>
      <c r="T13" s="8">
        <f t="shared" si="34"/>
        <v>0</v>
      </c>
      <c r="U13" s="30">
        <f t="shared" si="33"/>
        <v>0</v>
      </c>
      <c r="W13" s="156">
        <v>44753</v>
      </c>
      <c r="X13" s="157"/>
      <c r="Y13" s="162">
        <f t="shared" si="20"/>
        <v>0</v>
      </c>
      <c r="Z13" s="157"/>
      <c r="AA13" s="162">
        <f t="shared" si="20"/>
        <v>0</v>
      </c>
      <c r="AB13" s="157"/>
      <c r="AC13" s="162">
        <f t="shared" si="20"/>
        <v>0</v>
      </c>
      <c r="AD13" s="157"/>
      <c r="AE13" s="162">
        <f t="shared" si="20"/>
        <v>0</v>
      </c>
      <c r="AF13" s="157"/>
      <c r="AG13" s="162">
        <f t="shared" si="20"/>
        <v>0</v>
      </c>
    </row>
    <row r="14" spans="1:33" ht="16.5" thickBot="1" x14ac:dyDescent="0.25">
      <c r="A14" s="9">
        <v>44754</v>
      </c>
      <c r="B14" s="159"/>
      <c r="C14" s="43">
        <f t="shared" si="21"/>
        <v>0</v>
      </c>
      <c r="D14" s="28">
        <f t="shared" si="22"/>
        <v>0</v>
      </c>
      <c r="E14" s="1"/>
      <c r="F14" s="43">
        <f t="shared" si="23"/>
        <v>0</v>
      </c>
      <c r="G14" s="28">
        <f t="shared" si="24"/>
        <v>0</v>
      </c>
      <c r="H14" s="1"/>
      <c r="I14" s="43">
        <f t="shared" si="25"/>
        <v>0</v>
      </c>
      <c r="J14" s="28">
        <f t="shared" si="26"/>
        <v>0</v>
      </c>
      <c r="K14" s="7"/>
      <c r="L14" s="43">
        <f t="shared" si="27"/>
        <v>0</v>
      </c>
      <c r="M14" s="28">
        <f t="shared" si="28"/>
        <v>0</v>
      </c>
      <c r="N14" s="7"/>
      <c r="O14" s="43">
        <f>IF((N14-N13)&lt;0,"0",(N14-N13))</f>
        <v>0</v>
      </c>
      <c r="P14" s="28">
        <f t="shared" si="30"/>
        <v>0</v>
      </c>
      <c r="Q14" s="7"/>
      <c r="R14" s="43">
        <f t="shared" si="31"/>
        <v>0</v>
      </c>
      <c r="S14" s="28">
        <f t="shared" si="32"/>
        <v>0</v>
      </c>
      <c r="T14" s="8">
        <f t="shared" si="34"/>
        <v>0</v>
      </c>
      <c r="U14" s="30">
        <f t="shared" si="33"/>
        <v>0</v>
      </c>
      <c r="W14" s="156">
        <v>44754</v>
      </c>
      <c r="X14" s="157"/>
      <c r="Y14" s="162">
        <f t="shared" si="20"/>
        <v>0</v>
      </c>
      <c r="Z14" s="157"/>
      <c r="AA14" s="162">
        <f t="shared" si="20"/>
        <v>0</v>
      </c>
      <c r="AB14" s="157"/>
      <c r="AC14" s="162">
        <f t="shared" si="20"/>
        <v>0</v>
      </c>
      <c r="AD14" s="157"/>
      <c r="AE14" s="162">
        <f t="shared" si="20"/>
        <v>0</v>
      </c>
      <c r="AF14" s="157"/>
      <c r="AG14" s="162">
        <f t="shared" si="20"/>
        <v>0</v>
      </c>
    </row>
    <row r="15" spans="1:33" ht="16.5" thickBot="1" x14ac:dyDescent="0.25">
      <c r="A15" s="9">
        <v>44755</v>
      </c>
      <c r="B15" s="159"/>
      <c r="C15" s="43">
        <f t="shared" ref="C15" si="35">IF((B15-B14)&lt;0,"0",(B15-B14))</f>
        <v>0</v>
      </c>
      <c r="D15" s="28">
        <f t="shared" ref="D15" si="36">C15*1.9*1000</f>
        <v>0</v>
      </c>
      <c r="E15" s="1"/>
      <c r="F15" s="43">
        <f t="shared" ref="F15" si="37">IF((E15-E14)&lt;0,"0",(E15-E14))</f>
        <v>0</v>
      </c>
      <c r="G15" s="28">
        <f t="shared" ref="G15" si="38">F15*1.9*1000</f>
        <v>0</v>
      </c>
      <c r="H15" s="1"/>
      <c r="I15" s="43">
        <f t="shared" ref="I15" si="39">IF((H15-H14)&lt;0,"0",(H15-H14))</f>
        <v>0</v>
      </c>
      <c r="J15" s="28">
        <f t="shared" ref="J15" si="40">I15*1.9*1000</f>
        <v>0</v>
      </c>
      <c r="K15" s="7"/>
      <c r="L15" s="43">
        <f t="shared" ref="L15" si="41">IF((K15-K14)&lt;0,"0",(K15-K14))</f>
        <v>0</v>
      </c>
      <c r="M15" s="28">
        <f t="shared" ref="M15" si="42">L15*1.9*1000</f>
        <v>0</v>
      </c>
      <c r="N15" s="7"/>
      <c r="O15" s="43">
        <f>IF((N15-N14)&lt;0,"0",(N15-N14))</f>
        <v>0</v>
      </c>
      <c r="P15" s="28">
        <f t="shared" ref="P15" si="43">O15*1.9*1000</f>
        <v>0</v>
      </c>
      <c r="Q15" s="7"/>
      <c r="R15" s="43">
        <f t="shared" ref="R15" si="44">IF((Q15-Q14)&lt;0,"0",(Q15-Q14))</f>
        <v>0</v>
      </c>
      <c r="S15" s="28">
        <f t="shared" ref="S15" si="45">R15*1.9*1000</f>
        <v>0</v>
      </c>
      <c r="T15" s="8">
        <f t="shared" ref="T15" si="46">C15+F15+I15+L15+O15+R15</f>
        <v>0</v>
      </c>
      <c r="U15" s="30">
        <f t="shared" ref="U15" si="47">T15*1.9*1000</f>
        <v>0</v>
      </c>
      <c r="W15" s="156">
        <v>44755</v>
      </c>
      <c r="X15" s="157"/>
      <c r="Y15" s="162">
        <f t="shared" si="20"/>
        <v>0</v>
      </c>
      <c r="Z15" s="157"/>
      <c r="AA15" s="162">
        <f t="shared" si="20"/>
        <v>0</v>
      </c>
      <c r="AB15" s="157"/>
      <c r="AC15" s="162">
        <f t="shared" si="20"/>
        <v>0</v>
      </c>
      <c r="AD15" s="157"/>
      <c r="AE15" s="162">
        <f t="shared" si="20"/>
        <v>0</v>
      </c>
      <c r="AF15" s="157"/>
      <c r="AG15" s="162">
        <f t="shared" si="20"/>
        <v>0</v>
      </c>
    </row>
    <row r="16" spans="1:33" ht="16.5" thickBot="1" x14ac:dyDescent="0.25">
      <c r="A16" s="9">
        <v>44756</v>
      </c>
      <c r="B16" s="159"/>
      <c r="C16" s="43">
        <f t="shared" si="21"/>
        <v>0</v>
      </c>
      <c r="D16" s="28">
        <f t="shared" si="22"/>
        <v>0</v>
      </c>
      <c r="E16" s="1"/>
      <c r="F16" s="43">
        <f t="shared" si="23"/>
        <v>0</v>
      </c>
      <c r="G16" s="28">
        <f t="shared" si="24"/>
        <v>0</v>
      </c>
      <c r="H16" s="1"/>
      <c r="I16" s="43">
        <f t="shared" si="25"/>
        <v>0</v>
      </c>
      <c r="J16" s="28">
        <f t="shared" si="26"/>
        <v>0</v>
      </c>
      <c r="K16" s="7"/>
      <c r="L16" s="43">
        <f t="shared" si="27"/>
        <v>0</v>
      </c>
      <c r="M16" s="28">
        <f t="shared" si="28"/>
        <v>0</v>
      </c>
      <c r="N16" s="7"/>
      <c r="O16" s="43">
        <f t="shared" si="29"/>
        <v>0</v>
      </c>
      <c r="P16" s="28">
        <f t="shared" si="30"/>
        <v>0</v>
      </c>
      <c r="Q16" s="7"/>
      <c r="R16" s="43">
        <f t="shared" si="31"/>
        <v>0</v>
      </c>
      <c r="S16" s="28">
        <f t="shared" si="32"/>
        <v>0</v>
      </c>
      <c r="T16" s="8">
        <f t="shared" si="34"/>
        <v>0</v>
      </c>
      <c r="U16" s="30">
        <f t="shared" si="33"/>
        <v>0</v>
      </c>
      <c r="W16" s="156">
        <v>44756</v>
      </c>
      <c r="X16" s="157"/>
      <c r="Y16" s="162">
        <f t="shared" si="20"/>
        <v>0</v>
      </c>
      <c r="Z16" s="157"/>
      <c r="AA16" s="162">
        <f t="shared" si="20"/>
        <v>0</v>
      </c>
      <c r="AB16" s="157"/>
      <c r="AC16" s="162">
        <f t="shared" si="20"/>
        <v>0</v>
      </c>
      <c r="AD16" s="157"/>
      <c r="AE16" s="162">
        <f t="shared" si="20"/>
        <v>0</v>
      </c>
      <c r="AF16" s="157"/>
      <c r="AG16" s="162">
        <f t="shared" si="20"/>
        <v>0</v>
      </c>
    </row>
    <row r="17" spans="1:33" ht="16.5" thickBot="1" x14ac:dyDescent="0.25">
      <c r="A17" s="9">
        <v>44757</v>
      </c>
      <c r="B17" s="159"/>
      <c r="C17" s="43">
        <f t="shared" si="21"/>
        <v>0</v>
      </c>
      <c r="D17" s="28">
        <f t="shared" si="22"/>
        <v>0</v>
      </c>
      <c r="E17" s="1"/>
      <c r="F17" s="43">
        <f t="shared" si="23"/>
        <v>0</v>
      </c>
      <c r="G17" s="28">
        <f t="shared" si="24"/>
        <v>0</v>
      </c>
      <c r="H17" s="1"/>
      <c r="I17" s="43">
        <f t="shared" si="25"/>
        <v>0</v>
      </c>
      <c r="J17" s="28">
        <f t="shared" si="26"/>
        <v>0</v>
      </c>
      <c r="K17" s="7"/>
      <c r="L17" s="43">
        <f t="shared" si="27"/>
        <v>0</v>
      </c>
      <c r="M17" s="28">
        <f t="shared" si="28"/>
        <v>0</v>
      </c>
      <c r="N17" s="7"/>
      <c r="O17" s="43">
        <f t="shared" si="29"/>
        <v>0</v>
      </c>
      <c r="P17" s="28">
        <f t="shared" si="30"/>
        <v>0</v>
      </c>
      <c r="Q17" s="7"/>
      <c r="R17" s="43">
        <f t="shared" si="31"/>
        <v>0</v>
      </c>
      <c r="S17" s="28">
        <f t="shared" si="32"/>
        <v>0</v>
      </c>
      <c r="T17" s="8">
        <f t="shared" si="34"/>
        <v>0</v>
      </c>
      <c r="U17" s="30">
        <f t="shared" si="33"/>
        <v>0</v>
      </c>
      <c r="W17" s="156">
        <v>44757</v>
      </c>
      <c r="X17" s="157"/>
      <c r="Y17" s="162">
        <f t="shared" si="20"/>
        <v>0</v>
      </c>
      <c r="Z17" s="157"/>
      <c r="AA17" s="162">
        <f t="shared" si="20"/>
        <v>0</v>
      </c>
      <c r="AB17" s="157"/>
      <c r="AC17" s="162">
        <f t="shared" si="20"/>
        <v>0</v>
      </c>
      <c r="AD17" s="157"/>
      <c r="AE17" s="162">
        <f t="shared" si="20"/>
        <v>0</v>
      </c>
      <c r="AF17" s="157"/>
      <c r="AG17" s="162">
        <f t="shared" si="20"/>
        <v>0</v>
      </c>
    </row>
    <row r="18" spans="1:33" ht="16.5" thickBot="1" x14ac:dyDescent="0.25">
      <c r="A18" s="9">
        <v>44758</v>
      </c>
      <c r="B18" s="159"/>
      <c r="C18" s="43">
        <f t="shared" si="21"/>
        <v>0</v>
      </c>
      <c r="D18" s="28">
        <f t="shared" si="22"/>
        <v>0</v>
      </c>
      <c r="E18" s="1"/>
      <c r="F18" s="43">
        <f t="shared" si="23"/>
        <v>0</v>
      </c>
      <c r="G18" s="28">
        <f t="shared" si="24"/>
        <v>0</v>
      </c>
      <c r="H18" s="1"/>
      <c r="I18" s="43">
        <f t="shared" si="25"/>
        <v>0</v>
      </c>
      <c r="J18" s="28">
        <f t="shared" si="26"/>
        <v>0</v>
      </c>
      <c r="K18" s="7"/>
      <c r="L18" s="43">
        <f t="shared" si="27"/>
        <v>0</v>
      </c>
      <c r="M18" s="28">
        <f t="shared" si="28"/>
        <v>0</v>
      </c>
      <c r="N18" s="7"/>
      <c r="O18" s="43">
        <f t="shared" si="29"/>
        <v>0</v>
      </c>
      <c r="P18" s="28">
        <f t="shared" si="30"/>
        <v>0</v>
      </c>
      <c r="Q18" s="7"/>
      <c r="R18" s="43">
        <f t="shared" si="31"/>
        <v>0</v>
      </c>
      <c r="S18" s="28">
        <f t="shared" si="32"/>
        <v>0</v>
      </c>
      <c r="T18" s="8">
        <f t="shared" si="34"/>
        <v>0</v>
      </c>
      <c r="U18" s="30">
        <f t="shared" si="33"/>
        <v>0</v>
      </c>
      <c r="W18" s="156">
        <v>44758</v>
      </c>
      <c r="X18" s="157"/>
      <c r="Y18" s="162">
        <f t="shared" si="20"/>
        <v>0</v>
      </c>
      <c r="Z18" s="157"/>
      <c r="AA18" s="162">
        <f t="shared" si="20"/>
        <v>0</v>
      </c>
      <c r="AB18" s="157"/>
      <c r="AC18" s="162">
        <f t="shared" si="20"/>
        <v>0</v>
      </c>
      <c r="AD18" s="157"/>
      <c r="AE18" s="162">
        <f t="shared" si="20"/>
        <v>0</v>
      </c>
      <c r="AF18" s="157"/>
      <c r="AG18" s="162">
        <f t="shared" si="20"/>
        <v>0</v>
      </c>
    </row>
    <row r="19" spans="1:33" ht="16.5" thickBot="1" x14ac:dyDescent="0.25">
      <c r="A19" s="9">
        <v>44759</v>
      </c>
      <c r="B19" s="159"/>
      <c r="C19" s="43">
        <f t="shared" si="21"/>
        <v>0</v>
      </c>
      <c r="D19" s="28">
        <f t="shared" si="22"/>
        <v>0</v>
      </c>
      <c r="E19" s="1"/>
      <c r="F19" s="43">
        <f t="shared" si="23"/>
        <v>0</v>
      </c>
      <c r="G19" s="28">
        <f t="shared" si="24"/>
        <v>0</v>
      </c>
      <c r="H19" s="1"/>
      <c r="I19" s="43">
        <f t="shared" si="25"/>
        <v>0</v>
      </c>
      <c r="J19" s="28">
        <f t="shared" si="26"/>
        <v>0</v>
      </c>
      <c r="K19" s="7"/>
      <c r="L19" s="43">
        <f t="shared" si="27"/>
        <v>0</v>
      </c>
      <c r="M19" s="28">
        <f t="shared" si="28"/>
        <v>0</v>
      </c>
      <c r="N19" s="7"/>
      <c r="O19" s="43">
        <f t="shared" si="29"/>
        <v>0</v>
      </c>
      <c r="P19" s="28">
        <f t="shared" si="30"/>
        <v>0</v>
      </c>
      <c r="Q19" s="7"/>
      <c r="R19" s="43">
        <f t="shared" si="31"/>
        <v>0</v>
      </c>
      <c r="S19" s="28">
        <f t="shared" si="32"/>
        <v>0</v>
      </c>
      <c r="T19" s="8">
        <f t="shared" si="34"/>
        <v>0</v>
      </c>
      <c r="U19" s="30">
        <f t="shared" si="33"/>
        <v>0</v>
      </c>
      <c r="W19" s="156">
        <v>44759</v>
      </c>
      <c r="X19" s="157"/>
      <c r="Y19" s="162">
        <f t="shared" si="20"/>
        <v>0</v>
      </c>
      <c r="Z19" s="157"/>
      <c r="AA19" s="162">
        <f t="shared" si="20"/>
        <v>0</v>
      </c>
      <c r="AB19" s="157"/>
      <c r="AC19" s="162">
        <f t="shared" si="20"/>
        <v>0</v>
      </c>
      <c r="AD19" s="157"/>
      <c r="AE19" s="162">
        <f t="shared" si="20"/>
        <v>0</v>
      </c>
      <c r="AF19" s="157"/>
      <c r="AG19" s="162">
        <f t="shared" si="20"/>
        <v>0</v>
      </c>
    </row>
    <row r="20" spans="1:33" ht="16.5" thickBot="1" x14ac:dyDescent="0.25">
      <c r="A20" s="9">
        <v>44760</v>
      </c>
      <c r="B20" s="159"/>
      <c r="C20" s="43">
        <f t="shared" si="21"/>
        <v>0</v>
      </c>
      <c r="D20" s="28">
        <f t="shared" si="22"/>
        <v>0</v>
      </c>
      <c r="E20" s="1"/>
      <c r="F20" s="43">
        <f t="shared" si="23"/>
        <v>0</v>
      </c>
      <c r="G20" s="28">
        <f t="shared" si="24"/>
        <v>0</v>
      </c>
      <c r="H20" s="1"/>
      <c r="I20" s="43">
        <f t="shared" si="25"/>
        <v>0</v>
      </c>
      <c r="J20" s="28">
        <f t="shared" si="26"/>
        <v>0</v>
      </c>
      <c r="K20" s="7"/>
      <c r="L20" s="43">
        <f t="shared" si="27"/>
        <v>0</v>
      </c>
      <c r="M20" s="28">
        <f t="shared" si="28"/>
        <v>0</v>
      </c>
      <c r="N20" s="7"/>
      <c r="O20" s="43">
        <f t="shared" si="29"/>
        <v>0</v>
      </c>
      <c r="P20" s="28">
        <f t="shared" si="30"/>
        <v>0</v>
      </c>
      <c r="Q20" s="7"/>
      <c r="R20" s="43">
        <f t="shared" si="31"/>
        <v>0</v>
      </c>
      <c r="S20" s="28">
        <f t="shared" si="32"/>
        <v>0</v>
      </c>
      <c r="T20" s="8">
        <f t="shared" si="34"/>
        <v>0</v>
      </c>
      <c r="U20" s="30">
        <f t="shared" si="33"/>
        <v>0</v>
      </c>
      <c r="W20" s="156">
        <v>44760</v>
      </c>
      <c r="X20" s="157"/>
      <c r="Y20" s="162">
        <f t="shared" si="20"/>
        <v>0</v>
      </c>
      <c r="Z20" s="157"/>
      <c r="AA20" s="162">
        <f t="shared" si="20"/>
        <v>0</v>
      </c>
      <c r="AB20" s="157"/>
      <c r="AC20" s="162">
        <f t="shared" si="20"/>
        <v>0</v>
      </c>
      <c r="AD20" s="157"/>
      <c r="AE20" s="162">
        <f t="shared" si="20"/>
        <v>0</v>
      </c>
      <c r="AF20" s="157"/>
      <c r="AG20" s="162">
        <f t="shared" si="20"/>
        <v>0</v>
      </c>
    </row>
    <row r="21" spans="1:33" ht="16.5" thickBot="1" x14ac:dyDescent="0.25">
      <c r="A21" s="9">
        <v>44761</v>
      </c>
      <c r="B21" s="159"/>
      <c r="C21" s="43">
        <f t="shared" si="21"/>
        <v>0</v>
      </c>
      <c r="D21" s="28">
        <f t="shared" si="22"/>
        <v>0</v>
      </c>
      <c r="E21" s="1"/>
      <c r="F21" s="43">
        <f t="shared" si="23"/>
        <v>0</v>
      </c>
      <c r="G21" s="28">
        <f t="shared" si="24"/>
        <v>0</v>
      </c>
      <c r="H21" s="1"/>
      <c r="I21" s="43">
        <f t="shared" si="25"/>
        <v>0</v>
      </c>
      <c r="J21" s="28">
        <f t="shared" si="26"/>
        <v>0</v>
      </c>
      <c r="K21" s="7"/>
      <c r="L21" s="43">
        <f t="shared" si="27"/>
        <v>0</v>
      </c>
      <c r="M21" s="28">
        <f t="shared" si="28"/>
        <v>0</v>
      </c>
      <c r="N21" s="7"/>
      <c r="O21" s="43">
        <f t="shared" si="29"/>
        <v>0</v>
      </c>
      <c r="P21" s="28">
        <f t="shared" si="30"/>
        <v>0</v>
      </c>
      <c r="Q21" s="7"/>
      <c r="R21" s="43">
        <f t="shared" si="31"/>
        <v>0</v>
      </c>
      <c r="S21" s="28">
        <f t="shared" si="32"/>
        <v>0</v>
      </c>
      <c r="T21" s="8">
        <f t="shared" si="34"/>
        <v>0</v>
      </c>
      <c r="U21" s="30">
        <f t="shared" si="33"/>
        <v>0</v>
      </c>
      <c r="W21" s="156">
        <v>44761</v>
      </c>
      <c r="X21" s="157"/>
      <c r="Y21" s="162">
        <f t="shared" si="20"/>
        <v>0</v>
      </c>
      <c r="Z21" s="157"/>
      <c r="AA21" s="162">
        <f t="shared" si="20"/>
        <v>0</v>
      </c>
      <c r="AB21" s="157"/>
      <c r="AC21" s="162">
        <f t="shared" si="20"/>
        <v>0</v>
      </c>
      <c r="AD21" s="157"/>
      <c r="AE21" s="162">
        <f t="shared" si="20"/>
        <v>0</v>
      </c>
      <c r="AF21" s="157"/>
      <c r="AG21" s="162">
        <f t="shared" si="20"/>
        <v>0</v>
      </c>
    </row>
    <row r="22" spans="1:33" ht="16.5" thickBot="1" x14ac:dyDescent="0.25">
      <c r="A22" s="9">
        <v>44762</v>
      </c>
      <c r="B22" s="159"/>
      <c r="C22" s="43">
        <f t="shared" si="21"/>
        <v>0</v>
      </c>
      <c r="D22" s="28">
        <f t="shared" si="22"/>
        <v>0</v>
      </c>
      <c r="E22" s="1"/>
      <c r="F22" s="43">
        <f t="shared" si="23"/>
        <v>0</v>
      </c>
      <c r="G22" s="28">
        <f t="shared" si="24"/>
        <v>0</v>
      </c>
      <c r="H22" s="1"/>
      <c r="I22" s="43">
        <f t="shared" si="25"/>
        <v>0</v>
      </c>
      <c r="J22" s="28">
        <f t="shared" si="26"/>
        <v>0</v>
      </c>
      <c r="K22" s="7"/>
      <c r="L22" s="43">
        <f t="shared" si="27"/>
        <v>0</v>
      </c>
      <c r="M22" s="28">
        <f t="shared" si="28"/>
        <v>0</v>
      </c>
      <c r="N22" s="7"/>
      <c r="O22" s="43">
        <f t="shared" si="29"/>
        <v>0</v>
      </c>
      <c r="P22" s="28">
        <f t="shared" si="30"/>
        <v>0</v>
      </c>
      <c r="Q22" s="7"/>
      <c r="R22" s="43">
        <f t="shared" si="31"/>
        <v>0</v>
      </c>
      <c r="S22" s="28">
        <f t="shared" si="32"/>
        <v>0</v>
      </c>
      <c r="T22" s="8">
        <f t="shared" si="34"/>
        <v>0</v>
      </c>
      <c r="U22" s="30">
        <f t="shared" si="33"/>
        <v>0</v>
      </c>
      <c r="W22" s="156">
        <v>44762</v>
      </c>
      <c r="X22" s="157"/>
      <c r="Y22" s="162">
        <f t="shared" si="20"/>
        <v>0</v>
      </c>
      <c r="Z22" s="157"/>
      <c r="AA22" s="162">
        <f t="shared" si="20"/>
        <v>0</v>
      </c>
      <c r="AB22" s="157"/>
      <c r="AC22" s="162">
        <f t="shared" si="20"/>
        <v>0</v>
      </c>
      <c r="AD22" s="157"/>
      <c r="AE22" s="162">
        <f t="shared" si="20"/>
        <v>0</v>
      </c>
      <c r="AF22" s="157"/>
      <c r="AG22" s="162">
        <f t="shared" si="20"/>
        <v>0</v>
      </c>
    </row>
    <row r="23" spans="1:33" ht="16.5" thickBot="1" x14ac:dyDescent="0.25">
      <c r="A23" s="9">
        <v>44763</v>
      </c>
      <c r="B23" s="159"/>
      <c r="C23" s="43">
        <f t="shared" si="21"/>
        <v>0</v>
      </c>
      <c r="D23" s="28">
        <f t="shared" si="22"/>
        <v>0</v>
      </c>
      <c r="E23" s="1"/>
      <c r="F23" s="43">
        <f t="shared" si="23"/>
        <v>0</v>
      </c>
      <c r="G23" s="28">
        <f t="shared" si="24"/>
        <v>0</v>
      </c>
      <c r="H23" s="1"/>
      <c r="I23" s="43">
        <f t="shared" si="25"/>
        <v>0</v>
      </c>
      <c r="J23" s="28">
        <f t="shared" si="26"/>
        <v>0</v>
      </c>
      <c r="K23" s="7"/>
      <c r="L23" s="43">
        <f t="shared" si="27"/>
        <v>0</v>
      </c>
      <c r="M23" s="28">
        <f t="shared" si="28"/>
        <v>0</v>
      </c>
      <c r="N23" s="7"/>
      <c r="O23" s="43">
        <f t="shared" si="29"/>
        <v>0</v>
      </c>
      <c r="P23" s="28">
        <f t="shared" si="30"/>
        <v>0</v>
      </c>
      <c r="Q23" s="7"/>
      <c r="R23" s="43">
        <f t="shared" si="31"/>
        <v>0</v>
      </c>
      <c r="S23" s="28">
        <f t="shared" si="32"/>
        <v>0</v>
      </c>
      <c r="T23" s="8">
        <f t="shared" si="34"/>
        <v>0</v>
      </c>
      <c r="U23" s="30">
        <f t="shared" si="33"/>
        <v>0</v>
      </c>
      <c r="W23" s="156">
        <v>44763</v>
      </c>
      <c r="X23" s="157"/>
      <c r="Y23" s="162">
        <f t="shared" si="20"/>
        <v>0</v>
      </c>
      <c r="Z23" s="157"/>
      <c r="AA23" s="162">
        <f t="shared" si="20"/>
        <v>0</v>
      </c>
      <c r="AB23" s="157"/>
      <c r="AC23" s="162">
        <f t="shared" si="20"/>
        <v>0</v>
      </c>
      <c r="AD23" s="157"/>
      <c r="AE23" s="162">
        <f t="shared" si="20"/>
        <v>0</v>
      </c>
      <c r="AF23" s="157"/>
      <c r="AG23" s="162">
        <f t="shared" si="20"/>
        <v>0</v>
      </c>
    </row>
    <row r="24" spans="1:33" ht="16.5" thickBot="1" x14ac:dyDescent="0.25">
      <c r="A24" s="9">
        <v>44764</v>
      </c>
      <c r="B24" s="159"/>
      <c r="C24" s="43">
        <f t="shared" si="21"/>
        <v>0</v>
      </c>
      <c r="D24" s="28">
        <f t="shared" si="22"/>
        <v>0</v>
      </c>
      <c r="E24" s="1"/>
      <c r="F24" s="43">
        <f t="shared" si="23"/>
        <v>0</v>
      </c>
      <c r="G24" s="28">
        <f t="shared" si="24"/>
        <v>0</v>
      </c>
      <c r="H24" s="1"/>
      <c r="I24" s="43">
        <f t="shared" si="25"/>
        <v>0</v>
      </c>
      <c r="J24" s="28">
        <f t="shared" si="26"/>
        <v>0</v>
      </c>
      <c r="K24" s="7"/>
      <c r="L24" s="43">
        <f t="shared" si="27"/>
        <v>0</v>
      </c>
      <c r="M24" s="28">
        <f t="shared" si="28"/>
        <v>0</v>
      </c>
      <c r="N24" s="7"/>
      <c r="O24" s="43">
        <f t="shared" si="29"/>
        <v>0</v>
      </c>
      <c r="P24" s="28">
        <f t="shared" si="30"/>
        <v>0</v>
      </c>
      <c r="Q24" s="7"/>
      <c r="R24" s="43">
        <f t="shared" si="31"/>
        <v>0</v>
      </c>
      <c r="S24" s="28">
        <f t="shared" si="32"/>
        <v>0</v>
      </c>
      <c r="T24" s="8">
        <f t="shared" si="34"/>
        <v>0</v>
      </c>
      <c r="U24" s="30">
        <f t="shared" si="33"/>
        <v>0</v>
      </c>
      <c r="W24" s="156">
        <v>44764</v>
      </c>
      <c r="X24" s="157"/>
      <c r="Y24" s="162">
        <f t="shared" si="20"/>
        <v>0</v>
      </c>
      <c r="Z24" s="157"/>
      <c r="AA24" s="162">
        <f t="shared" si="20"/>
        <v>0</v>
      </c>
      <c r="AB24" s="157"/>
      <c r="AC24" s="162">
        <f t="shared" si="20"/>
        <v>0</v>
      </c>
      <c r="AD24" s="157"/>
      <c r="AE24" s="162">
        <f t="shared" si="20"/>
        <v>0</v>
      </c>
      <c r="AF24" s="157"/>
      <c r="AG24" s="162">
        <f t="shared" si="20"/>
        <v>0</v>
      </c>
    </row>
    <row r="25" spans="1:33" ht="16.5" thickBot="1" x14ac:dyDescent="0.25">
      <c r="A25" s="9">
        <v>44765</v>
      </c>
      <c r="B25" s="159"/>
      <c r="C25" s="43">
        <f t="shared" si="21"/>
        <v>0</v>
      </c>
      <c r="D25" s="28">
        <f t="shared" si="22"/>
        <v>0</v>
      </c>
      <c r="E25" s="1"/>
      <c r="F25" s="43">
        <f t="shared" si="23"/>
        <v>0</v>
      </c>
      <c r="G25" s="28">
        <f t="shared" si="24"/>
        <v>0</v>
      </c>
      <c r="H25" s="1"/>
      <c r="I25" s="43">
        <f t="shared" si="25"/>
        <v>0</v>
      </c>
      <c r="J25" s="28">
        <f t="shared" si="26"/>
        <v>0</v>
      </c>
      <c r="K25" s="7"/>
      <c r="L25" s="43">
        <f t="shared" si="27"/>
        <v>0</v>
      </c>
      <c r="M25" s="28">
        <f t="shared" si="28"/>
        <v>0</v>
      </c>
      <c r="N25" s="7"/>
      <c r="O25" s="43">
        <f t="shared" si="29"/>
        <v>0</v>
      </c>
      <c r="P25" s="28">
        <f t="shared" si="30"/>
        <v>0</v>
      </c>
      <c r="Q25" s="7"/>
      <c r="R25" s="43">
        <f t="shared" si="31"/>
        <v>0</v>
      </c>
      <c r="S25" s="28">
        <f t="shared" si="32"/>
        <v>0</v>
      </c>
      <c r="T25" s="8">
        <f t="shared" si="34"/>
        <v>0</v>
      </c>
      <c r="U25" s="30">
        <f t="shared" si="33"/>
        <v>0</v>
      </c>
      <c r="W25" s="156">
        <v>44765</v>
      </c>
      <c r="X25" s="157"/>
      <c r="Y25" s="162">
        <f t="shared" si="20"/>
        <v>0</v>
      </c>
      <c r="Z25" s="157"/>
      <c r="AA25" s="162">
        <f t="shared" si="20"/>
        <v>0</v>
      </c>
      <c r="AB25" s="157"/>
      <c r="AC25" s="162">
        <f t="shared" si="20"/>
        <v>0</v>
      </c>
      <c r="AD25" s="157"/>
      <c r="AE25" s="162">
        <f t="shared" si="20"/>
        <v>0</v>
      </c>
      <c r="AF25" s="157"/>
      <c r="AG25" s="162">
        <f t="shared" si="20"/>
        <v>0</v>
      </c>
    </row>
    <row r="26" spans="1:33" ht="16.5" thickBot="1" x14ac:dyDescent="0.25">
      <c r="A26" s="9">
        <v>44766</v>
      </c>
      <c r="B26" s="159"/>
      <c r="C26" s="43">
        <f t="shared" si="21"/>
        <v>0</v>
      </c>
      <c r="D26" s="28">
        <f t="shared" si="22"/>
        <v>0</v>
      </c>
      <c r="E26" s="1"/>
      <c r="F26" s="43">
        <f t="shared" si="23"/>
        <v>0</v>
      </c>
      <c r="G26" s="28">
        <f t="shared" si="24"/>
        <v>0</v>
      </c>
      <c r="H26" s="1"/>
      <c r="I26" s="43">
        <f t="shared" si="25"/>
        <v>0</v>
      </c>
      <c r="J26" s="28">
        <f t="shared" si="26"/>
        <v>0</v>
      </c>
      <c r="K26" s="7"/>
      <c r="L26" s="43">
        <f>IF((K26-K25)&lt;0,"0",(K26-K25))</f>
        <v>0</v>
      </c>
      <c r="M26" s="28">
        <f t="shared" si="28"/>
        <v>0</v>
      </c>
      <c r="N26" s="7"/>
      <c r="O26" s="43">
        <f t="shared" si="29"/>
        <v>0</v>
      </c>
      <c r="P26" s="28">
        <f t="shared" si="30"/>
        <v>0</v>
      </c>
      <c r="Q26" s="7"/>
      <c r="R26" s="43">
        <f t="shared" si="31"/>
        <v>0</v>
      </c>
      <c r="S26" s="28">
        <f t="shared" si="32"/>
        <v>0</v>
      </c>
      <c r="T26" s="8">
        <f t="shared" si="34"/>
        <v>0</v>
      </c>
      <c r="U26" s="30">
        <f t="shared" si="33"/>
        <v>0</v>
      </c>
      <c r="V26" t="s">
        <v>12</v>
      </c>
      <c r="W26" s="156">
        <v>44766</v>
      </c>
      <c r="X26" s="157"/>
      <c r="Y26" s="162">
        <f t="shared" si="20"/>
        <v>0</v>
      </c>
      <c r="Z26" s="157"/>
      <c r="AA26" s="162">
        <f t="shared" si="20"/>
        <v>0</v>
      </c>
      <c r="AB26" s="157"/>
      <c r="AC26" s="162">
        <f t="shared" si="20"/>
        <v>0</v>
      </c>
      <c r="AD26" s="157"/>
      <c r="AE26" s="162">
        <f t="shared" si="20"/>
        <v>0</v>
      </c>
      <c r="AF26" s="157"/>
      <c r="AG26" s="162">
        <f t="shared" si="20"/>
        <v>0</v>
      </c>
    </row>
    <row r="27" spans="1:33" ht="16.5" thickBot="1" x14ac:dyDescent="0.25">
      <c r="A27" s="9">
        <v>44767</v>
      </c>
      <c r="B27" s="159"/>
      <c r="C27" s="43">
        <f t="shared" si="21"/>
        <v>0</v>
      </c>
      <c r="D27" s="28">
        <f t="shared" si="22"/>
        <v>0</v>
      </c>
      <c r="E27" s="1"/>
      <c r="F27" s="43">
        <f t="shared" si="23"/>
        <v>0</v>
      </c>
      <c r="G27" s="28">
        <f t="shared" si="24"/>
        <v>0</v>
      </c>
      <c r="H27" s="1"/>
      <c r="I27" s="43">
        <f t="shared" si="25"/>
        <v>0</v>
      </c>
      <c r="J27" s="28">
        <f t="shared" si="26"/>
        <v>0</v>
      </c>
      <c r="K27" s="7"/>
      <c r="L27" s="43">
        <f t="shared" si="27"/>
        <v>0</v>
      </c>
      <c r="M27" s="28">
        <f t="shared" si="28"/>
        <v>0</v>
      </c>
      <c r="N27" s="7"/>
      <c r="O27" s="43">
        <f t="shared" si="29"/>
        <v>0</v>
      </c>
      <c r="P27" s="28">
        <f t="shared" si="30"/>
        <v>0</v>
      </c>
      <c r="Q27" s="7"/>
      <c r="R27" s="43">
        <f t="shared" si="31"/>
        <v>0</v>
      </c>
      <c r="S27" s="28">
        <f t="shared" si="32"/>
        <v>0</v>
      </c>
      <c r="T27" s="8">
        <f t="shared" si="34"/>
        <v>0</v>
      </c>
      <c r="U27" s="30">
        <f t="shared" si="33"/>
        <v>0</v>
      </c>
      <c r="V27" t="s">
        <v>12</v>
      </c>
      <c r="W27" s="156">
        <v>44767</v>
      </c>
      <c r="X27" s="157"/>
      <c r="Y27" s="162">
        <f t="shared" si="20"/>
        <v>0</v>
      </c>
      <c r="Z27" s="157"/>
      <c r="AA27" s="162">
        <f t="shared" si="20"/>
        <v>0</v>
      </c>
      <c r="AB27" s="157"/>
      <c r="AC27" s="162">
        <f t="shared" si="20"/>
        <v>0</v>
      </c>
      <c r="AD27" s="157"/>
      <c r="AE27" s="162">
        <f t="shared" si="20"/>
        <v>0</v>
      </c>
      <c r="AF27" s="157"/>
      <c r="AG27" s="162">
        <f t="shared" si="20"/>
        <v>0</v>
      </c>
    </row>
    <row r="28" spans="1:33" ht="16.5" thickBot="1" x14ac:dyDescent="0.25">
      <c r="A28" s="9">
        <v>44768</v>
      </c>
      <c r="B28" s="159"/>
      <c r="C28" s="43">
        <f t="shared" si="21"/>
        <v>0</v>
      </c>
      <c r="D28" s="28">
        <f t="shared" si="22"/>
        <v>0</v>
      </c>
      <c r="E28" s="1"/>
      <c r="F28" s="43">
        <f t="shared" si="23"/>
        <v>0</v>
      </c>
      <c r="G28" s="28">
        <f t="shared" si="24"/>
        <v>0</v>
      </c>
      <c r="H28" s="1"/>
      <c r="I28" s="43">
        <f t="shared" si="25"/>
        <v>0</v>
      </c>
      <c r="J28" s="28">
        <f t="shared" si="26"/>
        <v>0</v>
      </c>
      <c r="K28" s="7"/>
      <c r="L28" s="43">
        <f t="shared" si="27"/>
        <v>0</v>
      </c>
      <c r="M28" s="28">
        <f t="shared" si="28"/>
        <v>0</v>
      </c>
      <c r="N28" s="7"/>
      <c r="O28" s="43">
        <f t="shared" si="29"/>
        <v>0</v>
      </c>
      <c r="P28" s="28">
        <f t="shared" si="30"/>
        <v>0</v>
      </c>
      <c r="Q28" s="7"/>
      <c r="R28" s="43">
        <f t="shared" si="31"/>
        <v>0</v>
      </c>
      <c r="S28" s="28">
        <f t="shared" si="32"/>
        <v>0</v>
      </c>
      <c r="T28" s="8">
        <f t="shared" si="34"/>
        <v>0</v>
      </c>
      <c r="U28" s="30">
        <f t="shared" si="33"/>
        <v>0</v>
      </c>
      <c r="W28" s="156">
        <v>44768</v>
      </c>
      <c r="X28" s="157"/>
      <c r="Y28" s="162">
        <f t="shared" si="20"/>
        <v>0</v>
      </c>
      <c r="Z28" s="157"/>
      <c r="AA28" s="162">
        <f t="shared" si="20"/>
        <v>0</v>
      </c>
      <c r="AB28" s="157"/>
      <c r="AC28" s="162">
        <f t="shared" si="20"/>
        <v>0</v>
      </c>
      <c r="AD28" s="157"/>
      <c r="AE28" s="162">
        <f t="shared" si="20"/>
        <v>0</v>
      </c>
      <c r="AF28" s="157"/>
      <c r="AG28" s="162">
        <f t="shared" si="20"/>
        <v>0</v>
      </c>
    </row>
    <row r="29" spans="1:33" ht="16.5" thickBot="1" x14ac:dyDescent="0.25">
      <c r="A29" s="9">
        <v>44769</v>
      </c>
      <c r="B29" s="159"/>
      <c r="C29" s="43">
        <f t="shared" si="21"/>
        <v>0</v>
      </c>
      <c r="D29" s="28">
        <f t="shared" si="22"/>
        <v>0</v>
      </c>
      <c r="E29" s="1"/>
      <c r="F29" s="43">
        <f t="shared" si="23"/>
        <v>0</v>
      </c>
      <c r="G29" s="28">
        <f t="shared" si="24"/>
        <v>0</v>
      </c>
      <c r="H29" s="1"/>
      <c r="I29" s="43">
        <f t="shared" si="25"/>
        <v>0</v>
      </c>
      <c r="J29" s="28">
        <f t="shared" si="26"/>
        <v>0</v>
      </c>
      <c r="K29" s="7"/>
      <c r="L29" s="43">
        <f t="shared" si="27"/>
        <v>0</v>
      </c>
      <c r="M29" s="28">
        <f t="shared" si="28"/>
        <v>0</v>
      </c>
      <c r="N29" s="7"/>
      <c r="O29" s="43">
        <f t="shared" si="29"/>
        <v>0</v>
      </c>
      <c r="P29" s="28">
        <f t="shared" si="30"/>
        <v>0</v>
      </c>
      <c r="Q29" s="7"/>
      <c r="R29" s="43">
        <f t="shared" si="31"/>
        <v>0</v>
      </c>
      <c r="S29" s="28">
        <f t="shared" si="32"/>
        <v>0</v>
      </c>
      <c r="T29" s="8">
        <f t="shared" si="34"/>
        <v>0</v>
      </c>
      <c r="U29" s="30">
        <f t="shared" si="33"/>
        <v>0</v>
      </c>
      <c r="W29" s="156">
        <v>44769</v>
      </c>
      <c r="X29" s="157"/>
      <c r="Y29" s="162">
        <f t="shared" si="20"/>
        <v>0</v>
      </c>
      <c r="Z29" s="157"/>
      <c r="AA29" s="162">
        <f t="shared" si="20"/>
        <v>0</v>
      </c>
      <c r="AB29" s="157"/>
      <c r="AC29" s="162">
        <f t="shared" si="20"/>
        <v>0</v>
      </c>
      <c r="AD29" s="157"/>
      <c r="AE29" s="162">
        <f t="shared" si="20"/>
        <v>0</v>
      </c>
      <c r="AF29" s="157"/>
      <c r="AG29" s="162">
        <f t="shared" si="20"/>
        <v>0</v>
      </c>
    </row>
    <row r="30" spans="1:33" ht="16.5" thickBot="1" x14ac:dyDescent="0.25">
      <c r="A30" s="9">
        <v>44770</v>
      </c>
      <c r="B30" s="159"/>
      <c r="C30" s="43">
        <f t="shared" si="21"/>
        <v>0</v>
      </c>
      <c r="D30" s="28">
        <f t="shared" si="22"/>
        <v>0</v>
      </c>
      <c r="E30" s="1"/>
      <c r="F30" s="43">
        <f t="shared" si="23"/>
        <v>0</v>
      </c>
      <c r="G30" s="28">
        <f t="shared" si="24"/>
        <v>0</v>
      </c>
      <c r="H30" s="1"/>
      <c r="I30" s="43">
        <f t="shared" si="25"/>
        <v>0</v>
      </c>
      <c r="J30" s="28">
        <f t="shared" si="26"/>
        <v>0</v>
      </c>
      <c r="K30" s="7"/>
      <c r="L30" s="43">
        <f t="shared" si="27"/>
        <v>0</v>
      </c>
      <c r="M30" s="28">
        <f t="shared" si="28"/>
        <v>0</v>
      </c>
      <c r="N30" s="7"/>
      <c r="O30" s="43">
        <f t="shared" si="29"/>
        <v>0</v>
      </c>
      <c r="P30" s="28">
        <f t="shared" si="30"/>
        <v>0</v>
      </c>
      <c r="Q30" s="7"/>
      <c r="R30" s="43">
        <f t="shared" si="31"/>
        <v>0</v>
      </c>
      <c r="S30" s="28">
        <f t="shared" si="32"/>
        <v>0</v>
      </c>
      <c r="T30" s="8">
        <f t="shared" si="34"/>
        <v>0</v>
      </c>
      <c r="U30" s="30">
        <f t="shared" si="33"/>
        <v>0</v>
      </c>
      <c r="W30" s="156">
        <v>44770</v>
      </c>
      <c r="X30" s="157"/>
      <c r="Y30" s="162">
        <f t="shared" si="20"/>
        <v>0</v>
      </c>
      <c r="Z30" s="157"/>
      <c r="AA30" s="162">
        <f t="shared" si="20"/>
        <v>0</v>
      </c>
      <c r="AB30" s="157"/>
      <c r="AC30" s="162">
        <f t="shared" si="20"/>
        <v>0</v>
      </c>
      <c r="AD30" s="157"/>
      <c r="AE30" s="162">
        <f t="shared" si="20"/>
        <v>0</v>
      </c>
      <c r="AF30" s="157"/>
      <c r="AG30" s="162">
        <f t="shared" si="20"/>
        <v>0</v>
      </c>
    </row>
    <row r="31" spans="1:33" ht="16.5" thickBot="1" x14ac:dyDescent="0.25">
      <c r="A31" s="9">
        <v>44771</v>
      </c>
      <c r="B31" s="159"/>
      <c r="C31" s="43">
        <f t="shared" si="21"/>
        <v>0</v>
      </c>
      <c r="D31" s="28">
        <f t="shared" si="22"/>
        <v>0</v>
      </c>
      <c r="E31" s="1"/>
      <c r="F31" s="43">
        <f t="shared" si="23"/>
        <v>0</v>
      </c>
      <c r="G31" s="28">
        <f t="shared" si="24"/>
        <v>0</v>
      </c>
      <c r="H31" s="1"/>
      <c r="I31" s="43">
        <f t="shared" si="25"/>
        <v>0</v>
      </c>
      <c r="J31" s="28">
        <f t="shared" si="26"/>
        <v>0</v>
      </c>
      <c r="K31" s="7"/>
      <c r="L31" s="43">
        <f t="shared" si="27"/>
        <v>0</v>
      </c>
      <c r="M31" s="28">
        <f t="shared" si="28"/>
        <v>0</v>
      </c>
      <c r="N31" s="7"/>
      <c r="O31" s="43">
        <f t="shared" si="29"/>
        <v>0</v>
      </c>
      <c r="P31" s="28">
        <f t="shared" si="30"/>
        <v>0</v>
      </c>
      <c r="Q31" s="7"/>
      <c r="R31" s="43">
        <f t="shared" si="31"/>
        <v>0</v>
      </c>
      <c r="S31" s="28">
        <f t="shared" si="32"/>
        <v>0</v>
      </c>
      <c r="T31" s="8">
        <f t="shared" si="34"/>
        <v>0</v>
      </c>
      <c r="U31" s="30">
        <f t="shared" si="33"/>
        <v>0</v>
      </c>
      <c r="W31" s="156">
        <v>44771</v>
      </c>
      <c r="X31" s="157"/>
      <c r="Y31" s="162">
        <f t="shared" si="20"/>
        <v>0</v>
      </c>
      <c r="Z31" s="157"/>
      <c r="AA31" s="162">
        <f t="shared" si="20"/>
        <v>0</v>
      </c>
      <c r="AB31" s="157"/>
      <c r="AC31" s="162">
        <f t="shared" si="20"/>
        <v>0</v>
      </c>
      <c r="AD31" s="157"/>
      <c r="AE31" s="162">
        <f t="shared" si="20"/>
        <v>0</v>
      </c>
      <c r="AF31" s="157"/>
      <c r="AG31" s="162">
        <f t="shared" si="20"/>
        <v>0</v>
      </c>
    </row>
    <row r="32" spans="1:33" ht="16.5" thickBot="1" x14ac:dyDescent="0.25">
      <c r="A32" s="9">
        <v>44772</v>
      </c>
      <c r="B32" s="159"/>
      <c r="C32" s="43">
        <f t="shared" si="21"/>
        <v>0</v>
      </c>
      <c r="D32" s="28">
        <f t="shared" si="22"/>
        <v>0</v>
      </c>
      <c r="E32" s="1"/>
      <c r="F32" s="43">
        <f t="shared" si="23"/>
        <v>0</v>
      </c>
      <c r="G32" s="28">
        <f t="shared" si="24"/>
        <v>0</v>
      </c>
      <c r="H32" s="1"/>
      <c r="I32" s="43">
        <f t="shared" si="25"/>
        <v>0</v>
      </c>
      <c r="J32" s="28">
        <f t="shared" si="26"/>
        <v>0</v>
      </c>
      <c r="K32" s="7"/>
      <c r="L32" s="43">
        <f t="shared" si="27"/>
        <v>0</v>
      </c>
      <c r="M32" s="28">
        <f t="shared" si="28"/>
        <v>0</v>
      </c>
      <c r="N32" s="7"/>
      <c r="O32" s="43">
        <f t="shared" si="29"/>
        <v>0</v>
      </c>
      <c r="P32" s="28">
        <f t="shared" si="30"/>
        <v>0</v>
      </c>
      <c r="Q32" s="7"/>
      <c r="R32" s="43">
        <f t="shared" si="31"/>
        <v>0</v>
      </c>
      <c r="S32" s="28">
        <f t="shared" si="32"/>
        <v>0</v>
      </c>
      <c r="T32" s="8">
        <f t="shared" si="34"/>
        <v>0</v>
      </c>
      <c r="U32" s="30">
        <f t="shared" si="33"/>
        <v>0</v>
      </c>
      <c r="W32" s="156">
        <v>44772</v>
      </c>
      <c r="X32" s="157"/>
      <c r="Y32" s="162">
        <f t="shared" ref="Y32:Y33" si="48">IF((X32-X31)&lt;0,"0",(X32-X31))</f>
        <v>0</v>
      </c>
      <c r="Z32" s="157"/>
      <c r="AA32" s="162">
        <f t="shared" ref="AA32:AA33" si="49">IF((Z32-Z31)&lt;0,"0",(Z32-Z31))</f>
        <v>0</v>
      </c>
      <c r="AB32" s="157"/>
      <c r="AC32" s="162">
        <f t="shared" ref="AC32:AC33" si="50">IF((AB32-AB31)&lt;0,"0",(AB32-AB31))</f>
        <v>0</v>
      </c>
      <c r="AD32" s="157"/>
      <c r="AE32" s="162">
        <f t="shared" ref="AE32:AE33" si="51">IF((AD32-AD31)&lt;0,"0",(AD32-AD31))</f>
        <v>0</v>
      </c>
      <c r="AF32" s="157"/>
      <c r="AG32" s="162">
        <f t="shared" ref="AG32:AG33" si="52">IF((AF32-AF31)&lt;0,"0",(AF32-AF31))</f>
        <v>0</v>
      </c>
    </row>
    <row r="33" spans="1:33" s="22" customFormat="1" ht="16.5" thickBot="1" x14ac:dyDescent="0.25">
      <c r="A33" s="9">
        <v>44773</v>
      </c>
      <c r="B33" s="159"/>
      <c r="C33" s="43">
        <f t="shared" si="21"/>
        <v>0</v>
      </c>
      <c r="D33" s="28">
        <f t="shared" si="22"/>
        <v>0</v>
      </c>
      <c r="E33" s="1"/>
      <c r="F33" s="43">
        <f t="shared" si="23"/>
        <v>0</v>
      </c>
      <c r="G33" s="28">
        <f t="shared" si="24"/>
        <v>0</v>
      </c>
      <c r="H33" s="1"/>
      <c r="I33" s="43">
        <f t="shared" si="25"/>
        <v>0</v>
      </c>
      <c r="J33" s="28">
        <f t="shared" si="26"/>
        <v>0</v>
      </c>
      <c r="K33" s="7"/>
      <c r="L33" s="43">
        <f t="shared" si="27"/>
        <v>0</v>
      </c>
      <c r="M33" s="28">
        <f t="shared" si="28"/>
        <v>0</v>
      </c>
      <c r="N33" s="7"/>
      <c r="O33" s="43">
        <f t="shared" si="29"/>
        <v>0</v>
      </c>
      <c r="P33" s="28">
        <f t="shared" si="30"/>
        <v>0</v>
      </c>
      <c r="Q33" s="7"/>
      <c r="R33" s="43">
        <f t="shared" si="31"/>
        <v>0</v>
      </c>
      <c r="S33" s="28">
        <f t="shared" si="32"/>
        <v>0</v>
      </c>
      <c r="T33" s="8">
        <f t="shared" si="34"/>
        <v>0</v>
      </c>
      <c r="U33" s="30">
        <f t="shared" si="33"/>
        <v>0</v>
      </c>
      <c r="V33"/>
      <c r="W33" s="156">
        <v>44773</v>
      </c>
      <c r="X33" s="157"/>
      <c r="Y33" s="162">
        <f t="shared" si="48"/>
        <v>0</v>
      </c>
      <c r="Z33" s="157"/>
      <c r="AA33" s="162">
        <f t="shared" si="49"/>
        <v>0</v>
      </c>
      <c r="AB33" s="157"/>
      <c r="AC33" s="162">
        <f t="shared" si="50"/>
        <v>0</v>
      </c>
      <c r="AD33" s="157"/>
      <c r="AE33" s="162">
        <f t="shared" si="51"/>
        <v>0</v>
      </c>
      <c r="AF33" s="157"/>
      <c r="AG33" s="162">
        <f t="shared" si="52"/>
        <v>0</v>
      </c>
    </row>
    <row r="34" spans="1:33" s="22" customFormat="1" ht="15.75" thickBot="1" x14ac:dyDescent="0.25">
      <c r="A34" s="160" t="s">
        <v>23</v>
      </c>
      <c r="B34" s="160"/>
      <c r="C34" s="136">
        <f>SUM(C3:C33)</f>
        <v>113.67699999999968</v>
      </c>
      <c r="D34" s="136">
        <f>SUM(D4:D33)</f>
        <v>192608.70000000612</v>
      </c>
      <c r="E34" s="136"/>
      <c r="F34" s="136">
        <f>SUM(F3:F33)</f>
        <v>23.217999999999847</v>
      </c>
      <c r="G34" s="136">
        <f>SUM(G4:G33)</f>
        <v>41271.799999999523</v>
      </c>
      <c r="H34" s="136"/>
      <c r="I34" s="136">
        <f>SUM(I3:I33)</f>
        <v>63</v>
      </c>
      <c r="J34" s="136">
        <f>SUM(J4:J33)</f>
        <v>108299.99999999999</v>
      </c>
      <c r="K34" s="136"/>
      <c r="L34" s="136">
        <f>SUM(L3:L33)</f>
        <v>18.979999999999563</v>
      </c>
      <c r="M34" s="136">
        <f>SUM(M4:M33)</f>
        <v>32338.000000000829</v>
      </c>
      <c r="N34" s="136"/>
      <c r="O34" s="136">
        <f>SUM(O3:O33)</f>
        <v>14.559000000000196</v>
      </c>
      <c r="P34" s="136">
        <f>SUM(P4:P33)</f>
        <v>24840.600000000133</v>
      </c>
      <c r="Q34" s="136"/>
      <c r="R34" s="136">
        <v>2.21</v>
      </c>
      <c r="S34" s="136">
        <f>SUM(S4:S33)</f>
        <v>28480.999999999582</v>
      </c>
      <c r="T34" s="136">
        <v>22.454999999999998</v>
      </c>
      <c r="U34" s="136">
        <f>SUM(U4:U33)</f>
        <v>427840.10000000615</v>
      </c>
      <c r="V34"/>
      <c r="W34" s="136" t="s">
        <v>141</v>
      </c>
      <c r="X34" s="136"/>
      <c r="Y34" s="136">
        <f>SUM(Y3:Y33)</f>
        <v>2429</v>
      </c>
      <c r="Z34" s="136"/>
      <c r="AA34" s="136">
        <f>SUM(AA3:AA33)</f>
        <v>57</v>
      </c>
      <c r="AB34" s="136"/>
      <c r="AC34" s="136">
        <f>SUM(AC3:AC33)</f>
        <v>4.5</v>
      </c>
      <c r="AD34" s="136"/>
      <c r="AE34" s="136">
        <f>SUM(AE3:AE33)</f>
        <v>13</v>
      </c>
      <c r="AF34" s="136">
        <v>0</v>
      </c>
      <c r="AG34" s="136">
        <f>SUM(AG3:AG33)</f>
        <v>140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64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5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4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sqref="A1:K1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-31865067</v>
      </c>
      <c r="D2" s="96">
        <f>C2*1.27</f>
        <v>-40468635.090000004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31740258</v>
      </c>
      <c r="J3" s="133">
        <f>ELECT.!E32</f>
        <v>0</v>
      </c>
      <c r="K3" s="166">
        <f>J3-I3</f>
        <v>-31740258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1234650</v>
      </c>
      <c r="J4" s="133">
        <f>ELECT.!G32</f>
        <v>1729257</v>
      </c>
      <c r="K4" s="166">
        <f>J4-I4</f>
        <v>494607</v>
      </c>
    </row>
    <row r="5" spans="1:13" ht="13.5" thickBot="1" x14ac:dyDescent="0.25">
      <c r="A5" s="94"/>
      <c r="B5" s="100" t="s">
        <v>27</v>
      </c>
      <c r="C5" s="104">
        <f>(K10+K12)*0.842284+K26</f>
        <v>432321.11941600003</v>
      </c>
      <c r="D5" s="104">
        <f t="shared" ref="D5:D11" si="0">C5*1.27</f>
        <v>549047.82165832003</v>
      </c>
      <c r="E5" s="105"/>
      <c r="F5" s="94"/>
      <c r="G5" s="94"/>
      <c r="H5" s="100" t="s">
        <v>23</v>
      </c>
      <c r="I5" s="106"/>
      <c r="J5" s="106"/>
      <c r="K5" s="126">
        <f>K3+K4</f>
        <v>-31245651</v>
      </c>
    </row>
    <row r="6" spans="1:13" ht="13.5" thickBot="1" x14ac:dyDescent="0.25">
      <c r="A6" s="94"/>
      <c r="B6" s="100" t="s">
        <v>99</v>
      </c>
      <c r="C6" s="104">
        <f>(K10+K12+K26)*0.1488</f>
        <v>76196.611199999999</v>
      </c>
      <c r="D6" s="104">
        <f t="shared" si="0"/>
        <v>96769.696223999999</v>
      </c>
      <c r="E6" s="105"/>
      <c r="F6" s="94"/>
      <c r="G6" s="94"/>
      <c r="H6" s="100" t="s">
        <v>100</v>
      </c>
      <c r="I6" s="137">
        <f>ELECT.!J2</f>
        <v>74032</v>
      </c>
      <c r="J6" s="133">
        <f>ELECT.!J32</f>
        <v>125972</v>
      </c>
      <c r="K6" s="166">
        <f>J6-I6</f>
        <v>51940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90066</v>
      </c>
      <c r="D7" s="104">
        <f t="shared" si="0"/>
        <v>114383.82</v>
      </c>
      <c r="E7" s="105"/>
      <c r="F7" s="94"/>
      <c r="G7" s="94"/>
      <c r="H7" s="100" t="s">
        <v>102</v>
      </c>
      <c r="I7" s="137">
        <f>ELECT.!L2</f>
        <v>296483</v>
      </c>
      <c r="J7" s="133">
        <f>ELECT.!L32</f>
        <v>358285</v>
      </c>
      <c r="K7" s="166">
        <f>J7-I7</f>
        <v>61802</v>
      </c>
    </row>
    <row r="8" spans="1:13" ht="13.5" thickBot="1" x14ac:dyDescent="0.25">
      <c r="A8" s="94"/>
      <c r="B8" s="100" t="s">
        <v>103</v>
      </c>
      <c r="C8" s="104">
        <f>K21+K22+K23+K24</f>
        <v>10534</v>
      </c>
      <c r="D8" s="104">
        <f t="shared" si="0"/>
        <v>13378.18</v>
      </c>
      <c r="E8" s="105"/>
      <c r="F8" s="94"/>
      <c r="G8" s="94"/>
      <c r="H8" s="100" t="s">
        <v>104</v>
      </c>
      <c r="I8" s="137">
        <f>ELECT.!N2</f>
        <v>6864831</v>
      </c>
      <c r="J8" s="133">
        <f>ELECT.!N32</f>
        <v>6934742</v>
      </c>
      <c r="K8" s="91">
        <f>(J8-I8)*2</f>
        <v>139822</v>
      </c>
    </row>
    <row r="9" spans="1:13" ht="13.5" thickBot="1" x14ac:dyDescent="0.25">
      <c r="A9" s="94"/>
      <c r="B9" s="100" t="s">
        <v>137</v>
      </c>
      <c r="C9" s="104">
        <f>K25+K16+K17</f>
        <v>2152</v>
      </c>
      <c r="D9" s="104">
        <f t="shared" si="0"/>
        <v>2733.04</v>
      </c>
      <c r="E9" s="105"/>
      <c r="F9" s="94"/>
      <c r="G9" s="94"/>
      <c r="H9" s="100" t="s">
        <v>105</v>
      </c>
      <c r="I9" s="137">
        <f>ELECT.!P2</f>
        <v>7034662</v>
      </c>
      <c r="J9" s="133">
        <f>ELECT.!P32</f>
        <v>7162208</v>
      </c>
      <c r="K9" s="91">
        <f>J9-I9</f>
        <v>127546</v>
      </c>
    </row>
    <row r="10" spans="1:13" ht="13.5" thickBot="1" x14ac:dyDescent="0.25">
      <c r="A10" s="94"/>
      <c r="B10" s="100" t="s">
        <v>106</v>
      </c>
      <c r="C10" s="104">
        <f>K18</f>
        <v>4160</v>
      </c>
      <c r="D10" s="104">
        <f t="shared" si="0"/>
        <v>5283.2</v>
      </c>
      <c r="E10" s="105"/>
      <c r="F10" s="94"/>
      <c r="G10" s="94"/>
      <c r="H10" s="100" t="s">
        <v>107</v>
      </c>
      <c r="I10" s="137">
        <f>ELECT.!R2</f>
        <v>21540253</v>
      </c>
      <c r="J10" s="133">
        <f>ELECT.!R32</f>
        <v>21635997</v>
      </c>
      <c r="K10" s="91">
        <f>J10-I10</f>
        <v>95744</v>
      </c>
    </row>
    <row r="11" spans="1:13" ht="13.5" thickBot="1" x14ac:dyDescent="0.25">
      <c r="A11" s="94"/>
      <c r="B11" s="100" t="s">
        <v>108</v>
      </c>
      <c r="C11" s="104">
        <f>K19+K20</f>
        <v>430</v>
      </c>
      <c r="D11" s="104">
        <f t="shared" si="0"/>
        <v>546.1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9504597</v>
      </c>
      <c r="J12" s="133">
        <f>ELECT.!V32</f>
        <v>9709562</v>
      </c>
      <c r="K12" s="91">
        <f>(J12-I12)*2</f>
        <v>409930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886784</v>
      </c>
    </row>
    <row r="14" spans="1:13" ht="13.5" thickBot="1" x14ac:dyDescent="0.25">
      <c r="A14" s="94"/>
      <c r="B14" s="100" t="s">
        <v>42</v>
      </c>
      <c r="C14" s="104">
        <f>K29</f>
        <v>-4533300</v>
      </c>
      <c r="D14" s="112">
        <f t="shared" ref="D14:D22" si="1">C14*10.03</f>
        <v>-45468999</v>
      </c>
      <c r="E14" s="113"/>
      <c r="F14" s="94"/>
      <c r="G14" s="94"/>
      <c r="H14" s="100" t="s">
        <v>114</v>
      </c>
      <c r="I14" s="109"/>
      <c r="J14" s="110"/>
      <c r="K14" s="92">
        <f>K5-K13</f>
        <v>-32132435</v>
      </c>
    </row>
    <row r="15" spans="1:13" ht="13.5" thickBot="1" x14ac:dyDescent="0.25">
      <c r="A15" s="94"/>
      <c r="B15" s="100" t="s">
        <v>115</v>
      </c>
      <c r="C15" s="114">
        <f>K30</f>
        <v>-21587.040000000001</v>
      </c>
      <c r="D15" s="112">
        <f t="shared" si="1"/>
        <v>-216518.01120000001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-595410.84412799997</v>
      </c>
      <c r="D16" s="112">
        <f t="shared" si="1"/>
        <v>-5971970.7666038396</v>
      </c>
      <c r="E16" s="113"/>
      <c r="F16" s="94"/>
      <c r="G16" s="94"/>
      <c r="H16" s="115" t="s">
        <v>136</v>
      </c>
      <c r="I16" s="116">
        <f>'Mall, Citadel, Rotana'!T2</f>
        <v>4015</v>
      </c>
      <c r="J16" s="116">
        <f>'Mall, Citadel, Rotana'!T32</f>
        <v>4019</v>
      </c>
      <c r="K16" s="93">
        <f>(J16-I16)*160</f>
        <v>640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321030</v>
      </c>
      <c r="J17" s="116">
        <f>'Mall, Citadel, Rotana'!J32</f>
        <v>322513</v>
      </c>
      <c r="K17" s="93">
        <f>(J17-I17)</f>
        <v>1483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26265</v>
      </c>
      <c r="J18" s="116">
        <f>'Mall, Citadel, Rotana'!L32</f>
        <v>26291</v>
      </c>
      <c r="K18" s="93">
        <f>(J18-I18)*160</f>
        <v>4160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158584</v>
      </c>
      <c r="J19" s="116">
        <f>'Mall, Citadel, Rotana'!P32</f>
        <v>159014</v>
      </c>
      <c r="K19" s="93">
        <f>J19-I19</f>
        <v>430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47229</v>
      </c>
      <c r="J21" s="116">
        <f>'Mall, Citadel, Rotana'!B32</f>
        <v>47271</v>
      </c>
      <c r="K21" s="93">
        <f>(J21-I21)*120</f>
        <v>5040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-3922122.1158719999</v>
      </c>
      <c r="D22" s="112">
        <f t="shared" si="1"/>
        <v>-39338884.822196156</v>
      </c>
      <c r="E22" s="113"/>
      <c r="F22" s="94"/>
      <c r="G22" s="94"/>
      <c r="H22" s="115" t="s">
        <v>15</v>
      </c>
      <c r="I22" s="116">
        <f>'Mall, Citadel, Rotana'!D2</f>
        <v>40735</v>
      </c>
      <c r="J22" s="116">
        <f>'Mall, Citadel, Rotana'!D32</f>
        <v>40764</v>
      </c>
      <c r="K22" s="93">
        <f>(J22-I22)*160</f>
        <v>4640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21796</v>
      </c>
      <c r="J23" s="116">
        <f>'Mall, Citadel, Rotana'!F32</f>
        <v>21824</v>
      </c>
      <c r="K23" s="93">
        <f>(J23-I23)*20</f>
        <v>560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256113</v>
      </c>
      <c r="J24" s="116">
        <f>'Mall, Citadel, Rotana'!H32</f>
        <v>256407</v>
      </c>
      <c r="K24" s="93">
        <f>J24-I24</f>
        <v>294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226132</v>
      </c>
      <c r="J25" s="116">
        <f>'Mall, Citadel, Rotana'!N32</f>
        <v>226161</v>
      </c>
      <c r="K25" s="93">
        <f>J25-I25</f>
        <v>29</v>
      </c>
    </row>
    <row r="26" spans="1:11" ht="13.5" thickBot="1" x14ac:dyDescent="0.25">
      <c r="A26" s="94"/>
      <c r="B26" s="100" t="s">
        <v>42</v>
      </c>
      <c r="C26" s="118">
        <f>K35</f>
        <v>-18364753</v>
      </c>
      <c r="D26" s="104">
        <f>C26*3.65</f>
        <v>-67031348.449999996</v>
      </c>
      <c r="E26" s="105"/>
      <c r="F26" s="94"/>
      <c r="G26" s="94"/>
      <c r="H26" s="115" t="s">
        <v>123</v>
      </c>
      <c r="I26" s="125">
        <f>ELECT.!C2</f>
        <v>19799</v>
      </c>
      <c r="J26" s="125">
        <f>ELECT.!C32</f>
        <v>19839</v>
      </c>
      <c r="K26" s="93">
        <f>(J26-I26)*160</f>
        <v>6400</v>
      </c>
    </row>
    <row r="27" spans="1:11" ht="13.5" thickBot="1" x14ac:dyDescent="0.25">
      <c r="A27" s="94"/>
      <c r="B27" s="95" t="s">
        <v>124</v>
      </c>
      <c r="C27" s="118">
        <f>C26</f>
        <v>-18364753</v>
      </c>
      <c r="D27" s="104">
        <f>C27*3.65</f>
        <v>-67031348.449999996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453330</v>
      </c>
      <c r="J29" s="116">
        <f>Water!B32</f>
        <v>0</v>
      </c>
      <c r="K29" s="93">
        <f>(J29-I29)*10</f>
        <v>-4533300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799520</v>
      </c>
      <c r="J30" s="116">
        <f>Water!H32</f>
        <v>0</v>
      </c>
      <c r="K30" s="93">
        <f>(J30-I30)*0.027</f>
        <v>-21587.040000000001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10231</v>
      </c>
      <c r="J31" s="116">
        <f>Water!D32</f>
        <v>0</v>
      </c>
      <c r="K31" s="93">
        <f>(J31-I31)*0.027</f>
        <v>-276.23700000000002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9886600</v>
      </c>
      <c r="J32" s="116">
        <f>Water!F32</f>
        <v>0</v>
      </c>
      <c r="K32" s="93">
        <f>(J32-I32)*0.027</f>
        <v>-266938.2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18364753</v>
      </c>
      <c r="J35" s="135">
        <f>Gas!B32</f>
        <v>0</v>
      </c>
      <c r="K35" s="124">
        <f>J35-I35</f>
        <v>-18364753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2022-07-09T23:02:53Z</dcterms:modified>
</cp:coreProperties>
</file>