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3" r:id="rId1"/>
    <sheet name="Submetering" sheetId="4" r:id="rId2"/>
    <sheet name="Mall, Citadel, Rotana" sheetId="1" r:id="rId3"/>
    <sheet name="ELECT." sheetId="2" r:id="rId4"/>
    <sheet name="Water" sheetId="5" r:id="rId5"/>
    <sheet name="Gas" sheetId="6" r:id="rId6"/>
    <sheet name="BTU" sheetId="7" r:id="rId7"/>
    <sheet name="Energy Monthly Statement" sheetId="8" r:id="rId8"/>
    <sheet name="Plaza and residential" sheetId="9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7" l="1"/>
  <c r="N6" i="7"/>
  <c r="N7" i="7"/>
  <c r="N8" i="7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K5" i="7"/>
  <c r="K6" i="7"/>
  <c r="K7" i="7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H5" i="7"/>
  <c r="H6" i="7"/>
  <c r="H7" i="7"/>
  <c r="H8" i="7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E5" i="7"/>
  <c r="E6" i="7"/>
  <c r="E7" i="7"/>
  <c r="E8" i="7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B5" i="7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AF5" i="7"/>
  <c r="AF6" i="7"/>
  <c r="AF7" i="7"/>
  <c r="AF8" i="7" s="1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D5" i="7"/>
  <c r="AD6" i="7"/>
  <c r="AD7" i="7"/>
  <c r="AD8" i="7"/>
  <c r="AD9" i="7" s="1"/>
  <c r="AD10" i="7" s="1"/>
  <c r="AD11" i="7" s="1"/>
  <c r="AD12" i="7" s="1"/>
  <c r="AD13" i="7" s="1"/>
  <c r="AD14" i="7" s="1"/>
  <c r="AD15" i="7" s="1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4" i="7"/>
  <c r="AB5" i="7"/>
  <c r="AB6" i="7"/>
  <c r="AB7" i="7"/>
  <c r="AB8" i="7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4" i="7"/>
  <c r="Z5" i="7"/>
  <c r="Z6" i="7"/>
  <c r="Z7" i="7"/>
  <c r="Z8" i="7" s="1"/>
  <c r="Z9" i="7" s="1"/>
  <c r="Z10" i="7" s="1"/>
  <c r="Z11" i="7" s="1"/>
  <c r="Z12" i="7" s="1"/>
  <c r="Z13" i="7" s="1"/>
  <c r="Z14" i="7" s="1"/>
  <c r="Z15" i="7" s="1"/>
  <c r="Z16" i="7" s="1"/>
  <c r="Z17" i="7" s="1"/>
  <c r="Z18" i="7" s="1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Z30" i="7" s="1"/>
  <c r="Z31" i="7" s="1"/>
  <c r="Z32" i="7" s="1"/>
  <c r="Z33" i="7" s="1"/>
  <c r="X5" i="7"/>
  <c r="X6" i="7"/>
  <c r="X7" i="7"/>
  <c r="X8" i="7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X19" i="7" s="1"/>
  <c r="X20" i="7" s="1"/>
  <c r="X21" i="7" s="1"/>
  <c r="X22" i="7" s="1"/>
  <c r="X23" i="7" s="1"/>
  <c r="X24" i="7" s="1"/>
  <c r="X25" i="7" s="1"/>
  <c r="X26" i="7" s="1"/>
  <c r="X27" i="7" s="1"/>
  <c r="X28" i="7" s="1"/>
  <c r="X29" i="7" s="1"/>
  <c r="X30" i="7" s="1"/>
  <c r="X31" i="7" s="1"/>
  <c r="X32" i="7" s="1"/>
  <c r="X33" i="7" s="1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5" i="6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F5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D5" i="5"/>
  <c r="D6" i="5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T6" i="1"/>
  <c r="T7" i="1"/>
  <c r="T8" i="1"/>
  <c r="T9" i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5" i="1"/>
  <c r="R6" i="1"/>
  <c r="R7" i="1"/>
  <c r="R8" i="1"/>
  <c r="R9" i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5" i="1"/>
  <c r="P6" i="1"/>
  <c r="P7" i="1"/>
  <c r="P8" i="1"/>
  <c r="P9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5" i="1"/>
  <c r="N6" i="1"/>
  <c r="N7" i="1"/>
  <c r="N8" i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5" i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5" i="1"/>
  <c r="J6" i="1"/>
  <c r="J7" i="1"/>
  <c r="J8" i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5" i="1"/>
  <c r="H6" i="1"/>
  <c r="H7" i="1"/>
  <c r="H8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5" i="1"/>
  <c r="F6" i="1"/>
  <c r="F7" i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5" i="1"/>
  <c r="D6" i="1"/>
  <c r="D7" i="1"/>
  <c r="D8" i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5" i="1"/>
  <c r="B6" i="1"/>
  <c r="B7" i="1"/>
  <c r="B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5" i="1"/>
  <c r="AE3" i="7" l="1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" i="7"/>
  <c r="M3" i="7"/>
  <c r="M7" i="7"/>
  <c r="M10" i="7"/>
  <c r="M19" i="7"/>
  <c r="M25" i="7"/>
  <c r="M28" i="7"/>
  <c r="P3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O3" i="7"/>
  <c r="O4" i="7"/>
  <c r="P4" i="7" s="1"/>
  <c r="O5" i="7"/>
  <c r="P5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 s="1"/>
  <c r="O27" i="7"/>
  <c r="P27" i="7" s="1"/>
  <c r="O28" i="7"/>
  <c r="P28" i="7" s="1"/>
  <c r="O29" i="7"/>
  <c r="P29" i="7" s="1"/>
  <c r="O30" i="7"/>
  <c r="P30" i="7" s="1"/>
  <c r="O31" i="7"/>
  <c r="P31" i="7" s="1"/>
  <c r="O32" i="7"/>
  <c r="P32" i="7" s="1"/>
  <c r="O33" i="7"/>
  <c r="P33" i="7" s="1"/>
  <c r="L3" i="7"/>
  <c r="L4" i="7"/>
  <c r="M4" i="7" s="1"/>
  <c r="L5" i="7"/>
  <c r="M5" i="7" s="1"/>
  <c r="L6" i="7"/>
  <c r="M6" i="7" s="1"/>
  <c r="L7" i="7"/>
  <c r="L8" i="7"/>
  <c r="M8" i="7" s="1"/>
  <c r="L9" i="7"/>
  <c r="M9" i="7" s="1"/>
  <c r="L10" i="7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L20" i="7"/>
  <c r="M20" i="7" s="1"/>
  <c r="L21" i="7"/>
  <c r="M21" i="7" s="1"/>
  <c r="L22" i="7"/>
  <c r="M22" i="7" s="1"/>
  <c r="L23" i="7"/>
  <c r="M23" i="7" s="1"/>
  <c r="L24" i="7"/>
  <c r="M24" i="7" s="1"/>
  <c r="L25" i="7"/>
  <c r="L26" i="7"/>
  <c r="M26" i="7" s="1"/>
  <c r="L27" i="7"/>
  <c r="M27" i="7" s="1"/>
  <c r="L28" i="7"/>
  <c r="L29" i="7"/>
  <c r="M29" i="7" s="1"/>
  <c r="L30" i="7"/>
  <c r="M30" i="7" s="1"/>
  <c r="L31" i="7"/>
  <c r="M31" i="7" s="1"/>
  <c r="L32" i="7"/>
  <c r="M32" i="7" s="1"/>
  <c r="L33" i="7"/>
  <c r="M33" i="7" s="1"/>
  <c r="J11" i="7"/>
  <c r="J17" i="7"/>
  <c r="J29" i="7"/>
  <c r="I3" i="7"/>
  <c r="J3" i="7" s="1"/>
  <c r="I4" i="7"/>
  <c r="J4" i="7" s="1"/>
  <c r="I5" i="7"/>
  <c r="J5" i="7" s="1"/>
  <c r="I6" i="7"/>
  <c r="J6" i="7" s="1"/>
  <c r="I7" i="7"/>
  <c r="J7" i="7" s="1"/>
  <c r="I8" i="7"/>
  <c r="J8" i="7" s="1"/>
  <c r="I9" i="7"/>
  <c r="J9" i="7" s="1"/>
  <c r="I10" i="7"/>
  <c r="J10" i="7" s="1"/>
  <c r="I11" i="7"/>
  <c r="I12" i="7"/>
  <c r="J12" i="7" s="1"/>
  <c r="I13" i="7"/>
  <c r="J13" i="7" s="1"/>
  <c r="I14" i="7"/>
  <c r="J14" i="7" s="1"/>
  <c r="I15" i="7"/>
  <c r="J15" i="7" s="1"/>
  <c r="I16" i="7"/>
  <c r="J16" i="7" s="1"/>
  <c r="I17" i="7"/>
  <c r="I18" i="7"/>
  <c r="J18" i="7" s="1"/>
  <c r="I19" i="7"/>
  <c r="J19" i="7" s="1"/>
  <c r="I20" i="7"/>
  <c r="J20" i="7" s="1"/>
  <c r="I21" i="7"/>
  <c r="J21" i="7" s="1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28" i="7"/>
  <c r="J28" i="7" s="1"/>
  <c r="I29" i="7"/>
  <c r="I30" i="7"/>
  <c r="J30" i="7" s="1"/>
  <c r="I31" i="7"/>
  <c r="J31" i="7" s="1"/>
  <c r="I32" i="7"/>
  <c r="J32" i="7" s="1"/>
  <c r="I33" i="7"/>
  <c r="J33" i="7" s="1"/>
  <c r="F33" i="7"/>
  <c r="G33" i="7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D3" i="7"/>
  <c r="D4" i="7"/>
  <c r="D8" i="7"/>
  <c r="C3" i="7"/>
  <c r="C4" i="7"/>
  <c r="C5" i="7"/>
  <c r="D5" i="7" s="1"/>
  <c r="C6" i="7"/>
  <c r="D6" i="7" s="1"/>
  <c r="C7" i="7"/>
  <c r="D7" i="7" s="1"/>
  <c r="C8" i="7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" i="2"/>
  <c r="X3" i="2" s="1"/>
  <c r="W4" i="2"/>
  <c r="W5" i="2"/>
  <c r="W6" i="2"/>
  <c r="W7" i="2"/>
  <c r="W8" i="2"/>
  <c r="W9" i="2"/>
  <c r="W10" i="2"/>
  <c r="X10" i="2" s="1"/>
  <c r="Y10" i="2" s="1"/>
  <c r="W11" i="2"/>
  <c r="W12" i="2"/>
  <c r="W13" i="2"/>
  <c r="W14" i="2"/>
  <c r="W15" i="2"/>
  <c r="W16" i="2"/>
  <c r="X16" i="2" s="1"/>
  <c r="Y16" i="2" s="1"/>
  <c r="W17" i="2"/>
  <c r="W18" i="2"/>
  <c r="W19" i="2"/>
  <c r="W20" i="2"/>
  <c r="W21" i="2"/>
  <c r="W22" i="2"/>
  <c r="X22" i="2" s="1"/>
  <c r="Y22" i="2" s="1"/>
  <c r="W23" i="2"/>
  <c r="W24" i="2"/>
  <c r="W25" i="2"/>
  <c r="W26" i="2"/>
  <c r="W27" i="2"/>
  <c r="W28" i="2"/>
  <c r="X28" i="2" s="1"/>
  <c r="Y28" i="2" s="1"/>
  <c r="W29" i="2"/>
  <c r="W30" i="2"/>
  <c r="W31" i="2"/>
  <c r="W32" i="2"/>
  <c r="W33" i="2"/>
  <c r="X33" i="2" s="1"/>
  <c r="Y33" i="2" s="1"/>
  <c r="X6" i="2"/>
  <c r="X7" i="2"/>
  <c r="X8" i="2"/>
  <c r="X9" i="2"/>
  <c r="X11" i="2"/>
  <c r="X12" i="2"/>
  <c r="X13" i="2"/>
  <c r="X14" i="2"/>
  <c r="X15" i="2"/>
  <c r="X17" i="2"/>
  <c r="X18" i="2"/>
  <c r="X19" i="2"/>
  <c r="X20" i="2"/>
  <c r="X21" i="2"/>
  <c r="X23" i="2"/>
  <c r="X24" i="2"/>
  <c r="X25" i="2"/>
  <c r="X26" i="2"/>
  <c r="X27" i="2"/>
  <c r="X29" i="2"/>
  <c r="X30" i="2"/>
  <c r="X31" i="2"/>
  <c r="X32" i="2"/>
  <c r="Y6" i="2"/>
  <c r="Y7" i="2"/>
  <c r="Y8" i="2"/>
  <c r="Y9" i="2"/>
  <c r="Y11" i="2"/>
  <c r="Y12" i="2"/>
  <c r="Y13" i="2"/>
  <c r="Y14" i="2"/>
  <c r="Y15" i="2"/>
  <c r="Y17" i="2"/>
  <c r="Y18" i="2"/>
  <c r="Y19" i="2"/>
  <c r="Y20" i="2"/>
  <c r="Y21" i="2"/>
  <c r="Y23" i="2"/>
  <c r="Y24" i="2"/>
  <c r="Y25" i="2"/>
  <c r="Y26" i="2"/>
  <c r="Y27" i="2"/>
  <c r="Y29" i="2"/>
  <c r="Y30" i="2"/>
  <c r="Y31" i="2"/>
  <c r="Y32" i="2"/>
  <c r="Z3" i="2"/>
  <c r="Z6" i="2"/>
  <c r="Z7" i="2"/>
  <c r="Z8" i="2"/>
  <c r="Z9" i="2"/>
  <c r="Z11" i="2"/>
  <c r="Z12" i="2"/>
  <c r="Z13" i="2"/>
  <c r="Z14" i="2"/>
  <c r="Z15" i="2"/>
  <c r="Z17" i="2"/>
  <c r="Z18" i="2"/>
  <c r="Z19" i="2"/>
  <c r="Z20" i="2"/>
  <c r="Z21" i="2"/>
  <c r="Z23" i="2"/>
  <c r="Z24" i="2"/>
  <c r="Z25" i="2"/>
  <c r="Z26" i="2"/>
  <c r="Z27" i="2"/>
  <c r="Z29" i="2"/>
  <c r="Z30" i="2"/>
  <c r="Z31" i="2"/>
  <c r="Z32" i="2"/>
  <c r="Z33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I2" i="2"/>
  <c r="F3" i="2"/>
  <c r="I3" i="2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D3" i="2"/>
  <c r="D4" i="2"/>
  <c r="D3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E33" i="1"/>
  <c r="G33" i="1"/>
  <c r="N94" i="9"/>
  <c r="M94" i="9"/>
  <c r="N93" i="9"/>
  <c r="M93" i="9"/>
  <c r="O92" i="9"/>
  <c r="N92" i="9"/>
  <c r="M92" i="9"/>
  <c r="O91" i="9"/>
  <c r="N91" i="9"/>
  <c r="M91" i="9"/>
  <c r="O90" i="9"/>
  <c r="N90" i="9"/>
  <c r="M90" i="9"/>
  <c r="O89" i="9"/>
  <c r="N89" i="9"/>
  <c r="M89" i="9"/>
  <c r="O88" i="9"/>
  <c r="N88" i="9"/>
  <c r="M88" i="9"/>
  <c r="O87" i="9"/>
  <c r="N87" i="9"/>
  <c r="M87" i="9"/>
  <c r="O86" i="9"/>
  <c r="N86" i="9"/>
  <c r="M86" i="9"/>
  <c r="O85" i="9"/>
  <c r="N85" i="9"/>
  <c r="M85" i="9"/>
  <c r="O84" i="9"/>
  <c r="N84" i="9"/>
  <c r="M84" i="9"/>
  <c r="O83" i="9"/>
  <c r="N83" i="9"/>
  <c r="M83" i="9"/>
  <c r="O82" i="9"/>
  <c r="N82" i="9"/>
  <c r="M82" i="9"/>
  <c r="O81" i="9"/>
  <c r="N81" i="9"/>
  <c r="M81" i="9"/>
  <c r="O80" i="9"/>
  <c r="N80" i="9"/>
  <c r="M80" i="9"/>
  <c r="O79" i="9"/>
  <c r="N79" i="9"/>
  <c r="M79" i="9"/>
  <c r="O78" i="9"/>
  <c r="N78" i="9"/>
  <c r="M78" i="9"/>
  <c r="O77" i="9"/>
  <c r="N77" i="9"/>
  <c r="M77" i="9"/>
  <c r="O76" i="9"/>
  <c r="N76" i="9"/>
  <c r="M76" i="9"/>
  <c r="O75" i="9"/>
  <c r="N75" i="9"/>
  <c r="M75" i="9"/>
  <c r="O74" i="9"/>
  <c r="N74" i="9"/>
  <c r="M74" i="9"/>
  <c r="O73" i="9"/>
  <c r="N73" i="9"/>
  <c r="M73" i="9"/>
  <c r="O72" i="9"/>
  <c r="N72" i="9"/>
  <c r="M72" i="9"/>
  <c r="O71" i="9"/>
  <c r="N71" i="9"/>
  <c r="M71" i="9"/>
  <c r="N60" i="9"/>
  <c r="G60" i="9"/>
  <c r="N59" i="9"/>
  <c r="G59" i="9"/>
  <c r="N58" i="9"/>
  <c r="G58" i="9"/>
  <c r="N57" i="9"/>
  <c r="G57" i="9"/>
  <c r="N56" i="9"/>
  <c r="G56" i="9"/>
  <c r="N55" i="9"/>
  <c r="G55" i="9"/>
  <c r="N54" i="9"/>
  <c r="G54" i="9"/>
  <c r="N53" i="9"/>
  <c r="G53" i="9"/>
  <c r="N52" i="9"/>
  <c r="G52" i="9"/>
  <c r="N50" i="9"/>
  <c r="G50" i="9"/>
  <c r="N49" i="9"/>
  <c r="G49" i="9"/>
  <c r="N48" i="9"/>
  <c r="G48" i="9"/>
  <c r="N47" i="9"/>
  <c r="G47" i="9"/>
  <c r="N46" i="9"/>
  <c r="G46" i="9"/>
  <c r="N45" i="9"/>
  <c r="G45" i="9"/>
  <c r="N43" i="9"/>
  <c r="G43" i="9"/>
  <c r="N42" i="9"/>
  <c r="G42" i="9"/>
  <c r="N41" i="9"/>
  <c r="G41" i="9"/>
  <c r="N40" i="9"/>
  <c r="G40" i="9"/>
  <c r="N39" i="9"/>
  <c r="G39" i="9"/>
  <c r="N38" i="9"/>
  <c r="G38" i="9"/>
  <c r="N37" i="9"/>
  <c r="G37" i="9"/>
  <c r="N36" i="9"/>
  <c r="G36" i="9"/>
  <c r="N35" i="9"/>
  <c r="G35" i="9"/>
  <c r="N34" i="9"/>
  <c r="G34" i="9"/>
  <c r="N33" i="9"/>
  <c r="G33" i="9"/>
  <c r="N32" i="9"/>
  <c r="G32" i="9"/>
  <c r="N31" i="9"/>
  <c r="G31" i="9"/>
  <c r="N30" i="9"/>
  <c r="G30" i="9"/>
  <c r="N29" i="9"/>
  <c r="G29" i="9"/>
  <c r="N28" i="9"/>
  <c r="G28" i="9"/>
  <c r="N27" i="9"/>
  <c r="G27" i="9"/>
  <c r="N26" i="9"/>
  <c r="G26" i="9"/>
  <c r="N25" i="9"/>
  <c r="G25" i="9"/>
  <c r="N24" i="9"/>
  <c r="G24" i="9"/>
  <c r="N23" i="9"/>
  <c r="G23" i="9"/>
  <c r="N22" i="9"/>
  <c r="G22" i="9"/>
  <c r="N21" i="9"/>
  <c r="G21" i="9"/>
  <c r="N20" i="9"/>
  <c r="G20" i="9"/>
  <c r="N19" i="9"/>
  <c r="G19" i="9"/>
  <c r="N18" i="9"/>
  <c r="G18" i="9"/>
  <c r="N17" i="9"/>
  <c r="G17" i="9"/>
  <c r="N16" i="9"/>
  <c r="G16" i="9"/>
  <c r="N15" i="9"/>
  <c r="G15" i="9"/>
  <c r="N14" i="9"/>
  <c r="G14" i="9"/>
  <c r="N13" i="9"/>
  <c r="G13" i="9"/>
  <c r="N12" i="9"/>
  <c r="G12" i="9"/>
  <c r="N11" i="9"/>
  <c r="G11" i="9"/>
  <c r="N10" i="9"/>
  <c r="G10" i="9"/>
  <c r="N9" i="9"/>
  <c r="G9" i="9"/>
  <c r="N8" i="9"/>
  <c r="G8" i="9"/>
  <c r="N7" i="9"/>
  <c r="G7" i="9"/>
  <c r="N6" i="9"/>
  <c r="G6" i="9"/>
  <c r="N5" i="9"/>
  <c r="G5" i="9"/>
  <c r="N4" i="9"/>
  <c r="G4" i="9"/>
  <c r="N3" i="9"/>
  <c r="G3" i="9"/>
  <c r="N2" i="9"/>
  <c r="N64" i="9" s="1"/>
  <c r="G2" i="9"/>
  <c r="G64" i="9" s="1"/>
  <c r="J35" i="8"/>
  <c r="I35" i="8"/>
  <c r="J32" i="8"/>
  <c r="K32" i="8" s="1"/>
  <c r="I32" i="8"/>
  <c r="J31" i="8"/>
  <c r="K31" i="8" s="1"/>
  <c r="I31" i="8"/>
  <c r="J30" i="8"/>
  <c r="I30" i="8"/>
  <c r="J29" i="8"/>
  <c r="K29" i="8" s="1"/>
  <c r="C14" i="8" s="1"/>
  <c r="I29" i="8"/>
  <c r="J26" i="8"/>
  <c r="I26" i="8"/>
  <c r="K26" i="8" s="1"/>
  <c r="J25" i="8"/>
  <c r="I25" i="8"/>
  <c r="J24" i="8"/>
  <c r="I24" i="8"/>
  <c r="J23" i="8"/>
  <c r="I23" i="8"/>
  <c r="J22" i="8"/>
  <c r="I22" i="8"/>
  <c r="J21" i="8"/>
  <c r="I21" i="8"/>
  <c r="D21" i="8"/>
  <c r="J20" i="8"/>
  <c r="I20" i="8"/>
  <c r="D20" i="8"/>
  <c r="J19" i="8"/>
  <c r="I19" i="8"/>
  <c r="K19" i="8" s="1"/>
  <c r="D19" i="8"/>
  <c r="J18" i="8"/>
  <c r="I18" i="8"/>
  <c r="D18" i="8"/>
  <c r="J17" i="8"/>
  <c r="I17" i="8"/>
  <c r="D17" i="8"/>
  <c r="J16" i="8"/>
  <c r="I16" i="8"/>
  <c r="K16" i="8" s="1"/>
  <c r="J12" i="8"/>
  <c r="K12" i="8" s="1"/>
  <c r="I12" i="8"/>
  <c r="J11" i="8"/>
  <c r="K11" i="8" s="1"/>
  <c r="J10" i="8"/>
  <c r="I10" i="8"/>
  <c r="K10" i="8" s="1"/>
  <c r="J9" i="8"/>
  <c r="I9" i="8"/>
  <c r="J8" i="8"/>
  <c r="I8" i="8"/>
  <c r="J7" i="8"/>
  <c r="K7" i="8" s="1"/>
  <c r="I7" i="8"/>
  <c r="J6" i="8"/>
  <c r="K6" i="8" s="1"/>
  <c r="I6" i="8"/>
  <c r="J4" i="8"/>
  <c r="K4" i="8" s="1"/>
  <c r="I4" i="8"/>
  <c r="J3" i="8"/>
  <c r="I3" i="8"/>
  <c r="S2" i="7"/>
  <c r="P2" i="7"/>
  <c r="M2" i="7"/>
  <c r="J2" i="7"/>
  <c r="O34" i="7"/>
  <c r="U34" i="2"/>
  <c r="T34" i="2"/>
  <c r="B34" i="2"/>
  <c r="O34" i="2"/>
  <c r="AC2" i="4"/>
  <c r="AB2" i="4"/>
  <c r="AA2" i="4"/>
  <c r="Z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Y2" i="4" s="1"/>
  <c r="H2" i="4"/>
  <c r="G2" i="4"/>
  <c r="F2" i="4"/>
  <c r="E2" i="4"/>
  <c r="B2" i="4"/>
  <c r="K2" i="3"/>
  <c r="I2" i="3"/>
  <c r="G2" i="3"/>
  <c r="E2" i="3"/>
  <c r="B2" i="3"/>
  <c r="Q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I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K34" i="1"/>
  <c r="R34" i="7" l="1"/>
  <c r="AA34" i="7"/>
  <c r="Y34" i="7"/>
  <c r="C34" i="6"/>
  <c r="I34" i="5"/>
  <c r="G34" i="5"/>
  <c r="E34" i="5"/>
  <c r="C34" i="5"/>
  <c r="O34" i="1"/>
  <c r="M34" i="1"/>
  <c r="U34" i="1"/>
  <c r="G34" i="1"/>
  <c r="Z5" i="2"/>
  <c r="Q34" i="2"/>
  <c r="X5" i="2"/>
  <c r="X4" i="2"/>
  <c r="I5" i="2"/>
  <c r="F34" i="2"/>
  <c r="Y3" i="2"/>
  <c r="I4" i="2"/>
  <c r="K9" i="8"/>
  <c r="K3" i="8"/>
  <c r="K5" i="8" s="1"/>
  <c r="K14" i="8" s="1"/>
  <c r="C2" i="8" s="1"/>
  <c r="D2" i="8" s="1"/>
  <c r="K18" i="8"/>
  <c r="C10" i="8" s="1"/>
  <c r="D10" i="8" s="1"/>
  <c r="K20" i="8"/>
  <c r="C11" i="8" s="1"/>
  <c r="D11" i="8" s="1"/>
  <c r="K30" i="8"/>
  <c r="C15" i="8" s="1"/>
  <c r="D15" i="8" s="1"/>
  <c r="K35" i="8"/>
  <c r="C26" i="8" s="1"/>
  <c r="K25" i="8"/>
  <c r="K23" i="8"/>
  <c r="K22" i="8"/>
  <c r="AD2" i="4"/>
  <c r="AE2" i="4" s="1"/>
  <c r="K8" i="8"/>
  <c r="K17" i="8"/>
  <c r="K21" i="8"/>
  <c r="C8" i="8" s="1"/>
  <c r="D8" i="8" s="1"/>
  <c r="K24" i="8"/>
  <c r="F34" i="7"/>
  <c r="I34" i="7"/>
  <c r="K2" i="5"/>
  <c r="W34" i="2"/>
  <c r="Z28" i="2"/>
  <c r="Z22" i="2"/>
  <c r="Z16" i="2"/>
  <c r="Z10" i="2"/>
  <c r="Z4" i="2"/>
  <c r="S34" i="2"/>
  <c r="M34" i="2"/>
  <c r="H34" i="2"/>
  <c r="Y2" i="2"/>
  <c r="E34" i="1"/>
  <c r="D14" i="8"/>
  <c r="C9" i="8"/>
  <c r="D9" i="8" s="1"/>
  <c r="K13" i="8"/>
  <c r="C6" i="8"/>
  <c r="D6" i="8" s="1"/>
  <c r="C5" i="8"/>
  <c r="D5" i="8" s="1"/>
  <c r="D26" i="8"/>
  <c r="C27" i="8"/>
  <c r="D27" i="8" s="1"/>
  <c r="S34" i="7"/>
  <c r="M34" i="7"/>
  <c r="P34" i="7"/>
  <c r="J34" i="7"/>
  <c r="G34" i="7"/>
  <c r="C34" i="7"/>
  <c r="L34" i="7"/>
  <c r="D34" i="7"/>
  <c r="I34" i="2"/>
  <c r="X34" i="2"/>
  <c r="K34" i="2"/>
  <c r="Q4" i="1"/>
  <c r="I34" i="1"/>
  <c r="S34" i="1"/>
  <c r="Y5" i="2" l="1"/>
  <c r="Y4" i="2"/>
  <c r="Y34" i="2" s="1"/>
  <c r="C16" i="8"/>
  <c r="D16" i="8" s="1"/>
  <c r="C7" i="8"/>
  <c r="D7" i="8" s="1"/>
  <c r="U34" i="7"/>
  <c r="T34" i="7"/>
  <c r="K34" i="5"/>
  <c r="J34" i="5"/>
  <c r="Z34" i="2"/>
  <c r="AA34" i="2"/>
  <c r="Q5" i="1"/>
  <c r="C22" i="8" l="1"/>
  <c r="D22" i="8" s="1"/>
  <c r="Q6" i="1"/>
  <c r="Q7" i="1"/>
  <c r="Q34" i="1" l="1"/>
</calcChain>
</file>

<file path=xl/sharedStrings.xml><?xml version="1.0" encoding="utf-8"?>
<sst xmlns="http://schemas.openxmlformats.org/spreadsheetml/2006/main" count="382" uniqueCount="150">
  <si>
    <t>Day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</si>
  <si>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</si>
  <si>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</si>
  <si>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</si>
  <si>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</si>
  <si>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</si>
  <si>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</si>
  <si>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</si>
  <si>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</si>
  <si>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ROE</t>
  </si>
  <si>
    <t>CIB. 1</t>
  </si>
  <si>
    <t>CIB. E</t>
  </si>
  <si>
    <t>Co</t>
  </si>
  <si>
    <t xml:space="preserve"> </t>
  </si>
  <si>
    <t>Total</t>
  </si>
  <si>
    <t>Site Name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</si>
  <si>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</si>
  <si>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</si>
  <si>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</si>
  <si>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</si>
  <si>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</si>
  <si>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</si>
  <si>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</si>
  <si>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</si>
  <si>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</si>
  <si>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Nile Plaza</t>
  </si>
  <si>
    <t>Main (m3)</t>
  </si>
  <si>
    <t>Podium (m3)</t>
  </si>
  <si>
    <t>Hotel (m3)</t>
  </si>
  <si>
    <t>Large  (m3)</t>
  </si>
  <si>
    <t>Feeder 1 (KWh)</t>
  </si>
  <si>
    <t>Feeder 2 (KWh)</t>
  </si>
  <si>
    <t>T1 (KWh)</t>
  </si>
  <si>
    <t>T2 (KWh)</t>
  </si>
  <si>
    <t>T3 (KWh)</t>
  </si>
  <si>
    <t>T4 (KWh)</t>
  </si>
  <si>
    <t>T5 (KWh)</t>
  </si>
  <si>
    <t>T7 (KWh)</t>
  </si>
  <si>
    <t>New Chiller (KWh)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</si>
  <si>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</si>
  <si>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</si>
  <si>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</si>
  <si>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</si>
  <si>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</si>
  <si>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</si>
  <si>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</si>
  <si>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</si>
  <si>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</si>
  <si>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</si>
  <si>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</si>
  <si>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</si>
  <si>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</si>
  <si>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Rooms Sold</t>
  </si>
  <si>
    <t>New Chillers</t>
  </si>
  <si>
    <t>F-1</t>
  </si>
  <si>
    <t>Cons.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</si>
  <si>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</si>
  <si>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</si>
  <si>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</si>
  <si>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</si>
  <si>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</si>
  <si>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</si>
  <si>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</si>
  <si>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</si>
  <si>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</si>
  <si>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</si>
  <si>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</si>
  <si>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 Reading</t>
  </si>
  <si>
    <t>Podium</t>
  </si>
  <si>
    <t>Hotel</t>
  </si>
  <si>
    <t>Large</t>
  </si>
  <si>
    <t>cost.LE</t>
  </si>
  <si>
    <t>`</t>
  </si>
  <si>
    <t>Main</t>
  </si>
  <si>
    <t xml:space="preserve">              Total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</si>
  <si>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</si>
  <si>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</si>
  <si>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</si>
  <si>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</si>
  <si>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</si>
  <si>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</si>
  <si>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</si>
  <si>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</si>
  <si>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</si>
  <si>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</si>
  <si>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</si>
  <si>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Water consumption for cooling towers</t>
  </si>
  <si>
    <t>Chilled Water</t>
  </si>
  <si>
    <t>Oil Boiler</t>
  </si>
  <si>
    <t xml:space="preserve">B2 Cooling tower </t>
  </si>
  <si>
    <t>Total cons.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</si>
  <si>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</si>
  <si>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</si>
  <si>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</si>
  <si>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</si>
  <si>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</si>
  <si>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</si>
  <si>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</si>
  <si>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</si>
  <si>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</si>
  <si>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</si>
  <si>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</si>
  <si>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</si>
  <si>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</si>
  <si>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EZZ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</si>
  <si>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</si>
  <si>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</si>
  <si>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</si>
  <si>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</si>
  <si>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</si>
  <si>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</si>
  <si>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</si>
  <si>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</si>
  <si>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</si>
  <si>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</si>
  <si>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</si>
  <si>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>CO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</si>
  <si>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</si>
  <si>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</si>
  <si>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</si>
  <si>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</si>
  <si>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</si>
  <si>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</si>
  <si>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</si>
  <si>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</si>
  <si>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</si>
  <si>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</si>
  <si>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</si>
  <si>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</si>
  <si>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Floor</t>
  </si>
  <si>
    <t>Type</t>
  </si>
  <si>
    <t>Acutal till July 2021</t>
  </si>
  <si>
    <t>Acutal till August 2021</t>
  </si>
  <si>
    <t>Consumption</t>
  </si>
  <si>
    <t>Note</t>
  </si>
  <si>
    <t>Acutal till Octobar 2021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</si>
  <si>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</si>
  <si>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</si>
  <si>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</si>
  <si>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</si>
  <si>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</si>
  <si>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</si>
  <si>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</si>
  <si>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</si>
  <si>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</si>
  <si>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.</t>
  </si>
  <si>
    <t>35,40</t>
  </si>
  <si>
    <t>45,50</t>
  </si>
  <si>
    <t xml:space="preserve">  </t>
  </si>
  <si>
    <t>Energy Monthly Statement   January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</si>
</sst>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0;[Red]0"/>
    <numFmt numFmtId="166" formatCode="0.00;[Red]0.00"/>
    <numFmt numFmtId="167" formatCode="0.0000"/>
    <numFmt numFmtId="168" formatCode="0.000"/>
    <numFmt numFmtId="169" formatCode="[$-409]d\-mmm;@"/>
    <numFmt numFmtId="170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b/>
      <sz val="10"/>
      <color theme="1"/>
      <name val="Arial"/>
      <family val="2"/>
    </font>
    <font>
      <b/>
      <sz val="12"/>
      <color indexed="10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sz val="12"/>
      <color indexed="10"/>
      <name val="Arial"/>
      <family val="2"/>
    </font>
    <font>
      <sz val="12"/>
      <color rgb="FF00B050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8"/>
      <color rgb="FF00B050"/>
      <name val="Arial"/>
      <family val="2"/>
    </font>
    <font>
      <b/>
      <sz val="18"/>
      <color indexed="10"/>
      <name val="Arial"/>
      <family val="2"/>
    </font>
    <font>
      <sz val="18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8"/>
      <color rgb="FFFF0000"/>
      <name val="Arial"/>
      <family val="2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186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0" fillId="2" borderId="0" xfId="0" applyFill="1"/>
    <xf numFmtId="0" fontId="7" fillId="4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0" borderId="3" xfId="0" applyFont="1" applyBorder="1"/>
    <xf numFmtId="0" fontId="10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0" xfId="0" applyFont="1"/>
    <xf numFmtId="1" fontId="2" fillId="0" borderId="3" xfId="0" applyNumberFormat="1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wrapText="1"/>
    </xf>
    <xf numFmtId="1" fontId="2" fillId="0" borderId="0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1" fontId="0" fillId="0" borderId="0" xfId="0" applyNumberFormat="1"/>
    <xf numFmtId="164" fontId="14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7" fillId="0" borderId="0" xfId="0" applyFont="1"/>
    <xf numFmtId="1" fontId="8" fillId="0" borderId="2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14" fillId="0" borderId="2" xfId="0" applyNumberFormat="1" applyFont="1" applyFill="1" applyBorder="1" applyAlignment="1">
      <alignment horizontal="center"/>
    </xf>
    <xf numFmtId="166" fontId="14" fillId="3" borderId="2" xfId="0" applyNumberFormat="1" applyFont="1" applyFill="1" applyBorder="1" applyAlignment="1">
      <alignment horizontal="center"/>
    </xf>
    <xf numFmtId="1" fontId="18" fillId="4" borderId="2" xfId="0" applyNumberFormat="1" applyFont="1" applyFill="1" applyBorder="1" applyAlignment="1">
      <alignment horizontal="center"/>
    </xf>
    <xf numFmtId="1" fontId="14" fillId="2" borderId="2" xfId="0" applyNumberFormat="1" applyFont="1" applyFill="1" applyBorder="1" applyAlignment="1">
      <alignment horizontal="center"/>
    </xf>
    <xf numFmtId="0" fontId="17" fillId="2" borderId="0" xfId="0" applyFont="1" applyFill="1"/>
    <xf numFmtId="1" fontId="19" fillId="4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" fontId="20" fillId="0" borderId="0" xfId="0" applyNumberFormat="1" applyFont="1"/>
    <xf numFmtId="164" fontId="3" fillId="0" borderId="2" xfId="0" applyNumberFormat="1" applyFont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/>
    </xf>
    <xf numFmtId="2" fontId="1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8" fontId="21" fillId="0" borderId="0" xfId="0" applyNumberFormat="1" applyFont="1"/>
    <xf numFmtId="164" fontId="22" fillId="0" borderId="2" xfId="0" applyNumberFormat="1" applyFont="1" applyBorder="1" applyAlignment="1">
      <alignment horizontal="center" vertical="center"/>
    </xf>
    <xf numFmtId="2" fontId="0" fillId="0" borderId="0" xfId="0" applyNumberFormat="1"/>
    <xf numFmtId="164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1" fontId="23" fillId="3" borderId="2" xfId="0" applyNumberFormat="1" applyFont="1" applyFill="1" applyBorder="1" applyAlignment="1">
      <alignment horizontal="center"/>
    </xf>
    <xf numFmtId="1" fontId="24" fillId="0" borderId="2" xfId="0" applyNumberFormat="1" applyFont="1" applyBorder="1" applyAlignment="1">
      <alignment horizontal="center" vertical="center"/>
    </xf>
    <xf numFmtId="1" fontId="25" fillId="4" borderId="2" xfId="0" applyNumberFormat="1" applyFont="1" applyFill="1" applyBorder="1" applyAlignment="1">
      <alignment horizontal="center"/>
    </xf>
    <xf numFmtId="0" fontId="26" fillId="0" borderId="0" xfId="0" applyFont="1"/>
    <xf numFmtId="0" fontId="14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7" fillId="5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16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1" fontId="19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/>
    <xf numFmtId="0" fontId="12" fillId="0" borderId="0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3" fontId="11" fillId="0" borderId="2" xfId="0" applyNumberFormat="1" applyFont="1" applyFill="1" applyBorder="1" applyAlignment="1">
      <alignment horizontal="center" vertical="center"/>
    </xf>
    <xf numFmtId="43" fontId="11" fillId="0" borderId="0" xfId="0" applyNumberFormat="1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1" fillId="8" borderId="2" xfId="2" applyFont="1" applyFill="1" applyBorder="1" applyAlignment="1">
      <alignment horizontal="center" vertical="center"/>
    </xf>
    <xf numFmtId="1" fontId="12" fillId="9" borderId="2" xfId="0" applyNumberFormat="1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170" fontId="11" fillId="0" borderId="2" xfId="0" applyNumberFormat="1" applyFont="1" applyFill="1" applyBorder="1" applyAlignment="1">
      <alignment horizontal="center" vertical="center"/>
    </xf>
    <xf numFmtId="170" fontId="11" fillId="0" borderId="0" xfId="0" applyNumberFormat="1" applyFont="1" applyFill="1" applyBorder="1" applyAlignment="1">
      <alignment horizontal="center" vertical="center"/>
    </xf>
    <xf numFmtId="0" fontId="12" fillId="10" borderId="2" xfId="2" applyFont="1" applyFill="1" applyBorder="1" applyAlignment="1">
      <alignment horizontal="center" vertical="center"/>
    </xf>
    <xf numFmtId="41" fontId="11" fillId="0" borderId="2" xfId="1" applyNumberFormat="1" applyFont="1" applyFill="1" applyBorder="1" applyAlignment="1">
      <alignment horizontal="center" vertical="center"/>
    </xf>
    <xf numFmtId="1" fontId="12" fillId="10" borderId="2" xfId="0" applyNumberFormat="1" applyFont="1" applyFill="1" applyBorder="1" applyAlignment="1">
      <alignment horizontal="center" vertical="center"/>
    </xf>
    <xf numFmtId="1" fontId="12" fillId="10" borderId="2" xfId="2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170" fontId="12" fillId="0" borderId="0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170" fontId="11" fillId="0" borderId="2" xfId="2" applyNumberFormat="1" applyFont="1" applyFill="1" applyBorder="1" applyAlignment="1">
      <alignment horizontal="center" vertical="center"/>
    </xf>
    <xf numFmtId="170" fontId="11" fillId="0" borderId="0" xfId="2" applyNumberFormat="1" applyFont="1" applyFill="1" applyBorder="1" applyAlignment="1">
      <alignment horizontal="center" vertical="center"/>
    </xf>
    <xf numFmtId="43" fontId="12" fillId="0" borderId="2" xfId="2" applyNumberFormat="1" applyFont="1" applyFill="1" applyBorder="1" applyAlignment="1">
      <alignment horizontal="center" vertical="center"/>
    </xf>
    <xf numFmtId="170" fontId="11" fillId="0" borderId="2" xfId="1" applyNumberFormat="1" applyFont="1" applyFill="1" applyBorder="1" applyAlignment="1">
      <alignment horizontal="center" vertical="center"/>
    </xf>
    <xf numFmtId="0" fontId="11" fillId="8" borderId="5" xfId="2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70" fontId="11" fillId="0" borderId="9" xfId="2" applyNumberFormat="1" applyFont="1" applyFill="1" applyBorder="1" applyAlignment="1">
      <alignment horizontal="center" vertical="center"/>
    </xf>
    <xf numFmtId="170" fontId="31" fillId="0" borderId="2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2" fillId="0" borderId="0" xfId="0" applyFont="1" applyFill="1" applyBorder="1"/>
    <xf numFmtId="0" fontId="11" fillId="0" borderId="0" xfId="2" applyFont="1" applyFill="1" applyBorder="1" applyAlignment="1">
      <alignment horizontal="center"/>
    </xf>
    <xf numFmtId="0" fontId="11" fillId="8" borderId="5" xfId="2" applyFont="1" applyFill="1" applyBorder="1"/>
    <xf numFmtId="0" fontId="12" fillId="10" borderId="5" xfId="0" applyFont="1" applyFill="1" applyBorder="1"/>
    <xf numFmtId="1" fontId="12" fillId="10" borderId="5" xfId="0" applyNumberFormat="1" applyFont="1" applyFill="1" applyBorder="1"/>
    <xf numFmtId="0" fontId="12" fillId="0" borderId="5" xfId="0" applyFont="1" applyFill="1" applyBorder="1"/>
    <xf numFmtId="0" fontId="12" fillId="0" borderId="0" xfId="3" applyFont="1"/>
    <xf numFmtId="0" fontId="32" fillId="4" borderId="5" xfId="4" applyFont="1" applyFill="1" applyBorder="1" applyAlignment="1">
      <alignment horizontal="center" vertical="center" wrapText="1"/>
    </xf>
    <xf numFmtId="0" fontId="32" fillId="4" borderId="5" xfId="4" applyFont="1" applyFill="1" applyBorder="1" applyAlignment="1">
      <alignment horizontal="left" vertical="center" wrapText="1"/>
    </xf>
    <xf numFmtId="0" fontId="33" fillId="4" borderId="5" xfId="4" applyFont="1" applyFill="1" applyBorder="1" applyAlignment="1">
      <alignment horizontal="center" vertical="center" wrapText="1"/>
    </xf>
    <xf numFmtId="0" fontId="34" fillId="0" borderId="5" xfId="4" applyFont="1" applyBorder="1" applyAlignment="1">
      <alignment horizontal="left" vertical="center" wrapText="1"/>
    </xf>
    <xf numFmtId="3" fontId="34" fillId="13" borderId="5" xfId="4" applyNumberFormat="1" applyFont="1" applyFill="1" applyBorder="1" applyAlignment="1">
      <alignment horizontal="left" vertical="center" wrapText="1"/>
    </xf>
    <xf numFmtId="3" fontId="32" fillId="0" borderId="5" xfId="4" applyNumberFormat="1" applyFont="1" applyBorder="1" applyAlignment="1">
      <alignment horizontal="left" vertical="center" wrapText="1"/>
    </xf>
    <xf numFmtId="0" fontId="35" fillId="0" borderId="5" xfId="4" applyFont="1" applyBorder="1" applyAlignment="1">
      <alignment horizontal="center" vertical="center" wrapText="1"/>
    </xf>
    <xf numFmtId="0" fontId="33" fillId="0" borderId="5" xfId="4" applyFont="1" applyBorder="1" applyAlignment="1">
      <alignment horizontal="left" vertical="center" wrapText="1"/>
    </xf>
    <xf numFmtId="0" fontId="12" fillId="0" borderId="12" xfId="3" applyFont="1" applyFill="1" applyBorder="1" applyAlignment="1"/>
    <xf numFmtId="0" fontId="12" fillId="0" borderId="0" xfId="3"/>
    <xf numFmtId="3" fontId="34" fillId="0" borderId="5" xfId="4" applyNumberFormat="1" applyFont="1" applyBorder="1" applyAlignment="1">
      <alignment horizontal="left" vertical="center" wrapText="1"/>
    </xf>
    <xf numFmtId="0" fontId="12" fillId="3" borderId="0" xfId="3" applyFill="1"/>
    <xf numFmtId="3" fontId="36" fillId="13" borderId="5" xfId="4" applyNumberFormat="1" applyFont="1" applyFill="1" applyBorder="1" applyAlignment="1">
      <alignment horizontal="left" vertical="center" wrapText="1"/>
    </xf>
    <xf numFmtId="0" fontId="35" fillId="3" borderId="5" xfId="4" applyFont="1" applyFill="1" applyBorder="1" applyAlignment="1">
      <alignment horizontal="center" vertical="center" wrapText="1"/>
    </xf>
    <xf numFmtId="0" fontId="32" fillId="14" borderId="11" xfId="4" applyFont="1" applyFill="1" applyBorder="1" applyAlignment="1">
      <alignment horizontal="center" vertical="center" wrapText="1"/>
    </xf>
    <xf numFmtId="0" fontId="34" fillId="14" borderId="5" xfId="4" applyFont="1" applyFill="1" applyBorder="1" applyAlignment="1">
      <alignment horizontal="left" vertical="center" wrapText="1"/>
    </xf>
    <xf numFmtId="0" fontId="35" fillId="14" borderId="5" xfId="4" applyFont="1" applyFill="1" applyBorder="1" applyAlignment="1">
      <alignment horizontal="center" vertical="center" wrapText="1"/>
    </xf>
    <xf numFmtId="0" fontId="34" fillId="0" borderId="5" xfId="4" applyFont="1" applyFill="1" applyBorder="1" applyAlignment="1">
      <alignment horizontal="left" vertical="center" wrapText="1"/>
    </xf>
    <xf numFmtId="3" fontId="35" fillId="13" borderId="5" xfId="4" applyNumberFormat="1" applyFont="1" applyFill="1" applyBorder="1" applyAlignment="1">
      <alignment horizontal="left" vertical="center" wrapText="1"/>
    </xf>
    <xf numFmtId="0" fontId="32" fillId="14" borderId="5" xfId="4" applyFont="1" applyFill="1" applyBorder="1" applyAlignment="1">
      <alignment horizontal="center" vertical="center" wrapText="1"/>
    </xf>
    <xf numFmtId="3" fontId="34" fillId="14" borderId="5" xfId="4" applyNumberFormat="1" applyFont="1" applyFill="1" applyBorder="1" applyAlignment="1">
      <alignment horizontal="left" vertical="center" wrapText="1"/>
    </xf>
    <xf numFmtId="0" fontId="35" fillId="0" borderId="5" xfId="4" applyFont="1" applyFill="1" applyBorder="1" applyAlignment="1">
      <alignment horizontal="center" vertical="center" wrapText="1"/>
    </xf>
    <xf numFmtId="0" fontId="37" fillId="0" borderId="5" xfId="4" applyFont="1" applyFill="1" applyBorder="1" applyAlignment="1">
      <alignment horizontal="left" vertical="center" wrapText="1"/>
    </xf>
    <xf numFmtId="3" fontId="32" fillId="14" borderId="5" xfId="4" applyNumberFormat="1" applyFont="1" applyFill="1" applyBorder="1" applyAlignment="1">
      <alignment horizontal="left" vertical="center" wrapText="1"/>
    </xf>
    <xf numFmtId="3" fontId="38" fillId="4" borderId="5" xfId="4" applyNumberFormat="1" applyFont="1" applyFill="1" applyBorder="1" applyAlignment="1">
      <alignment horizontal="left" vertical="center"/>
    </xf>
    <xf numFmtId="0" fontId="39" fillId="0" borderId="0" xfId="4" applyFont="1" applyAlignment="1">
      <alignment vertical="center"/>
    </xf>
    <xf numFmtId="0" fontId="12" fillId="0" borderId="0" xfId="5"/>
    <xf numFmtId="17" fontId="28" fillId="0" borderId="0" xfId="5" applyNumberFormat="1" applyFont="1"/>
    <xf numFmtId="0" fontId="12" fillId="0" borderId="0" xfId="5" applyAlignment="1">
      <alignment horizontal="center" vertical="center"/>
    </xf>
    <xf numFmtId="0" fontId="4" fillId="0" borderId="2" xfId="6" applyFont="1" applyBorder="1" applyAlignment="1">
      <alignment horizontal="center"/>
    </xf>
    <xf numFmtId="0" fontId="4" fillId="15" borderId="2" xfId="5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28" fillId="19" borderId="2" xfId="5" applyFont="1" applyFill="1" applyBorder="1" applyAlignment="1">
      <alignment horizontal="center"/>
    </xf>
    <xf numFmtId="164" fontId="23" fillId="0" borderId="1" xfId="0" applyNumberFormat="1" applyFont="1" applyBorder="1" applyAlignment="1">
      <alignment horizontal="left" vertical="center" indent="1"/>
    </xf>
    <xf numFmtId="164" fontId="23" fillId="0" borderId="4" xfId="0" applyNumberFormat="1" applyFont="1" applyBorder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left" vertical="center"/>
    </xf>
    <xf numFmtId="0" fontId="17" fillId="12" borderId="0" xfId="0" applyFont="1" applyFill="1" applyBorder="1" applyAlignment="1">
      <alignment horizontal="left" vertical="center"/>
    </xf>
    <xf numFmtId="0" fontId="32" fillId="0" borderId="10" xfId="4" applyFont="1" applyBorder="1" applyAlignment="1">
      <alignment horizontal="center" vertical="center" wrapText="1"/>
    </xf>
    <xf numFmtId="0" fontId="32" fillId="0" borderId="11" xfId="4" applyFont="1" applyBorder="1" applyAlignment="1">
      <alignment horizontal="center" vertical="center" wrapText="1"/>
    </xf>
    <xf numFmtId="0" fontId="32" fillId="0" borderId="7" xfId="4" applyFont="1" applyBorder="1" applyAlignment="1">
      <alignment horizontal="center" vertical="center" wrapText="1"/>
    </xf>
    <xf numFmtId="0" fontId="32" fillId="0" borderId="10" xfId="4" applyFont="1" applyFill="1" applyBorder="1" applyAlignment="1">
      <alignment horizontal="center" vertical="center" wrapText="1"/>
    </xf>
    <xf numFmtId="0" fontId="32" fillId="0" borderId="11" xfId="4" applyFont="1" applyFill="1" applyBorder="1" applyAlignment="1">
      <alignment horizontal="center" vertical="center" wrapText="1"/>
    </xf>
    <xf numFmtId="0" fontId="32" fillId="0" borderId="7" xfId="4" applyFont="1" applyFill="1" applyBorder="1" applyAlignment="1">
      <alignment horizontal="center" vertical="center" wrapText="1"/>
    </xf>
    <xf numFmtId="0" fontId="33" fillId="0" borderId="10" xfId="4" applyFont="1" applyBorder="1" applyAlignment="1">
      <alignment horizontal="left" vertical="center" wrapText="1"/>
    </xf>
    <xf numFmtId="0" fontId="33" fillId="0" borderId="7" xfId="4" applyFont="1" applyBorder="1" applyAlignment="1">
      <alignment horizontal="left" vertical="center" wrapText="1"/>
    </xf>
    <xf numFmtId="0" fontId="34" fillId="0" borderId="10" xfId="4" applyFont="1" applyBorder="1" applyAlignment="1">
      <alignment horizontal="left" vertical="center" wrapText="1"/>
    </xf>
    <xf numFmtId="0" fontId="34" fillId="0" borderId="7" xfId="4" applyFont="1" applyBorder="1" applyAlignment="1">
      <alignment horizontal="left" vertical="center" wrapText="1"/>
    </xf>
    <xf numFmtId="0" fontId="38" fillId="4" borderId="5" xfId="4" applyFont="1" applyFill="1" applyBorder="1" applyAlignment="1">
      <alignment horizontal="center" vertical="center"/>
    </xf>
    <xf numFmtId="17" fontId="28" fillId="0" borderId="1" xfId="5" applyNumberFormat="1" applyFont="1" applyBorder="1" applyAlignment="1">
      <alignment horizontal="center" vertical="center"/>
    </xf>
    <xf numFmtId="17" fontId="28" fillId="0" borderId="6" xfId="5" applyNumberFormat="1" applyFont="1" applyBorder="1" applyAlignment="1">
      <alignment horizontal="center" vertical="center"/>
    </xf>
    <xf numFmtId="17" fontId="28" fillId="0" borderId="4" xfId="5" applyNumberFormat="1" applyFont="1" applyBorder="1" applyAlignment="1">
      <alignment horizontal="center" vertical="center"/>
    </xf>
    <xf numFmtId="0" fontId="28" fillId="0" borderId="1" xfId="5" applyFont="1" applyBorder="1" applyAlignment="1">
      <alignment horizontal="center" vertical="center"/>
    </xf>
    <xf numFmtId="0" fontId="28" fillId="0" borderId="6" xfId="5" applyFont="1" applyBorder="1" applyAlignment="1">
      <alignment horizontal="center" vertical="center"/>
    </xf>
    <xf numFmtId="0" fontId="28" fillId="0" borderId="4" xfId="5" applyFont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2" xfId="5"/>
    <cellStyle name="Normal 12 3" xfId="6"/>
    <cellStyle name="Normal 14" xfId="3"/>
    <cellStyle name="Normal 14 2" xfId="4"/>
    <cellStyle name="Normal_~031337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dy.azouz/Downloads/Consumption%20Dec%2031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">
          <cell r="H2">
            <v>5.6970000000000001</v>
          </cell>
          <cell r="K2">
            <v>12124</v>
          </cell>
          <cell r="L2">
            <v>7311</v>
          </cell>
          <cell r="M2">
            <v>8060</v>
          </cell>
          <cell r="N2">
            <v>8474</v>
          </cell>
          <cell r="O2">
            <v>11578</v>
          </cell>
          <cell r="P2">
            <v>25376</v>
          </cell>
          <cell r="Q2">
            <v>480</v>
          </cell>
          <cell r="Y2">
            <v>-4593</v>
          </cell>
          <cell r="Z2">
            <v>1879</v>
          </cell>
          <cell r="AA2">
            <v>800</v>
          </cell>
          <cell r="AB2">
            <v>4</v>
          </cell>
          <cell r="AC2">
            <v>140</v>
          </cell>
          <cell r="AD2">
            <v>134.47593540000003</v>
          </cell>
          <cell r="AE2">
            <v>885.82706460000009</v>
          </cell>
        </row>
      </sheetData>
      <sheetData sheetId="2">
        <row r="2">
          <cell r="B2">
            <v>46274</v>
          </cell>
          <cell r="D2">
            <v>40081</v>
          </cell>
          <cell r="F2">
            <v>21055</v>
          </cell>
          <cell r="H2">
            <v>252282</v>
          </cell>
          <cell r="J2">
            <v>303517</v>
          </cell>
          <cell r="L2">
            <v>25637</v>
          </cell>
          <cell r="N2">
            <v>216119</v>
          </cell>
          <cell r="P2">
            <v>132781</v>
          </cell>
          <cell r="R2">
            <v>55047</v>
          </cell>
          <cell r="T2">
            <v>3856</v>
          </cell>
        </row>
        <row r="3">
          <cell r="C3">
            <v>800</v>
          </cell>
          <cell r="E3">
            <v>960</v>
          </cell>
          <cell r="G3">
            <v>80</v>
          </cell>
          <cell r="I3">
            <v>39</v>
          </cell>
          <cell r="K3">
            <v>0</v>
          </cell>
          <cell r="M3">
            <v>800</v>
          </cell>
          <cell r="O3">
            <v>4</v>
          </cell>
          <cell r="Q3">
            <v>140</v>
          </cell>
          <cell r="S3">
            <v>0</v>
          </cell>
        </row>
      </sheetData>
      <sheetData sheetId="3">
        <row r="2">
          <cell r="C2">
            <v>19174</v>
          </cell>
          <cell r="E2">
            <v>29003598</v>
          </cell>
          <cell r="G2">
            <v>92139910</v>
          </cell>
          <cell r="J2">
            <v>9100173</v>
          </cell>
          <cell r="L2">
            <v>9052227</v>
          </cell>
          <cell r="N2">
            <v>6133946</v>
          </cell>
          <cell r="P2">
            <v>5618556</v>
          </cell>
          <cell r="R2">
            <v>19446426</v>
          </cell>
          <cell r="V2">
            <v>7309228</v>
          </cell>
        </row>
        <row r="3">
          <cell r="B3">
            <v>315</v>
          </cell>
          <cell r="H3">
            <v>52747</v>
          </cell>
        </row>
      </sheetData>
      <sheetData sheetId="4">
        <row r="2">
          <cell r="B2">
            <v>433119</v>
          </cell>
          <cell r="D2">
            <v>59</v>
          </cell>
          <cell r="F2">
            <v>6928000</v>
          </cell>
          <cell r="H2">
            <v>760516</v>
          </cell>
        </row>
        <row r="3">
          <cell r="C3">
            <v>1220</v>
          </cell>
          <cell r="E3">
            <v>490</v>
          </cell>
          <cell r="G3">
            <v>788.4</v>
          </cell>
          <cell r="I3">
            <v>5.6970000000000001</v>
          </cell>
          <cell r="J3">
            <v>2504.0970000000002</v>
          </cell>
          <cell r="K3">
            <v>14674.008420000002</v>
          </cell>
        </row>
      </sheetData>
      <sheetData sheetId="5">
        <row r="2">
          <cell r="B2">
            <v>17783497</v>
          </cell>
        </row>
        <row r="3">
          <cell r="C3">
            <v>2324</v>
          </cell>
        </row>
      </sheetData>
      <sheetData sheetId="6">
        <row r="3">
          <cell r="C3">
            <v>2.7360000000007858</v>
          </cell>
          <cell r="F3">
            <v>0.91199999999980719</v>
          </cell>
          <cell r="I3">
            <v>3</v>
          </cell>
          <cell r="L3">
            <v>0.80000000000109139</v>
          </cell>
          <cell r="O3">
            <v>0.91699999999991633</v>
          </cell>
          <cell r="R3">
            <v>0.69000000000050932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A3" sqref="A3:K32"/>
    </sheetView>
  </sheetViews>
  <sheetFormatPr defaultColWidth="11.5703125" defaultRowHeight="15" x14ac:dyDescent="0.25"/>
  <cols>
    <col min="1" max="1" width="15.85546875" style="20" bestFit="1" customWidth="1"/>
    <col min="2" max="3" width="11.5703125" style="21"/>
    <col min="4" max="4" width="13.42578125" style="21" customWidth="1"/>
    <col min="5" max="6" width="12.5703125" style="6" customWidth="1"/>
    <col min="7" max="7" width="12.140625" style="6" customWidth="1"/>
    <col min="8" max="11" width="11.5703125" style="6"/>
  </cols>
  <sheetData>
    <row r="1" spans="1:14" s="19" customFormat="1" ht="60" x14ac:dyDescent="0.25">
      <c r="A1" s="16" t="s">
        <v>15</v>
      </c>
      <c r="B1" s="17" t="s">
        <v>0</v>
      </c>
      <c r="C1" s="17" t="s">
        <v>16</v>
      </c>
      <c r="D1" s="17" t="s">
        <v>17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18" t="s">
        <v>24</v>
      </c>
    </row>
    <row r="2" spans="1:14" x14ac:dyDescent="0.25">
      <c r="A2" s="20" t="s">
        <v>25</v>
      </c>
      <c r="B2" s="21" t="e">
        <f t="shared" ref="B2" si="0">B1+1</f>
        <v>#VALUE!</v>
      </c>
      <c r="C2" s="21">
        <v>12</v>
      </c>
      <c r="D2" s="21">
        <v>2021</v>
      </c>
      <c r="E2" s="22">
        <f>((([1]Submetering!O2+[1]Submetering!P2)*0.842284+[1]Submetering!Q2+([1]Submetering!M2+[1]Submetering!N2+[1]Submetering!Y2)*0.7362)+([1]Submetering!O2+[1]Submetering!P2+[1]Submetering!Q2)*0.1488+([1]Submetering!M2+[1]Submetering!N2+[1]Submetering!Y2)*0.1167+([1]Submetering!K2+[1]Submetering!L2-[1]Submetering!Z2-[1]Submetering!AA2-[1]Submetering!AB2-[1]Submetering!AC2-[1]Submetering!Q2)+([1]Submetering!M2+[1]Submetering!N2+[1]Submetering!Y2)*0.1139)</f>
        <v>64852.500935999997</v>
      </c>
      <c r="F2" s="6">
        <v>1.27</v>
      </c>
      <c r="G2" s="22">
        <f>[1]Gas!C3*0.9147</f>
        <v>2125.7628</v>
      </c>
      <c r="H2" s="6">
        <v>3.65</v>
      </c>
      <c r="I2" s="23">
        <f>[1]Submetering!H2+[1]Submetering!AD2+[1]Submetering!AE2</f>
        <v>1026</v>
      </c>
      <c r="J2" s="23">
        <v>10.029999999999999</v>
      </c>
      <c r="K2" s="22">
        <f>[1]ELECT.!B3</f>
        <v>315</v>
      </c>
    </row>
    <row r="3" spans="1:14" x14ac:dyDescent="0.25">
      <c r="E3" s="22"/>
      <c r="G3" s="22"/>
      <c r="I3" s="23"/>
      <c r="J3" s="23"/>
      <c r="K3" s="22"/>
    </row>
    <row r="4" spans="1:14" x14ac:dyDescent="0.25">
      <c r="E4" s="22"/>
      <c r="G4" s="22"/>
      <c r="I4" s="23"/>
      <c r="J4" s="23"/>
      <c r="K4" s="22"/>
    </row>
    <row r="5" spans="1:14" x14ac:dyDescent="0.25">
      <c r="E5" s="22"/>
      <c r="G5" s="22"/>
      <c r="I5" s="23"/>
      <c r="J5" s="23"/>
      <c r="K5" s="22"/>
    </row>
    <row r="6" spans="1:14" x14ac:dyDescent="0.25">
      <c r="E6" s="22"/>
      <c r="G6" s="22"/>
      <c r="I6" s="23"/>
      <c r="J6" s="23"/>
      <c r="K6" s="22"/>
    </row>
    <row r="7" spans="1:14" x14ac:dyDescent="0.25">
      <c r="E7" s="22"/>
      <c r="G7" s="22"/>
      <c r="I7" s="23"/>
      <c r="J7" s="23"/>
      <c r="K7" s="22"/>
    </row>
    <row r="8" spans="1:14" x14ac:dyDescent="0.25">
      <c r="E8" s="22"/>
      <c r="G8" s="22"/>
      <c r="I8" s="23"/>
      <c r="J8" s="23"/>
      <c r="K8" s="22"/>
    </row>
    <row r="9" spans="1:14" x14ac:dyDescent="0.25">
      <c r="E9" s="22"/>
      <c r="G9" s="22"/>
      <c r="I9" s="23"/>
      <c r="J9" s="23"/>
      <c r="K9" s="22"/>
      <c r="N9" t="s">
        <v>13</v>
      </c>
    </row>
    <row r="10" spans="1:14" x14ac:dyDescent="0.25">
      <c r="E10" s="22"/>
      <c r="G10" s="22"/>
      <c r="I10" s="23"/>
      <c r="J10" s="23"/>
      <c r="K10" s="22"/>
    </row>
    <row r="11" spans="1:14" x14ac:dyDescent="0.25">
      <c r="E11" s="22"/>
      <c r="G11" s="22"/>
      <c r="I11" s="23"/>
      <c r="J11" s="23"/>
      <c r="K11" s="22"/>
    </row>
    <row r="12" spans="1:14" x14ac:dyDescent="0.25">
      <c r="E12" s="22"/>
      <c r="G12" s="22"/>
      <c r="I12" s="23"/>
      <c r="J12" s="23"/>
      <c r="K12" s="22"/>
    </row>
    <row r="13" spans="1:14" x14ac:dyDescent="0.25">
      <c r="E13" s="22"/>
      <c r="G13" s="22"/>
      <c r="I13" s="23"/>
      <c r="J13" s="23"/>
      <c r="K13" s="22"/>
    </row>
    <row r="14" spans="1:14" x14ac:dyDescent="0.25">
      <c r="E14" s="22"/>
      <c r="G14" s="22"/>
      <c r="I14" s="23"/>
      <c r="J14" s="23"/>
      <c r="K14" s="22"/>
    </row>
    <row r="15" spans="1:14" x14ac:dyDescent="0.25">
      <c r="E15" s="22"/>
      <c r="G15" s="22"/>
      <c r="I15" s="23"/>
      <c r="J15" s="23"/>
      <c r="K15" s="22"/>
    </row>
    <row r="16" spans="1:14" x14ac:dyDescent="0.25">
      <c r="E16" s="22"/>
      <c r="G16" s="22"/>
      <c r="I16" s="23"/>
      <c r="J16" s="23"/>
      <c r="K16" s="22"/>
    </row>
    <row r="17" spans="5:13" x14ac:dyDescent="0.25">
      <c r="E17" s="22"/>
      <c r="G17" s="22"/>
      <c r="I17" s="23"/>
      <c r="J17" s="23"/>
      <c r="K17" s="22"/>
    </row>
    <row r="18" spans="5:13" x14ac:dyDescent="0.25">
      <c r="E18" s="22"/>
      <c r="G18" s="22"/>
      <c r="I18" s="23"/>
      <c r="J18" s="23"/>
      <c r="K18" s="22"/>
    </row>
    <row r="19" spans="5:13" x14ac:dyDescent="0.25">
      <c r="E19" s="22"/>
      <c r="G19" s="22"/>
      <c r="I19" s="23"/>
      <c r="J19" s="23"/>
      <c r="K19" s="22"/>
    </row>
    <row r="20" spans="5:13" x14ac:dyDescent="0.25">
      <c r="E20" s="22"/>
      <c r="G20" s="22"/>
      <c r="I20" s="23"/>
      <c r="J20" s="23"/>
      <c r="K20" s="22"/>
    </row>
    <row r="21" spans="5:13" x14ac:dyDescent="0.25">
      <c r="E21" s="22"/>
      <c r="G21" s="22"/>
      <c r="I21" s="23"/>
      <c r="J21" s="23"/>
      <c r="K21" s="22"/>
    </row>
    <row r="22" spans="5:13" x14ac:dyDescent="0.25">
      <c r="E22" s="22"/>
      <c r="G22" s="22"/>
      <c r="I22" s="23"/>
      <c r="J22" s="23"/>
      <c r="K22" s="22"/>
    </row>
    <row r="23" spans="5:13" x14ac:dyDescent="0.25">
      <c r="E23" s="22"/>
      <c r="G23" s="22"/>
      <c r="I23" s="23"/>
      <c r="J23" s="23"/>
      <c r="K23" s="22"/>
    </row>
    <row r="24" spans="5:13" x14ac:dyDescent="0.25">
      <c r="E24" s="22"/>
      <c r="G24" s="22"/>
      <c r="I24" s="23"/>
      <c r="J24" s="23"/>
      <c r="K24" s="22"/>
    </row>
    <row r="25" spans="5:13" x14ac:dyDescent="0.25">
      <c r="E25" s="22"/>
      <c r="G25" s="22"/>
      <c r="I25" s="23"/>
      <c r="J25" s="23"/>
      <c r="K25" s="22"/>
    </row>
    <row r="26" spans="5:13" x14ac:dyDescent="0.25">
      <c r="E26" s="22"/>
      <c r="G26" s="22"/>
      <c r="I26" s="23"/>
      <c r="J26" s="23"/>
      <c r="K26" s="22"/>
      <c r="M26" s="24" t="s">
        <v>13</v>
      </c>
    </row>
    <row r="27" spans="5:13" x14ac:dyDescent="0.25">
      <c r="E27" s="22"/>
      <c r="G27" s="22"/>
      <c r="I27" s="23"/>
      <c r="J27" s="23"/>
      <c r="K27" s="22"/>
    </row>
    <row r="28" spans="5:13" x14ac:dyDescent="0.25">
      <c r="E28" s="22"/>
      <c r="G28" s="22"/>
      <c r="I28" s="23"/>
      <c r="J28" s="23"/>
      <c r="K28" s="22"/>
    </row>
    <row r="29" spans="5:13" x14ac:dyDescent="0.25">
      <c r="E29" s="22"/>
      <c r="G29" s="22"/>
      <c r="I29" s="23"/>
      <c r="J29" s="23"/>
      <c r="K29" s="22"/>
    </row>
    <row r="30" spans="5:13" x14ac:dyDescent="0.25">
      <c r="E30" s="22"/>
      <c r="G30" s="22"/>
      <c r="I30" s="23"/>
      <c r="J30" s="23"/>
      <c r="K30" s="22"/>
    </row>
    <row r="31" spans="5:13" x14ac:dyDescent="0.25">
      <c r="E31" s="22"/>
      <c r="G31" s="22"/>
      <c r="I31" s="23"/>
      <c r="J31" s="23"/>
      <c r="K31" s="22"/>
    </row>
    <row r="32" spans="5:13" x14ac:dyDescent="0.25">
      <c r="E32" s="22"/>
      <c r="G32" s="22"/>
      <c r="I32" s="23"/>
      <c r="J32" s="23"/>
      <c r="K32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workbookViewId="0">
      <selection activeCell="A3" sqref="A3:AT38"/>
    </sheetView>
  </sheetViews>
  <sheetFormatPr defaultColWidth="11.5703125" defaultRowHeight="15" x14ac:dyDescent="0.25"/>
  <cols>
    <col min="1" max="1" width="15.85546875" style="20" bestFit="1" customWidth="1"/>
    <col min="2" max="3" width="11.5703125" style="21"/>
    <col min="4" max="4" width="13.42578125" style="21" customWidth="1"/>
    <col min="5" max="17" width="12.5703125" style="22" customWidth="1"/>
    <col min="18" max="23" width="12.5703125" style="23" customWidth="1"/>
    <col min="24" max="25" width="11.5703125" style="30"/>
    <col min="27" max="27" width="13.7109375" bestFit="1" customWidth="1"/>
    <col min="28" max="28" width="13.5703125" bestFit="1" customWidth="1"/>
    <col min="30" max="30" width="15.5703125" customWidth="1"/>
  </cols>
  <sheetData>
    <row r="1" spans="1:31" s="19" customFormat="1" ht="60" x14ac:dyDescent="0.25">
      <c r="A1" s="16" t="s">
        <v>15</v>
      </c>
      <c r="B1" s="17" t="s">
        <v>0</v>
      </c>
      <c r="C1" s="17" t="s">
        <v>16</v>
      </c>
      <c r="D1" s="17" t="s">
        <v>17</v>
      </c>
      <c r="E1" s="25" t="s">
        <v>26</v>
      </c>
      <c r="F1" s="25" t="s">
        <v>27</v>
      </c>
      <c r="G1" s="25" t="s">
        <v>28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25" t="s">
        <v>36</v>
      </c>
      <c r="P1" s="25" t="s">
        <v>37</v>
      </c>
      <c r="Q1" s="25" t="s">
        <v>38</v>
      </c>
      <c r="R1" s="26" t="s">
        <v>39</v>
      </c>
      <c r="S1" s="26" t="s">
        <v>40</v>
      </c>
      <c r="T1" s="26" t="s">
        <v>41</v>
      </c>
      <c r="U1" s="26" t="s">
        <v>42</v>
      </c>
      <c r="V1" s="26" t="s">
        <v>43</v>
      </c>
      <c r="W1" s="26" t="s">
        <v>44</v>
      </c>
      <c r="X1" s="27" t="s">
        <v>24</v>
      </c>
      <c r="Y1" s="28" t="s">
        <v>45</v>
      </c>
      <c r="Z1" s="19" t="s">
        <v>46</v>
      </c>
      <c r="AA1" s="19" t="s">
        <v>47</v>
      </c>
      <c r="AB1" s="19" t="s">
        <v>48</v>
      </c>
      <c r="AC1" s="19" t="s">
        <v>49</v>
      </c>
      <c r="AD1" s="29" t="s">
        <v>50</v>
      </c>
      <c r="AE1" s="29" t="s">
        <v>51</v>
      </c>
    </row>
    <row r="2" spans="1:31" x14ac:dyDescent="0.25">
      <c r="A2" s="20" t="s">
        <v>25</v>
      </c>
      <c r="B2" s="21" t="e">
        <f t="shared" ref="B2" si="0">B1+1</f>
        <v>#VALUE!</v>
      </c>
      <c r="C2" s="21">
        <v>12</v>
      </c>
      <c r="D2" s="21">
        <v>2021</v>
      </c>
      <c r="E2" s="22">
        <f>[1]Water!C3</f>
        <v>1220</v>
      </c>
      <c r="F2" s="22">
        <f>[1]Water!E3</f>
        <v>490</v>
      </c>
      <c r="G2" s="22">
        <f>[1]Water!E3</f>
        <v>490</v>
      </c>
      <c r="H2" s="22">
        <f>[1]Water!I3</f>
        <v>5.6970000000000001</v>
      </c>
      <c r="I2" s="22">
        <f>[1]Water!G3</f>
        <v>788.4</v>
      </c>
      <c r="J2" s="22">
        <f>[1]ELECT.!H3</f>
        <v>52747</v>
      </c>
      <c r="K2" s="22">
        <f>[1]Water!I3</f>
        <v>5.6970000000000001</v>
      </c>
      <c r="L2" s="22">
        <f>[1]Water!J3</f>
        <v>2504.0970000000002</v>
      </c>
      <c r="M2" s="22">
        <f>[1]Water!K3</f>
        <v>14674.008420000002</v>
      </c>
      <c r="N2" s="22">
        <f>[1]Water!L3</f>
        <v>0</v>
      </c>
      <c r="O2" s="22">
        <f>[1]Water!M3</f>
        <v>0</v>
      </c>
      <c r="P2" s="22">
        <f>[1]Water!N3</f>
        <v>0</v>
      </c>
      <c r="Q2" s="22">
        <f>[1]Water!O3</f>
        <v>0</v>
      </c>
      <c r="R2" s="23">
        <f>[1]BTU!C3</f>
        <v>2.7360000000007858</v>
      </c>
      <c r="S2" s="23">
        <f>[1]BTU!F3</f>
        <v>0.91199999999980719</v>
      </c>
      <c r="T2" s="23">
        <f>[1]BTU!I3</f>
        <v>3</v>
      </c>
      <c r="U2" s="23">
        <f>[1]BTU!O3</f>
        <v>0.91699999999991633</v>
      </c>
      <c r="V2" s="23">
        <f>[1]BTU!L3</f>
        <v>0.80000000000109139</v>
      </c>
      <c r="W2" s="23">
        <f>[1]BTU!R3</f>
        <v>0.69000000000050932</v>
      </c>
      <c r="X2" s="30">
        <f>[1]ELECT.!B3</f>
        <v>315</v>
      </c>
      <c r="Y2" s="30">
        <f t="shared" ref="Y2" si="1">I2+J2-(K2+L2+M2+N2+O2+P2)</f>
        <v>36351.597580000001</v>
      </c>
      <c r="Z2">
        <f>'[1]Mall, Citadel, Rotana'!C3+'[1]Mall, Citadel, Rotana'!E3+'[1]Mall, Citadel, Rotana'!G3+'[1]Mall, Citadel, Rotana'!I3</f>
        <v>1879</v>
      </c>
      <c r="AA2">
        <f>'[1]Mall, Citadel, Rotana'!K3+'[1]Mall, Citadel, Rotana'!M3</f>
        <v>800</v>
      </c>
      <c r="AB2">
        <f>'[1]Mall, Citadel, Rotana'!O3</f>
        <v>4</v>
      </c>
      <c r="AC2">
        <f>'[1]Mall, Citadel, Rotana'!Q3+'[1]Mall, Citadel, Rotana'!S3</f>
        <v>140</v>
      </c>
      <c r="AD2" s="30">
        <f t="shared" ref="AD2" si="2">(E2-H2-194)*0.1318</f>
        <v>134.47593540000003</v>
      </c>
      <c r="AE2" s="30">
        <f t="shared" ref="AE2" si="3">E2-H2-AD2-194</f>
        <v>885.82706460000009</v>
      </c>
    </row>
    <row r="3" spans="1:31" x14ac:dyDescent="0.25">
      <c r="AD3" s="30"/>
      <c r="AE3" s="30"/>
    </row>
    <row r="4" spans="1:31" x14ac:dyDescent="0.25">
      <c r="AD4" s="30"/>
      <c r="AE4" s="30"/>
    </row>
    <row r="5" spans="1:31" x14ac:dyDescent="0.25">
      <c r="AD5" s="30"/>
      <c r="AE5" s="30"/>
    </row>
    <row r="6" spans="1:31" x14ac:dyDescent="0.25">
      <c r="AD6" s="30"/>
      <c r="AE6" s="30"/>
    </row>
    <row r="7" spans="1:31" x14ac:dyDescent="0.25">
      <c r="AD7" s="30"/>
      <c r="AE7" s="30"/>
    </row>
    <row r="8" spans="1:31" x14ac:dyDescent="0.25">
      <c r="AD8" s="30"/>
      <c r="AE8" s="30"/>
    </row>
    <row r="9" spans="1:31" x14ac:dyDescent="0.25">
      <c r="AD9" s="30"/>
      <c r="AE9" s="30"/>
    </row>
    <row r="10" spans="1:31" x14ac:dyDescent="0.25">
      <c r="AD10" s="30"/>
      <c r="AE10" s="30"/>
    </row>
    <row r="11" spans="1:31" x14ac:dyDescent="0.25">
      <c r="AD11" s="30"/>
      <c r="AE11" s="30"/>
    </row>
    <row r="12" spans="1:31" x14ac:dyDescent="0.25">
      <c r="AD12" s="30"/>
      <c r="AE12" s="30"/>
    </row>
    <row r="13" spans="1:31" x14ac:dyDescent="0.25">
      <c r="AD13" s="30"/>
      <c r="AE13" s="30"/>
    </row>
    <row r="14" spans="1:31" x14ac:dyDescent="0.25">
      <c r="AD14" s="30"/>
      <c r="AE14" s="30"/>
    </row>
    <row r="15" spans="1:31" x14ac:dyDescent="0.25">
      <c r="AD15" s="30"/>
      <c r="AE15" s="30"/>
    </row>
    <row r="16" spans="1:31" x14ac:dyDescent="0.25">
      <c r="AD16" s="30"/>
      <c r="AE16" s="30"/>
    </row>
    <row r="17" spans="30:31" x14ac:dyDescent="0.25">
      <c r="AD17" s="30"/>
      <c r="AE17" s="30"/>
    </row>
    <row r="18" spans="30:31" x14ac:dyDescent="0.25">
      <c r="AD18" s="30"/>
      <c r="AE18" s="30"/>
    </row>
    <row r="19" spans="30:31" x14ac:dyDescent="0.25">
      <c r="AD19" s="30"/>
      <c r="AE19" s="30"/>
    </row>
    <row r="20" spans="30:31" x14ac:dyDescent="0.25">
      <c r="AD20" s="30"/>
      <c r="AE20" s="30"/>
    </row>
    <row r="21" spans="30:31" x14ac:dyDescent="0.25">
      <c r="AD21" s="30"/>
      <c r="AE21" s="30"/>
    </row>
    <row r="22" spans="30:31" x14ac:dyDescent="0.25">
      <c r="AD22" s="30"/>
      <c r="AE22" s="30"/>
    </row>
    <row r="23" spans="30:31" x14ac:dyDescent="0.25">
      <c r="AD23" s="30"/>
      <c r="AE23" s="30"/>
    </row>
    <row r="24" spans="30:31" x14ac:dyDescent="0.25">
      <c r="AD24" s="30"/>
      <c r="AE24" s="30"/>
    </row>
    <row r="25" spans="30:31" x14ac:dyDescent="0.25">
      <c r="AD25" s="30"/>
      <c r="AE25" s="30"/>
    </row>
    <row r="26" spans="30:31" x14ac:dyDescent="0.25">
      <c r="AD26" s="30"/>
      <c r="AE26" s="30"/>
    </row>
    <row r="27" spans="30:31" x14ac:dyDescent="0.25">
      <c r="AD27" s="30"/>
      <c r="AE27" s="30"/>
    </row>
    <row r="28" spans="30:31" x14ac:dyDescent="0.25">
      <c r="AD28" s="30"/>
      <c r="AE28" s="30"/>
    </row>
    <row r="29" spans="30:31" x14ac:dyDescent="0.25">
      <c r="AD29" s="30"/>
      <c r="AE29" s="30"/>
    </row>
    <row r="30" spans="30:31" x14ac:dyDescent="0.25">
      <c r="AD30" s="30"/>
      <c r="AE30" s="30"/>
    </row>
    <row r="31" spans="30:31" x14ac:dyDescent="0.25">
      <c r="AD31" s="30"/>
      <c r="AE31" s="30"/>
    </row>
    <row r="32" spans="30:31" x14ac:dyDescent="0.25">
      <c r="AD32" s="30"/>
      <c r="AE32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selection activeCell="A4" sqref="A4:XFD4"/>
    </sheetView>
  </sheetViews>
  <sheetFormatPr defaultRowHeight="15" x14ac:dyDescent="0.25"/>
  <cols>
    <col min="1" max="1" width="16.5703125" style="12" bestFit="1" customWidth="1"/>
    <col min="2" max="2" width="10.5703125" style="13" bestFit="1" customWidth="1"/>
    <col min="3" max="3" width="11.42578125" style="14" bestFit="1" customWidth="1"/>
    <col min="4" max="4" width="10.7109375" style="13" bestFit="1" customWidth="1"/>
    <col min="5" max="5" width="11.42578125" style="14" bestFit="1" customWidth="1"/>
    <col min="6" max="6" width="8.7109375" style="13" customWidth="1"/>
    <col min="7" max="7" width="9.7109375" style="14" bestFit="1" customWidth="1"/>
    <col min="8" max="8" width="10" style="13" bestFit="1" customWidth="1"/>
    <col min="9" max="9" width="9.7109375" style="14" bestFit="1" customWidth="1"/>
    <col min="10" max="10" width="9.28515625" style="13" bestFit="1" customWidth="1"/>
    <col min="11" max="11" width="11" style="14" bestFit="1" customWidth="1"/>
    <col min="12" max="12" width="8.7109375" style="13" bestFit="1" customWidth="1"/>
    <col min="13" max="13" width="14.140625" style="14" bestFit="1" customWidth="1"/>
    <col min="14" max="14" width="11.42578125" style="15" customWidth="1"/>
    <col min="15" max="15" width="11.42578125" style="14" customWidth="1"/>
    <col min="16" max="16" width="10" style="13" bestFit="1" customWidth="1"/>
    <col min="17" max="17" width="9.7109375" style="14" bestFit="1" customWidth="1"/>
    <col min="18" max="18" width="8.7109375" style="13" customWidth="1"/>
    <col min="19" max="19" width="11" style="14" bestFit="1" customWidth="1"/>
  </cols>
  <sheetData>
    <row r="1" spans="1:24" s="6" customFormat="1" ht="1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4</v>
      </c>
      <c r="H1" s="2" t="s">
        <v>6</v>
      </c>
      <c r="I1" s="3" t="s">
        <v>4</v>
      </c>
      <c r="J1" s="2" t="s">
        <v>7</v>
      </c>
      <c r="K1" s="3" t="s">
        <v>4</v>
      </c>
      <c r="L1" s="2" t="s">
        <v>8</v>
      </c>
      <c r="M1" s="3" t="s">
        <v>4</v>
      </c>
      <c r="N1" s="4" t="s">
        <v>9</v>
      </c>
      <c r="O1" s="3" t="s">
        <v>4</v>
      </c>
      <c r="P1" s="2" t="s">
        <v>10</v>
      </c>
      <c r="Q1" s="3" t="s">
        <v>4</v>
      </c>
      <c r="R1" s="2" t="s">
        <v>11</v>
      </c>
      <c r="S1" s="5" t="s">
        <v>4</v>
      </c>
      <c r="T1" s="2" t="s">
        <v>12</v>
      </c>
      <c r="U1" s="5" t="s">
        <v>4</v>
      </c>
    </row>
    <row r="2" spans="1:24" ht="15.75" thickBot="1" x14ac:dyDescent="0.3">
      <c r="A2" s="7">
        <v>44561</v>
      </c>
      <c r="B2" s="4">
        <v>46419</v>
      </c>
      <c r="C2" s="8">
        <v>0</v>
      </c>
      <c r="D2" s="4">
        <v>40169</v>
      </c>
      <c r="E2" s="8">
        <v>0</v>
      </c>
      <c r="F2" s="4">
        <v>21164</v>
      </c>
      <c r="G2" s="8">
        <v>0</v>
      </c>
      <c r="H2" s="4">
        <v>253097</v>
      </c>
      <c r="I2" s="8">
        <v>0</v>
      </c>
      <c r="J2" s="4">
        <v>303517</v>
      </c>
      <c r="K2" s="8">
        <v>0</v>
      </c>
      <c r="L2" s="4">
        <v>25728</v>
      </c>
      <c r="M2" s="8">
        <v>0</v>
      </c>
      <c r="N2" s="4">
        <v>218807</v>
      </c>
      <c r="O2" s="8">
        <v>0</v>
      </c>
      <c r="P2" s="4">
        <v>136263</v>
      </c>
      <c r="Q2" s="8">
        <v>0</v>
      </c>
      <c r="R2" s="2">
        <v>55047</v>
      </c>
      <c r="S2" s="8">
        <v>0</v>
      </c>
      <c r="T2" s="4">
        <v>3889</v>
      </c>
      <c r="U2" s="8">
        <v>0</v>
      </c>
    </row>
    <row r="3" spans="1:24" ht="15.75" thickBot="1" x14ac:dyDescent="0.3">
      <c r="A3" s="7">
        <v>44562</v>
      </c>
      <c r="B3" s="4">
        <v>46424</v>
      </c>
      <c r="C3" s="8">
        <f t="shared" ref="C3:C33" si="0">(B3-B2)*800/5</f>
        <v>800</v>
      </c>
      <c r="D3" s="4">
        <v>40171</v>
      </c>
      <c r="E3" s="8">
        <f t="shared" ref="E3:E33" si="1">(D3-D2)*800/5</f>
        <v>320</v>
      </c>
      <c r="F3" s="4">
        <v>21168</v>
      </c>
      <c r="G3" s="8">
        <f t="shared" ref="G3:G33" si="2">(F3-F2)*100/5</f>
        <v>80</v>
      </c>
      <c r="H3" s="4">
        <v>253116</v>
      </c>
      <c r="I3" s="8">
        <f t="shared" ref="I3:I33" si="3">(H3-H2)</f>
        <v>19</v>
      </c>
      <c r="J3" s="4">
        <v>303517</v>
      </c>
      <c r="K3" s="8">
        <v>0</v>
      </c>
      <c r="L3" s="4">
        <v>25730</v>
      </c>
      <c r="M3" s="8">
        <f t="shared" ref="M3:M33" si="4">(L3-L2)*800/5</f>
        <v>320</v>
      </c>
      <c r="N3" s="4">
        <v>218890</v>
      </c>
      <c r="O3" s="8">
        <f t="shared" ref="O3:O33" si="5">N3-N2</f>
        <v>83</v>
      </c>
      <c r="P3" s="4">
        <v>136382</v>
      </c>
      <c r="Q3" s="8">
        <f t="shared" ref="Q3:Q33" si="6">P3-P2</f>
        <v>119</v>
      </c>
      <c r="R3" s="2">
        <v>55047</v>
      </c>
      <c r="S3" s="8">
        <v>0</v>
      </c>
      <c r="T3" s="4">
        <v>3890</v>
      </c>
      <c r="U3" s="8">
        <f t="shared" ref="U3:U33" si="7">(T3-T2)*800/5</f>
        <v>160</v>
      </c>
    </row>
    <row r="4" spans="1:24" ht="15.75" thickBot="1" x14ac:dyDescent="0.3">
      <c r="A4" s="7">
        <v>44563</v>
      </c>
      <c r="B4" s="4">
        <v>46429</v>
      </c>
      <c r="C4" s="8">
        <f t="shared" si="0"/>
        <v>800</v>
      </c>
      <c r="D4" s="4">
        <v>40175</v>
      </c>
      <c r="E4" s="8">
        <f t="shared" si="1"/>
        <v>640</v>
      </c>
      <c r="F4" s="4">
        <v>21173</v>
      </c>
      <c r="G4" s="8">
        <f t="shared" si="2"/>
        <v>100</v>
      </c>
      <c r="H4" s="4">
        <v>253133</v>
      </c>
      <c r="I4" s="8">
        <f t="shared" si="3"/>
        <v>17</v>
      </c>
      <c r="J4" s="4">
        <v>303517</v>
      </c>
      <c r="K4" s="8">
        <v>0</v>
      </c>
      <c r="L4" s="4">
        <v>25735</v>
      </c>
      <c r="M4" s="8">
        <f t="shared" si="4"/>
        <v>800</v>
      </c>
      <c r="N4" s="4">
        <v>219009</v>
      </c>
      <c r="O4" s="8">
        <f t="shared" si="5"/>
        <v>119</v>
      </c>
      <c r="P4" s="4">
        <v>136499</v>
      </c>
      <c r="Q4" s="8">
        <f t="shared" si="6"/>
        <v>117</v>
      </c>
      <c r="R4" s="2">
        <v>55047</v>
      </c>
      <c r="S4" s="8">
        <v>0</v>
      </c>
      <c r="T4" s="4">
        <v>3891</v>
      </c>
      <c r="U4" s="8">
        <f t="shared" si="7"/>
        <v>160</v>
      </c>
    </row>
    <row r="5" spans="1:24" ht="15.75" thickBot="1" x14ac:dyDescent="0.3">
      <c r="A5" s="7">
        <v>44564</v>
      </c>
      <c r="B5" s="4">
        <f>B4</f>
        <v>46429</v>
      </c>
      <c r="C5" s="8">
        <f t="shared" si="0"/>
        <v>0</v>
      </c>
      <c r="D5" s="4">
        <f>D4</f>
        <v>40175</v>
      </c>
      <c r="E5" s="8">
        <f t="shared" si="1"/>
        <v>0</v>
      </c>
      <c r="F5" s="4">
        <f>F4</f>
        <v>21173</v>
      </c>
      <c r="G5" s="8">
        <f t="shared" si="2"/>
        <v>0</v>
      </c>
      <c r="H5" s="4">
        <f>H4</f>
        <v>253133</v>
      </c>
      <c r="I5" s="8">
        <f t="shared" si="3"/>
        <v>0</v>
      </c>
      <c r="J5" s="4">
        <f>J4</f>
        <v>303517</v>
      </c>
      <c r="K5" s="8">
        <v>0</v>
      </c>
      <c r="L5" s="4">
        <f>L4</f>
        <v>25735</v>
      </c>
      <c r="M5" s="8">
        <f t="shared" si="4"/>
        <v>0</v>
      </c>
      <c r="N5" s="4">
        <f>N4</f>
        <v>219009</v>
      </c>
      <c r="O5" s="8">
        <f t="shared" si="5"/>
        <v>0</v>
      </c>
      <c r="P5" s="4">
        <f>P4</f>
        <v>136499</v>
      </c>
      <c r="Q5" s="8">
        <f t="shared" si="6"/>
        <v>0</v>
      </c>
      <c r="R5" s="2">
        <f>R4</f>
        <v>55047</v>
      </c>
      <c r="S5" s="8">
        <v>0</v>
      </c>
      <c r="T5" s="4">
        <f>T4</f>
        <v>3891</v>
      </c>
      <c r="U5" s="8">
        <f t="shared" si="7"/>
        <v>0</v>
      </c>
    </row>
    <row r="6" spans="1:24" ht="15.75" thickBot="1" x14ac:dyDescent="0.3">
      <c r="A6" s="7">
        <v>44565</v>
      </c>
      <c r="B6" s="4">
        <f t="shared" ref="B6:B33" si="8">B5</f>
        <v>46429</v>
      </c>
      <c r="C6" s="8">
        <f t="shared" si="0"/>
        <v>0</v>
      </c>
      <c r="D6" s="4">
        <f t="shared" ref="D6:D33" si="9">D5</f>
        <v>40175</v>
      </c>
      <c r="E6" s="8">
        <f t="shared" si="1"/>
        <v>0</v>
      </c>
      <c r="F6" s="4">
        <f t="shared" ref="F6:F33" si="10">F5</f>
        <v>21173</v>
      </c>
      <c r="G6" s="8">
        <f t="shared" si="2"/>
        <v>0</v>
      </c>
      <c r="H6" s="4">
        <f t="shared" ref="H6:H33" si="11">H5</f>
        <v>253133</v>
      </c>
      <c r="I6" s="8">
        <f t="shared" si="3"/>
        <v>0</v>
      </c>
      <c r="J6" s="4">
        <f t="shared" ref="J6:J33" si="12">J5</f>
        <v>303517</v>
      </c>
      <c r="K6" s="8">
        <v>0</v>
      </c>
      <c r="L6" s="4">
        <f t="shared" ref="L6:L33" si="13">L5</f>
        <v>25735</v>
      </c>
      <c r="M6" s="8">
        <f t="shared" si="4"/>
        <v>0</v>
      </c>
      <c r="N6" s="4">
        <f t="shared" ref="N6:N33" si="14">N5</f>
        <v>219009</v>
      </c>
      <c r="O6" s="8">
        <f t="shared" si="5"/>
        <v>0</v>
      </c>
      <c r="P6" s="4">
        <f t="shared" ref="P6:P33" si="15">P5</f>
        <v>136499</v>
      </c>
      <c r="Q6" s="8">
        <f t="shared" si="6"/>
        <v>0</v>
      </c>
      <c r="R6" s="2">
        <f t="shared" ref="R6:R33" si="16">R5</f>
        <v>55047</v>
      </c>
      <c r="S6" s="8">
        <v>0</v>
      </c>
      <c r="T6" s="4">
        <f t="shared" ref="T6:T33" si="17">T5</f>
        <v>3891</v>
      </c>
      <c r="U6" s="8">
        <f t="shared" si="7"/>
        <v>0</v>
      </c>
    </row>
    <row r="7" spans="1:24" ht="15.75" thickBot="1" x14ac:dyDescent="0.3">
      <c r="A7" s="7">
        <v>44566</v>
      </c>
      <c r="B7" s="4">
        <f t="shared" si="8"/>
        <v>46429</v>
      </c>
      <c r="C7" s="8">
        <f t="shared" si="0"/>
        <v>0</v>
      </c>
      <c r="D7" s="4">
        <f t="shared" si="9"/>
        <v>40175</v>
      </c>
      <c r="E7" s="8">
        <f t="shared" si="1"/>
        <v>0</v>
      </c>
      <c r="F7" s="4">
        <f t="shared" si="10"/>
        <v>21173</v>
      </c>
      <c r="G7" s="8">
        <f t="shared" si="2"/>
        <v>0</v>
      </c>
      <c r="H7" s="4">
        <f t="shared" si="11"/>
        <v>253133</v>
      </c>
      <c r="I7" s="8">
        <f t="shared" si="3"/>
        <v>0</v>
      </c>
      <c r="J7" s="4">
        <f t="shared" si="12"/>
        <v>303517</v>
      </c>
      <c r="K7" s="8">
        <v>0</v>
      </c>
      <c r="L7" s="4">
        <f t="shared" si="13"/>
        <v>25735</v>
      </c>
      <c r="M7" s="8">
        <f t="shared" si="4"/>
        <v>0</v>
      </c>
      <c r="N7" s="4">
        <f t="shared" si="14"/>
        <v>219009</v>
      </c>
      <c r="O7" s="8">
        <f t="shared" si="5"/>
        <v>0</v>
      </c>
      <c r="P7" s="4">
        <f t="shared" si="15"/>
        <v>136499</v>
      </c>
      <c r="Q7" s="8">
        <f t="shared" si="6"/>
        <v>0</v>
      </c>
      <c r="R7" s="2">
        <f t="shared" si="16"/>
        <v>55047</v>
      </c>
      <c r="S7" s="8">
        <v>0</v>
      </c>
      <c r="T7" s="4">
        <f t="shared" si="17"/>
        <v>3891</v>
      </c>
      <c r="U7" s="8">
        <f t="shared" si="7"/>
        <v>0</v>
      </c>
    </row>
    <row r="8" spans="1:24" ht="15.75" thickBot="1" x14ac:dyDescent="0.3">
      <c r="A8" s="7">
        <v>44567</v>
      </c>
      <c r="B8" s="4">
        <f t="shared" si="8"/>
        <v>46429</v>
      </c>
      <c r="C8" s="8">
        <f t="shared" si="0"/>
        <v>0</v>
      </c>
      <c r="D8" s="4">
        <f t="shared" si="9"/>
        <v>40175</v>
      </c>
      <c r="E8" s="8">
        <f t="shared" si="1"/>
        <v>0</v>
      </c>
      <c r="F8" s="4">
        <f t="shared" si="10"/>
        <v>21173</v>
      </c>
      <c r="G8" s="8">
        <f t="shared" si="2"/>
        <v>0</v>
      </c>
      <c r="H8" s="4">
        <f t="shared" si="11"/>
        <v>253133</v>
      </c>
      <c r="I8" s="8">
        <f t="shared" si="3"/>
        <v>0</v>
      </c>
      <c r="J8" s="4">
        <f t="shared" si="12"/>
        <v>303517</v>
      </c>
      <c r="K8" s="8">
        <v>0</v>
      </c>
      <c r="L8" s="4">
        <f t="shared" si="13"/>
        <v>25735</v>
      </c>
      <c r="M8" s="8">
        <f t="shared" si="4"/>
        <v>0</v>
      </c>
      <c r="N8" s="4">
        <f t="shared" si="14"/>
        <v>219009</v>
      </c>
      <c r="O8" s="8">
        <f t="shared" si="5"/>
        <v>0</v>
      </c>
      <c r="P8" s="4">
        <f t="shared" si="15"/>
        <v>136499</v>
      </c>
      <c r="Q8" s="8">
        <f t="shared" si="6"/>
        <v>0</v>
      </c>
      <c r="R8" s="2">
        <f t="shared" si="16"/>
        <v>55047</v>
      </c>
      <c r="S8" s="8">
        <v>0</v>
      </c>
      <c r="T8" s="4">
        <f t="shared" si="17"/>
        <v>3891</v>
      </c>
      <c r="U8" s="8">
        <f t="shared" si="7"/>
        <v>0</v>
      </c>
    </row>
    <row r="9" spans="1:24" ht="15.75" thickBot="1" x14ac:dyDescent="0.3">
      <c r="A9" s="7">
        <v>44568</v>
      </c>
      <c r="B9" s="4">
        <f t="shared" si="8"/>
        <v>46429</v>
      </c>
      <c r="C9" s="8">
        <f t="shared" si="0"/>
        <v>0</v>
      </c>
      <c r="D9" s="4">
        <f t="shared" si="9"/>
        <v>40175</v>
      </c>
      <c r="E9" s="8">
        <f t="shared" si="1"/>
        <v>0</v>
      </c>
      <c r="F9" s="4">
        <f t="shared" si="10"/>
        <v>21173</v>
      </c>
      <c r="G9" s="8">
        <f t="shared" si="2"/>
        <v>0</v>
      </c>
      <c r="H9" s="4">
        <f t="shared" si="11"/>
        <v>253133</v>
      </c>
      <c r="I9" s="8">
        <f t="shared" si="3"/>
        <v>0</v>
      </c>
      <c r="J9" s="4">
        <f t="shared" si="12"/>
        <v>303517</v>
      </c>
      <c r="K9" s="8">
        <v>0</v>
      </c>
      <c r="L9" s="4">
        <f t="shared" si="13"/>
        <v>25735</v>
      </c>
      <c r="M9" s="8">
        <f t="shared" si="4"/>
        <v>0</v>
      </c>
      <c r="N9" s="4">
        <f t="shared" si="14"/>
        <v>219009</v>
      </c>
      <c r="O9" s="8">
        <f t="shared" si="5"/>
        <v>0</v>
      </c>
      <c r="P9" s="4">
        <f t="shared" si="15"/>
        <v>136499</v>
      </c>
      <c r="Q9" s="8">
        <f t="shared" si="6"/>
        <v>0</v>
      </c>
      <c r="R9" s="2">
        <f t="shared" si="16"/>
        <v>55047</v>
      </c>
      <c r="S9" s="8">
        <v>0</v>
      </c>
      <c r="T9" s="4">
        <f t="shared" si="17"/>
        <v>3891</v>
      </c>
      <c r="U9" s="8">
        <f t="shared" si="7"/>
        <v>0</v>
      </c>
    </row>
    <row r="10" spans="1:24" ht="15.75" thickBot="1" x14ac:dyDescent="0.3">
      <c r="A10" s="7">
        <v>44569</v>
      </c>
      <c r="B10" s="4">
        <f t="shared" si="8"/>
        <v>46429</v>
      </c>
      <c r="C10" s="8">
        <f t="shared" si="0"/>
        <v>0</v>
      </c>
      <c r="D10" s="4">
        <f t="shared" si="9"/>
        <v>40175</v>
      </c>
      <c r="E10" s="8">
        <f t="shared" si="1"/>
        <v>0</v>
      </c>
      <c r="F10" s="4">
        <f t="shared" si="10"/>
        <v>21173</v>
      </c>
      <c r="G10" s="8">
        <f t="shared" si="2"/>
        <v>0</v>
      </c>
      <c r="H10" s="4">
        <f t="shared" si="11"/>
        <v>253133</v>
      </c>
      <c r="I10" s="8">
        <f t="shared" si="3"/>
        <v>0</v>
      </c>
      <c r="J10" s="4">
        <f t="shared" si="12"/>
        <v>303517</v>
      </c>
      <c r="K10" s="8">
        <v>0</v>
      </c>
      <c r="L10" s="4">
        <f t="shared" si="13"/>
        <v>25735</v>
      </c>
      <c r="M10" s="8">
        <f t="shared" si="4"/>
        <v>0</v>
      </c>
      <c r="N10" s="4">
        <f t="shared" si="14"/>
        <v>219009</v>
      </c>
      <c r="O10" s="8">
        <f t="shared" si="5"/>
        <v>0</v>
      </c>
      <c r="P10" s="4">
        <f t="shared" si="15"/>
        <v>136499</v>
      </c>
      <c r="Q10" s="8">
        <f t="shared" si="6"/>
        <v>0</v>
      </c>
      <c r="R10" s="2">
        <f t="shared" si="16"/>
        <v>55047</v>
      </c>
      <c r="S10" s="8">
        <v>0</v>
      </c>
      <c r="T10" s="4">
        <f t="shared" si="17"/>
        <v>3891</v>
      </c>
      <c r="U10" s="8">
        <f t="shared" si="7"/>
        <v>0</v>
      </c>
    </row>
    <row r="11" spans="1:24" ht="15.75" thickBot="1" x14ac:dyDescent="0.3">
      <c r="A11" s="7">
        <v>44570</v>
      </c>
      <c r="B11" s="4">
        <f t="shared" si="8"/>
        <v>46429</v>
      </c>
      <c r="C11" s="8">
        <f t="shared" si="0"/>
        <v>0</v>
      </c>
      <c r="D11" s="4">
        <f t="shared" si="9"/>
        <v>40175</v>
      </c>
      <c r="E11" s="8">
        <f t="shared" si="1"/>
        <v>0</v>
      </c>
      <c r="F11" s="4">
        <f t="shared" si="10"/>
        <v>21173</v>
      </c>
      <c r="G11" s="8">
        <f t="shared" si="2"/>
        <v>0</v>
      </c>
      <c r="H11" s="4">
        <f t="shared" si="11"/>
        <v>253133</v>
      </c>
      <c r="I11" s="8">
        <f t="shared" si="3"/>
        <v>0</v>
      </c>
      <c r="J11" s="4">
        <f t="shared" si="12"/>
        <v>303517</v>
      </c>
      <c r="K11" s="8">
        <v>0</v>
      </c>
      <c r="L11" s="4">
        <f t="shared" si="13"/>
        <v>25735</v>
      </c>
      <c r="M11" s="8">
        <f t="shared" si="4"/>
        <v>0</v>
      </c>
      <c r="N11" s="4">
        <f t="shared" si="14"/>
        <v>219009</v>
      </c>
      <c r="O11" s="8">
        <f t="shared" si="5"/>
        <v>0</v>
      </c>
      <c r="P11" s="4">
        <f t="shared" si="15"/>
        <v>136499</v>
      </c>
      <c r="Q11" s="8">
        <f t="shared" si="6"/>
        <v>0</v>
      </c>
      <c r="R11" s="2">
        <f t="shared" si="16"/>
        <v>55047</v>
      </c>
      <c r="S11" s="8">
        <v>0</v>
      </c>
      <c r="T11" s="4">
        <f t="shared" si="17"/>
        <v>3891</v>
      </c>
      <c r="U11" s="8">
        <f t="shared" si="7"/>
        <v>0</v>
      </c>
    </row>
    <row r="12" spans="1:24" ht="15.75" thickBot="1" x14ac:dyDescent="0.3">
      <c r="A12" s="7">
        <v>44571</v>
      </c>
      <c r="B12" s="4">
        <f t="shared" si="8"/>
        <v>46429</v>
      </c>
      <c r="C12" s="8">
        <f t="shared" si="0"/>
        <v>0</v>
      </c>
      <c r="D12" s="4">
        <f t="shared" si="9"/>
        <v>40175</v>
      </c>
      <c r="E12" s="8">
        <f t="shared" si="1"/>
        <v>0</v>
      </c>
      <c r="F12" s="4">
        <f t="shared" si="10"/>
        <v>21173</v>
      </c>
      <c r="G12" s="8">
        <f t="shared" si="2"/>
        <v>0</v>
      </c>
      <c r="H12" s="4">
        <f t="shared" si="11"/>
        <v>253133</v>
      </c>
      <c r="I12" s="8">
        <f t="shared" si="3"/>
        <v>0</v>
      </c>
      <c r="J12" s="4">
        <f t="shared" si="12"/>
        <v>303517</v>
      </c>
      <c r="K12" s="8">
        <v>0</v>
      </c>
      <c r="L12" s="4">
        <f t="shared" si="13"/>
        <v>25735</v>
      </c>
      <c r="M12" s="8">
        <f t="shared" si="4"/>
        <v>0</v>
      </c>
      <c r="N12" s="4">
        <f t="shared" si="14"/>
        <v>219009</v>
      </c>
      <c r="O12" s="8">
        <f t="shared" si="5"/>
        <v>0</v>
      </c>
      <c r="P12" s="4">
        <f t="shared" si="15"/>
        <v>136499</v>
      </c>
      <c r="Q12" s="8">
        <f t="shared" si="6"/>
        <v>0</v>
      </c>
      <c r="R12" s="2">
        <f t="shared" si="16"/>
        <v>55047</v>
      </c>
      <c r="S12" s="8">
        <v>0</v>
      </c>
      <c r="T12" s="4">
        <f t="shared" si="17"/>
        <v>3891</v>
      </c>
      <c r="U12" s="8">
        <f t="shared" si="7"/>
        <v>0</v>
      </c>
    </row>
    <row r="13" spans="1:24" ht="15.75" thickBot="1" x14ac:dyDescent="0.3">
      <c r="A13" s="7">
        <v>44572</v>
      </c>
      <c r="B13" s="4">
        <f t="shared" si="8"/>
        <v>46429</v>
      </c>
      <c r="C13" s="8">
        <f t="shared" si="0"/>
        <v>0</v>
      </c>
      <c r="D13" s="4">
        <f t="shared" si="9"/>
        <v>40175</v>
      </c>
      <c r="E13" s="8">
        <f t="shared" si="1"/>
        <v>0</v>
      </c>
      <c r="F13" s="4">
        <f t="shared" si="10"/>
        <v>21173</v>
      </c>
      <c r="G13" s="8">
        <f t="shared" si="2"/>
        <v>0</v>
      </c>
      <c r="H13" s="4">
        <f t="shared" si="11"/>
        <v>253133</v>
      </c>
      <c r="I13" s="8">
        <f t="shared" si="3"/>
        <v>0</v>
      </c>
      <c r="J13" s="4">
        <f t="shared" si="12"/>
        <v>303517</v>
      </c>
      <c r="K13" s="8">
        <v>0</v>
      </c>
      <c r="L13" s="4">
        <f t="shared" si="13"/>
        <v>25735</v>
      </c>
      <c r="M13" s="8">
        <f t="shared" si="4"/>
        <v>0</v>
      </c>
      <c r="N13" s="4">
        <f t="shared" si="14"/>
        <v>219009</v>
      </c>
      <c r="O13" s="8">
        <f t="shared" si="5"/>
        <v>0</v>
      </c>
      <c r="P13" s="4">
        <f t="shared" si="15"/>
        <v>136499</v>
      </c>
      <c r="Q13" s="8">
        <f t="shared" si="6"/>
        <v>0</v>
      </c>
      <c r="R13" s="2">
        <f t="shared" si="16"/>
        <v>55047</v>
      </c>
      <c r="S13" s="8">
        <v>0</v>
      </c>
      <c r="T13" s="4">
        <f t="shared" si="17"/>
        <v>3891</v>
      </c>
      <c r="U13" s="8">
        <f t="shared" si="7"/>
        <v>0</v>
      </c>
    </row>
    <row r="14" spans="1:24" ht="15.75" thickBot="1" x14ac:dyDescent="0.3">
      <c r="A14" s="7">
        <v>44573</v>
      </c>
      <c r="B14" s="4">
        <f t="shared" si="8"/>
        <v>46429</v>
      </c>
      <c r="C14" s="8">
        <f t="shared" si="0"/>
        <v>0</v>
      </c>
      <c r="D14" s="4">
        <f t="shared" si="9"/>
        <v>40175</v>
      </c>
      <c r="E14" s="8">
        <f t="shared" si="1"/>
        <v>0</v>
      </c>
      <c r="F14" s="4">
        <f t="shared" si="10"/>
        <v>21173</v>
      </c>
      <c r="G14" s="8">
        <f t="shared" si="2"/>
        <v>0</v>
      </c>
      <c r="H14" s="4">
        <f t="shared" si="11"/>
        <v>253133</v>
      </c>
      <c r="I14" s="8">
        <f t="shared" si="3"/>
        <v>0</v>
      </c>
      <c r="J14" s="4">
        <f t="shared" si="12"/>
        <v>303517</v>
      </c>
      <c r="K14" s="8">
        <v>0</v>
      </c>
      <c r="L14" s="4">
        <f t="shared" si="13"/>
        <v>25735</v>
      </c>
      <c r="M14" s="8">
        <f t="shared" si="4"/>
        <v>0</v>
      </c>
      <c r="N14" s="4">
        <f t="shared" si="14"/>
        <v>219009</v>
      </c>
      <c r="O14" s="8">
        <f t="shared" si="5"/>
        <v>0</v>
      </c>
      <c r="P14" s="4">
        <f t="shared" si="15"/>
        <v>136499</v>
      </c>
      <c r="Q14" s="8">
        <f t="shared" si="6"/>
        <v>0</v>
      </c>
      <c r="R14" s="2">
        <f t="shared" si="16"/>
        <v>55047</v>
      </c>
      <c r="S14" s="8">
        <v>0</v>
      </c>
      <c r="T14" s="4">
        <f t="shared" si="17"/>
        <v>3891</v>
      </c>
      <c r="U14" s="8">
        <f t="shared" si="7"/>
        <v>0</v>
      </c>
    </row>
    <row r="15" spans="1:24" ht="15.75" thickBot="1" x14ac:dyDescent="0.3">
      <c r="A15" s="7">
        <v>44574</v>
      </c>
      <c r="B15" s="4">
        <f t="shared" si="8"/>
        <v>46429</v>
      </c>
      <c r="C15" s="8">
        <f t="shared" si="0"/>
        <v>0</v>
      </c>
      <c r="D15" s="4">
        <f t="shared" si="9"/>
        <v>40175</v>
      </c>
      <c r="E15" s="8">
        <f t="shared" si="1"/>
        <v>0</v>
      </c>
      <c r="F15" s="4">
        <f t="shared" si="10"/>
        <v>21173</v>
      </c>
      <c r="G15" s="8">
        <f t="shared" si="2"/>
        <v>0</v>
      </c>
      <c r="H15" s="4">
        <f t="shared" si="11"/>
        <v>253133</v>
      </c>
      <c r="I15" s="8">
        <f t="shared" si="3"/>
        <v>0</v>
      </c>
      <c r="J15" s="4">
        <f t="shared" si="12"/>
        <v>303517</v>
      </c>
      <c r="K15" s="8">
        <v>0</v>
      </c>
      <c r="L15" s="4">
        <f t="shared" si="13"/>
        <v>25735</v>
      </c>
      <c r="M15" s="8">
        <f t="shared" si="4"/>
        <v>0</v>
      </c>
      <c r="N15" s="4">
        <f t="shared" si="14"/>
        <v>219009</v>
      </c>
      <c r="O15" s="8">
        <f t="shared" si="5"/>
        <v>0</v>
      </c>
      <c r="P15" s="4">
        <f t="shared" si="15"/>
        <v>136499</v>
      </c>
      <c r="Q15" s="8">
        <f t="shared" si="6"/>
        <v>0</v>
      </c>
      <c r="R15" s="2">
        <f t="shared" si="16"/>
        <v>55047</v>
      </c>
      <c r="S15" s="8">
        <v>0</v>
      </c>
      <c r="T15" s="4">
        <f t="shared" si="17"/>
        <v>3891</v>
      </c>
      <c r="U15" s="8">
        <f t="shared" si="7"/>
        <v>0</v>
      </c>
      <c r="X15" t="s">
        <v>13</v>
      </c>
    </row>
    <row r="16" spans="1:24" ht="15.75" thickBot="1" x14ac:dyDescent="0.3">
      <c r="A16" s="7">
        <v>44575</v>
      </c>
      <c r="B16" s="4">
        <f t="shared" si="8"/>
        <v>46429</v>
      </c>
      <c r="C16" s="8">
        <f t="shared" si="0"/>
        <v>0</v>
      </c>
      <c r="D16" s="4">
        <f t="shared" si="9"/>
        <v>40175</v>
      </c>
      <c r="E16" s="8">
        <f t="shared" si="1"/>
        <v>0</v>
      </c>
      <c r="F16" s="4">
        <f t="shared" si="10"/>
        <v>21173</v>
      </c>
      <c r="G16" s="8">
        <f t="shared" si="2"/>
        <v>0</v>
      </c>
      <c r="H16" s="4">
        <f t="shared" si="11"/>
        <v>253133</v>
      </c>
      <c r="I16" s="8">
        <f t="shared" si="3"/>
        <v>0</v>
      </c>
      <c r="J16" s="4">
        <f t="shared" si="12"/>
        <v>303517</v>
      </c>
      <c r="K16" s="8">
        <v>0</v>
      </c>
      <c r="L16" s="4">
        <f t="shared" si="13"/>
        <v>25735</v>
      </c>
      <c r="M16" s="8">
        <f t="shared" si="4"/>
        <v>0</v>
      </c>
      <c r="N16" s="4">
        <f t="shared" si="14"/>
        <v>219009</v>
      </c>
      <c r="O16" s="8">
        <f t="shared" si="5"/>
        <v>0</v>
      </c>
      <c r="P16" s="4">
        <f t="shared" si="15"/>
        <v>136499</v>
      </c>
      <c r="Q16" s="8">
        <f t="shared" si="6"/>
        <v>0</v>
      </c>
      <c r="R16" s="2">
        <f t="shared" si="16"/>
        <v>55047</v>
      </c>
      <c r="S16" s="8">
        <v>0</v>
      </c>
      <c r="T16" s="4">
        <f t="shared" si="17"/>
        <v>3891</v>
      </c>
      <c r="U16" s="8">
        <f t="shared" si="7"/>
        <v>0</v>
      </c>
      <c r="W16" t="s">
        <v>13</v>
      </c>
    </row>
    <row r="17" spans="1:23" ht="15.75" thickBot="1" x14ac:dyDescent="0.3">
      <c r="A17" s="7">
        <v>44576</v>
      </c>
      <c r="B17" s="4">
        <f t="shared" si="8"/>
        <v>46429</v>
      </c>
      <c r="C17" s="8">
        <f t="shared" si="0"/>
        <v>0</v>
      </c>
      <c r="D17" s="4">
        <f t="shared" si="9"/>
        <v>40175</v>
      </c>
      <c r="E17" s="8">
        <f t="shared" si="1"/>
        <v>0</v>
      </c>
      <c r="F17" s="4">
        <f t="shared" si="10"/>
        <v>21173</v>
      </c>
      <c r="G17" s="8">
        <f t="shared" si="2"/>
        <v>0</v>
      </c>
      <c r="H17" s="4">
        <f t="shared" si="11"/>
        <v>253133</v>
      </c>
      <c r="I17" s="8">
        <f t="shared" si="3"/>
        <v>0</v>
      </c>
      <c r="J17" s="4">
        <f t="shared" si="12"/>
        <v>303517</v>
      </c>
      <c r="K17" s="8">
        <v>0</v>
      </c>
      <c r="L17" s="4">
        <f t="shared" si="13"/>
        <v>25735</v>
      </c>
      <c r="M17" s="8">
        <f t="shared" si="4"/>
        <v>0</v>
      </c>
      <c r="N17" s="4">
        <f t="shared" si="14"/>
        <v>219009</v>
      </c>
      <c r="O17" s="8">
        <f t="shared" si="5"/>
        <v>0</v>
      </c>
      <c r="P17" s="4">
        <f t="shared" si="15"/>
        <v>136499</v>
      </c>
      <c r="Q17" s="8">
        <f t="shared" si="6"/>
        <v>0</v>
      </c>
      <c r="R17" s="2">
        <f t="shared" si="16"/>
        <v>55047</v>
      </c>
      <c r="S17" s="8">
        <v>0</v>
      </c>
      <c r="T17" s="4">
        <f t="shared" si="17"/>
        <v>3891</v>
      </c>
      <c r="U17" s="8">
        <f t="shared" si="7"/>
        <v>0</v>
      </c>
    </row>
    <row r="18" spans="1:23" ht="15.75" thickBot="1" x14ac:dyDescent="0.3">
      <c r="A18" s="7">
        <v>44577</v>
      </c>
      <c r="B18" s="4">
        <f t="shared" si="8"/>
        <v>46429</v>
      </c>
      <c r="C18" s="8">
        <f t="shared" si="0"/>
        <v>0</v>
      </c>
      <c r="D18" s="4">
        <f t="shared" si="9"/>
        <v>40175</v>
      </c>
      <c r="E18" s="8">
        <f t="shared" si="1"/>
        <v>0</v>
      </c>
      <c r="F18" s="4">
        <f t="shared" si="10"/>
        <v>21173</v>
      </c>
      <c r="G18" s="8">
        <f t="shared" si="2"/>
        <v>0</v>
      </c>
      <c r="H18" s="4">
        <f t="shared" si="11"/>
        <v>253133</v>
      </c>
      <c r="I18" s="8">
        <f t="shared" si="3"/>
        <v>0</v>
      </c>
      <c r="J18" s="4">
        <f t="shared" si="12"/>
        <v>303517</v>
      </c>
      <c r="K18" s="8">
        <v>0</v>
      </c>
      <c r="L18" s="4">
        <f t="shared" si="13"/>
        <v>25735</v>
      </c>
      <c r="M18" s="8">
        <f t="shared" si="4"/>
        <v>0</v>
      </c>
      <c r="N18" s="4">
        <f t="shared" si="14"/>
        <v>219009</v>
      </c>
      <c r="O18" s="8">
        <f t="shared" si="5"/>
        <v>0</v>
      </c>
      <c r="P18" s="4">
        <f t="shared" si="15"/>
        <v>136499</v>
      </c>
      <c r="Q18" s="8">
        <f t="shared" si="6"/>
        <v>0</v>
      </c>
      <c r="R18" s="2">
        <f t="shared" si="16"/>
        <v>55047</v>
      </c>
      <c r="S18" s="8">
        <v>0</v>
      </c>
      <c r="T18" s="4">
        <f t="shared" si="17"/>
        <v>3891</v>
      </c>
      <c r="U18" s="8">
        <f t="shared" si="7"/>
        <v>0</v>
      </c>
    </row>
    <row r="19" spans="1:23" ht="15.75" thickBot="1" x14ac:dyDescent="0.3">
      <c r="A19" s="7">
        <v>44578</v>
      </c>
      <c r="B19" s="4">
        <f t="shared" si="8"/>
        <v>46429</v>
      </c>
      <c r="C19" s="8">
        <f t="shared" si="0"/>
        <v>0</v>
      </c>
      <c r="D19" s="4">
        <f t="shared" si="9"/>
        <v>40175</v>
      </c>
      <c r="E19" s="8">
        <f t="shared" si="1"/>
        <v>0</v>
      </c>
      <c r="F19" s="4">
        <f t="shared" si="10"/>
        <v>21173</v>
      </c>
      <c r="G19" s="8">
        <f t="shared" si="2"/>
        <v>0</v>
      </c>
      <c r="H19" s="4">
        <f t="shared" si="11"/>
        <v>253133</v>
      </c>
      <c r="I19" s="8">
        <f t="shared" si="3"/>
        <v>0</v>
      </c>
      <c r="J19" s="4">
        <f t="shared" si="12"/>
        <v>303517</v>
      </c>
      <c r="K19" s="8">
        <v>0</v>
      </c>
      <c r="L19" s="4">
        <f t="shared" si="13"/>
        <v>25735</v>
      </c>
      <c r="M19" s="8">
        <f t="shared" si="4"/>
        <v>0</v>
      </c>
      <c r="N19" s="4">
        <f t="shared" si="14"/>
        <v>219009</v>
      </c>
      <c r="O19" s="8">
        <f t="shared" si="5"/>
        <v>0</v>
      </c>
      <c r="P19" s="4">
        <f t="shared" si="15"/>
        <v>136499</v>
      </c>
      <c r="Q19" s="8">
        <f t="shared" si="6"/>
        <v>0</v>
      </c>
      <c r="R19" s="2">
        <f t="shared" si="16"/>
        <v>55047</v>
      </c>
      <c r="S19" s="8">
        <v>0</v>
      </c>
      <c r="T19" s="4">
        <f t="shared" si="17"/>
        <v>3891</v>
      </c>
      <c r="U19" s="8">
        <f t="shared" si="7"/>
        <v>0</v>
      </c>
      <c r="W19" t="s">
        <v>13</v>
      </c>
    </row>
    <row r="20" spans="1:23" ht="15.75" thickBot="1" x14ac:dyDescent="0.3">
      <c r="A20" s="7">
        <v>44579</v>
      </c>
      <c r="B20" s="4">
        <f t="shared" si="8"/>
        <v>46429</v>
      </c>
      <c r="C20" s="8">
        <f t="shared" si="0"/>
        <v>0</v>
      </c>
      <c r="D20" s="4">
        <f t="shared" si="9"/>
        <v>40175</v>
      </c>
      <c r="E20" s="8">
        <f t="shared" si="1"/>
        <v>0</v>
      </c>
      <c r="F20" s="4">
        <f t="shared" si="10"/>
        <v>21173</v>
      </c>
      <c r="G20" s="8">
        <f t="shared" si="2"/>
        <v>0</v>
      </c>
      <c r="H20" s="4">
        <f t="shared" si="11"/>
        <v>253133</v>
      </c>
      <c r="I20" s="8">
        <f t="shared" si="3"/>
        <v>0</v>
      </c>
      <c r="J20" s="4">
        <f t="shared" si="12"/>
        <v>303517</v>
      </c>
      <c r="K20" s="8">
        <v>0</v>
      </c>
      <c r="L20" s="4">
        <f t="shared" si="13"/>
        <v>25735</v>
      </c>
      <c r="M20" s="8">
        <f t="shared" si="4"/>
        <v>0</v>
      </c>
      <c r="N20" s="4">
        <f t="shared" si="14"/>
        <v>219009</v>
      </c>
      <c r="O20" s="8">
        <f t="shared" si="5"/>
        <v>0</v>
      </c>
      <c r="P20" s="4">
        <f t="shared" si="15"/>
        <v>136499</v>
      </c>
      <c r="Q20" s="8">
        <f t="shared" si="6"/>
        <v>0</v>
      </c>
      <c r="R20" s="2">
        <f t="shared" si="16"/>
        <v>55047</v>
      </c>
      <c r="S20" s="8">
        <v>0</v>
      </c>
      <c r="T20" s="4">
        <f t="shared" si="17"/>
        <v>3891</v>
      </c>
      <c r="U20" s="8">
        <f t="shared" si="7"/>
        <v>0</v>
      </c>
    </row>
    <row r="21" spans="1:23" ht="15.75" thickBot="1" x14ac:dyDescent="0.3">
      <c r="A21" s="7">
        <v>44580</v>
      </c>
      <c r="B21" s="4">
        <f t="shared" si="8"/>
        <v>46429</v>
      </c>
      <c r="C21" s="8">
        <f t="shared" si="0"/>
        <v>0</v>
      </c>
      <c r="D21" s="4">
        <f t="shared" si="9"/>
        <v>40175</v>
      </c>
      <c r="E21" s="8">
        <f t="shared" si="1"/>
        <v>0</v>
      </c>
      <c r="F21" s="4">
        <f t="shared" si="10"/>
        <v>21173</v>
      </c>
      <c r="G21" s="8">
        <f t="shared" si="2"/>
        <v>0</v>
      </c>
      <c r="H21" s="4">
        <f t="shared" si="11"/>
        <v>253133</v>
      </c>
      <c r="I21" s="8">
        <f t="shared" si="3"/>
        <v>0</v>
      </c>
      <c r="J21" s="4">
        <f t="shared" si="12"/>
        <v>303517</v>
      </c>
      <c r="K21" s="8">
        <v>0</v>
      </c>
      <c r="L21" s="4">
        <f t="shared" si="13"/>
        <v>25735</v>
      </c>
      <c r="M21" s="8">
        <f t="shared" si="4"/>
        <v>0</v>
      </c>
      <c r="N21" s="4">
        <f t="shared" si="14"/>
        <v>219009</v>
      </c>
      <c r="O21" s="8">
        <f t="shared" si="5"/>
        <v>0</v>
      </c>
      <c r="P21" s="4">
        <f t="shared" si="15"/>
        <v>136499</v>
      </c>
      <c r="Q21" s="8">
        <f t="shared" si="6"/>
        <v>0</v>
      </c>
      <c r="R21" s="2">
        <f t="shared" si="16"/>
        <v>55047</v>
      </c>
      <c r="S21" s="8">
        <v>0</v>
      </c>
      <c r="T21" s="4">
        <f t="shared" si="17"/>
        <v>3891</v>
      </c>
      <c r="U21" s="8">
        <f t="shared" si="7"/>
        <v>0</v>
      </c>
    </row>
    <row r="22" spans="1:23" ht="15.75" thickBot="1" x14ac:dyDescent="0.3">
      <c r="A22" s="7">
        <v>44581</v>
      </c>
      <c r="B22" s="4">
        <f t="shared" si="8"/>
        <v>46429</v>
      </c>
      <c r="C22" s="8">
        <f t="shared" si="0"/>
        <v>0</v>
      </c>
      <c r="D22" s="4">
        <f t="shared" si="9"/>
        <v>40175</v>
      </c>
      <c r="E22" s="8">
        <f t="shared" si="1"/>
        <v>0</v>
      </c>
      <c r="F22" s="4">
        <f t="shared" si="10"/>
        <v>21173</v>
      </c>
      <c r="G22" s="8">
        <f t="shared" si="2"/>
        <v>0</v>
      </c>
      <c r="H22" s="4">
        <f t="shared" si="11"/>
        <v>253133</v>
      </c>
      <c r="I22" s="8">
        <f t="shared" si="3"/>
        <v>0</v>
      </c>
      <c r="J22" s="4">
        <f t="shared" si="12"/>
        <v>303517</v>
      </c>
      <c r="K22" s="8">
        <v>0</v>
      </c>
      <c r="L22" s="4">
        <f t="shared" si="13"/>
        <v>25735</v>
      </c>
      <c r="M22" s="8">
        <f t="shared" si="4"/>
        <v>0</v>
      </c>
      <c r="N22" s="4">
        <f t="shared" si="14"/>
        <v>219009</v>
      </c>
      <c r="O22" s="8">
        <f t="shared" si="5"/>
        <v>0</v>
      </c>
      <c r="P22" s="4">
        <f t="shared" si="15"/>
        <v>136499</v>
      </c>
      <c r="Q22" s="8">
        <f t="shared" si="6"/>
        <v>0</v>
      </c>
      <c r="R22" s="2">
        <f t="shared" si="16"/>
        <v>55047</v>
      </c>
      <c r="S22" s="8">
        <v>0</v>
      </c>
      <c r="T22" s="4">
        <f t="shared" si="17"/>
        <v>3891</v>
      </c>
      <c r="U22" s="8">
        <f t="shared" si="7"/>
        <v>0</v>
      </c>
    </row>
    <row r="23" spans="1:23" ht="15.75" thickBot="1" x14ac:dyDescent="0.3">
      <c r="A23" s="7">
        <v>44582</v>
      </c>
      <c r="B23" s="4">
        <f t="shared" si="8"/>
        <v>46429</v>
      </c>
      <c r="C23" s="8">
        <f t="shared" si="0"/>
        <v>0</v>
      </c>
      <c r="D23" s="4">
        <f t="shared" si="9"/>
        <v>40175</v>
      </c>
      <c r="E23" s="8">
        <f t="shared" si="1"/>
        <v>0</v>
      </c>
      <c r="F23" s="4">
        <f t="shared" si="10"/>
        <v>21173</v>
      </c>
      <c r="G23" s="8">
        <f t="shared" si="2"/>
        <v>0</v>
      </c>
      <c r="H23" s="4">
        <f t="shared" si="11"/>
        <v>253133</v>
      </c>
      <c r="I23" s="8">
        <f t="shared" si="3"/>
        <v>0</v>
      </c>
      <c r="J23" s="4">
        <f t="shared" si="12"/>
        <v>303517</v>
      </c>
      <c r="K23" s="8">
        <v>0</v>
      </c>
      <c r="L23" s="4">
        <f t="shared" si="13"/>
        <v>25735</v>
      </c>
      <c r="M23" s="8">
        <f t="shared" si="4"/>
        <v>0</v>
      </c>
      <c r="N23" s="4">
        <f t="shared" si="14"/>
        <v>219009</v>
      </c>
      <c r="O23" s="8">
        <f t="shared" si="5"/>
        <v>0</v>
      </c>
      <c r="P23" s="4">
        <f t="shared" si="15"/>
        <v>136499</v>
      </c>
      <c r="Q23" s="8">
        <f t="shared" si="6"/>
        <v>0</v>
      </c>
      <c r="R23" s="2">
        <f t="shared" si="16"/>
        <v>55047</v>
      </c>
      <c r="S23" s="8">
        <v>0</v>
      </c>
      <c r="T23" s="4">
        <f t="shared" si="17"/>
        <v>3891</v>
      </c>
      <c r="U23" s="8">
        <f t="shared" si="7"/>
        <v>0</v>
      </c>
    </row>
    <row r="24" spans="1:23" s="9" customFormat="1" ht="15.75" thickBot="1" x14ac:dyDescent="0.3">
      <c r="A24" s="7">
        <v>44583</v>
      </c>
      <c r="B24" s="4">
        <f t="shared" si="8"/>
        <v>46429</v>
      </c>
      <c r="C24" s="8">
        <f t="shared" si="0"/>
        <v>0</v>
      </c>
      <c r="D24" s="4">
        <f t="shared" si="9"/>
        <v>40175</v>
      </c>
      <c r="E24" s="8">
        <f t="shared" si="1"/>
        <v>0</v>
      </c>
      <c r="F24" s="4">
        <f t="shared" si="10"/>
        <v>21173</v>
      </c>
      <c r="G24" s="8">
        <f t="shared" si="2"/>
        <v>0</v>
      </c>
      <c r="H24" s="4">
        <f t="shared" si="11"/>
        <v>253133</v>
      </c>
      <c r="I24" s="8">
        <f t="shared" si="3"/>
        <v>0</v>
      </c>
      <c r="J24" s="4">
        <f t="shared" si="12"/>
        <v>303517</v>
      </c>
      <c r="K24" s="8">
        <v>0</v>
      </c>
      <c r="L24" s="4">
        <f t="shared" si="13"/>
        <v>25735</v>
      </c>
      <c r="M24" s="8">
        <f t="shared" si="4"/>
        <v>0</v>
      </c>
      <c r="N24" s="4">
        <f t="shared" si="14"/>
        <v>219009</v>
      </c>
      <c r="O24" s="8">
        <f t="shared" si="5"/>
        <v>0</v>
      </c>
      <c r="P24" s="4">
        <f t="shared" si="15"/>
        <v>136499</v>
      </c>
      <c r="Q24" s="8">
        <f t="shared" si="6"/>
        <v>0</v>
      </c>
      <c r="R24" s="2">
        <f t="shared" si="16"/>
        <v>55047</v>
      </c>
      <c r="S24" s="8">
        <v>0</v>
      </c>
      <c r="T24" s="4">
        <f t="shared" si="17"/>
        <v>3891</v>
      </c>
      <c r="U24" s="8">
        <f t="shared" si="7"/>
        <v>0</v>
      </c>
    </row>
    <row r="25" spans="1:23" ht="15.75" thickBot="1" x14ac:dyDescent="0.3">
      <c r="A25" s="7">
        <v>44584</v>
      </c>
      <c r="B25" s="4">
        <f t="shared" si="8"/>
        <v>46429</v>
      </c>
      <c r="C25" s="8">
        <f t="shared" si="0"/>
        <v>0</v>
      </c>
      <c r="D25" s="4">
        <f t="shared" si="9"/>
        <v>40175</v>
      </c>
      <c r="E25" s="8">
        <f t="shared" si="1"/>
        <v>0</v>
      </c>
      <c r="F25" s="4">
        <f t="shared" si="10"/>
        <v>21173</v>
      </c>
      <c r="G25" s="8">
        <f t="shared" si="2"/>
        <v>0</v>
      </c>
      <c r="H25" s="4">
        <f t="shared" si="11"/>
        <v>253133</v>
      </c>
      <c r="I25" s="8">
        <f t="shared" si="3"/>
        <v>0</v>
      </c>
      <c r="J25" s="4">
        <f t="shared" si="12"/>
        <v>303517</v>
      </c>
      <c r="K25" s="8">
        <v>0</v>
      </c>
      <c r="L25" s="4">
        <f t="shared" si="13"/>
        <v>25735</v>
      </c>
      <c r="M25" s="8">
        <f t="shared" si="4"/>
        <v>0</v>
      </c>
      <c r="N25" s="4">
        <f t="shared" si="14"/>
        <v>219009</v>
      </c>
      <c r="O25" s="8">
        <f t="shared" si="5"/>
        <v>0</v>
      </c>
      <c r="P25" s="4">
        <f t="shared" si="15"/>
        <v>136499</v>
      </c>
      <c r="Q25" s="8">
        <f t="shared" si="6"/>
        <v>0</v>
      </c>
      <c r="R25" s="2">
        <f t="shared" si="16"/>
        <v>55047</v>
      </c>
      <c r="S25" s="8">
        <v>0</v>
      </c>
      <c r="T25" s="4">
        <f t="shared" si="17"/>
        <v>3891</v>
      </c>
      <c r="U25" s="8">
        <f t="shared" si="7"/>
        <v>0</v>
      </c>
      <c r="V25" t="s">
        <v>13</v>
      </c>
    </row>
    <row r="26" spans="1:23" ht="15.75" thickBot="1" x14ac:dyDescent="0.3">
      <c r="A26" s="7">
        <v>44585</v>
      </c>
      <c r="B26" s="4">
        <f t="shared" si="8"/>
        <v>46429</v>
      </c>
      <c r="C26" s="8">
        <f t="shared" si="0"/>
        <v>0</v>
      </c>
      <c r="D26" s="4">
        <f t="shared" si="9"/>
        <v>40175</v>
      </c>
      <c r="E26" s="8">
        <f t="shared" si="1"/>
        <v>0</v>
      </c>
      <c r="F26" s="4">
        <f t="shared" si="10"/>
        <v>21173</v>
      </c>
      <c r="G26" s="8">
        <f t="shared" si="2"/>
        <v>0</v>
      </c>
      <c r="H26" s="4">
        <f t="shared" si="11"/>
        <v>253133</v>
      </c>
      <c r="I26" s="8">
        <f t="shared" si="3"/>
        <v>0</v>
      </c>
      <c r="J26" s="4">
        <f t="shared" si="12"/>
        <v>303517</v>
      </c>
      <c r="K26" s="8">
        <v>0</v>
      </c>
      <c r="L26" s="4">
        <f t="shared" si="13"/>
        <v>25735</v>
      </c>
      <c r="M26" s="8">
        <f t="shared" si="4"/>
        <v>0</v>
      </c>
      <c r="N26" s="4">
        <f t="shared" si="14"/>
        <v>219009</v>
      </c>
      <c r="O26" s="8">
        <f t="shared" si="5"/>
        <v>0</v>
      </c>
      <c r="P26" s="4">
        <f t="shared" si="15"/>
        <v>136499</v>
      </c>
      <c r="Q26" s="8">
        <f t="shared" si="6"/>
        <v>0</v>
      </c>
      <c r="R26" s="2">
        <f t="shared" si="16"/>
        <v>55047</v>
      </c>
      <c r="S26" s="8">
        <v>0</v>
      </c>
      <c r="T26" s="4">
        <f t="shared" si="17"/>
        <v>3891</v>
      </c>
      <c r="U26" s="8">
        <f t="shared" si="7"/>
        <v>0</v>
      </c>
      <c r="W26" t="s">
        <v>13</v>
      </c>
    </row>
    <row r="27" spans="1:23" ht="15.75" thickBot="1" x14ac:dyDescent="0.3">
      <c r="A27" s="7">
        <v>44586</v>
      </c>
      <c r="B27" s="4">
        <f t="shared" si="8"/>
        <v>46429</v>
      </c>
      <c r="C27" s="8">
        <f t="shared" si="0"/>
        <v>0</v>
      </c>
      <c r="D27" s="4">
        <f t="shared" si="9"/>
        <v>40175</v>
      </c>
      <c r="E27" s="8">
        <f t="shared" si="1"/>
        <v>0</v>
      </c>
      <c r="F27" s="4">
        <f t="shared" si="10"/>
        <v>21173</v>
      </c>
      <c r="G27" s="8">
        <f t="shared" si="2"/>
        <v>0</v>
      </c>
      <c r="H27" s="4">
        <f t="shared" si="11"/>
        <v>253133</v>
      </c>
      <c r="I27" s="8">
        <f t="shared" si="3"/>
        <v>0</v>
      </c>
      <c r="J27" s="4">
        <f t="shared" si="12"/>
        <v>303517</v>
      </c>
      <c r="K27" s="8">
        <v>0</v>
      </c>
      <c r="L27" s="4">
        <f t="shared" si="13"/>
        <v>25735</v>
      </c>
      <c r="M27" s="8">
        <f t="shared" si="4"/>
        <v>0</v>
      </c>
      <c r="N27" s="4">
        <f t="shared" si="14"/>
        <v>219009</v>
      </c>
      <c r="O27" s="8">
        <f t="shared" si="5"/>
        <v>0</v>
      </c>
      <c r="P27" s="4">
        <f t="shared" si="15"/>
        <v>136499</v>
      </c>
      <c r="Q27" s="8">
        <f t="shared" si="6"/>
        <v>0</v>
      </c>
      <c r="R27" s="2">
        <f t="shared" si="16"/>
        <v>55047</v>
      </c>
      <c r="S27" s="8">
        <v>0</v>
      </c>
      <c r="T27" s="4">
        <f t="shared" si="17"/>
        <v>3891</v>
      </c>
      <c r="U27" s="8">
        <f t="shared" si="7"/>
        <v>0</v>
      </c>
    </row>
    <row r="28" spans="1:23" ht="15.75" thickBot="1" x14ac:dyDescent="0.3">
      <c r="A28" s="7">
        <v>44587</v>
      </c>
      <c r="B28" s="4">
        <f t="shared" si="8"/>
        <v>46429</v>
      </c>
      <c r="C28" s="8">
        <f t="shared" si="0"/>
        <v>0</v>
      </c>
      <c r="D28" s="4">
        <f t="shared" si="9"/>
        <v>40175</v>
      </c>
      <c r="E28" s="8">
        <f t="shared" si="1"/>
        <v>0</v>
      </c>
      <c r="F28" s="4">
        <f t="shared" si="10"/>
        <v>21173</v>
      </c>
      <c r="G28" s="8">
        <f t="shared" si="2"/>
        <v>0</v>
      </c>
      <c r="H28" s="4">
        <f t="shared" si="11"/>
        <v>253133</v>
      </c>
      <c r="I28" s="8">
        <f t="shared" si="3"/>
        <v>0</v>
      </c>
      <c r="J28" s="4">
        <f t="shared" si="12"/>
        <v>303517</v>
      </c>
      <c r="K28" s="8">
        <v>0</v>
      </c>
      <c r="L28" s="4">
        <f t="shared" si="13"/>
        <v>25735</v>
      </c>
      <c r="M28" s="8">
        <f t="shared" si="4"/>
        <v>0</v>
      </c>
      <c r="N28" s="4">
        <f t="shared" si="14"/>
        <v>219009</v>
      </c>
      <c r="O28" s="8">
        <f t="shared" si="5"/>
        <v>0</v>
      </c>
      <c r="P28" s="4">
        <f t="shared" si="15"/>
        <v>136499</v>
      </c>
      <c r="Q28" s="8">
        <f t="shared" si="6"/>
        <v>0</v>
      </c>
      <c r="R28" s="2">
        <f t="shared" si="16"/>
        <v>55047</v>
      </c>
      <c r="S28" s="8">
        <v>0</v>
      </c>
      <c r="T28" s="4">
        <f t="shared" si="17"/>
        <v>3891</v>
      </c>
      <c r="U28" s="8">
        <f t="shared" si="7"/>
        <v>0</v>
      </c>
    </row>
    <row r="29" spans="1:23" ht="15.75" thickBot="1" x14ac:dyDescent="0.3">
      <c r="A29" s="7">
        <v>44588</v>
      </c>
      <c r="B29" s="4">
        <f t="shared" si="8"/>
        <v>46429</v>
      </c>
      <c r="C29" s="8">
        <f t="shared" si="0"/>
        <v>0</v>
      </c>
      <c r="D29" s="4">
        <f t="shared" si="9"/>
        <v>40175</v>
      </c>
      <c r="E29" s="8">
        <f t="shared" si="1"/>
        <v>0</v>
      </c>
      <c r="F29" s="4">
        <f t="shared" si="10"/>
        <v>21173</v>
      </c>
      <c r="G29" s="8">
        <f t="shared" si="2"/>
        <v>0</v>
      </c>
      <c r="H29" s="4">
        <f t="shared" si="11"/>
        <v>253133</v>
      </c>
      <c r="I29" s="8">
        <f t="shared" si="3"/>
        <v>0</v>
      </c>
      <c r="J29" s="4">
        <f t="shared" si="12"/>
        <v>303517</v>
      </c>
      <c r="K29" s="8">
        <v>0</v>
      </c>
      <c r="L29" s="4">
        <f t="shared" si="13"/>
        <v>25735</v>
      </c>
      <c r="M29" s="8">
        <f t="shared" si="4"/>
        <v>0</v>
      </c>
      <c r="N29" s="4">
        <f t="shared" si="14"/>
        <v>219009</v>
      </c>
      <c r="O29" s="8">
        <f t="shared" si="5"/>
        <v>0</v>
      </c>
      <c r="P29" s="4">
        <f t="shared" si="15"/>
        <v>136499</v>
      </c>
      <c r="Q29" s="8">
        <f t="shared" si="6"/>
        <v>0</v>
      </c>
      <c r="R29" s="2">
        <f t="shared" si="16"/>
        <v>55047</v>
      </c>
      <c r="S29" s="8">
        <v>0</v>
      </c>
      <c r="T29" s="4">
        <f t="shared" si="17"/>
        <v>3891</v>
      </c>
      <c r="U29" s="8">
        <f t="shared" si="7"/>
        <v>0</v>
      </c>
    </row>
    <row r="30" spans="1:23" ht="15.75" thickBot="1" x14ac:dyDescent="0.3">
      <c r="A30" s="7">
        <v>44589</v>
      </c>
      <c r="B30" s="4">
        <f t="shared" si="8"/>
        <v>46429</v>
      </c>
      <c r="C30" s="8">
        <f t="shared" si="0"/>
        <v>0</v>
      </c>
      <c r="D30" s="4">
        <f t="shared" si="9"/>
        <v>40175</v>
      </c>
      <c r="E30" s="8">
        <f t="shared" si="1"/>
        <v>0</v>
      </c>
      <c r="F30" s="4">
        <f t="shared" si="10"/>
        <v>21173</v>
      </c>
      <c r="G30" s="8">
        <f t="shared" si="2"/>
        <v>0</v>
      </c>
      <c r="H30" s="4">
        <f t="shared" si="11"/>
        <v>253133</v>
      </c>
      <c r="I30" s="8">
        <f t="shared" si="3"/>
        <v>0</v>
      </c>
      <c r="J30" s="4">
        <f t="shared" si="12"/>
        <v>303517</v>
      </c>
      <c r="K30" s="8">
        <v>0</v>
      </c>
      <c r="L30" s="4">
        <f t="shared" si="13"/>
        <v>25735</v>
      </c>
      <c r="M30" s="8">
        <f t="shared" si="4"/>
        <v>0</v>
      </c>
      <c r="N30" s="4">
        <f t="shared" si="14"/>
        <v>219009</v>
      </c>
      <c r="O30" s="8">
        <f t="shared" si="5"/>
        <v>0</v>
      </c>
      <c r="P30" s="4">
        <f t="shared" si="15"/>
        <v>136499</v>
      </c>
      <c r="Q30" s="8">
        <f t="shared" si="6"/>
        <v>0</v>
      </c>
      <c r="R30" s="2">
        <f t="shared" si="16"/>
        <v>55047</v>
      </c>
      <c r="S30" s="8">
        <v>0</v>
      </c>
      <c r="T30" s="4">
        <f t="shared" si="17"/>
        <v>3891</v>
      </c>
      <c r="U30" s="8">
        <f t="shared" si="7"/>
        <v>0</v>
      </c>
    </row>
    <row r="31" spans="1:23" ht="15.75" thickBot="1" x14ac:dyDescent="0.3">
      <c r="A31" s="7">
        <v>44590</v>
      </c>
      <c r="B31" s="4">
        <f t="shared" si="8"/>
        <v>46429</v>
      </c>
      <c r="C31" s="8">
        <f t="shared" si="0"/>
        <v>0</v>
      </c>
      <c r="D31" s="4">
        <f t="shared" si="9"/>
        <v>40175</v>
      </c>
      <c r="E31" s="8">
        <f t="shared" si="1"/>
        <v>0</v>
      </c>
      <c r="F31" s="4">
        <f t="shared" si="10"/>
        <v>21173</v>
      </c>
      <c r="G31" s="8">
        <f t="shared" si="2"/>
        <v>0</v>
      </c>
      <c r="H31" s="4">
        <f t="shared" si="11"/>
        <v>253133</v>
      </c>
      <c r="I31" s="8">
        <f t="shared" si="3"/>
        <v>0</v>
      </c>
      <c r="J31" s="4">
        <f t="shared" si="12"/>
        <v>303517</v>
      </c>
      <c r="K31" s="8">
        <v>0</v>
      </c>
      <c r="L31" s="4">
        <f t="shared" si="13"/>
        <v>25735</v>
      </c>
      <c r="M31" s="8">
        <f t="shared" si="4"/>
        <v>0</v>
      </c>
      <c r="N31" s="4">
        <f t="shared" si="14"/>
        <v>219009</v>
      </c>
      <c r="O31" s="8">
        <f t="shared" si="5"/>
        <v>0</v>
      </c>
      <c r="P31" s="4">
        <f t="shared" si="15"/>
        <v>136499</v>
      </c>
      <c r="Q31" s="8">
        <f t="shared" si="6"/>
        <v>0</v>
      </c>
      <c r="R31" s="2">
        <f t="shared" si="16"/>
        <v>55047</v>
      </c>
      <c r="S31" s="8">
        <v>0</v>
      </c>
      <c r="T31" s="4">
        <f t="shared" si="17"/>
        <v>3891</v>
      </c>
      <c r="U31" s="8">
        <f t="shared" si="7"/>
        <v>0</v>
      </c>
    </row>
    <row r="32" spans="1:23" ht="15" customHeight="1" thickBot="1" x14ac:dyDescent="0.3">
      <c r="A32" s="7">
        <v>44591</v>
      </c>
      <c r="B32" s="4">
        <f t="shared" si="8"/>
        <v>46429</v>
      </c>
      <c r="C32" s="8">
        <f t="shared" si="0"/>
        <v>0</v>
      </c>
      <c r="D32" s="4">
        <f t="shared" si="9"/>
        <v>40175</v>
      </c>
      <c r="E32" s="8">
        <f t="shared" si="1"/>
        <v>0</v>
      </c>
      <c r="F32" s="4">
        <f t="shared" si="10"/>
        <v>21173</v>
      </c>
      <c r="G32" s="8">
        <f t="shared" si="2"/>
        <v>0</v>
      </c>
      <c r="H32" s="4">
        <f t="shared" si="11"/>
        <v>253133</v>
      </c>
      <c r="I32" s="8">
        <f t="shared" si="3"/>
        <v>0</v>
      </c>
      <c r="J32" s="4">
        <f t="shared" si="12"/>
        <v>303517</v>
      </c>
      <c r="K32" s="8">
        <v>0</v>
      </c>
      <c r="L32" s="4">
        <f t="shared" si="13"/>
        <v>25735</v>
      </c>
      <c r="M32" s="8">
        <f t="shared" si="4"/>
        <v>0</v>
      </c>
      <c r="N32" s="4">
        <f t="shared" si="14"/>
        <v>219009</v>
      </c>
      <c r="O32" s="8">
        <f t="shared" si="5"/>
        <v>0</v>
      </c>
      <c r="P32" s="4">
        <f t="shared" si="15"/>
        <v>136499</v>
      </c>
      <c r="Q32" s="8">
        <f t="shared" si="6"/>
        <v>0</v>
      </c>
      <c r="R32" s="2">
        <f t="shared" si="16"/>
        <v>55047</v>
      </c>
      <c r="S32" s="8">
        <v>0</v>
      </c>
      <c r="T32" s="4">
        <f t="shared" si="17"/>
        <v>3891</v>
      </c>
      <c r="U32" s="8">
        <f t="shared" si="7"/>
        <v>0</v>
      </c>
      <c r="V32" t="s">
        <v>13</v>
      </c>
    </row>
    <row r="33" spans="1:21" ht="15.75" thickBot="1" x14ac:dyDescent="0.3">
      <c r="A33" s="7">
        <v>44592</v>
      </c>
      <c r="B33" s="4">
        <f t="shared" si="8"/>
        <v>46429</v>
      </c>
      <c r="C33" s="8">
        <f t="shared" si="0"/>
        <v>0</v>
      </c>
      <c r="D33" s="4">
        <f t="shared" si="9"/>
        <v>40175</v>
      </c>
      <c r="E33" s="8">
        <f t="shared" si="1"/>
        <v>0</v>
      </c>
      <c r="F33" s="4">
        <f t="shared" si="10"/>
        <v>21173</v>
      </c>
      <c r="G33" s="8">
        <f t="shared" si="2"/>
        <v>0</v>
      </c>
      <c r="H33" s="4">
        <f t="shared" si="11"/>
        <v>253133</v>
      </c>
      <c r="I33" s="8">
        <f t="shared" si="3"/>
        <v>0</v>
      </c>
      <c r="J33" s="4">
        <f t="shared" si="12"/>
        <v>303517</v>
      </c>
      <c r="K33" s="8">
        <v>0</v>
      </c>
      <c r="L33" s="4">
        <f t="shared" si="13"/>
        <v>25735</v>
      </c>
      <c r="M33" s="8">
        <f t="shared" si="4"/>
        <v>0</v>
      </c>
      <c r="N33" s="4">
        <f t="shared" si="14"/>
        <v>219009</v>
      </c>
      <c r="O33" s="8">
        <f t="shared" si="5"/>
        <v>0</v>
      </c>
      <c r="P33" s="4">
        <f t="shared" si="15"/>
        <v>136499</v>
      </c>
      <c r="Q33" s="8">
        <f t="shared" si="6"/>
        <v>0</v>
      </c>
      <c r="R33" s="2">
        <f t="shared" si="16"/>
        <v>55047</v>
      </c>
      <c r="S33" s="8">
        <v>0</v>
      </c>
      <c r="T33" s="4">
        <f t="shared" si="17"/>
        <v>3891</v>
      </c>
      <c r="U33" s="8">
        <f t="shared" si="7"/>
        <v>0</v>
      </c>
    </row>
    <row r="34" spans="1:21" ht="16.5" thickBot="1" x14ac:dyDescent="0.3">
      <c r="A34" s="7" t="s">
        <v>14</v>
      </c>
      <c r="B34" s="2"/>
      <c r="C34" s="10"/>
      <c r="D34" s="3"/>
      <c r="E34" s="10">
        <f>SUM(E4:E33)</f>
        <v>640</v>
      </c>
      <c r="F34" s="3"/>
      <c r="G34" s="10">
        <f>SUM(G4:G33)</f>
        <v>100</v>
      </c>
      <c r="H34" s="3"/>
      <c r="I34" s="10">
        <f>SUM(I4:I33)</f>
        <v>17</v>
      </c>
      <c r="J34" s="3"/>
      <c r="K34" s="10">
        <f>SUM(K4:K33)</f>
        <v>0</v>
      </c>
      <c r="L34" s="3"/>
      <c r="M34" s="10">
        <f>SUM(M4:M33)</f>
        <v>800</v>
      </c>
      <c r="N34" s="11"/>
      <c r="O34" s="10">
        <f>SUM(O4:O33)</f>
        <v>119</v>
      </c>
      <c r="P34" s="3"/>
      <c r="Q34" s="10">
        <f>SUM(Q4:Q33)</f>
        <v>117</v>
      </c>
      <c r="R34" s="2"/>
      <c r="S34" s="10">
        <f>SUM(S4:S33)</f>
        <v>0</v>
      </c>
      <c r="T34" s="2"/>
      <c r="U34" s="10">
        <f>SUM(U4:U33)</f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"/>
  <sheetViews>
    <sheetView tabSelected="1" workbookViewId="0">
      <selection activeCell="A4" sqref="A4:XFD4"/>
    </sheetView>
  </sheetViews>
  <sheetFormatPr defaultColWidth="23" defaultRowHeight="15.75" x14ac:dyDescent="0.25"/>
  <cols>
    <col min="1" max="1" width="20.7109375" style="49" bestFit="1" customWidth="1"/>
    <col min="2" max="2" width="14.85546875" style="50" bestFit="1" customWidth="1"/>
    <col min="3" max="3" width="15.28515625" style="50" bestFit="1" customWidth="1"/>
    <col min="4" max="4" width="11.5703125" style="50" bestFit="1" customWidth="1"/>
    <col min="5" max="5" width="12.85546875" style="37" bestFit="1" customWidth="1"/>
    <col min="6" max="6" width="11.5703125" style="37" bestFit="1" customWidth="1"/>
    <col min="7" max="7" width="14.28515625" style="37" bestFit="1" customWidth="1"/>
    <col min="8" max="8" width="16.5703125" style="37" bestFit="1" customWidth="1"/>
    <col min="9" max="9" width="11.85546875" style="37" customWidth="1"/>
    <col min="10" max="10" width="11.5703125" style="37" bestFit="1" customWidth="1"/>
    <col min="11" max="11" width="10.28515625" style="37" bestFit="1" customWidth="1"/>
    <col min="12" max="12" width="11.5703125" style="37" bestFit="1" customWidth="1"/>
    <col min="13" max="13" width="10.28515625" style="37" bestFit="1" customWidth="1"/>
    <col min="14" max="17" width="11.5703125" style="37" bestFit="1" customWidth="1"/>
    <col min="18" max="18" width="12.85546875" style="37" bestFit="1" customWidth="1"/>
    <col min="19" max="19" width="9" style="37" bestFit="1" customWidth="1"/>
    <col min="20" max="20" width="4.7109375" style="37" bestFit="1" customWidth="1"/>
    <col min="21" max="21" width="10.28515625" style="37" bestFit="1" customWidth="1"/>
    <col min="22" max="22" width="11.5703125" style="37" bestFit="1" customWidth="1"/>
    <col min="23" max="23" width="9" style="37" bestFit="1" customWidth="1"/>
    <col min="24" max="24" width="10.7109375" style="37" bestFit="1" customWidth="1"/>
    <col min="25" max="25" width="12.28515625" style="37" customWidth="1"/>
    <col min="26" max="26" width="27.140625" style="52" bestFit="1" customWidth="1"/>
    <col min="27" max="27" width="26.85546875" style="52" bestFit="1" customWidth="1"/>
    <col min="28" max="16384" width="23" style="37"/>
  </cols>
  <sheetData>
    <row r="1" spans="1:27" ht="16.5" thickBot="1" x14ac:dyDescent="0.3">
      <c r="A1" s="31" t="s">
        <v>0</v>
      </c>
      <c r="B1" s="32" t="s">
        <v>52</v>
      </c>
      <c r="C1" s="33" t="s">
        <v>53</v>
      </c>
      <c r="D1" s="33" t="s">
        <v>4</v>
      </c>
      <c r="E1" s="34" t="s">
        <v>54</v>
      </c>
      <c r="F1" s="35" t="s">
        <v>55</v>
      </c>
      <c r="G1" s="34" t="s">
        <v>56</v>
      </c>
      <c r="H1" s="35" t="s">
        <v>55</v>
      </c>
      <c r="I1" s="34" t="s">
        <v>14</v>
      </c>
      <c r="J1" s="34" t="s">
        <v>57</v>
      </c>
      <c r="K1" s="35" t="s">
        <v>55</v>
      </c>
      <c r="L1" s="34" t="s">
        <v>58</v>
      </c>
      <c r="M1" s="35" t="s">
        <v>55</v>
      </c>
      <c r="N1" s="34" t="s">
        <v>59</v>
      </c>
      <c r="O1" s="35" t="s">
        <v>55</v>
      </c>
      <c r="P1" s="34" t="s">
        <v>60</v>
      </c>
      <c r="Q1" s="35" t="s">
        <v>55</v>
      </c>
      <c r="R1" s="34" t="s">
        <v>61</v>
      </c>
      <c r="S1" s="35" t="s">
        <v>55</v>
      </c>
      <c r="T1" s="34" t="s">
        <v>62</v>
      </c>
      <c r="U1" s="35" t="s">
        <v>55</v>
      </c>
      <c r="V1" s="34" t="s">
        <v>63</v>
      </c>
      <c r="W1" s="35" t="s">
        <v>55</v>
      </c>
      <c r="X1" s="34" t="s">
        <v>14</v>
      </c>
      <c r="Y1" s="34" t="s">
        <v>64</v>
      </c>
      <c r="Z1" s="36" t="s">
        <v>65</v>
      </c>
      <c r="AA1" s="36" t="s">
        <v>66</v>
      </c>
    </row>
    <row r="2" spans="1:27" ht="16.5" thickBot="1" x14ac:dyDescent="0.3">
      <c r="A2" s="7">
        <v>44561</v>
      </c>
      <c r="B2" s="32">
        <v>286</v>
      </c>
      <c r="C2" s="38">
        <v>19263</v>
      </c>
      <c r="D2" s="32">
        <v>0</v>
      </c>
      <c r="E2" s="39">
        <v>29394326</v>
      </c>
      <c r="F2" s="32">
        <v>0</v>
      </c>
      <c r="G2" s="40">
        <v>93376522</v>
      </c>
      <c r="H2" s="32">
        <v>0</v>
      </c>
      <c r="I2" s="41">
        <f>F2+H2</f>
        <v>0</v>
      </c>
      <c r="J2" s="39">
        <v>9244110</v>
      </c>
      <c r="K2" s="32">
        <v>0</v>
      </c>
      <c r="L2" s="42">
        <v>9241929</v>
      </c>
      <c r="M2" s="32">
        <v>0</v>
      </c>
      <c r="N2" s="39">
        <v>6233074</v>
      </c>
      <c r="O2" s="32">
        <v>0</v>
      </c>
      <c r="P2" s="42">
        <v>5733151</v>
      </c>
      <c r="Q2" s="32">
        <v>0</v>
      </c>
      <c r="R2" s="39">
        <v>19746392</v>
      </c>
      <c r="S2" s="32">
        <v>0</v>
      </c>
      <c r="T2" s="39">
        <v>0</v>
      </c>
      <c r="U2" s="10"/>
      <c r="V2" s="39">
        <v>7634077</v>
      </c>
      <c r="W2" s="32" t="s">
        <v>148</v>
      </c>
      <c r="X2" s="41">
        <v>0</v>
      </c>
      <c r="Y2" s="43">
        <f t="shared" ref="Y2:Y33" si="0">I2-X2</f>
        <v>0</v>
      </c>
      <c r="Z2" s="34">
        <v>0</v>
      </c>
      <c r="AA2" s="34">
        <v>0</v>
      </c>
    </row>
    <row r="3" spans="1:27" ht="16.5" thickBot="1" x14ac:dyDescent="0.3">
      <c r="A3" s="7">
        <v>44562</v>
      </c>
      <c r="B3" s="32">
        <v>226</v>
      </c>
      <c r="C3" s="38">
        <v>19265</v>
      </c>
      <c r="D3" s="32">
        <f t="shared" ref="D3:D33" si="1">IF((C3-C2)&lt;0,"0",(C3-C2))*160</f>
        <v>320</v>
      </c>
      <c r="E3" s="39">
        <v>29406857</v>
      </c>
      <c r="F3" s="32">
        <f t="shared" ref="F3:F33" si="2">IF((E3-E2)&lt;0,"0",(E3-E2))</f>
        <v>12531</v>
      </c>
      <c r="G3" s="40">
        <v>93413328</v>
      </c>
      <c r="H3" s="32">
        <f t="shared" ref="H3:H33" si="3">IF((G3-G2)&lt;0,"0",(G3-G2))</f>
        <v>36806</v>
      </c>
      <c r="I3" s="41">
        <f t="shared" ref="I3:I32" si="4">F3+H3</f>
        <v>49337</v>
      </c>
      <c r="J3" s="39">
        <v>9248103</v>
      </c>
      <c r="K3" s="32">
        <f t="shared" ref="K3:K32" si="5">(IF((J3-J2)&lt;0,"0",(J3-J2)))*2</f>
        <v>7986</v>
      </c>
      <c r="L3" s="42">
        <v>9248180</v>
      </c>
      <c r="M3" s="32">
        <f t="shared" ref="M3:M32" si="6">IF((L3-L2)&lt;0,"0",(L3-L2))</f>
        <v>6251</v>
      </c>
      <c r="N3" s="39">
        <v>6236140</v>
      </c>
      <c r="O3" s="32">
        <f t="shared" ref="O3:O33" si="7">(IF((N3-N2)&lt;0,"0",(N3-N2)))*2</f>
        <v>6132</v>
      </c>
      <c r="P3" s="42">
        <v>5735521</v>
      </c>
      <c r="Q3" s="32">
        <f t="shared" ref="Q3:Q33" si="8">IF((P3-P2)&lt;0,"0",(P3-P2))</f>
        <v>2370</v>
      </c>
      <c r="R3" s="39">
        <v>19755737</v>
      </c>
      <c r="S3" s="32">
        <f t="shared" ref="S3:S33" si="9">IF((R3-R2)&lt;0,"0",(R3-R2))</f>
        <v>9345</v>
      </c>
      <c r="T3" s="39"/>
      <c r="U3" s="44"/>
      <c r="V3" s="39">
        <v>7644097</v>
      </c>
      <c r="W3" s="32">
        <f t="shared" ref="W3:W33" si="10">IF((V3-V2)&lt;0,"0",(V3-V2))</f>
        <v>10020</v>
      </c>
      <c r="X3" s="41">
        <f t="shared" ref="X3:X33" si="11">K3+M3+O3+Q3+S3+U3+W3</f>
        <v>42104</v>
      </c>
      <c r="Y3" s="43">
        <f t="shared" si="0"/>
        <v>7233</v>
      </c>
      <c r="Z3" s="34">
        <f t="shared" ref="Z3:Z33" si="12">(0.93352*(W3+S3)+0.5568*(Q3+O3))*0.26</f>
        <v>5930.9973840000002</v>
      </c>
      <c r="AA3" s="34" t="e">
        <f t="shared" ref="AA3:AA33" si="13">SUM(#REF!)</f>
        <v>#REF!</v>
      </c>
    </row>
    <row r="4" spans="1:27" ht="16.5" thickBot="1" x14ac:dyDescent="0.3">
      <c r="A4" s="7">
        <v>44563</v>
      </c>
      <c r="B4" s="32">
        <v>222</v>
      </c>
      <c r="C4" s="38">
        <v>19267</v>
      </c>
      <c r="D4" s="32">
        <f t="shared" si="1"/>
        <v>320</v>
      </c>
      <c r="E4" s="39">
        <v>29415767</v>
      </c>
      <c r="F4" s="32">
        <f t="shared" si="2"/>
        <v>8910</v>
      </c>
      <c r="G4" s="40">
        <v>93443932</v>
      </c>
      <c r="H4" s="32">
        <f t="shared" si="3"/>
        <v>30604</v>
      </c>
      <c r="I4" s="41">
        <f t="shared" si="4"/>
        <v>39514</v>
      </c>
      <c r="J4" s="39">
        <v>9251822</v>
      </c>
      <c r="K4" s="32">
        <f t="shared" si="5"/>
        <v>7438</v>
      </c>
      <c r="L4" s="42">
        <v>9252516</v>
      </c>
      <c r="M4" s="32">
        <f t="shared" si="6"/>
        <v>4336</v>
      </c>
      <c r="N4" s="39">
        <v>6238368</v>
      </c>
      <c r="O4" s="32">
        <f t="shared" si="7"/>
        <v>4456</v>
      </c>
      <c r="P4" s="42">
        <v>5737493</v>
      </c>
      <c r="Q4" s="32">
        <f t="shared" si="8"/>
        <v>1972</v>
      </c>
      <c r="R4" s="39">
        <v>19763562</v>
      </c>
      <c r="S4" s="32">
        <f t="shared" si="9"/>
        <v>7825</v>
      </c>
      <c r="T4" s="39"/>
      <c r="U4" s="44"/>
      <c r="V4" s="39">
        <v>7652165</v>
      </c>
      <c r="W4" s="32">
        <f t="shared" si="10"/>
        <v>8068</v>
      </c>
      <c r="X4" s="41">
        <f t="shared" si="11"/>
        <v>34095</v>
      </c>
      <c r="Y4" s="43">
        <f t="shared" si="0"/>
        <v>5419</v>
      </c>
      <c r="Z4" s="34">
        <f t="shared" si="12"/>
        <v>4788.0413776000005</v>
      </c>
      <c r="AA4" s="34" t="e">
        <f t="shared" si="13"/>
        <v>#REF!</v>
      </c>
    </row>
    <row r="5" spans="1:27" ht="16.5" thickBot="1" x14ac:dyDescent="0.3">
      <c r="A5" s="7">
        <v>44564</v>
      </c>
      <c r="B5" s="32"/>
      <c r="C5" s="38"/>
      <c r="D5" s="32">
        <f t="shared" si="1"/>
        <v>0</v>
      </c>
      <c r="E5" s="39"/>
      <c r="F5" s="32" t="str">
        <f t="shared" si="2"/>
        <v>0</v>
      </c>
      <c r="G5" s="40"/>
      <c r="H5" s="32" t="str">
        <f t="shared" si="3"/>
        <v>0</v>
      </c>
      <c r="I5" s="41">
        <f t="shared" si="4"/>
        <v>0</v>
      </c>
      <c r="J5" s="39"/>
      <c r="K5" s="32">
        <f t="shared" si="5"/>
        <v>0</v>
      </c>
      <c r="L5" s="42"/>
      <c r="M5" s="32" t="str">
        <f t="shared" si="6"/>
        <v>0</v>
      </c>
      <c r="N5" s="39"/>
      <c r="O5" s="32">
        <f t="shared" si="7"/>
        <v>0</v>
      </c>
      <c r="P5" s="42"/>
      <c r="Q5" s="32" t="str">
        <f t="shared" si="8"/>
        <v>0</v>
      </c>
      <c r="R5" s="39"/>
      <c r="S5" s="32" t="str">
        <f t="shared" si="9"/>
        <v>0</v>
      </c>
      <c r="T5" s="39"/>
      <c r="U5" s="44"/>
      <c r="V5" s="39"/>
      <c r="W5" s="32" t="str">
        <f t="shared" si="10"/>
        <v>0</v>
      </c>
      <c r="X5" s="41">
        <f t="shared" si="11"/>
        <v>0</v>
      </c>
      <c r="Y5" s="43">
        <f t="shared" si="0"/>
        <v>0</v>
      </c>
      <c r="Z5" s="34">
        <f t="shared" si="12"/>
        <v>0</v>
      </c>
      <c r="AA5" s="34" t="e">
        <f t="shared" si="13"/>
        <v>#REF!</v>
      </c>
    </row>
    <row r="6" spans="1:27" ht="16.5" thickBot="1" x14ac:dyDescent="0.3">
      <c r="A6" s="7">
        <v>44565</v>
      </c>
      <c r="B6" s="32"/>
      <c r="C6" s="38"/>
      <c r="D6" s="32">
        <f t="shared" si="1"/>
        <v>0</v>
      </c>
      <c r="E6" s="39"/>
      <c r="F6" s="32">
        <f t="shared" si="2"/>
        <v>0</v>
      </c>
      <c r="G6" s="40"/>
      <c r="H6" s="32">
        <f t="shared" si="3"/>
        <v>0</v>
      </c>
      <c r="I6" s="41">
        <f t="shared" si="4"/>
        <v>0</v>
      </c>
      <c r="J6" s="39"/>
      <c r="K6" s="32">
        <f t="shared" si="5"/>
        <v>0</v>
      </c>
      <c r="L6" s="42"/>
      <c r="M6" s="32">
        <f t="shared" si="6"/>
        <v>0</v>
      </c>
      <c r="N6" s="39"/>
      <c r="O6" s="32">
        <f t="shared" si="7"/>
        <v>0</v>
      </c>
      <c r="P6" s="42"/>
      <c r="Q6" s="32">
        <f t="shared" si="8"/>
        <v>0</v>
      </c>
      <c r="R6" s="39"/>
      <c r="S6" s="32">
        <f t="shared" si="9"/>
        <v>0</v>
      </c>
      <c r="T6" s="39"/>
      <c r="U6" s="44"/>
      <c r="V6" s="39"/>
      <c r="W6" s="32">
        <f t="shared" si="10"/>
        <v>0</v>
      </c>
      <c r="X6" s="41">
        <f t="shared" si="11"/>
        <v>0</v>
      </c>
      <c r="Y6" s="43">
        <f t="shared" si="0"/>
        <v>0</v>
      </c>
      <c r="Z6" s="34">
        <f t="shared" si="12"/>
        <v>0</v>
      </c>
      <c r="AA6" s="34" t="e">
        <f t="shared" si="13"/>
        <v>#REF!</v>
      </c>
    </row>
    <row r="7" spans="1:27" ht="16.5" thickBot="1" x14ac:dyDescent="0.3">
      <c r="A7" s="7">
        <v>44566</v>
      </c>
      <c r="B7" s="32"/>
      <c r="C7" s="38"/>
      <c r="D7" s="32">
        <f t="shared" si="1"/>
        <v>0</v>
      </c>
      <c r="E7" s="39"/>
      <c r="F7" s="32">
        <f t="shared" si="2"/>
        <v>0</v>
      </c>
      <c r="G7" s="40"/>
      <c r="H7" s="32">
        <f t="shared" si="3"/>
        <v>0</v>
      </c>
      <c r="I7" s="41">
        <f t="shared" si="4"/>
        <v>0</v>
      </c>
      <c r="J7" s="39"/>
      <c r="K7" s="32">
        <f t="shared" si="5"/>
        <v>0</v>
      </c>
      <c r="L7" s="42"/>
      <c r="M7" s="32">
        <f t="shared" si="6"/>
        <v>0</v>
      </c>
      <c r="N7" s="39"/>
      <c r="O7" s="32">
        <f t="shared" si="7"/>
        <v>0</v>
      </c>
      <c r="P7" s="42"/>
      <c r="Q7" s="32">
        <f t="shared" si="8"/>
        <v>0</v>
      </c>
      <c r="R7" s="39"/>
      <c r="S7" s="32">
        <f t="shared" si="9"/>
        <v>0</v>
      </c>
      <c r="T7" s="39"/>
      <c r="U7" s="44"/>
      <c r="V7" s="39"/>
      <c r="W7" s="32">
        <f t="shared" si="10"/>
        <v>0</v>
      </c>
      <c r="X7" s="41">
        <f t="shared" si="11"/>
        <v>0</v>
      </c>
      <c r="Y7" s="43">
        <f t="shared" si="0"/>
        <v>0</v>
      </c>
      <c r="Z7" s="34">
        <f t="shared" si="12"/>
        <v>0</v>
      </c>
      <c r="AA7" s="34" t="e">
        <f t="shared" si="13"/>
        <v>#REF!</v>
      </c>
    </row>
    <row r="8" spans="1:27" ht="16.5" thickBot="1" x14ac:dyDescent="0.3">
      <c r="A8" s="7">
        <v>44567</v>
      </c>
      <c r="B8" s="32"/>
      <c r="C8" s="38"/>
      <c r="D8" s="32">
        <f t="shared" si="1"/>
        <v>0</v>
      </c>
      <c r="E8" s="39"/>
      <c r="F8" s="32">
        <f t="shared" si="2"/>
        <v>0</v>
      </c>
      <c r="G8" s="40"/>
      <c r="H8" s="32">
        <f t="shared" si="3"/>
        <v>0</v>
      </c>
      <c r="I8" s="41">
        <f t="shared" si="4"/>
        <v>0</v>
      </c>
      <c r="J8" s="39"/>
      <c r="K8" s="32">
        <f t="shared" si="5"/>
        <v>0</v>
      </c>
      <c r="L8" s="42"/>
      <c r="M8" s="32">
        <f t="shared" si="6"/>
        <v>0</v>
      </c>
      <c r="N8" s="39"/>
      <c r="O8" s="32">
        <f t="shared" si="7"/>
        <v>0</v>
      </c>
      <c r="P8" s="42"/>
      <c r="Q8" s="32">
        <f t="shared" si="8"/>
        <v>0</v>
      </c>
      <c r="R8" s="39"/>
      <c r="S8" s="32">
        <f t="shared" si="9"/>
        <v>0</v>
      </c>
      <c r="T8" s="39"/>
      <c r="U8" s="44"/>
      <c r="V8" s="39"/>
      <c r="W8" s="32">
        <f t="shared" si="10"/>
        <v>0</v>
      </c>
      <c r="X8" s="41">
        <f t="shared" si="11"/>
        <v>0</v>
      </c>
      <c r="Y8" s="43">
        <f t="shared" si="0"/>
        <v>0</v>
      </c>
      <c r="Z8" s="34">
        <f t="shared" si="12"/>
        <v>0</v>
      </c>
      <c r="AA8" s="34" t="e">
        <f t="shared" si="13"/>
        <v>#REF!</v>
      </c>
    </row>
    <row r="9" spans="1:27" ht="16.5" thickBot="1" x14ac:dyDescent="0.3">
      <c r="A9" s="7">
        <v>44568</v>
      </c>
      <c r="B9" s="32"/>
      <c r="C9" s="38"/>
      <c r="D9" s="32">
        <f t="shared" si="1"/>
        <v>0</v>
      </c>
      <c r="E9" s="39"/>
      <c r="F9" s="32">
        <f t="shared" si="2"/>
        <v>0</v>
      </c>
      <c r="G9" s="40"/>
      <c r="H9" s="32">
        <f t="shared" si="3"/>
        <v>0</v>
      </c>
      <c r="I9" s="41">
        <f t="shared" si="4"/>
        <v>0</v>
      </c>
      <c r="J9" s="39"/>
      <c r="K9" s="32">
        <f t="shared" si="5"/>
        <v>0</v>
      </c>
      <c r="L9" s="42"/>
      <c r="M9" s="32">
        <f t="shared" si="6"/>
        <v>0</v>
      </c>
      <c r="N9" s="39"/>
      <c r="O9" s="32">
        <f t="shared" si="7"/>
        <v>0</v>
      </c>
      <c r="P9" s="42"/>
      <c r="Q9" s="32">
        <f t="shared" si="8"/>
        <v>0</v>
      </c>
      <c r="R9" s="39"/>
      <c r="S9" s="32">
        <f t="shared" si="9"/>
        <v>0</v>
      </c>
      <c r="T9" s="39"/>
      <c r="U9" s="44"/>
      <c r="V9" s="39"/>
      <c r="W9" s="32">
        <f t="shared" si="10"/>
        <v>0</v>
      </c>
      <c r="X9" s="41">
        <f t="shared" si="11"/>
        <v>0</v>
      </c>
      <c r="Y9" s="43">
        <f t="shared" si="0"/>
        <v>0</v>
      </c>
      <c r="Z9" s="34">
        <f t="shared" si="12"/>
        <v>0</v>
      </c>
      <c r="AA9" s="34" t="e">
        <f t="shared" si="13"/>
        <v>#REF!</v>
      </c>
    </row>
    <row r="10" spans="1:27" ht="16.5" thickBot="1" x14ac:dyDescent="0.3">
      <c r="A10" s="7">
        <v>44569</v>
      </c>
      <c r="B10" s="32"/>
      <c r="C10" s="38"/>
      <c r="D10" s="32">
        <f t="shared" si="1"/>
        <v>0</v>
      </c>
      <c r="E10" s="39"/>
      <c r="F10" s="32">
        <f t="shared" si="2"/>
        <v>0</v>
      </c>
      <c r="G10" s="40"/>
      <c r="H10" s="32">
        <f t="shared" si="3"/>
        <v>0</v>
      </c>
      <c r="I10" s="41">
        <f t="shared" si="4"/>
        <v>0</v>
      </c>
      <c r="J10" s="39"/>
      <c r="K10" s="32">
        <f t="shared" si="5"/>
        <v>0</v>
      </c>
      <c r="L10" s="42"/>
      <c r="M10" s="32">
        <f t="shared" si="6"/>
        <v>0</v>
      </c>
      <c r="N10" s="39"/>
      <c r="O10" s="32">
        <f t="shared" si="7"/>
        <v>0</v>
      </c>
      <c r="P10" s="42"/>
      <c r="Q10" s="32">
        <f t="shared" si="8"/>
        <v>0</v>
      </c>
      <c r="R10" s="39"/>
      <c r="S10" s="32">
        <f t="shared" si="9"/>
        <v>0</v>
      </c>
      <c r="T10" s="39"/>
      <c r="U10" s="44"/>
      <c r="V10" s="39"/>
      <c r="W10" s="32">
        <f t="shared" si="10"/>
        <v>0</v>
      </c>
      <c r="X10" s="41">
        <f t="shared" si="11"/>
        <v>0</v>
      </c>
      <c r="Y10" s="43">
        <f t="shared" si="0"/>
        <v>0</v>
      </c>
      <c r="Z10" s="34">
        <f t="shared" si="12"/>
        <v>0</v>
      </c>
      <c r="AA10" s="34" t="e">
        <f t="shared" si="13"/>
        <v>#REF!</v>
      </c>
    </row>
    <row r="11" spans="1:27" ht="16.5" thickBot="1" x14ac:dyDescent="0.3">
      <c r="A11" s="7">
        <v>44570</v>
      </c>
      <c r="B11" s="32"/>
      <c r="C11" s="38"/>
      <c r="D11" s="32">
        <f t="shared" si="1"/>
        <v>0</v>
      </c>
      <c r="E11" s="39"/>
      <c r="F11" s="32">
        <f t="shared" si="2"/>
        <v>0</v>
      </c>
      <c r="G11" s="40"/>
      <c r="H11" s="32">
        <f t="shared" si="3"/>
        <v>0</v>
      </c>
      <c r="I11" s="41">
        <f t="shared" si="4"/>
        <v>0</v>
      </c>
      <c r="J11" s="39"/>
      <c r="K11" s="32">
        <f t="shared" si="5"/>
        <v>0</v>
      </c>
      <c r="L11" s="42"/>
      <c r="M11" s="32">
        <f t="shared" si="6"/>
        <v>0</v>
      </c>
      <c r="N11" s="39"/>
      <c r="O11" s="32">
        <f t="shared" si="7"/>
        <v>0</v>
      </c>
      <c r="P11" s="42"/>
      <c r="Q11" s="32">
        <f t="shared" si="8"/>
        <v>0</v>
      </c>
      <c r="R11" s="39"/>
      <c r="S11" s="32">
        <f t="shared" si="9"/>
        <v>0</v>
      </c>
      <c r="T11" s="39"/>
      <c r="U11" s="44"/>
      <c r="V11" s="39"/>
      <c r="W11" s="32">
        <f t="shared" si="10"/>
        <v>0</v>
      </c>
      <c r="X11" s="41">
        <f t="shared" si="11"/>
        <v>0</v>
      </c>
      <c r="Y11" s="43">
        <f t="shared" si="0"/>
        <v>0</v>
      </c>
      <c r="Z11" s="34">
        <f t="shared" si="12"/>
        <v>0</v>
      </c>
      <c r="AA11" s="34" t="e">
        <f t="shared" si="13"/>
        <v>#REF!</v>
      </c>
    </row>
    <row r="12" spans="1:27" ht="16.5" thickBot="1" x14ac:dyDescent="0.3">
      <c r="A12" s="7">
        <v>44571</v>
      </c>
      <c r="B12" s="32"/>
      <c r="C12" s="38"/>
      <c r="D12" s="32">
        <f t="shared" si="1"/>
        <v>0</v>
      </c>
      <c r="E12" s="39"/>
      <c r="F12" s="32">
        <f t="shared" si="2"/>
        <v>0</v>
      </c>
      <c r="G12" s="40"/>
      <c r="H12" s="32">
        <f t="shared" si="3"/>
        <v>0</v>
      </c>
      <c r="I12" s="41">
        <f t="shared" si="4"/>
        <v>0</v>
      </c>
      <c r="J12" s="39"/>
      <c r="K12" s="32">
        <f t="shared" si="5"/>
        <v>0</v>
      </c>
      <c r="L12" s="42"/>
      <c r="M12" s="32">
        <f t="shared" si="6"/>
        <v>0</v>
      </c>
      <c r="N12" s="39"/>
      <c r="O12" s="32">
        <f t="shared" si="7"/>
        <v>0</v>
      </c>
      <c r="P12" s="42"/>
      <c r="Q12" s="32">
        <f t="shared" si="8"/>
        <v>0</v>
      </c>
      <c r="R12" s="39"/>
      <c r="S12" s="32">
        <f t="shared" si="9"/>
        <v>0</v>
      </c>
      <c r="T12" s="39"/>
      <c r="U12" s="44"/>
      <c r="V12" s="39"/>
      <c r="W12" s="32">
        <f t="shared" si="10"/>
        <v>0</v>
      </c>
      <c r="X12" s="41">
        <f t="shared" si="11"/>
        <v>0</v>
      </c>
      <c r="Y12" s="43">
        <f t="shared" si="0"/>
        <v>0</v>
      </c>
      <c r="Z12" s="34">
        <f t="shared" si="12"/>
        <v>0</v>
      </c>
      <c r="AA12" s="34" t="e">
        <f t="shared" si="13"/>
        <v>#REF!</v>
      </c>
    </row>
    <row r="13" spans="1:27" ht="16.5" thickBot="1" x14ac:dyDescent="0.3">
      <c r="A13" s="7">
        <v>44572</v>
      </c>
      <c r="B13" s="32"/>
      <c r="C13" s="38"/>
      <c r="D13" s="32">
        <f t="shared" si="1"/>
        <v>0</v>
      </c>
      <c r="E13" s="39"/>
      <c r="F13" s="32">
        <f t="shared" si="2"/>
        <v>0</v>
      </c>
      <c r="G13" s="40"/>
      <c r="H13" s="32">
        <f t="shared" si="3"/>
        <v>0</v>
      </c>
      <c r="I13" s="41">
        <f t="shared" si="4"/>
        <v>0</v>
      </c>
      <c r="J13" s="39"/>
      <c r="K13" s="32">
        <f t="shared" si="5"/>
        <v>0</v>
      </c>
      <c r="L13" s="42"/>
      <c r="M13" s="32">
        <f t="shared" si="6"/>
        <v>0</v>
      </c>
      <c r="N13" s="39"/>
      <c r="O13" s="32">
        <f t="shared" si="7"/>
        <v>0</v>
      </c>
      <c r="P13" s="42"/>
      <c r="Q13" s="32">
        <f t="shared" si="8"/>
        <v>0</v>
      </c>
      <c r="R13" s="39"/>
      <c r="S13" s="32">
        <f t="shared" si="9"/>
        <v>0</v>
      </c>
      <c r="T13" s="39"/>
      <c r="U13" s="44"/>
      <c r="V13" s="39"/>
      <c r="W13" s="32">
        <f t="shared" si="10"/>
        <v>0</v>
      </c>
      <c r="X13" s="41">
        <f t="shared" si="11"/>
        <v>0</v>
      </c>
      <c r="Y13" s="43">
        <f t="shared" si="0"/>
        <v>0</v>
      </c>
      <c r="Z13" s="34">
        <f t="shared" si="12"/>
        <v>0</v>
      </c>
      <c r="AA13" s="34" t="e">
        <f t="shared" si="13"/>
        <v>#REF!</v>
      </c>
    </row>
    <row r="14" spans="1:27" ht="16.5" thickBot="1" x14ac:dyDescent="0.3">
      <c r="A14" s="7">
        <v>44573</v>
      </c>
      <c r="B14" s="32"/>
      <c r="C14" s="38"/>
      <c r="D14" s="32">
        <f t="shared" si="1"/>
        <v>0</v>
      </c>
      <c r="E14" s="39"/>
      <c r="F14" s="32">
        <f t="shared" si="2"/>
        <v>0</v>
      </c>
      <c r="G14" s="40"/>
      <c r="H14" s="32">
        <f t="shared" si="3"/>
        <v>0</v>
      </c>
      <c r="I14" s="41">
        <f t="shared" si="4"/>
        <v>0</v>
      </c>
      <c r="J14" s="39"/>
      <c r="K14" s="32">
        <f t="shared" si="5"/>
        <v>0</v>
      </c>
      <c r="L14" s="42"/>
      <c r="M14" s="32">
        <f t="shared" si="6"/>
        <v>0</v>
      </c>
      <c r="N14" s="39"/>
      <c r="O14" s="32">
        <f t="shared" si="7"/>
        <v>0</v>
      </c>
      <c r="P14" s="42"/>
      <c r="Q14" s="32">
        <f t="shared" si="8"/>
        <v>0</v>
      </c>
      <c r="R14" s="39"/>
      <c r="S14" s="32">
        <f t="shared" si="9"/>
        <v>0</v>
      </c>
      <c r="T14" s="39"/>
      <c r="U14" s="44"/>
      <c r="V14" s="39"/>
      <c r="W14" s="32">
        <f t="shared" si="10"/>
        <v>0</v>
      </c>
      <c r="X14" s="41">
        <f t="shared" si="11"/>
        <v>0</v>
      </c>
      <c r="Y14" s="43">
        <f t="shared" si="0"/>
        <v>0</v>
      </c>
      <c r="Z14" s="34">
        <f t="shared" si="12"/>
        <v>0</v>
      </c>
      <c r="AA14" s="34" t="e">
        <f t="shared" si="13"/>
        <v>#REF!</v>
      </c>
    </row>
    <row r="15" spans="1:27" ht="16.5" thickBot="1" x14ac:dyDescent="0.3">
      <c r="A15" s="7">
        <v>44574</v>
      </c>
      <c r="B15" s="32"/>
      <c r="C15" s="38"/>
      <c r="D15" s="32">
        <f t="shared" si="1"/>
        <v>0</v>
      </c>
      <c r="E15" s="39"/>
      <c r="F15" s="32">
        <f t="shared" si="2"/>
        <v>0</v>
      </c>
      <c r="G15" s="40"/>
      <c r="H15" s="32">
        <f t="shared" si="3"/>
        <v>0</v>
      </c>
      <c r="I15" s="41">
        <f t="shared" si="4"/>
        <v>0</v>
      </c>
      <c r="J15" s="39"/>
      <c r="K15" s="32">
        <f t="shared" si="5"/>
        <v>0</v>
      </c>
      <c r="L15" s="42"/>
      <c r="M15" s="32">
        <f t="shared" si="6"/>
        <v>0</v>
      </c>
      <c r="N15" s="39"/>
      <c r="O15" s="32">
        <f t="shared" si="7"/>
        <v>0</v>
      </c>
      <c r="P15" s="42"/>
      <c r="Q15" s="32">
        <f t="shared" si="8"/>
        <v>0</v>
      </c>
      <c r="R15" s="39"/>
      <c r="S15" s="32">
        <f t="shared" si="9"/>
        <v>0</v>
      </c>
      <c r="T15" s="39"/>
      <c r="U15" s="44"/>
      <c r="V15" s="39"/>
      <c r="W15" s="32">
        <f t="shared" si="10"/>
        <v>0</v>
      </c>
      <c r="X15" s="41">
        <f t="shared" si="11"/>
        <v>0</v>
      </c>
      <c r="Y15" s="43">
        <f t="shared" si="0"/>
        <v>0</v>
      </c>
      <c r="Z15" s="34">
        <f t="shared" si="12"/>
        <v>0</v>
      </c>
      <c r="AA15" s="34" t="e">
        <f t="shared" si="13"/>
        <v>#REF!</v>
      </c>
    </row>
    <row r="16" spans="1:27" ht="16.5" thickBot="1" x14ac:dyDescent="0.3">
      <c r="A16" s="7">
        <v>44575</v>
      </c>
      <c r="B16" s="32"/>
      <c r="C16" s="38"/>
      <c r="D16" s="32">
        <f t="shared" si="1"/>
        <v>0</v>
      </c>
      <c r="E16" s="39"/>
      <c r="F16" s="32">
        <f t="shared" si="2"/>
        <v>0</v>
      </c>
      <c r="G16" s="40"/>
      <c r="H16" s="32">
        <f t="shared" si="3"/>
        <v>0</v>
      </c>
      <c r="I16" s="41">
        <f t="shared" si="4"/>
        <v>0</v>
      </c>
      <c r="J16" s="39"/>
      <c r="K16" s="32">
        <f t="shared" si="5"/>
        <v>0</v>
      </c>
      <c r="L16" s="42"/>
      <c r="M16" s="32">
        <f t="shared" si="6"/>
        <v>0</v>
      </c>
      <c r="N16" s="39"/>
      <c r="O16" s="32">
        <f t="shared" si="7"/>
        <v>0</v>
      </c>
      <c r="P16" s="42"/>
      <c r="Q16" s="32">
        <f t="shared" si="8"/>
        <v>0</v>
      </c>
      <c r="R16" s="39"/>
      <c r="S16" s="32">
        <f t="shared" si="9"/>
        <v>0</v>
      </c>
      <c r="T16" s="39"/>
      <c r="U16" s="44"/>
      <c r="V16" s="39"/>
      <c r="W16" s="32">
        <f t="shared" si="10"/>
        <v>0</v>
      </c>
      <c r="X16" s="41">
        <f t="shared" si="11"/>
        <v>0</v>
      </c>
      <c r="Y16" s="43">
        <f t="shared" si="0"/>
        <v>0</v>
      </c>
      <c r="Z16" s="34">
        <f t="shared" si="12"/>
        <v>0</v>
      </c>
      <c r="AA16" s="34" t="e">
        <f t="shared" si="13"/>
        <v>#REF!</v>
      </c>
    </row>
    <row r="17" spans="1:27" s="46" customFormat="1" ht="16.5" thickBot="1" x14ac:dyDescent="0.3">
      <c r="A17" s="7">
        <v>44576</v>
      </c>
      <c r="B17" s="32"/>
      <c r="C17" s="38"/>
      <c r="D17" s="32">
        <f t="shared" si="1"/>
        <v>0</v>
      </c>
      <c r="E17" s="39"/>
      <c r="F17" s="32">
        <f t="shared" si="2"/>
        <v>0</v>
      </c>
      <c r="G17" s="40"/>
      <c r="H17" s="32">
        <f t="shared" si="3"/>
        <v>0</v>
      </c>
      <c r="I17" s="41">
        <f t="shared" si="4"/>
        <v>0</v>
      </c>
      <c r="J17" s="39"/>
      <c r="K17" s="32">
        <f t="shared" si="5"/>
        <v>0</v>
      </c>
      <c r="L17" s="42"/>
      <c r="M17" s="32">
        <f t="shared" si="6"/>
        <v>0</v>
      </c>
      <c r="N17" s="39"/>
      <c r="O17" s="32">
        <f t="shared" si="7"/>
        <v>0</v>
      </c>
      <c r="P17" s="42"/>
      <c r="Q17" s="32">
        <f t="shared" si="8"/>
        <v>0</v>
      </c>
      <c r="R17" s="39"/>
      <c r="S17" s="32">
        <f t="shared" si="9"/>
        <v>0</v>
      </c>
      <c r="T17" s="45"/>
      <c r="U17" s="44"/>
      <c r="V17" s="39"/>
      <c r="W17" s="32">
        <f t="shared" si="10"/>
        <v>0</v>
      </c>
      <c r="X17" s="41">
        <f t="shared" si="11"/>
        <v>0</v>
      </c>
      <c r="Y17" s="43">
        <f t="shared" si="0"/>
        <v>0</v>
      </c>
      <c r="Z17" s="34">
        <f t="shared" si="12"/>
        <v>0</v>
      </c>
      <c r="AA17" s="34" t="e">
        <f t="shared" si="13"/>
        <v>#REF!</v>
      </c>
    </row>
    <row r="18" spans="1:27" s="46" customFormat="1" ht="16.5" thickBot="1" x14ac:dyDescent="0.3">
      <c r="A18" s="7">
        <v>44577</v>
      </c>
      <c r="B18" s="32"/>
      <c r="C18" s="38"/>
      <c r="D18" s="32">
        <f t="shared" si="1"/>
        <v>0</v>
      </c>
      <c r="E18" s="39"/>
      <c r="F18" s="32">
        <f t="shared" si="2"/>
        <v>0</v>
      </c>
      <c r="G18" s="40"/>
      <c r="H18" s="32">
        <f t="shared" si="3"/>
        <v>0</v>
      </c>
      <c r="I18" s="41">
        <f t="shared" si="4"/>
        <v>0</v>
      </c>
      <c r="J18" s="39"/>
      <c r="K18" s="32">
        <f t="shared" si="5"/>
        <v>0</v>
      </c>
      <c r="L18" s="42"/>
      <c r="M18" s="32">
        <f t="shared" si="6"/>
        <v>0</v>
      </c>
      <c r="N18" s="39"/>
      <c r="O18" s="32">
        <f t="shared" si="7"/>
        <v>0</v>
      </c>
      <c r="P18" s="42"/>
      <c r="Q18" s="32">
        <f t="shared" si="8"/>
        <v>0</v>
      </c>
      <c r="R18" s="39"/>
      <c r="S18" s="32">
        <f t="shared" si="9"/>
        <v>0</v>
      </c>
      <c r="T18" s="45"/>
      <c r="U18" s="44"/>
      <c r="V18" s="39"/>
      <c r="W18" s="32">
        <f t="shared" si="10"/>
        <v>0</v>
      </c>
      <c r="X18" s="41">
        <f t="shared" si="11"/>
        <v>0</v>
      </c>
      <c r="Y18" s="43">
        <f t="shared" si="0"/>
        <v>0</v>
      </c>
      <c r="Z18" s="34">
        <f t="shared" si="12"/>
        <v>0</v>
      </c>
      <c r="AA18" s="34" t="e">
        <f t="shared" si="13"/>
        <v>#REF!</v>
      </c>
    </row>
    <row r="19" spans="1:27" s="46" customFormat="1" ht="16.5" thickBot="1" x14ac:dyDescent="0.3">
      <c r="A19" s="7">
        <v>44578</v>
      </c>
      <c r="B19" s="32"/>
      <c r="C19" s="38"/>
      <c r="D19" s="32">
        <f t="shared" si="1"/>
        <v>0</v>
      </c>
      <c r="E19" s="39"/>
      <c r="F19" s="32">
        <f t="shared" si="2"/>
        <v>0</v>
      </c>
      <c r="G19" s="40"/>
      <c r="H19" s="32">
        <f t="shared" si="3"/>
        <v>0</v>
      </c>
      <c r="I19" s="41">
        <f t="shared" si="4"/>
        <v>0</v>
      </c>
      <c r="J19" s="39"/>
      <c r="K19" s="32">
        <f t="shared" si="5"/>
        <v>0</v>
      </c>
      <c r="L19" s="42"/>
      <c r="M19" s="32">
        <f t="shared" si="6"/>
        <v>0</v>
      </c>
      <c r="N19" s="39"/>
      <c r="O19" s="32">
        <f t="shared" si="7"/>
        <v>0</v>
      </c>
      <c r="P19" s="42"/>
      <c r="Q19" s="32">
        <f t="shared" si="8"/>
        <v>0</v>
      </c>
      <c r="R19" s="39"/>
      <c r="S19" s="32">
        <f t="shared" si="9"/>
        <v>0</v>
      </c>
      <c r="T19" s="45"/>
      <c r="U19" s="44"/>
      <c r="V19" s="39"/>
      <c r="W19" s="32">
        <f t="shared" si="10"/>
        <v>0</v>
      </c>
      <c r="X19" s="41">
        <f t="shared" si="11"/>
        <v>0</v>
      </c>
      <c r="Y19" s="43">
        <f t="shared" si="0"/>
        <v>0</v>
      </c>
      <c r="Z19" s="34">
        <f t="shared" si="12"/>
        <v>0</v>
      </c>
      <c r="AA19" s="34" t="e">
        <f t="shared" si="13"/>
        <v>#REF!</v>
      </c>
    </row>
    <row r="20" spans="1:27" s="46" customFormat="1" ht="16.5" thickBot="1" x14ac:dyDescent="0.3">
      <c r="A20" s="7">
        <v>44579</v>
      </c>
      <c r="B20" s="32"/>
      <c r="C20" s="38"/>
      <c r="D20" s="32">
        <f t="shared" si="1"/>
        <v>0</v>
      </c>
      <c r="E20" s="39"/>
      <c r="F20" s="32">
        <f t="shared" si="2"/>
        <v>0</v>
      </c>
      <c r="G20" s="40"/>
      <c r="H20" s="32">
        <f t="shared" si="3"/>
        <v>0</v>
      </c>
      <c r="I20" s="41">
        <f t="shared" si="4"/>
        <v>0</v>
      </c>
      <c r="J20" s="39"/>
      <c r="K20" s="32">
        <f t="shared" si="5"/>
        <v>0</v>
      </c>
      <c r="L20" s="42"/>
      <c r="M20" s="32">
        <f t="shared" si="6"/>
        <v>0</v>
      </c>
      <c r="N20" s="39"/>
      <c r="O20" s="32">
        <f t="shared" si="7"/>
        <v>0</v>
      </c>
      <c r="P20" s="42"/>
      <c r="Q20" s="32">
        <f t="shared" si="8"/>
        <v>0</v>
      </c>
      <c r="R20" s="39"/>
      <c r="S20" s="32">
        <f t="shared" si="9"/>
        <v>0</v>
      </c>
      <c r="T20" s="45"/>
      <c r="U20" s="44"/>
      <c r="V20" s="39"/>
      <c r="W20" s="32">
        <f t="shared" si="10"/>
        <v>0</v>
      </c>
      <c r="X20" s="41">
        <f t="shared" si="11"/>
        <v>0</v>
      </c>
      <c r="Y20" s="43">
        <f t="shared" si="0"/>
        <v>0</v>
      </c>
      <c r="Z20" s="34">
        <f t="shared" si="12"/>
        <v>0</v>
      </c>
      <c r="AA20" s="34" t="e">
        <f t="shared" si="13"/>
        <v>#REF!</v>
      </c>
    </row>
    <row r="21" spans="1:27" s="46" customFormat="1" ht="16.5" thickBot="1" x14ac:dyDescent="0.3">
      <c r="A21" s="7">
        <v>44580</v>
      </c>
      <c r="B21" s="32"/>
      <c r="C21" s="38"/>
      <c r="D21" s="32">
        <f t="shared" si="1"/>
        <v>0</v>
      </c>
      <c r="E21" s="39"/>
      <c r="F21" s="32">
        <f t="shared" si="2"/>
        <v>0</v>
      </c>
      <c r="G21" s="40"/>
      <c r="H21" s="32">
        <f t="shared" si="3"/>
        <v>0</v>
      </c>
      <c r="I21" s="41">
        <f t="shared" si="4"/>
        <v>0</v>
      </c>
      <c r="J21" s="39"/>
      <c r="K21" s="32">
        <f t="shared" si="5"/>
        <v>0</v>
      </c>
      <c r="L21" s="42"/>
      <c r="M21" s="32">
        <f t="shared" si="6"/>
        <v>0</v>
      </c>
      <c r="N21" s="39"/>
      <c r="O21" s="32">
        <f t="shared" si="7"/>
        <v>0</v>
      </c>
      <c r="P21" s="42"/>
      <c r="Q21" s="32">
        <f t="shared" si="8"/>
        <v>0</v>
      </c>
      <c r="R21" s="39"/>
      <c r="S21" s="32">
        <f t="shared" si="9"/>
        <v>0</v>
      </c>
      <c r="T21" s="45"/>
      <c r="U21" s="44"/>
      <c r="V21" s="39"/>
      <c r="W21" s="32">
        <f t="shared" si="10"/>
        <v>0</v>
      </c>
      <c r="X21" s="41">
        <f t="shared" si="11"/>
        <v>0</v>
      </c>
      <c r="Y21" s="43">
        <f t="shared" si="0"/>
        <v>0</v>
      </c>
      <c r="Z21" s="34">
        <f t="shared" si="12"/>
        <v>0</v>
      </c>
      <c r="AA21" s="34" t="e">
        <f t="shared" si="13"/>
        <v>#REF!</v>
      </c>
    </row>
    <row r="22" spans="1:27" ht="16.5" thickBot="1" x14ac:dyDescent="0.3">
      <c r="A22" s="7">
        <v>44581</v>
      </c>
      <c r="B22" s="32"/>
      <c r="C22" s="38"/>
      <c r="D22" s="32">
        <f t="shared" si="1"/>
        <v>0</v>
      </c>
      <c r="E22" s="39"/>
      <c r="F22" s="32">
        <f t="shared" si="2"/>
        <v>0</v>
      </c>
      <c r="G22" s="40"/>
      <c r="H22" s="32">
        <f t="shared" si="3"/>
        <v>0</v>
      </c>
      <c r="I22" s="41">
        <f t="shared" si="4"/>
        <v>0</v>
      </c>
      <c r="J22" s="39"/>
      <c r="K22" s="32">
        <f t="shared" si="5"/>
        <v>0</v>
      </c>
      <c r="L22" s="42"/>
      <c r="M22" s="32">
        <f t="shared" si="6"/>
        <v>0</v>
      </c>
      <c r="N22" s="39"/>
      <c r="O22" s="32">
        <f t="shared" si="7"/>
        <v>0</v>
      </c>
      <c r="P22" s="42"/>
      <c r="Q22" s="32">
        <f t="shared" si="8"/>
        <v>0</v>
      </c>
      <c r="R22" s="39"/>
      <c r="S22" s="32">
        <f t="shared" si="9"/>
        <v>0</v>
      </c>
      <c r="T22" s="39"/>
      <c r="U22" s="44"/>
      <c r="V22" s="39"/>
      <c r="W22" s="32">
        <f t="shared" si="10"/>
        <v>0</v>
      </c>
      <c r="X22" s="41">
        <f t="shared" si="11"/>
        <v>0</v>
      </c>
      <c r="Y22" s="43">
        <f t="shared" si="0"/>
        <v>0</v>
      </c>
      <c r="Z22" s="34">
        <f t="shared" si="12"/>
        <v>0</v>
      </c>
      <c r="AA22" s="34" t="e">
        <f t="shared" si="13"/>
        <v>#REF!</v>
      </c>
    </row>
    <row r="23" spans="1:27" ht="16.5" thickBot="1" x14ac:dyDescent="0.3">
      <c r="A23" s="7">
        <v>44582</v>
      </c>
      <c r="B23" s="32"/>
      <c r="C23" s="38"/>
      <c r="D23" s="32">
        <f t="shared" si="1"/>
        <v>0</v>
      </c>
      <c r="E23" s="39"/>
      <c r="F23" s="32">
        <f t="shared" si="2"/>
        <v>0</v>
      </c>
      <c r="G23" s="40"/>
      <c r="H23" s="32">
        <f t="shared" si="3"/>
        <v>0</v>
      </c>
      <c r="I23" s="41">
        <f t="shared" si="4"/>
        <v>0</v>
      </c>
      <c r="J23" s="39"/>
      <c r="K23" s="32">
        <f t="shared" si="5"/>
        <v>0</v>
      </c>
      <c r="L23" s="42"/>
      <c r="M23" s="32">
        <f t="shared" si="6"/>
        <v>0</v>
      </c>
      <c r="N23" s="39"/>
      <c r="O23" s="32">
        <f t="shared" si="7"/>
        <v>0</v>
      </c>
      <c r="P23" s="42"/>
      <c r="Q23" s="32">
        <f t="shared" si="8"/>
        <v>0</v>
      </c>
      <c r="R23" s="39"/>
      <c r="S23" s="32">
        <f t="shared" si="9"/>
        <v>0</v>
      </c>
      <c r="T23" s="39"/>
      <c r="U23" s="44"/>
      <c r="V23" s="39"/>
      <c r="W23" s="32">
        <f t="shared" si="10"/>
        <v>0</v>
      </c>
      <c r="X23" s="41">
        <f t="shared" si="11"/>
        <v>0</v>
      </c>
      <c r="Y23" s="43">
        <f t="shared" si="0"/>
        <v>0</v>
      </c>
      <c r="Z23" s="34">
        <f t="shared" si="12"/>
        <v>0</v>
      </c>
      <c r="AA23" s="34" t="e">
        <f t="shared" si="13"/>
        <v>#REF!</v>
      </c>
    </row>
    <row r="24" spans="1:27" ht="16.5" thickBot="1" x14ac:dyDescent="0.3">
      <c r="A24" s="7">
        <v>44583</v>
      </c>
      <c r="B24" s="32"/>
      <c r="C24" s="38"/>
      <c r="D24" s="32">
        <f t="shared" si="1"/>
        <v>0</v>
      </c>
      <c r="E24" s="39"/>
      <c r="F24" s="32">
        <f t="shared" si="2"/>
        <v>0</v>
      </c>
      <c r="G24" s="40"/>
      <c r="H24" s="32">
        <f t="shared" si="3"/>
        <v>0</v>
      </c>
      <c r="I24" s="41">
        <f t="shared" si="4"/>
        <v>0</v>
      </c>
      <c r="J24" s="39"/>
      <c r="K24" s="32">
        <f t="shared" si="5"/>
        <v>0</v>
      </c>
      <c r="L24" s="42"/>
      <c r="M24" s="32">
        <f t="shared" si="6"/>
        <v>0</v>
      </c>
      <c r="N24" s="39"/>
      <c r="O24" s="32">
        <f t="shared" si="7"/>
        <v>0</v>
      </c>
      <c r="P24" s="42"/>
      <c r="Q24" s="32">
        <f t="shared" si="8"/>
        <v>0</v>
      </c>
      <c r="R24" s="39"/>
      <c r="S24" s="32">
        <f t="shared" si="9"/>
        <v>0</v>
      </c>
      <c r="T24" s="39"/>
      <c r="U24" s="44"/>
      <c r="V24" s="39"/>
      <c r="W24" s="32">
        <f t="shared" si="10"/>
        <v>0</v>
      </c>
      <c r="X24" s="41">
        <f t="shared" si="11"/>
        <v>0</v>
      </c>
      <c r="Y24" s="43">
        <f t="shared" si="0"/>
        <v>0</v>
      </c>
      <c r="Z24" s="34">
        <f t="shared" si="12"/>
        <v>0</v>
      </c>
      <c r="AA24" s="34" t="e">
        <f t="shared" si="13"/>
        <v>#REF!</v>
      </c>
    </row>
    <row r="25" spans="1:27" ht="16.5" thickBot="1" x14ac:dyDescent="0.3">
      <c r="A25" s="7">
        <v>44584</v>
      </c>
      <c r="B25" s="32"/>
      <c r="C25" s="38"/>
      <c r="D25" s="32">
        <f t="shared" si="1"/>
        <v>0</v>
      </c>
      <c r="E25" s="39"/>
      <c r="F25" s="32">
        <f t="shared" si="2"/>
        <v>0</v>
      </c>
      <c r="G25" s="40"/>
      <c r="H25" s="32">
        <f t="shared" si="3"/>
        <v>0</v>
      </c>
      <c r="I25" s="41">
        <f t="shared" si="4"/>
        <v>0</v>
      </c>
      <c r="J25" s="39"/>
      <c r="K25" s="32">
        <f t="shared" si="5"/>
        <v>0</v>
      </c>
      <c r="L25" s="42"/>
      <c r="M25" s="32">
        <f t="shared" si="6"/>
        <v>0</v>
      </c>
      <c r="N25" s="39"/>
      <c r="O25" s="32">
        <f t="shared" si="7"/>
        <v>0</v>
      </c>
      <c r="P25" s="42"/>
      <c r="Q25" s="32">
        <f t="shared" si="8"/>
        <v>0</v>
      </c>
      <c r="R25" s="39"/>
      <c r="S25" s="32">
        <f t="shared" si="9"/>
        <v>0</v>
      </c>
      <c r="T25" s="39"/>
      <c r="U25" s="44"/>
      <c r="V25" s="39"/>
      <c r="W25" s="32">
        <f t="shared" si="10"/>
        <v>0</v>
      </c>
      <c r="X25" s="41">
        <f t="shared" si="11"/>
        <v>0</v>
      </c>
      <c r="Y25" s="43">
        <f t="shared" si="0"/>
        <v>0</v>
      </c>
      <c r="Z25" s="34">
        <f t="shared" si="12"/>
        <v>0</v>
      </c>
      <c r="AA25" s="34" t="e">
        <f t="shared" si="13"/>
        <v>#REF!</v>
      </c>
    </row>
    <row r="26" spans="1:27" ht="16.5" thickBot="1" x14ac:dyDescent="0.3">
      <c r="A26" s="7">
        <v>44585</v>
      </c>
      <c r="B26" s="32"/>
      <c r="C26" s="38"/>
      <c r="D26" s="32">
        <f t="shared" si="1"/>
        <v>0</v>
      </c>
      <c r="E26" s="39"/>
      <c r="F26" s="32">
        <f t="shared" si="2"/>
        <v>0</v>
      </c>
      <c r="G26" s="40"/>
      <c r="H26" s="32">
        <f t="shared" si="3"/>
        <v>0</v>
      </c>
      <c r="I26" s="41">
        <f t="shared" si="4"/>
        <v>0</v>
      </c>
      <c r="J26" s="39"/>
      <c r="K26" s="32">
        <f t="shared" si="5"/>
        <v>0</v>
      </c>
      <c r="L26" s="42"/>
      <c r="M26" s="32">
        <f t="shared" si="6"/>
        <v>0</v>
      </c>
      <c r="N26" s="39"/>
      <c r="O26" s="32">
        <f t="shared" si="7"/>
        <v>0</v>
      </c>
      <c r="P26" s="42"/>
      <c r="Q26" s="32">
        <f t="shared" si="8"/>
        <v>0</v>
      </c>
      <c r="R26" s="39"/>
      <c r="S26" s="32">
        <f t="shared" si="9"/>
        <v>0</v>
      </c>
      <c r="T26" s="39"/>
      <c r="U26" s="44"/>
      <c r="V26" s="39"/>
      <c r="W26" s="32">
        <f t="shared" si="10"/>
        <v>0</v>
      </c>
      <c r="X26" s="41">
        <f t="shared" si="11"/>
        <v>0</v>
      </c>
      <c r="Y26" s="43">
        <f t="shared" si="0"/>
        <v>0</v>
      </c>
      <c r="Z26" s="34">
        <f t="shared" si="12"/>
        <v>0</v>
      </c>
      <c r="AA26" s="34" t="e">
        <f t="shared" si="13"/>
        <v>#REF!</v>
      </c>
    </row>
    <row r="27" spans="1:27" ht="16.5" thickBot="1" x14ac:dyDescent="0.3">
      <c r="A27" s="7">
        <v>44586</v>
      </c>
      <c r="B27" s="32"/>
      <c r="C27" s="38"/>
      <c r="D27" s="32">
        <f t="shared" si="1"/>
        <v>0</v>
      </c>
      <c r="E27" s="39"/>
      <c r="F27" s="32">
        <f t="shared" si="2"/>
        <v>0</v>
      </c>
      <c r="G27" s="40"/>
      <c r="H27" s="32">
        <f t="shared" si="3"/>
        <v>0</v>
      </c>
      <c r="I27" s="41">
        <f t="shared" si="4"/>
        <v>0</v>
      </c>
      <c r="J27" s="39"/>
      <c r="K27" s="32">
        <f t="shared" si="5"/>
        <v>0</v>
      </c>
      <c r="L27" s="42"/>
      <c r="M27" s="32">
        <f t="shared" si="6"/>
        <v>0</v>
      </c>
      <c r="N27" s="39"/>
      <c r="O27" s="32">
        <f t="shared" si="7"/>
        <v>0</v>
      </c>
      <c r="P27" s="42"/>
      <c r="Q27" s="32">
        <f t="shared" si="8"/>
        <v>0</v>
      </c>
      <c r="R27" s="39"/>
      <c r="S27" s="32">
        <f t="shared" si="9"/>
        <v>0</v>
      </c>
      <c r="T27" s="39"/>
      <c r="U27" s="44"/>
      <c r="V27" s="39"/>
      <c r="W27" s="32">
        <f t="shared" si="10"/>
        <v>0</v>
      </c>
      <c r="X27" s="41">
        <f t="shared" si="11"/>
        <v>0</v>
      </c>
      <c r="Y27" s="43">
        <f t="shared" si="0"/>
        <v>0</v>
      </c>
      <c r="Z27" s="34">
        <f t="shared" si="12"/>
        <v>0</v>
      </c>
      <c r="AA27" s="34" t="e">
        <f t="shared" si="13"/>
        <v>#REF!</v>
      </c>
    </row>
    <row r="28" spans="1:27" ht="16.5" thickBot="1" x14ac:dyDescent="0.3">
      <c r="A28" s="7">
        <v>44587</v>
      </c>
      <c r="B28" s="32"/>
      <c r="C28" s="38"/>
      <c r="D28" s="32">
        <f t="shared" si="1"/>
        <v>0</v>
      </c>
      <c r="E28" s="39"/>
      <c r="F28" s="32">
        <f t="shared" si="2"/>
        <v>0</v>
      </c>
      <c r="G28" s="40"/>
      <c r="H28" s="32">
        <f t="shared" si="3"/>
        <v>0</v>
      </c>
      <c r="I28" s="41">
        <f t="shared" si="4"/>
        <v>0</v>
      </c>
      <c r="J28" s="39"/>
      <c r="K28" s="32">
        <f t="shared" si="5"/>
        <v>0</v>
      </c>
      <c r="L28" s="42"/>
      <c r="M28" s="32">
        <f t="shared" si="6"/>
        <v>0</v>
      </c>
      <c r="N28" s="39"/>
      <c r="O28" s="32">
        <f t="shared" si="7"/>
        <v>0</v>
      </c>
      <c r="P28" s="42"/>
      <c r="Q28" s="32">
        <f t="shared" si="8"/>
        <v>0</v>
      </c>
      <c r="R28" s="39"/>
      <c r="S28" s="32">
        <f t="shared" si="9"/>
        <v>0</v>
      </c>
      <c r="T28" s="39"/>
      <c r="U28" s="44"/>
      <c r="V28" s="39"/>
      <c r="W28" s="32">
        <f t="shared" si="10"/>
        <v>0</v>
      </c>
      <c r="X28" s="41">
        <f t="shared" si="11"/>
        <v>0</v>
      </c>
      <c r="Y28" s="43">
        <f t="shared" si="0"/>
        <v>0</v>
      </c>
      <c r="Z28" s="34">
        <f t="shared" si="12"/>
        <v>0</v>
      </c>
      <c r="AA28" s="34" t="e">
        <f t="shared" si="13"/>
        <v>#REF!</v>
      </c>
    </row>
    <row r="29" spans="1:27" ht="16.5" thickBot="1" x14ac:dyDescent="0.3">
      <c r="A29" s="7">
        <v>44588</v>
      </c>
      <c r="B29" s="32"/>
      <c r="C29" s="38"/>
      <c r="D29" s="32">
        <f t="shared" si="1"/>
        <v>0</v>
      </c>
      <c r="E29" s="39"/>
      <c r="F29" s="32">
        <f t="shared" si="2"/>
        <v>0</v>
      </c>
      <c r="G29" s="40"/>
      <c r="H29" s="32">
        <f t="shared" si="3"/>
        <v>0</v>
      </c>
      <c r="I29" s="41">
        <f t="shared" si="4"/>
        <v>0</v>
      </c>
      <c r="J29" s="39"/>
      <c r="K29" s="32">
        <f t="shared" si="5"/>
        <v>0</v>
      </c>
      <c r="L29" s="42"/>
      <c r="M29" s="32">
        <f t="shared" si="6"/>
        <v>0</v>
      </c>
      <c r="N29" s="39"/>
      <c r="O29" s="32">
        <f t="shared" si="7"/>
        <v>0</v>
      </c>
      <c r="P29" s="42"/>
      <c r="Q29" s="32">
        <f t="shared" si="8"/>
        <v>0</v>
      </c>
      <c r="R29" s="39"/>
      <c r="S29" s="32">
        <f t="shared" si="9"/>
        <v>0</v>
      </c>
      <c r="T29" s="39"/>
      <c r="U29" s="44"/>
      <c r="V29" s="39"/>
      <c r="W29" s="32">
        <f t="shared" si="10"/>
        <v>0</v>
      </c>
      <c r="X29" s="41">
        <f t="shared" si="11"/>
        <v>0</v>
      </c>
      <c r="Y29" s="43">
        <f t="shared" si="0"/>
        <v>0</v>
      </c>
      <c r="Z29" s="34">
        <f t="shared" si="12"/>
        <v>0</v>
      </c>
      <c r="AA29" s="34" t="e">
        <f t="shared" si="13"/>
        <v>#REF!</v>
      </c>
    </row>
    <row r="30" spans="1:27" ht="16.5" thickBot="1" x14ac:dyDescent="0.3">
      <c r="A30" s="7">
        <v>44589</v>
      </c>
      <c r="B30" s="32"/>
      <c r="C30" s="38"/>
      <c r="D30" s="32">
        <f t="shared" si="1"/>
        <v>0</v>
      </c>
      <c r="E30" s="39"/>
      <c r="F30" s="32">
        <f t="shared" si="2"/>
        <v>0</v>
      </c>
      <c r="G30" s="40"/>
      <c r="H30" s="32">
        <f t="shared" si="3"/>
        <v>0</v>
      </c>
      <c r="I30" s="41">
        <f t="shared" si="4"/>
        <v>0</v>
      </c>
      <c r="J30" s="39"/>
      <c r="K30" s="32">
        <f t="shared" si="5"/>
        <v>0</v>
      </c>
      <c r="L30" s="42"/>
      <c r="M30" s="32">
        <f t="shared" si="6"/>
        <v>0</v>
      </c>
      <c r="N30" s="39"/>
      <c r="O30" s="32">
        <f t="shared" si="7"/>
        <v>0</v>
      </c>
      <c r="P30" s="42"/>
      <c r="Q30" s="32">
        <f t="shared" si="8"/>
        <v>0</v>
      </c>
      <c r="R30" s="39"/>
      <c r="S30" s="32">
        <f t="shared" si="9"/>
        <v>0</v>
      </c>
      <c r="T30" s="39"/>
      <c r="U30" s="44"/>
      <c r="V30" s="39"/>
      <c r="W30" s="32">
        <f t="shared" si="10"/>
        <v>0</v>
      </c>
      <c r="X30" s="41">
        <f t="shared" si="11"/>
        <v>0</v>
      </c>
      <c r="Y30" s="43">
        <f t="shared" si="0"/>
        <v>0</v>
      </c>
      <c r="Z30" s="34">
        <f t="shared" si="12"/>
        <v>0</v>
      </c>
      <c r="AA30" s="34" t="e">
        <f t="shared" si="13"/>
        <v>#REF!</v>
      </c>
    </row>
    <row r="31" spans="1:27" ht="16.5" thickBot="1" x14ac:dyDescent="0.3">
      <c r="A31" s="7">
        <v>44590</v>
      </c>
      <c r="B31" s="32"/>
      <c r="C31" s="38"/>
      <c r="D31" s="32">
        <f t="shared" si="1"/>
        <v>0</v>
      </c>
      <c r="E31" s="39"/>
      <c r="F31" s="32">
        <f t="shared" si="2"/>
        <v>0</v>
      </c>
      <c r="G31" s="40"/>
      <c r="H31" s="32">
        <f t="shared" si="3"/>
        <v>0</v>
      </c>
      <c r="I31" s="41">
        <f t="shared" si="4"/>
        <v>0</v>
      </c>
      <c r="J31" s="39"/>
      <c r="K31" s="32">
        <f t="shared" si="5"/>
        <v>0</v>
      </c>
      <c r="L31" s="42"/>
      <c r="M31" s="32">
        <f t="shared" si="6"/>
        <v>0</v>
      </c>
      <c r="N31" s="39"/>
      <c r="O31" s="32">
        <f t="shared" si="7"/>
        <v>0</v>
      </c>
      <c r="P31" s="42"/>
      <c r="Q31" s="32">
        <f t="shared" si="8"/>
        <v>0</v>
      </c>
      <c r="R31" s="39"/>
      <c r="S31" s="32">
        <f t="shared" si="9"/>
        <v>0</v>
      </c>
      <c r="T31" s="39"/>
      <c r="U31" s="10"/>
      <c r="V31" s="39"/>
      <c r="W31" s="32">
        <f t="shared" si="10"/>
        <v>0</v>
      </c>
      <c r="X31" s="41">
        <f t="shared" si="11"/>
        <v>0</v>
      </c>
      <c r="Y31" s="43">
        <f t="shared" si="0"/>
        <v>0</v>
      </c>
      <c r="Z31" s="34">
        <f t="shared" si="12"/>
        <v>0</v>
      </c>
      <c r="AA31" s="34" t="e">
        <f t="shared" si="13"/>
        <v>#REF!</v>
      </c>
    </row>
    <row r="32" spans="1:27" ht="16.5" thickBot="1" x14ac:dyDescent="0.3">
      <c r="A32" s="7">
        <v>44591</v>
      </c>
      <c r="B32" s="32"/>
      <c r="C32" s="38"/>
      <c r="D32" s="32">
        <f t="shared" si="1"/>
        <v>0</v>
      </c>
      <c r="E32" s="39"/>
      <c r="F32" s="32">
        <f t="shared" si="2"/>
        <v>0</v>
      </c>
      <c r="G32" s="40"/>
      <c r="H32" s="32">
        <f t="shared" si="3"/>
        <v>0</v>
      </c>
      <c r="I32" s="41">
        <f t="shared" si="4"/>
        <v>0</v>
      </c>
      <c r="J32" s="39"/>
      <c r="K32" s="32">
        <f t="shared" si="5"/>
        <v>0</v>
      </c>
      <c r="L32" s="42"/>
      <c r="M32" s="32">
        <f t="shared" si="6"/>
        <v>0</v>
      </c>
      <c r="N32" s="39"/>
      <c r="O32" s="32">
        <f t="shared" si="7"/>
        <v>0</v>
      </c>
      <c r="P32" s="42"/>
      <c r="Q32" s="32">
        <f t="shared" si="8"/>
        <v>0</v>
      </c>
      <c r="R32" s="39"/>
      <c r="S32" s="32">
        <f t="shared" si="9"/>
        <v>0</v>
      </c>
      <c r="T32" s="39"/>
      <c r="U32" s="10"/>
      <c r="V32" s="39"/>
      <c r="W32" s="32">
        <f t="shared" si="10"/>
        <v>0</v>
      </c>
      <c r="X32" s="41">
        <f t="shared" si="11"/>
        <v>0</v>
      </c>
      <c r="Y32" s="43">
        <f t="shared" si="0"/>
        <v>0</v>
      </c>
      <c r="Z32" s="34">
        <f t="shared" si="12"/>
        <v>0</v>
      </c>
      <c r="AA32" s="34" t="e">
        <f t="shared" si="13"/>
        <v>#REF!</v>
      </c>
    </row>
    <row r="33" spans="1:27" ht="16.5" thickBot="1" x14ac:dyDescent="0.3">
      <c r="A33" s="7">
        <v>44592</v>
      </c>
      <c r="B33" s="32"/>
      <c r="C33" s="38"/>
      <c r="D33" s="32">
        <f t="shared" si="1"/>
        <v>0</v>
      </c>
      <c r="E33" s="39"/>
      <c r="F33" s="32">
        <f t="shared" si="2"/>
        <v>0</v>
      </c>
      <c r="G33" s="40"/>
      <c r="H33" s="32">
        <f t="shared" si="3"/>
        <v>0</v>
      </c>
      <c r="I33" s="41"/>
      <c r="J33" s="39"/>
      <c r="K33" s="32"/>
      <c r="L33" s="42"/>
      <c r="M33" s="32"/>
      <c r="N33" s="39"/>
      <c r="O33" s="32">
        <f t="shared" si="7"/>
        <v>0</v>
      </c>
      <c r="P33" s="42"/>
      <c r="Q33" s="32">
        <f t="shared" si="8"/>
        <v>0</v>
      </c>
      <c r="R33" s="39"/>
      <c r="S33" s="32">
        <f t="shared" si="9"/>
        <v>0</v>
      </c>
      <c r="T33" s="39"/>
      <c r="U33" s="10"/>
      <c r="V33" s="39"/>
      <c r="W33" s="32">
        <f t="shared" si="10"/>
        <v>0</v>
      </c>
      <c r="X33" s="41">
        <f t="shared" si="11"/>
        <v>0</v>
      </c>
      <c r="Y33" s="43">
        <f t="shared" si="0"/>
        <v>0</v>
      </c>
      <c r="Z33" s="34">
        <f t="shared" si="12"/>
        <v>0</v>
      </c>
      <c r="AA33" s="34" t="e">
        <f t="shared" si="13"/>
        <v>#REF!</v>
      </c>
    </row>
    <row r="34" spans="1:27" ht="16.5" thickBot="1" x14ac:dyDescent="0.3">
      <c r="A34" s="31" t="s">
        <v>14</v>
      </c>
      <c r="B34" s="47">
        <f>SUM(B3:B33)</f>
        <v>448</v>
      </c>
      <c r="C34" s="47"/>
      <c r="D34" s="47">
        <f>SUM(D3:D33)</f>
        <v>640</v>
      </c>
      <c r="E34" s="48">
        <v>0</v>
      </c>
      <c r="F34" s="48">
        <f>SUM(F3:F33)</f>
        <v>21441</v>
      </c>
      <c r="G34" s="48">
        <v>0</v>
      </c>
      <c r="H34" s="48">
        <f>SUM(H3:H33)</f>
        <v>67410</v>
      </c>
      <c r="I34" s="48">
        <f>SUM(I6:I33)</f>
        <v>0</v>
      </c>
      <c r="J34" s="48">
        <v>0</v>
      </c>
      <c r="K34" s="48">
        <f>SUM(K3:K33)</f>
        <v>15424</v>
      </c>
      <c r="L34" s="48">
        <v>0</v>
      </c>
      <c r="M34" s="48">
        <f>SUM(M3:M33)</f>
        <v>10587</v>
      </c>
      <c r="N34" s="48">
        <v>0</v>
      </c>
      <c r="O34" s="48">
        <f>SUM(O3:O33)</f>
        <v>10588</v>
      </c>
      <c r="P34" s="48">
        <v>0</v>
      </c>
      <c r="Q34" s="48">
        <f>SUM(Q3:Q33)</f>
        <v>4342</v>
      </c>
      <c r="R34" s="48">
        <v>0</v>
      </c>
      <c r="S34" s="48">
        <f>SUM(S3:S33)</f>
        <v>17170</v>
      </c>
      <c r="T34" s="48">
        <f>SUM(T6:T33)</f>
        <v>0</v>
      </c>
      <c r="U34" s="48">
        <f>SUM(U3:U33)</f>
        <v>0</v>
      </c>
      <c r="V34" s="48">
        <v>0</v>
      </c>
      <c r="W34" s="48">
        <f>SUM(W3:W33)</f>
        <v>18088</v>
      </c>
      <c r="X34" s="48">
        <f>SUM(X6:X33)</f>
        <v>0</v>
      </c>
      <c r="Y34" s="48">
        <f>SUM(Y3:Y33)</f>
        <v>12652</v>
      </c>
      <c r="Z34" s="48">
        <f>SUM(Z3:Z33)</f>
        <v>10719.038761600001</v>
      </c>
      <c r="AA34" s="48" t="e">
        <f>SUM(AA3:AA33)</f>
        <v>#REF!</v>
      </c>
    </row>
    <row r="37" spans="1:27" x14ac:dyDescent="0.25">
      <c r="D37" s="51"/>
    </row>
    <row r="45" spans="1:27" ht="15" x14ac:dyDescent="0.2">
      <c r="A45" s="37"/>
      <c r="B45" s="53"/>
      <c r="C45" s="53"/>
      <c r="D45" s="53"/>
      <c r="Z45" s="37"/>
      <c r="AA45" s="37"/>
    </row>
  </sheetData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{5BF59A2A-42AD-4D22-8140-8FD8A3BD8BB8}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F59A2A-42AD-4D22-8140-8FD8A3BD8B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workbookViewId="0">
      <selection activeCell="A4" sqref="A4:XFD4"/>
    </sheetView>
  </sheetViews>
  <sheetFormatPr defaultRowHeight="15" x14ac:dyDescent="0.25"/>
  <cols>
    <col min="1" max="1" width="20.85546875" style="12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54" t="s">
        <v>0</v>
      </c>
      <c r="B1" s="34" t="s">
        <v>67</v>
      </c>
      <c r="C1" s="35" t="s">
        <v>55</v>
      </c>
      <c r="D1" s="34" t="s">
        <v>68</v>
      </c>
      <c r="E1" s="35" t="s">
        <v>55</v>
      </c>
      <c r="F1" s="34" t="s">
        <v>69</v>
      </c>
      <c r="G1" s="35" t="s">
        <v>55</v>
      </c>
      <c r="H1" s="34" t="s">
        <v>70</v>
      </c>
      <c r="I1" s="55" t="s">
        <v>55</v>
      </c>
      <c r="J1" s="34" t="s">
        <v>14</v>
      </c>
      <c r="K1" s="34" t="s">
        <v>71</v>
      </c>
    </row>
    <row r="2" spans="1:14" ht="16.5" thickBot="1" x14ac:dyDescent="0.3">
      <c r="A2" s="7">
        <v>44561</v>
      </c>
      <c r="B2" s="34">
        <v>435789</v>
      </c>
      <c r="C2" s="32">
        <v>0</v>
      </c>
      <c r="D2" s="34">
        <v>1292</v>
      </c>
      <c r="E2" s="32">
        <v>0</v>
      </c>
      <c r="F2" s="34">
        <v>7381100</v>
      </c>
      <c r="G2" s="32"/>
      <c r="H2" s="34">
        <v>766162</v>
      </c>
      <c r="I2" s="56">
        <v>0</v>
      </c>
      <c r="J2" s="41">
        <v>0</v>
      </c>
      <c r="K2" s="57">
        <f t="shared" ref="K2" si="0">J2*5.86</f>
        <v>0</v>
      </c>
    </row>
    <row r="3" spans="1:14" ht="16.5" thickBot="1" x14ac:dyDescent="0.3">
      <c r="A3" s="7">
        <v>44562</v>
      </c>
      <c r="B3" s="34">
        <v>435872</v>
      </c>
      <c r="C3" s="32">
        <f t="shared" ref="C3:C33" si="1">(IF((B3-B2)&lt;0,"0",(B3-B2)))*10</f>
        <v>830</v>
      </c>
      <c r="D3" s="34">
        <v>1344</v>
      </c>
      <c r="E3" s="32">
        <f t="shared" ref="E3:E33" si="2">(D3-D2)*10</f>
        <v>520</v>
      </c>
      <c r="F3" s="34">
        <v>7392600</v>
      </c>
      <c r="G3" s="32">
        <f t="shared" ref="G2:G33" si="3">(IF((F3-F2)&lt;0,"0",(F3-F2)))*0.027</f>
        <v>310.5</v>
      </c>
      <c r="H3" s="34">
        <v>766323</v>
      </c>
      <c r="I3" s="56">
        <f t="shared" ref="I3:I33" si="4">(IF((H3-H2)&lt;0,"0",(H3-H2)))*0.027</f>
        <v>4.3469999999999995</v>
      </c>
      <c r="J3" s="41"/>
      <c r="K3" s="57"/>
    </row>
    <row r="4" spans="1:14" ht="16.5" thickBot="1" x14ac:dyDescent="0.3">
      <c r="A4" s="7">
        <v>44563</v>
      </c>
      <c r="B4" s="34">
        <v>435950</v>
      </c>
      <c r="C4" s="32">
        <f t="shared" si="1"/>
        <v>780</v>
      </c>
      <c r="D4" s="34">
        <v>1389</v>
      </c>
      <c r="E4" s="32">
        <f t="shared" si="2"/>
        <v>450</v>
      </c>
      <c r="F4" s="34">
        <v>7402800</v>
      </c>
      <c r="G4" s="32">
        <f t="shared" si="3"/>
        <v>275.39999999999998</v>
      </c>
      <c r="H4" s="34">
        <v>766502</v>
      </c>
      <c r="I4" s="56">
        <f t="shared" si="4"/>
        <v>4.8330000000000002</v>
      </c>
      <c r="J4" s="41"/>
      <c r="K4" s="57"/>
    </row>
    <row r="5" spans="1:14" ht="16.5" thickBot="1" x14ac:dyDescent="0.3">
      <c r="A5" s="7">
        <v>44564</v>
      </c>
      <c r="B5" s="34">
        <f t="shared" ref="B5:B33" si="5">B4</f>
        <v>435950</v>
      </c>
      <c r="C5" s="32">
        <f t="shared" si="1"/>
        <v>0</v>
      </c>
      <c r="D5" s="34">
        <f t="shared" ref="D5:D33" si="6">D4</f>
        <v>1389</v>
      </c>
      <c r="E5" s="32">
        <f t="shared" si="2"/>
        <v>0</v>
      </c>
      <c r="F5" s="34">
        <f t="shared" ref="F5:F33" si="7">F4</f>
        <v>7402800</v>
      </c>
      <c r="G5" s="32">
        <f t="shared" si="3"/>
        <v>0</v>
      </c>
      <c r="H5" s="34">
        <f t="shared" ref="H5:H33" si="8">H4</f>
        <v>766502</v>
      </c>
      <c r="I5" s="56">
        <f t="shared" si="4"/>
        <v>0</v>
      </c>
      <c r="J5" s="41"/>
      <c r="K5" s="57"/>
    </row>
    <row r="6" spans="1:14" ht="16.5" thickBot="1" x14ac:dyDescent="0.3">
      <c r="A6" s="7">
        <v>44565</v>
      </c>
      <c r="B6" s="34">
        <f t="shared" si="5"/>
        <v>435950</v>
      </c>
      <c r="C6" s="32">
        <f t="shared" si="1"/>
        <v>0</v>
      </c>
      <c r="D6" s="34">
        <f t="shared" si="6"/>
        <v>1389</v>
      </c>
      <c r="E6" s="32">
        <f t="shared" si="2"/>
        <v>0</v>
      </c>
      <c r="F6" s="34">
        <f t="shared" si="7"/>
        <v>7402800</v>
      </c>
      <c r="G6" s="32">
        <f t="shared" si="3"/>
        <v>0</v>
      </c>
      <c r="H6" s="34">
        <f t="shared" si="8"/>
        <v>766502</v>
      </c>
      <c r="I6" s="56">
        <f t="shared" si="4"/>
        <v>0</v>
      </c>
      <c r="J6" s="41"/>
      <c r="K6" s="57"/>
    </row>
    <row r="7" spans="1:14" ht="16.5" thickBot="1" x14ac:dyDescent="0.3">
      <c r="A7" s="7">
        <v>44566</v>
      </c>
      <c r="B7" s="34">
        <f t="shared" si="5"/>
        <v>435950</v>
      </c>
      <c r="C7" s="32">
        <f t="shared" si="1"/>
        <v>0</v>
      </c>
      <c r="D7" s="34">
        <f t="shared" si="6"/>
        <v>1389</v>
      </c>
      <c r="E7" s="32">
        <f t="shared" si="2"/>
        <v>0</v>
      </c>
      <c r="F7" s="34">
        <f t="shared" si="7"/>
        <v>7402800</v>
      </c>
      <c r="G7" s="32">
        <f t="shared" si="3"/>
        <v>0</v>
      </c>
      <c r="H7" s="34">
        <f t="shared" si="8"/>
        <v>766502</v>
      </c>
      <c r="I7" s="56">
        <f t="shared" si="4"/>
        <v>0</v>
      </c>
      <c r="J7" s="41"/>
      <c r="K7" s="57"/>
      <c r="L7" t="s">
        <v>13</v>
      </c>
      <c r="N7" t="s">
        <v>13</v>
      </c>
    </row>
    <row r="8" spans="1:14" ht="16.5" thickBot="1" x14ac:dyDescent="0.3">
      <c r="A8" s="7">
        <v>44567</v>
      </c>
      <c r="B8" s="34">
        <f t="shared" si="5"/>
        <v>435950</v>
      </c>
      <c r="C8" s="32">
        <f t="shared" si="1"/>
        <v>0</v>
      </c>
      <c r="D8" s="34">
        <f t="shared" si="6"/>
        <v>1389</v>
      </c>
      <c r="E8" s="32">
        <f t="shared" si="2"/>
        <v>0</v>
      </c>
      <c r="F8" s="34">
        <f t="shared" si="7"/>
        <v>7402800</v>
      </c>
      <c r="G8" s="32">
        <f t="shared" si="3"/>
        <v>0</v>
      </c>
      <c r="H8" s="34">
        <f t="shared" si="8"/>
        <v>766502</v>
      </c>
      <c r="I8" s="56">
        <f t="shared" si="4"/>
        <v>0</v>
      </c>
      <c r="J8" s="41"/>
      <c r="K8" s="57"/>
    </row>
    <row r="9" spans="1:14" ht="16.5" thickBot="1" x14ac:dyDescent="0.3">
      <c r="A9" s="7">
        <v>44568</v>
      </c>
      <c r="B9" s="34">
        <f t="shared" si="5"/>
        <v>435950</v>
      </c>
      <c r="C9" s="32">
        <f t="shared" si="1"/>
        <v>0</v>
      </c>
      <c r="D9" s="34">
        <f t="shared" si="6"/>
        <v>1389</v>
      </c>
      <c r="E9" s="32">
        <f t="shared" si="2"/>
        <v>0</v>
      </c>
      <c r="F9" s="34">
        <f t="shared" si="7"/>
        <v>7402800</v>
      </c>
      <c r="G9" s="32">
        <f t="shared" si="3"/>
        <v>0</v>
      </c>
      <c r="H9" s="34">
        <f t="shared" si="8"/>
        <v>766502</v>
      </c>
      <c r="I9" s="56">
        <f t="shared" si="4"/>
        <v>0</v>
      </c>
      <c r="J9" s="41"/>
      <c r="K9" s="57"/>
    </row>
    <row r="10" spans="1:14" ht="16.5" thickBot="1" x14ac:dyDescent="0.3">
      <c r="A10" s="7">
        <v>44569</v>
      </c>
      <c r="B10" s="34">
        <f t="shared" si="5"/>
        <v>435950</v>
      </c>
      <c r="C10" s="32">
        <f t="shared" si="1"/>
        <v>0</v>
      </c>
      <c r="D10" s="34">
        <f t="shared" si="6"/>
        <v>1389</v>
      </c>
      <c r="E10" s="32">
        <f t="shared" si="2"/>
        <v>0</v>
      </c>
      <c r="F10" s="34">
        <f t="shared" si="7"/>
        <v>7402800</v>
      </c>
      <c r="G10" s="32">
        <f t="shared" si="3"/>
        <v>0</v>
      </c>
      <c r="H10" s="34">
        <f t="shared" si="8"/>
        <v>766502</v>
      </c>
      <c r="I10" s="56">
        <f t="shared" si="4"/>
        <v>0</v>
      </c>
      <c r="J10" s="41"/>
      <c r="K10" s="57"/>
    </row>
    <row r="11" spans="1:14" ht="16.5" thickBot="1" x14ac:dyDescent="0.3">
      <c r="A11" s="7">
        <v>44570</v>
      </c>
      <c r="B11" s="34">
        <f t="shared" si="5"/>
        <v>435950</v>
      </c>
      <c r="C11" s="32">
        <f t="shared" si="1"/>
        <v>0</v>
      </c>
      <c r="D11" s="34">
        <f t="shared" si="6"/>
        <v>1389</v>
      </c>
      <c r="E11" s="32">
        <f t="shared" si="2"/>
        <v>0</v>
      </c>
      <c r="F11" s="34">
        <f t="shared" si="7"/>
        <v>7402800</v>
      </c>
      <c r="G11" s="32">
        <f t="shared" si="3"/>
        <v>0</v>
      </c>
      <c r="H11" s="34">
        <f t="shared" si="8"/>
        <v>766502</v>
      </c>
      <c r="I11" s="56">
        <f t="shared" si="4"/>
        <v>0</v>
      </c>
      <c r="J11" s="41"/>
      <c r="K11" s="57"/>
      <c r="N11" t="s">
        <v>13</v>
      </c>
    </row>
    <row r="12" spans="1:14" ht="16.5" thickBot="1" x14ac:dyDescent="0.3">
      <c r="A12" s="7">
        <v>44571</v>
      </c>
      <c r="B12" s="34">
        <f t="shared" si="5"/>
        <v>435950</v>
      </c>
      <c r="C12" s="32">
        <f t="shared" si="1"/>
        <v>0</v>
      </c>
      <c r="D12" s="34">
        <f t="shared" si="6"/>
        <v>1389</v>
      </c>
      <c r="E12" s="32">
        <f t="shared" si="2"/>
        <v>0</v>
      </c>
      <c r="F12" s="34">
        <f t="shared" si="7"/>
        <v>7402800</v>
      </c>
      <c r="G12" s="32">
        <f t="shared" si="3"/>
        <v>0</v>
      </c>
      <c r="H12" s="34">
        <f t="shared" si="8"/>
        <v>766502</v>
      </c>
      <c r="I12" s="56">
        <f t="shared" si="4"/>
        <v>0</v>
      </c>
      <c r="J12" s="41"/>
      <c r="K12" s="57"/>
    </row>
    <row r="13" spans="1:14" ht="16.5" thickBot="1" x14ac:dyDescent="0.3">
      <c r="A13" s="7">
        <v>44572</v>
      </c>
      <c r="B13" s="34">
        <f t="shared" si="5"/>
        <v>435950</v>
      </c>
      <c r="C13" s="32">
        <f t="shared" si="1"/>
        <v>0</v>
      </c>
      <c r="D13" s="34">
        <f t="shared" si="6"/>
        <v>1389</v>
      </c>
      <c r="E13" s="32">
        <f t="shared" si="2"/>
        <v>0</v>
      </c>
      <c r="F13" s="34">
        <f t="shared" si="7"/>
        <v>7402800</v>
      </c>
      <c r="G13" s="32">
        <f t="shared" si="3"/>
        <v>0</v>
      </c>
      <c r="H13" s="34">
        <f t="shared" si="8"/>
        <v>766502</v>
      </c>
      <c r="I13" s="56">
        <f t="shared" si="4"/>
        <v>0</v>
      </c>
      <c r="J13" s="41"/>
      <c r="K13" s="57"/>
    </row>
    <row r="14" spans="1:14" ht="16.5" thickBot="1" x14ac:dyDescent="0.3">
      <c r="A14" s="7">
        <v>44573</v>
      </c>
      <c r="B14" s="34">
        <f t="shared" si="5"/>
        <v>435950</v>
      </c>
      <c r="C14" s="32">
        <f t="shared" si="1"/>
        <v>0</v>
      </c>
      <c r="D14" s="34">
        <f t="shared" si="6"/>
        <v>1389</v>
      </c>
      <c r="E14" s="32">
        <f t="shared" si="2"/>
        <v>0</v>
      </c>
      <c r="F14" s="34">
        <f t="shared" si="7"/>
        <v>7402800</v>
      </c>
      <c r="G14" s="32">
        <f t="shared" si="3"/>
        <v>0</v>
      </c>
      <c r="H14" s="34">
        <f t="shared" si="8"/>
        <v>766502</v>
      </c>
      <c r="I14" s="56">
        <f t="shared" si="4"/>
        <v>0</v>
      </c>
      <c r="J14" s="41"/>
      <c r="K14" s="57"/>
    </row>
    <row r="15" spans="1:14" ht="16.5" thickBot="1" x14ac:dyDescent="0.3">
      <c r="A15" s="7">
        <v>44574</v>
      </c>
      <c r="B15" s="34">
        <f t="shared" si="5"/>
        <v>435950</v>
      </c>
      <c r="C15" s="32">
        <f t="shared" si="1"/>
        <v>0</v>
      </c>
      <c r="D15" s="34">
        <f t="shared" si="6"/>
        <v>1389</v>
      </c>
      <c r="E15" s="32">
        <f t="shared" si="2"/>
        <v>0</v>
      </c>
      <c r="F15" s="34">
        <f t="shared" si="7"/>
        <v>7402800</v>
      </c>
      <c r="G15" s="32">
        <f t="shared" si="3"/>
        <v>0</v>
      </c>
      <c r="H15" s="34">
        <f t="shared" si="8"/>
        <v>766502</v>
      </c>
      <c r="I15" s="56">
        <f t="shared" si="4"/>
        <v>0</v>
      </c>
      <c r="J15" s="41"/>
      <c r="K15" s="57"/>
    </row>
    <row r="16" spans="1:14" ht="16.5" thickBot="1" x14ac:dyDescent="0.3">
      <c r="A16" s="7">
        <v>44575</v>
      </c>
      <c r="B16" s="34">
        <f t="shared" si="5"/>
        <v>435950</v>
      </c>
      <c r="C16" s="32">
        <f t="shared" si="1"/>
        <v>0</v>
      </c>
      <c r="D16" s="34">
        <f t="shared" si="6"/>
        <v>1389</v>
      </c>
      <c r="E16" s="32">
        <f t="shared" si="2"/>
        <v>0</v>
      </c>
      <c r="F16" s="34">
        <f t="shared" si="7"/>
        <v>7402800</v>
      </c>
      <c r="G16" s="32">
        <f t="shared" si="3"/>
        <v>0</v>
      </c>
      <c r="H16" s="34">
        <f t="shared" si="8"/>
        <v>766502</v>
      </c>
      <c r="I16" s="56">
        <f t="shared" si="4"/>
        <v>0</v>
      </c>
      <c r="J16" s="41"/>
      <c r="K16" s="57"/>
    </row>
    <row r="17" spans="1:25" ht="16.5" thickBot="1" x14ac:dyDescent="0.3">
      <c r="A17" s="7">
        <v>44576</v>
      </c>
      <c r="B17" s="34">
        <f t="shared" si="5"/>
        <v>435950</v>
      </c>
      <c r="C17" s="32">
        <f t="shared" si="1"/>
        <v>0</v>
      </c>
      <c r="D17" s="34">
        <f t="shared" si="6"/>
        <v>1389</v>
      </c>
      <c r="E17" s="32">
        <f t="shared" si="2"/>
        <v>0</v>
      </c>
      <c r="F17" s="34">
        <f t="shared" si="7"/>
        <v>7402800</v>
      </c>
      <c r="G17" s="32">
        <f t="shared" si="3"/>
        <v>0</v>
      </c>
      <c r="H17" s="34">
        <f t="shared" si="8"/>
        <v>766502</v>
      </c>
      <c r="I17" s="56">
        <f t="shared" si="4"/>
        <v>0</v>
      </c>
      <c r="J17" s="41"/>
      <c r="K17" s="57"/>
      <c r="P17" t="s">
        <v>13</v>
      </c>
      <c r="R17" t="s">
        <v>13</v>
      </c>
    </row>
    <row r="18" spans="1:25" ht="16.5" thickBot="1" x14ac:dyDescent="0.3">
      <c r="A18" s="7">
        <v>44577</v>
      </c>
      <c r="B18" s="34">
        <f t="shared" si="5"/>
        <v>435950</v>
      </c>
      <c r="C18" s="32">
        <f t="shared" si="1"/>
        <v>0</v>
      </c>
      <c r="D18" s="34">
        <f t="shared" si="6"/>
        <v>1389</v>
      </c>
      <c r="E18" s="32">
        <f t="shared" si="2"/>
        <v>0</v>
      </c>
      <c r="F18" s="34">
        <f t="shared" si="7"/>
        <v>7402800</v>
      </c>
      <c r="G18" s="32">
        <f t="shared" si="3"/>
        <v>0</v>
      </c>
      <c r="H18" s="34">
        <f t="shared" si="8"/>
        <v>766502</v>
      </c>
      <c r="I18" s="56">
        <f t="shared" si="4"/>
        <v>0</v>
      </c>
      <c r="J18" s="41"/>
      <c r="K18" s="57"/>
      <c r="Q18" t="s">
        <v>72</v>
      </c>
    </row>
    <row r="19" spans="1:25" ht="16.5" thickBot="1" x14ac:dyDescent="0.3">
      <c r="A19" s="7">
        <v>44578</v>
      </c>
      <c r="B19" s="34">
        <f t="shared" si="5"/>
        <v>435950</v>
      </c>
      <c r="C19" s="32">
        <f t="shared" si="1"/>
        <v>0</v>
      </c>
      <c r="D19" s="34">
        <f t="shared" si="6"/>
        <v>1389</v>
      </c>
      <c r="E19" s="32">
        <f t="shared" si="2"/>
        <v>0</v>
      </c>
      <c r="F19" s="34">
        <f t="shared" si="7"/>
        <v>7402800</v>
      </c>
      <c r="G19" s="32">
        <f t="shared" si="3"/>
        <v>0</v>
      </c>
      <c r="H19" s="34">
        <f t="shared" si="8"/>
        <v>766502</v>
      </c>
      <c r="I19" s="56">
        <f t="shared" si="4"/>
        <v>0</v>
      </c>
      <c r="J19" s="41"/>
      <c r="K19" s="57"/>
      <c r="Q19" t="s">
        <v>13</v>
      </c>
    </row>
    <row r="20" spans="1:25" ht="16.5" thickBot="1" x14ac:dyDescent="0.3">
      <c r="A20" s="7">
        <v>44579</v>
      </c>
      <c r="B20" s="34">
        <f t="shared" si="5"/>
        <v>435950</v>
      </c>
      <c r="C20" s="32">
        <f t="shared" si="1"/>
        <v>0</v>
      </c>
      <c r="D20" s="34">
        <f t="shared" si="6"/>
        <v>1389</v>
      </c>
      <c r="E20" s="32">
        <f t="shared" si="2"/>
        <v>0</v>
      </c>
      <c r="F20" s="34">
        <f t="shared" si="7"/>
        <v>7402800</v>
      </c>
      <c r="G20" s="32">
        <f t="shared" si="3"/>
        <v>0</v>
      </c>
      <c r="H20" s="34">
        <f t="shared" si="8"/>
        <v>766502</v>
      </c>
      <c r="I20" s="56">
        <f t="shared" si="4"/>
        <v>0</v>
      </c>
      <c r="J20" s="41"/>
      <c r="K20" s="57"/>
    </row>
    <row r="21" spans="1:25" ht="16.5" thickBot="1" x14ac:dyDescent="0.3">
      <c r="A21" s="7">
        <v>44580</v>
      </c>
      <c r="B21" s="34">
        <f t="shared" si="5"/>
        <v>435950</v>
      </c>
      <c r="C21" s="32">
        <f t="shared" si="1"/>
        <v>0</v>
      </c>
      <c r="D21" s="34">
        <f t="shared" si="6"/>
        <v>1389</v>
      </c>
      <c r="E21" s="32">
        <f t="shared" si="2"/>
        <v>0</v>
      </c>
      <c r="F21" s="34">
        <f t="shared" si="7"/>
        <v>7402800</v>
      </c>
      <c r="G21" s="32">
        <f t="shared" si="3"/>
        <v>0</v>
      </c>
      <c r="H21" s="34">
        <f t="shared" si="8"/>
        <v>766502</v>
      </c>
      <c r="I21" s="56">
        <f t="shared" si="4"/>
        <v>0</v>
      </c>
      <c r="J21" s="41"/>
      <c r="K21" s="57"/>
    </row>
    <row r="22" spans="1:25" ht="16.5" thickBot="1" x14ac:dyDescent="0.3">
      <c r="A22" s="7">
        <v>44581</v>
      </c>
      <c r="B22" s="34">
        <f t="shared" si="5"/>
        <v>435950</v>
      </c>
      <c r="C22" s="32">
        <f t="shared" si="1"/>
        <v>0</v>
      </c>
      <c r="D22" s="34">
        <f t="shared" si="6"/>
        <v>1389</v>
      </c>
      <c r="E22" s="32">
        <f t="shared" si="2"/>
        <v>0</v>
      </c>
      <c r="F22" s="34">
        <f t="shared" si="7"/>
        <v>7402800</v>
      </c>
      <c r="G22" s="32">
        <f t="shared" si="3"/>
        <v>0</v>
      </c>
      <c r="H22" s="34">
        <f t="shared" si="8"/>
        <v>766502</v>
      </c>
      <c r="I22" s="56">
        <f t="shared" si="4"/>
        <v>0</v>
      </c>
      <c r="J22" s="41"/>
      <c r="K22" s="57"/>
      <c r="P22" t="s">
        <v>13</v>
      </c>
      <c r="S22" s="24" t="s">
        <v>13</v>
      </c>
    </row>
    <row r="23" spans="1:25" ht="16.5" thickBot="1" x14ac:dyDescent="0.3">
      <c r="A23" s="7">
        <v>44582</v>
      </c>
      <c r="B23" s="34">
        <f t="shared" si="5"/>
        <v>435950</v>
      </c>
      <c r="C23" s="32">
        <f t="shared" si="1"/>
        <v>0</v>
      </c>
      <c r="D23" s="34">
        <f t="shared" si="6"/>
        <v>1389</v>
      </c>
      <c r="E23" s="32">
        <f t="shared" si="2"/>
        <v>0</v>
      </c>
      <c r="F23" s="34">
        <f t="shared" si="7"/>
        <v>7402800</v>
      </c>
      <c r="G23" s="32">
        <f t="shared" si="3"/>
        <v>0</v>
      </c>
      <c r="H23" s="34">
        <f t="shared" si="8"/>
        <v>766502</v>
      </c>
      <c r="I23" s="56">
        <f t="shared" si="4"/>
        <v>0</v>
      </c>
      <c r="J23" s="41"/>
      <c r="K23" s="57"/>
      <c r="Q23" t="s">
        <v>13</v>
      </c>
    </row>
    <row r="24" spans="1:25" ht="16.5" thickBot="1" x14ac:dyDescent="0.3">
      <c r="A24" s="7">
        <v>44583</v>
      </c>
      <c r="B24" s="34">
        <f t="shared" si="5"/>
        <v>435950</v>
      </c>
      <c r="C24" s="32">
        <f t="shared" si="1"/>
        <v>0</v>
      </c>
      <c r="D24" s="34">
        <f t="shared" si="6"/>
        <v>1389</v>
      </c>
      <c r="E24" s="32">
        <f t="shared" si="2"/>
        <v>0</v>
      </c>
      <c r="F24" s="34">
        <f t="shared" si="7"/>
        <v>7402800</v>
      </c>
      <c r="G24" s="32">
        <f t="shared" si="3"/>
        <v>0</v>
      </c>
      <c r="H24" s="34">
        <f t="shared" si="8"/>
        <v>766502</v>
      </c>
      <c r="I24" s="56">
        <f t="shared" si="4"/>
        <v>0</v>
      </c>
      <c r="J24" s="41"/>
      <c r="K24" s="57"/>
    </row>
    <row r="25" spans="1:25" ht="20.25" customHeight="1" thickBot="1" x14ac:dyDescent="0.4">
      <c r="A25" s="7">
        <v>44584</v>
      </c>
      <c r="B25" s="34">
        <f t="shared" si="5"/>
        <v>435950</v>
      </c>
      <c r="C25" s="32">
        <f t="shared" si="1"/>
        <v>0</v>
      </c>
      <c r="D25" s="34">
        <f t="shared" si="6"/>
        <v>1389</v>
      </c>
      <c r="E25" s="32">
        <f t="shared" si="2"/>
        <v>0</v>
      </c>
      <c r="F25" s="34">
        <f t="shared" si="7"/>
        <v>7402800</v>
      </c>
      <c r="G25" s="32">
        <f t="shared" si="3"/>
        <v>0</v>
      </c>
      <c r="H25" s="34">
        <f t="shared" si="8"/>
        <v>766502</v>
      </c>
      <c r="I25" s="56">
        <f t="shared" si="4"/>
        <v>0</v>
      </c>
      <c r="J25" s="41"/>
      <c r="K25" s="57"/>
      <c r="Y25" s="58"/>
    </row>
    <row r="26" spans="1:25" ht="16.5" thickBot="1" x14ac:dyDescent="0.3">
      <c r="A26" s="7">
        <v>44585</v>
      </c>
      <c r="B26" s="34">
        <f t="shared" si="5"/>
        <v>435950</v>
      </c>
      <c r="C26" s="32">
        <f t="shared" si="1"/>
        <v>0</v>
      </c>
      <c r="D26" s="34">
        <f t="shared" si="6"/>
        <v>1389</v>
      </c>
      <c r="E26" s="32">
        <f t="shared" si="2"/>
        <v>0</v>
      </c>
      <c r="F26" s="34">
        <f t="shared" si="7"/>
        <v>7402800</v>
      </c>
      <c r="G26" s="32">
        <f t="shared" si="3"/>
        <v>0</v>
      </c>
      <c r="H26" s="34">
        <f t="shared" si="8"/>
        <v>766502</v>
      </c>
      <c r="I26" s="56">
        <f t="shared" si="4"/>
        <v>0</v>
      </c>
      <c r="J26" s="41"/>
      <c r="K26" s="57"/>
      <c r="L26" t="s">
        <v>13</v>
      </c>
    </row>
    <row r="27" spans="1:25" ht="16.5" thickBot="1" x14ac:dyDescent="0.3">
      <c r="A27" s="7">
        <v>44586</v>
      </c>
      <c r="B27" s="34">
        <f t="shared" si="5"/>
        <v>435950</v>
      </c>
      <c r="C27" s="32">
        <f t="shared" si="1"/>
        <v>0</v>
      </c>
      <c r="D27" s="34">
        <f t="shared" si="6"/>
        <v>1389</v>
      </c>
      <c r="E27" s="32">
        <f t="shared" si="2"/>
        <v>0</v>
      </c>
      <c r="F27" s="34">
        <f t="shared" si="7"/>
        <v>7402800</v>
      </c>
      <c r="G27" s="32">
        <f t="shared" si="3"/>
        <v>0</v>
      </c>
      <c r="H27" s="34">
        <f t="shared" si="8"/>
        <v>766502</v>
      </c>
      <c r="I27" s="56">
        <f t="shared" si="4"/>
        <v>0</v>
      </c>
      <c r="J27" s="41"/>
      <c r="K27" s="57"/>
      <c r="O27" t="s">
        <v>13</v>
      </c>
    </row>
    <row r="28" spans="1:25" ht="16.5" thickBot="1" x14ac:dyDescent="0.3">
      <c r="A28" s="7">
        <v>44587</v>
      </c>
      <c r="B28" s="34">
        <f t="shared" si="5"/>
        <v>435950</v>
      </c>
      <c r="C28" s="32">
        <f t="shared" si="1"/>
        <v>0</v>
      </c>
      <c r="D28" s="34">
        <f t="shared" si="6"/>
        <v>1389</v>
      </c>
      <c r="E28" s="32">
        <f t="shared" si="2"/>
        <v>0</v>
      </c>
      <c r="F28" s="34">
        <f t="shared" si="7"/>
        <v>7402800</v>
      </c>
      <c r="G28" s="32">
        <f t="shared" si="3"/>
        <v>0</v>
      </c>
      <c r="H28" s="34">
        <f t="shared" si="8"/>
        <v>766502</v>
      </c>
      <c r="I28" s="56">
        <f t="shared" si="4"/>
        <v>0</v>
      </c>
      <c r="J28" s="41"/>
      <c r="K28" s="57"/>
    </row>
    <row r="29" spans="1:25" ht="16.5" thickBot="1" x14ac:dyDescent="0.3">
      <c r="A29" s="7">
        <v>44588</v>
      </c>
      <c r="B29" s="34">
        <f t="shared" si="5"/>
        <v>435950</v>
      </c>
      <c r="C29" s="32">
        <f t="shared" si="1"/>
        <v>0</v>
      </c>
      <c r="D29" s="34">
        <f t="shared" si="6"/>
        <v>1389</v>
      </c>
      <c r="E29" s="32">
        <f t="shared" si="2"/>
        <v>0</v>
      </c>
      <c r="F29" s="34">
        <f t="shared" si="7"/>
        <v>7402800</v>
      </c>
      <c r="G29" s="32">
        <f t="shared" si="3"/>
        <v>0</v>
      </c>
      <c r="H29" s="34">
        <f t="shared" si="8"/>
        <v>766502</v>
      </c>
      <c r="I29" s="56">
        <f t="shared" si="4"/>
        <v>0</v>
      </c>
      <c r="J29" s="41"/>
      <c r="K29" s="57"/>
    </row>
    <row r="30" spans="1:25" ht="16.5" thickBot="1" x14ac:dyDescent="0.3">
      <c r="A30" s="7">
        <v>44589</v>
      </c>
      <c r="B30" s="34">
        <f t="shared" si="5"/>
        <v>435950</v>
      </c>
      <c r="C30" s="32">
        <f t="shared" si="1"/>
        <v>0</v>
      </c>
      <c r="D30" s="34">
        <f t="shared" si="6"/>
        <v>1389</v>
      </c>
      <c r="E30" s="32">
        <f t="shared" si="2"/>
        <v>0</v>
      </c>
      <c r="F30" s="34">
        <f t="shared" si="7"/>
        <v>7402800</v>
      </c>
      <c r="G30" s="32">
        <f t="shared" si="3"/>
        <v>0</v>
      </c>
      <c r="H30" s="34">
        <f t="shared" si="8"/>
        <v>766502</v>
      </c>
      <c r="I30" s="56">
        <f t="shared" si="4"/>
        <v>0</v>
      </c>
      <c r="J30" s="41"/>
      <c r="K30" s="57"/>
    </row>
    <row r="31" spans="1:25" ht="16.5" thickBot="1" x14ac:dyDescent="0.3">
      <c r="A31" s="7">
        <v>44590</v>
      </c>
      <c r="B31" s="34">
        <f t="shared" si="5"/>
        <v>435950</v>
      </c>
      <c r="C31" s="32">
        <f t="shared" si="1"/>
        <v>0</v>
      </c>
      <c r="D31" s="34">
        <f t="shared" si="6"/>
        <v>1389</v>
      </c>
      <c r="E31" s="32">
        <f t="shared" si="2"/>
        <v>0</v>
      </c>
      <c r="F31" s="34">
        <f t="shared" si="7"/>
        <v>7402800</v>
      </c>
      <c r="G31" s="32">
        <f t="shared" si="3"/>
        <v>0</v>
      </c>
      <c r="H31" s="34">
        <f t="shared" si="8"/>
        <v>766502</v>
      </c>
      <c r="I31" s="56">
        <f t="shared" si="4"/>
        <v>0</v>
      </c>
      <c r="J31" s="41"/>
      <c r="K31" s="57"/>
    </row>
    <row r="32" spans="1:25" ht="16.5" thickBot="1" x14ac:dyDescent="0.3">
      <c r="A32" s="7">
        <v>44591</v>
      </c>
      <c r="B32" s="34">
        <f t="shared" si="5"/>
        <v>435950</v>
      </c>
      <c r="C32" s="32">
        <f t="shared" si="1"/>
        <v>0</v>
      </c>
      <c r="D32" s="34">
        <f t="shared" si="6"/>
        <v>1389</v>
      </c>
      <c r="E32" s="32">
        <f t="shared" si="2"/>
        <v>0</v>
      </c>
      <c r="F32" s="34">
        <f t="shared" si="7"/>
        <v>7402800</v>
      </c>
      <c r="G32" s="32">
        <f t="shared" si="3"/>
        <v>0</v>
      </c>
      <c r="H32" s="34">
        <f t="shared" si="8"/>
        <v>766502</v>
      </c>
      <c r="I32" s="56">
        <f t="shared" si="4"/>
        <v>0</v>
      </c>
      <c r="J32" s="41"/>
      <c r="K32" s="57"/>
    </row>
    <row r="33" spans="1:11" ht="16.5" thickBot="1" x14ac:dyDescent="0.3">
      <c r="A33" s="7">
        <v>44592</v>
      </c>
      <c r="B33" s="34">
        <f t="shared" si="5"/>
        <v>435950</v>
      </c>
      <c r="C33" s="32">
        <f t="shared" si="1"/>
        <v>0</v>
      </c>
      <c r="D33" s="34">
        <f t="shared" si="6"/>
        <v>1389</v>
      </c>
      <c r="E33" s="32">
        <f t="shared" si="2"/>
        <v>0</v>
      </c>
      <c r="F33" s="34">
        <f t="shared" si="7"/>
        <v>7402800</v>
      </c>
      <c r="G33" s="32">
        <f t="shared" si="3"/>
        <v>0</v>
      </c>
      <c r="H33" s="34">
        <f t="shared" si="8"/>
        <v>766502</v>
      </c>
      <c r="I33" s="56">
        <f t="shared" si="4"/>
        <v>0</v>
      </c>
      <c r="J33" s="41"/>
      <c r="K33" s="57"/>
    </row>
    <row r="34" spans="1:11" ht="21" thickBot="1" x14ac:dyDescent="0.3">
      <c r="A34" s="59" t="s">
        <v>14</v>
      </c>
      <c r="B34" s="34"/>
      <c r="C34" s="48">
        <f>SUM(C4:C33)</f>
        <v>780</v>
      </c>
      <c r="D34" s="34"/>
      <c r="E34" s="48">
        <f>SUM(E4:E33)</f>
        <v>450</v>
      </c>
      <c r="F34" s="34"/>
      <c r="G34" s="48">
        <f>SUM(G4:G33)</f>
        <v>275.39999999999998</v>
      </c>
      <c r="H34" s="34"/>
      <c r="I34" s="48">
        <f>SUM(I4:I33)</f>
        <v>4.8330000000000002</v>
      </c>
      <c r="J34" s="48">
        <f>SUM(J4:J33)</f>
        <v>0</v>
      </c>
      <c r="K34" s="48">
        <f>SUM(K4:K33)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A4" sqref="A4:XFD4"/>
    </sheetView>
  </sheetViews>
  <sheetFormatPr defaultRowHeight="23.25" x14ac:dyDescent="0.35"/>
  <cols>
    <col min="1" max="1" width="37.140625" style="12" customWidth="1"/>
    <col min="2" max="2" width="37.140625" customWidth="1"/>
    <col min="3" max="3" width="37.140625" style="67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61" t="s">
        <v>0</v>
      </c>
      <c r="B1" s="62" t="s">
        <v>73</v>
      </c>
      <c r="C1" s="63" t="s">
        <v>55</v>
      </c>
    </row>
    <row r="2" spans="1:9" ht="24" thickBot="1" x14ac:dyDescent="0.4">
      <c r="A2" s="7">
        <v>44561</v>
      </c>
      <c r="B2" s="64">
        <v>17869775</v>
      </c>
      <c r="C2" s="65">
        <v>0</v>
      </c>
    </row>
    <row r="3" spans="1:9" ht="24" thickBot="1" x14ac:dyDescent="0.4">
      <c r="A3" s="7">
        <v>44562</v>
      </c>
      <c r="B3" s="64">
        <v>17873522</v>
      </c>
      <c r="C3" s="65">
        <f t="shared" ref="C3:C33" si="0">IF((B3-B2)&lt;0,"0",(B3-B2))</f>
        <v>3747</v>
      </c>
    </row>
    <row r="4" spans="1:9" ht="24" thickBot="1" x14ac:dyDescent="0.4">
      <c r="A4" s="7">
        <v>44563</v>
      </c>
      <c r="B4" s="64">
        <v>17875871</v>
      </c>
      <c r="C4" s="65">
        <f t="shared" si="0"/>
        <v>2349</v>
      </c>
    </row>
    <row r="5" spans="1:9" ht="24" thickBot="1" x14ac:dyDescent="0.4">
      <c r="A5" s="7">
        <v>44564</v>
      </c>
      <c r="B5" s="64">
        <f>B4</f>
        <v>17875871</v>
      </c>
      <c r="C5" s="65">
        <f t="shared" si="0"/>
        <v>0</v>
      </c>
    </row>
    <row r="6" spans="1:9" ht="24" thickBot="1" x14ac:dyDescent="0.4">
      <c r="A6" s="7">
        <v>44565</v>
      </c>
      <c r="B6" s="64">
        <f t="shared" ref="B6:B33" si="1">B5</f>
        <v>17875871</v>
      </c>
      <c r="C6" s="65">
        <f t="shared" si="0"/>
        <v>0</v>
      </c>
    </row>
    <row r="7" spans="1:9" ht="24" thickBot="1" x14ac:dyDescent="0.4">
      <c r="A7" s="7">
        <v>44566</v>
      </c>
      <c r="B7" s="64">
        <f t="shared" si="1"/>
        <v>17875871</v>
      </c>
      <c r="C7" s="65">
        <f t="shared" si="0"/>
        <v>0</v>
      </c>
    </row>
    <row r="8" spans="1:9" ht="24" thickBot="1" x14ac:dyDescent="0.4">
      <c r="A8" s="7">
        <v>44567</v>
      </c>
      <c r="B8" s="64">
        <f t="shared" si="1"/>
        <v>17875871</v>
      </c>
      <c r="C8" s="65">
        <f t="shared" si="0"/>
        <v>0</v>
      </c>
    </row>
    <row r="9" spans="1:9" ht="24" thickBot="1" x14ac:dyDescent="0.4">
      <c r="A9" s="7">
        <v>44568</v>
      </c>
      <c r="B9" s="64">
        <f t="shared" si="1"/>
        <v>17875871</v>
      </c>
      <c r="C9" s="65">
        <f t="shared" si="0"/>
        <v>0</v>
      </c>
    </row>
    <row r="10" spans="1:9" ht="24" thickBot="1" x14ac:dyDescent="0.4">
      <c r="A10" s="7">
        <v>44569</v>
      </c>
      <c r="B10" s="64">
        <f t="shared" si="1"/>
        <v>17875871</v>
      </c>
      <c r="C10" s="65">
        <f t="shared" si="0"/>
        <v>0</v>
      </c>
    </row>
    <row r="11" spans="1:9" ht="24" thickBot="1" x14ac:dyDescent="0.4">
      <c r="A11" s="7">
        <v>44570</v>
      </c>
      <c r="B11" s="64">
        <f t="shared" si="1"/>
        <v>17875871</v>
      </c>
      <c r="C11" s="65">
        <f t="shared" si="0"/>
        <v>0</v>
      </c>
    </row>
    <row r="12" spans="1:9" ht="24" thickBot="1" x14ac:dyDescent="0.4">
      <c r="A12" s="7">
        <v>44571</v>
      </c>
      <c r="B12" s="64">
        <f t="shared" si="1"/>
        <v>17875871</v>
      </c>
      <c r="C12" s="65">
        <f t="shared" si="0"/>
        <v>0</v>
      </c>
    </row>
    <row r="13" spans="1:9" ht="24" thickBot="1" x14ac:dyDescent="0.4">
      <c r="A13" s="7">
        <v>44572</v>
      </c>
      <c r="B13" s="64">
        <f t="shared" si="1"/>
        <v>17875871</v>
      </c>
      <c r="C13" s="65">
        <f t="shared" si="0"/>
        <v>0</v>
      </c>
    </row>
    <row r="14" spans="1:9" ht="24" thickBot="1" x14ac:dyDescent="0.4">
      <c r="A14" s="7">
        <v>44573</v>
      </c>
      <c r="B14" s="64">
        <f t="shared" si="1"/>
        <v>17875871</v>
      </c>
      <c r="C14" s="65">
        <f t="shared" si="0"/>
        <v>0</v>
      </c>
    </row>
    <row r="15" spans="1:9" ht="24" thickBot="1" x14ac:dyDescent="0.4">
      <c r="A15" s="7">
        <v>44574</v>
      </c>
      <c r="B15" s="64">
        <f t="shared" si="1"/>
        <v>17875871</v>
      </c>
      <c r="C15" s="65">
        <f t="shared" si="0"/>
        <v>0</v>
      </c>
      <c r="I15" t="s">
        <v>13</v>
      </c>
    </row>
    <row r="16" spans="1:9" ht="24" thickBot="1" x14ac:dyDescent="0.4">
      <c r="A16" s="7">
        <v>44575</v>
      </c>
      <c r="B16" s="64">
        <f t="shared" si="1"/>
        <v>17875871</v>
      </c>
      <c r="C16" s="65">
        <f t="shared" si="0"/>
        <v>0</v>
      </c>
    </row>
    <row r="17" spans="1:9" ht="24" thickBot="1" x14ac:dyDescent="0.4">
      <c r="A17" s="7">
        <v>44576</v>
      </c>
      <c r="B17" s="64">
        <f t="shared" si="1"/>
        <v>17875871</v>
      </c>
      <c r="C17" s="65">
        <f t="shared" si="0"/>
        <v>0</v>
      </c>
    </row>
    <row r="18" spans="1:9" ht="24" thickBot="1" x14ac:dyDescent="0.4">
      <c r="A18" s="7">
        <v>44577</v>
      </c>
      <c r="B18" s="64">
        <f t="shared" si="1"/>
        <v>17875871</v>
      </c>
      <c r="C18" s="65">
        <f t="shared" si="0"/>
        <v>0</v>
      </c>
    </row>
    <row r="19" spans="1:9" ht="24" thickBot="1" x14ac:dyDescent="0.4">
      <c r="A19" s="7">
        <v>44578</v>
      </c>
      <c r="B19" s="64">
        <f t="shared" si="1"/>
        <v>17875871</v>
      </c>
      <c r="C19" s="65">
        <f t="shared" si="0"/>
        <v>0</v>
      </c>
    </row>
    <row r="20" spans="1:9" ht="24" thickBot="1" x14ac:dyDescent="0.4">
      <c r="A20" s="7">
        <v>44579</v>
      </c>
      <c r="B20" s="64">
        <f t="shared" si="1"/>
        <v>17875871</v>
      </c>
      <c r="C20" s="65">
        <f t="shared" si="0"/>
        <v>0</v>
      </c>
    </row>
    <row r="21" spans="1:9" ht="24" thickBot="1" x14ac:dyDescent="0.4">
      <c r="A21" s="7">
        <v>44580</v>
      </c>
      <c r="B21" s="64">
        <f t="shared" si="1"/>
        <v>17875871</v>
      </c>
      <c r="C21" s="65">
        <f t="shared" si="0"/>
        <v>0</v>
      </c>
    </row>
    <row r="22" spans="1:9" ht="24" thickBot="1" x14ac:dyDescent="0.4">
      <c r="A22" s="7">
        <v>44581</v>
      </c>
      <c r="B22" s="64">
        <f t="shared" si="1"/>
        <v>17875871</v>
      </c>
      <c r="C22" s="65">
        <f t="shared" si="0"/>
        <v>0</v>
      </c>
    </row>
    <row r="23" spans="1:9" ht="24" thickBot="1" x14ac:dyDescent="0.4">
      <c r="A23" s="7">
        <v>44582</v>
      </c>
      <c r="B23" s="64">
        <f t="shared" si="1"/>
        <v>17875871</v>
      </c>
      <c r="C23" s="65">
        <f t="shared" si="0"/>
        <v>0</v>
      </c>
      <c r="F23" t="s">
        <v>13</v>
      </c>
    </row>
    <row r="24" spans="1:9" ht="24" thickBot="1" x14ac:dyDescent="0.4">
      <c r="A24" s="7">
        <v>44583</v>
      </c>
      <c r="B24" s="64">
        <f t="shared" si="1"/>
        <v>17875871</v>
      </c>
      <c r="C24" s="65">
        <f t="shared" si="0"/>
        <v>0</v>
      </c>
      <c r="E24" t="s">
        <v>13</v>
      </c>
    </row>
    <row r="25" spans="1:9" ht="24" thickBot="1" x14ac:dyDescent="0.4">
      <c r="A25" s="7">
        <v>44584</v>
      </c>
      <c r="B25" s="64">
        <f t="shared" si="1"/>
        <v>17875871</v>
      </c>
      <c r="C25" s="65">
        <f t="shared" si="0"/>
        <v>0</v>
      </c>
    </row>
    <row r="26" spans="1:9" ht="24" thickBot="1" x14ac:dyDescent="0.4">
      <c r="A26" s="7">
        <v>44585</v>
      </c>
      <c r="B26" s="64">
        <f t="shared" si="1"/>
        <v>17875871</v>
      </c>
      <c r="C26" s="65">
        <f t="shared" si="0"/>
        <v>0</v>
      </c>
    </row>
    <row r="27" spans="1:9" ht="24" thickBot="1" x14ac:dyDescent="0.4">
      <c r="A27" s="7">
        <v>44586</v>
      </c>
      <c r="B27" s="64">
        <f t="shared" si="1"/>
        <v>17875871</v>
      </c>
      <c r="C27" s="65">
        <f t="shared" si="0"/>
        <v>0</v>
      </c>
    </row>
    <row r="28" spans="1:9" ht="24" thickBot="1" x14ac:dyDescent="0.4">
      <c r="A28" s="7">
        <v>44587</v>
      </c>
      <c r="B28" s="64">
        <f t="shared" si="1"/>
        <v>17875871</v>
      </c>
      <c r="C28" s="65">
        <f t="shared" si="0"/>
        <v>0</v>
      </c>
      <c r="I28" t="s">
        <v>13</v>
      </c>
    </row>
    <row r="29" spans="1:9" ht="24" thickBot="1" x14ac:dyDescent="0.4">
      <c r="A29" s="7">
        <v>44588</v>
      </c>
      <c r="B29" s="64">
        <f t="shared" si="1"/>
        <v>17875871</v>
      </c>
      <c r="C29" s="65">
        <f t="shared" si="0"/>
        <v>0</v>
      </c>
    </row>
    <row r="30" spans="1:9" ht="24" thickBot="1" x14ac:dyDescent="0.4">
      <c r="A30" s="7">
        <v>44589</v>
      </c>
      <c r="B30" s="64">
        <f t="shared" si="1"/>
        <v>17875871</v>
      </c>
      <c r="C30" s="65">
        <f t="shared" si="0"/>
        <v>0</v>
      </c>
    </row>
    <row r="31" spans="1:9" ht="24" thickBot="1" x14ac:dyDescent="0.4">
      <c r="A31" s="7">
        <v>44590</v>
      </c>
      <c r="B31" s="64">
        <f t="shared" si="1"/>
        <v>17875871</v>
      </c>
      <c r="C31" s="65">
        <f t="shared" si="0"/>
        <v>0</v>
      </c>
    </row>
    <row r="32" spans="1:9" ht="24" thickBot="1" x14ac:dyDescent="0.4">
      <c r="A32" s="7">
        <v>44591</v>
      </c>
      <c r="B32" s="64">
        <f t="shared" si="1"/>
        <v>17875871</v>
      </c>
      <c r="C32" s="65">
        <f t="shared" si="0"/>
        <v>0</v>
      </c>
    </row>
    <row r="33" spans="1:3" ht="24" thickBot="1" x14ac:dyDescent="0.4">
      <c r="A33" s="7">
        <v>44592</v>
      </c>
      <c r="B33" s="64">
        <f t="shared" si="1"/>
        <v>17875871</v>
      </c>
      <c r="C33" s="65">
        <f t="shared" si="0"/>
        <v>0</v>
      </c>
    </row>
    <row r="34" spans="1:3" ht="24" thickBot="1" x14ac:dyDescent="0.4">
      <c r="A34" s="160" t="s">
        <v>74</v>
      </c>
      <c r="B34" s="161"/>
      <c r="C34" s="66">
        <f>SUM(C4:C33)</f>
        <v>2349</v>
      </c>
    </row>
  </sheetData>
  <mergeCells count="1"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workbookViewId="0">
      <selection activeCell="A4" sqref="A4:XFD4"/>
    </sheetView>
  </sheetViews>
  <sheetFormatPr defaultRowHeight="15" x14ac:dyDescent="0.25"/>
  <cols>
    <col min="1" max="1" width="20.85546875" bestFit="1" customWidth="1"/>
    <col min="2" max="2" width="12.85546875" style="81" bestFit="1" customWidth="1"/>
    <col min="3" max="3" width="14.85546875" style="60" customWidth="1"/>
    <col min="4" max="4" width="10.7109375" customWidth="1"/>
    <col min="5" max="5" width="11.28515625" customWidth="1"/>
    <col min="6" max="6" width="14.5703125" style="60" customWidth="1"/>
    <col min="7" max="7" width="10.7109375" customWidth="1"/>
    <col min="8" max="8" width="13.5703125" customWidth="1"/>
    <col min="9" max="9" width="12.85546875" style="60" bestFit="1" customWidth="1"/>
    <col min="10" max="10" width="10.7109375" customWidth="1"/>
    <col min="11" max="11" width="13.42578125" customWidth="1"/>
    <col min="12" max="12" width="12.42578125" style="60" customWidth="1"/>
    <col min="13" max="13" width="10.7109375" customWidth="1"/>
    <col min="14" max="14" width="11.28515625" bestFit="1" customWidth="1"/>
    <col min="15" max="15" width="12.42578125" style="60" customWidth="1"/>
    <col min="16" max="16" width="10.7109375" customWidth="1"/>
    <col min="17" max="17" width="11.7109375" customWidth="1"/>
    <col min="18" max="18" width="11.28515625" style="6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82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54" t="s">
        <v>0</v>
      </c>
      <c r="B1" s="68" t="s">
        <v>75</v>
      </c>
      <c r="C1" s="55" t="s">
        <v>76</v>
      </c>
      <c r="D1" s="69" t="s">
        <v>77</v>
      </c>
      <c r="E1" s="34" t="s">
        <v>78</v>
      </c>
      <c r="F1" s="55" t="s">
        <v>76</v>
      </c>
      <c r="G1" s="69" t="s">
        <v>77</v>
      </c>
      <c r="H1" s="34" t="s">
        <v>79</v>
      </c>
      <c r="I1" s="55" t="s">
        <v>80</v>
      </c>
      <c r="J1" s="69" t="s">
        <v>77</v>
      </c>
      <c r="K1" s="34" t="s">
        <v>81</v>
      </c>
      <c r="L1" s="55" t="s">
        <v>80</v>
      </c>
      <c r="M1" s="69" t="s">
        <v>77</v>
      </c>
      <c r="N1" s="35" t="s">
        <v>82</v>
      </c>
      <c r="O1" s="55" t="s">
        <v>80</v>
      </c>
      <c r="P1" s="69" t="s">
        <v>77</v>
      </c>
      <c r="Q1" s="35" t="s">
        <v>83</v>
      </c>
      <c r="R1" s="55" t="s">
        <v>80</v>
      </c>
      <c r="S1" s="69" t="s">
        <v>77</v>
      </c>
      <c r="T1" s="70" t="s">
        <v>84</v>
      </c>
      <c r="U1" s="71" t="s">
        <v>85</v>
      </c>
      <c r="W1" s="162" t="s">
        <v>86</v>
      </c>
      <c r="X1" s="163"/>
      <c r="Y1" s="163"/>
      <c r="Z1" s="163"/>
      <c r="AA1" s="164"/>
      <c r="AB1" s="165" t="s">
        <v>87</v>
      </c>
      <c r="AC1" s="163"/>
      <c r="AD1" s="165" t="s">
        <v>88</v>
      </c>
      <c r="AE1" s="163"/>
      <c r="AF1" s="162" t="s">
        <v>89</v>
      </c>
      <c r="AG1" s="163"/>
    </row>
    <row r="2" spans="1:33" s="37" customFormat="1" ht="16.5" thickBot="1" x14ac:dyDescent="0.3">
      <c r="A2" s="7">
        <v>44561</v>
      </c>
      <c r="B2" s="72">
        <v>22785.927</v>
      </c>
      <c r="C2" s="56"/>
      <c r="D2" s="73">
        <v>0</v>
      </c>
      <c r="E2" s="2">
        <v>4083.9</v>
      </c>
      <c r="F2" s="56">
        <v>0</v>
      </c>
      <c r="G2" s="73">
        <v>0</v>
      </c>
      <c r="H2" s="2">
        <v>4553</v>
      </c>
      <c r="I2" s="56">
        <v>0</v>
      </c>
      <c r="J2" s="73">
        <f t="shared" ref="J2:J33" si="0">I2*1.9*1000</f>
        <v>0</v>
      </c>
      <c r="K2" s="74">
        <v>13883.09</v>
      </c>
      <c r="L2" s="56">
        <v>0</v>
      </c>
      <c r="M2" s="73">
        <f t="shared" ref="M2:M33" si="1">L2*1.9*1000</f>
        <v>0</v>
      </c>
      <c r="N2" s="74">
        <v>3369</v>
      </c>
      <c r="O2" s="56">
        <v>0</v>
      </c>
      <c r="P2" s="73">
        <f>O2*1.9*1000</f>
        <v>0</v>
      </c>
      <c r="Q2" s="74">
        <v>5289.9</v>
      </c>
      <c r="R2" s="56">
        <v>0</v>
      </c>
      <c r="S2" s="73">
        <f t="shared" ref="S2:S33" si="2">R2*1.9*1000</f>
        <v>0</v>
      </c>
      <c r="T2" s="75">
        <v>0</v>
      </c>
      <c r="U2" s="76">
        <v>0</v>
      </c>
      <c r="V2"/>
      <c r="W2" s="77">
        <v>44561</v>
      </c>
      <c r="X2" s="78">
        <v>163330</v>
      </c>
      <c r="Y2" s="79">
        <v>0</v>
      </c>
      <c r="Z2" s="78">
        <v>8244</v>
      </c>
      <c r="AA2" s="79">
        <v>0</v>
      </c>
      <c r="AB2" s="78">
        <v>18.87</v>
      </c>
      <c r="AC2" s="79">
        <v>0</v>
      </c>
      <c r="AD2" s="78">
        <v>85</v>
      </c>
      <c r="AE2" s="79">
        <v>0</v>
      </c>
      <c r="AF2" s="78">
        <v>5234</v>
      </c>
      <c r="AG2" s="79">
        <v>0</v>
      </c>
    </row>
    <row r="3" spans="1:33" ht="16.5" thickBot="1" x14ac:dyDescent="0.3">
      <c r="A3" s="7">
        <v>44562</v>
      </c>
      <c r="B3" s="72">
        <v>22788.09</v>
      </c>
      <c r="C3" s="56">
        <f t="shared" ref="C2:C33" si="3">IF((B3-B2)&lt;0,"0",(B3-B2))</f>
        <v>2.1630000000004657</v>
      </c>
      <c r="D3" s="73">
        <f t="shared" ref="D3:D33" si="4">C3*1.9*1000</f>
        <v>4109.7000000008848</v>
      </c>
      <c r="E3" s="2">
        <v>4084.395</v>
      </c>
      <c r="F3" s="56">
        <f t="shared" ref="F3:F33" si="5">IF((E3-E2)&lt;0,"0",(E3-E2))</f>
        <v>0.49499999999989086</v>
      </c>
      <c r="G3" s="73">
        <f t="shared" ref="G3:G33" si="6">F3*1.9*1000</f>
        <v>940.49999999979264</v>
      </c>
      <c r="H3" s="2">
        <v>4557</v>
      </c>
      <c r="I3" s="56">
        <f t="shared" ref="I3:I33" si="7">IF((H3-H2)&lt;0,"0",(H3-H2))</f>
        <v>4</v>
      </c>
      <c r="J3" s="73">
        <f t="shared" si="0"/>
        <v>7600</v>
      </c>
      <c r="K3" s="74">
        <v>13883.09</v>
      </c>
      <c r="L3" s="56">
        <f t="shared" ref="L3:L33" si="8">IF((K3-K2)&lt;0,"0",(K3-K2))</f>
        <v>0</v>
      </c>
      <c r="M3" s="73">
        <f t="shared" si="1"/>
        <v>0</v>
      </c>
      <c r="N3" s="74">
        <v>3370.3890000000001</v>
      </c>
      <c r="O3" s="56">
        <f t="shared" ref="O3:O33" si="9">IF((N3-N2)&lt;0,"0",(N3-N2))</f>
        <v>1.3890000000001237</v>
      </c>
      <c r="P3" s="73">
        <f t="shared" ref="P3:P33" si="10">O3*1.9*1000</f>
        <v>2639.100000000235</v>
      </c>
      <c r="Q3" s="74">
        <v>5290.56</v>
      </c>
      <c r="R3" s="56">
        <f t="shared" ref="R3:R33" si="11">IF((Q3-Q2)&lt;0,"0",(Q3-Q2))</f>
        <v>0.66000000000076398</v>
      </c>
      <c r="S3" s="73">
        <f t="shared" si="2"/>
        <v>1254.0000000014516</v>
      </c>
      <c r="T3" s="75"/>
      <c r="U3" s="76">
        <f t="shared" ref="U3:U33" si="12">T3*1.9*1000</f>
        <v>0</v>
      </c>
      <c r="W3" s="77">
        <v>44562</v>
      </c>
      <c r="X3" s="78">
        <v>163383</v>
      </c>
      <c r="Y3" s="79">
        <f t="shared" ref="Y3:Y32" si="13">X3-X2</f>
        <v>53</v>
      </c>
      <c r="Z3" s="78">
        <v>8248</v>
      </c>
      <c r="AA3" s="79">
        <f t="shared" ref="AA3:AA33" si="14">Z3-Z2</f>
        <v>4</v>
      </c>
      <c r="AB3" s="78">
        <v>19</v>
      </c>
      <c r="AC3" s="79">
        <f>AB3-AB2</f>
        <v>0.12999999999999901</v>
      </c>
      <c r="AD3" s="78">
        <v>89</v>
      </c>
      <c r="AE3" s="79">
        <f t="shared" ref="AE3:AE33" si="15">AD3-AD2</f>
        <v>4</v>
      </c>
      <c r="AF3" s="78">
        <v>5250</v>
      </c>
      <c r="AG3" s="79">
        <f t="shared" ref="AG3:AG33" si="16">AF3-AF2</f>
        <v>16</v>
      </c>
    </row>
    <row r="4" spans="1:33" ht="16.5" thickBot="1" x14ac:dyDescent="0.3">
      <c r="A4" s="7">
        <v>44563</v>
      </c>
      <c r="B4" s="72">
        <v>22790.294999999998</v>
      </c>
      <c r="C4" s="56">
        <f t="shared" si="3"/>
        <v>2.2049999999981083</v>
      </c>
      <c r="D4" s="73">
        <f t="shared" si="4"/>
        <v>4189.4999999964057</v>
      </c>
      <c r="E4" s="2">
        <v>4085.1</v>
      </c>
      <c r="F4" s="56">
        <f t="shared" si="5"/>
        <v>0.70499999999992724</v>
      </c>
      <c r="G4" s="73">
        <f t="shared" si="6"/>
        <v>1339.4999999998618</v>
      </c>
      <c r="H4" s="2">
        <v>4562</v>
      </c>
      <c r="I4" s="56">
        <f t="shared" si="7"/>
        <v>5</v>
      </c>
      <c r="J4" s="73">
        <f t="shared" si="0"/>
        <v>9500</v>
      </c>
      <c r="K4" s="74">
        <v>13883.26</v>
      </c>
      <c r="L4" s="56">
        <f t="shared" si="8"/>
        <v>0.17000000000007276</v>
      </c>
      <c r="M4" s="73">
        <f t="shared" si="1"/>
        <v>323.00000000013824</v>
      </c>
      <c r="N4" s="74">
        <v>3371.6190000000001</v>
      </c>
      <c r="O4" s="56">
        <f t="shared" si="9"/>
        <v>1.2300000000000182</v>
      </c>
      <c r="P4" s="73">
        <f t="shared" si="10"/>
        <v>2337.0000000000346</v>
      </c>
      <c r="Q4" s="74">
        <v>5290.83</v>
      </c>
      <c r="R4" s="56">
        <f t="shared" si="11"/>
        <v>0.26999999999952706</v>
      </c>
      <c r="S4" s="73">
        <f t="shared" si="2"/>
        <v>512.99999999910142</v>
      </c>
      <c r="T4" s="75"/>
      <c r="U4" s="76">
        <f t="shared" si="12"/>
        <v>0</v>
      </c>
      <c r="W4" s="77">
        <v>44563</v>
      </c>
      <c r="X4" s="78">
        <v>163421</v>
      </c>
      <c r="Y4" s="79">
        <f t="shared" si="13"/>
        <v>38</v>
      </c>
      <c r="Z4" s="78">
        <v>8251</v>
      </c>
      <c r="AA4" s="79">
        <f t="shared" si="14"/>
        <v>3</v>
      </c>
      <c r="AB4" s="78">
        <f>AB3</f>
        <v>19</v>
      </c>
      <c r="AC4" s="79">
        <f t="shared" ref="AC4:AC33" si="17">AB4-AB3</f>
        <v>0</v>
      </c>
      <c r="AD4" s="78">
        <f>AD3</f>
        <v>89</v>
      </c>
      <c r="AE4" s="79">
        <f t="shared" si="15"/>
        <v>0</v>
      </c>
      <c r="AF4" s="78">
        <v>5258</v>
      </c>
      <c r="AG4" s="79">
        <f t="shared" si="16"/>
        <v>8</v>
      </c>
    </row>
    <row r="5" spans="1:33" ht="16.5" thickBot="1" x14ac:dyDescent="0.3">
      <c r="A5" s="7">
        <v>44564</v>
      </c>
      <c r="B5" s="72">
        <f t="shared" ref="B5:B33" si="18">B4</f>
        <v>22790.294999999998</v>
      </c>
      <c r="C5" s="56">
        <f t="shared" si="3"/>
        <v>0</v>
      </c>
      <c r="D5" s="73">
        <f t="shared" si="4"/>
        <v>0</v>
      </c>
      <c r="E5" s="2">
        <f t="shared" ref="E5:E33" si="19">E4</f>
        <v>4085.1</v>
      </c>
      <c r="F5" s="56">
        <f t="shared" si="5"/>
        <v>0</v>
      </c>
      <c r="G5" s="73">
        <f t="shared" si="6"/>
        <v>0</v>
      </c>
      <c r="H5" s="2">
        <f t="shared" ref="H5:H33" si="20">H4</f>
        <v>4562</v>
      </c>
      <c r="I5" s="56">
        <f t="shared" si="7"/>
        <v>0</v>
      </c>
      <c r="J5" s="73">
        <f t="shared" si="0"/>
        <v>0</v>
      </c>
      <c r="K5" s="74">
        <f t="shared" ref="K5:K33" si="21">K4</f>
        <v>13883.26</v>
      </c>
      <c r="L5" s="56">
        <f t="shared" si="8"/>
        <v>0</v>
      </c>
      <c r="M5" s="73">
        <f t="shared" si="1"/>
        <v>0</v>
      </c>
      <c r="N5" s="74">
        <f t="shared" ref="N5:N33" si="22">N4</f>
        <v>3371.6190000000001</v>
      </c>
      <c r="O5" s="56">
        <f t="shared" si="9"/>
        <v>0</v>
      </c>
      <c r="P5" s="73">
        <f t="shared" si="10"/>
        <v>0</v>
      </c>
      <c r="Q5" s="74"/>
      <c r="R5" s="56" t="str">
        <f t="shared" si="11"/>
        <v>0</v>
      </c>
      <c r="S5" s="73">
        <f t="shared" si="2"/>
        <v>0</v>
      </c>
      <c r="T5" s="75"/>
      <c r="U5" s="76">
        <f t="shared" si="12"/>
        <v>0</v>
      </c>
      <c r="W5" s="77">
        <v>44564</v>
      </c>
      <c r="X5" s="78">
        <f t="shared" ref="X5:X33" si="23">X4</f>
        <v>163421</v>
      </c>
      <c r="Y5" s="79">
        <f t="shared" si="13"/>
        <v>0</v>
      </c>
      <c r="Z5" s="78">
        <f t="shared" ref="Z5:Z33" si="24">Z4</f>
        <v>8251</v>
      </c>
      <c r="AA5" s="79">
        <f t="shared" si="14"/>
        <v>0</v>
      </c>
      <c r="AB5" s="78">
        <f t="shared" ref="AB5:AB33" si="25">AB4</f>
        <v>19</v>
      </c>
      <c r="AC5" s="79">
        <f t="shared" si="17"/>
        <v>0</v>
      </c>
      <c r="AD5" s="78">
        <f t="shared" ref="AD5:AD33" si="26">AD4</f>
        <v>89</v>
      </c>
      <c r="AE5" s="79">
        <f t="shared" si="15"/>
        <v>0</v>
      </c>
      <c r="AF5" s="78">
        <f t="shared" ref="AF5:AF33" si="27">AF4</f>
        <v>5258</v>
      </c>
      <c r="AG5" s="79">
        <f t="shared" si="16"/>
        <v>0</v>
      </c>
    </row>
    <row r="6" spans="1:33" ht="16.5" thickBot="1" x14ac:dyDescent="0.3">
      <c r="A6" s="7">
        <v>44565</v>
      </c>
      <c r="B6" s="72">
        <f t="shared" si="18"/>
        <v>22790.294999999998</v>
      </c>
      <c r="C6" s="56">
        <f t="shared" si="3"/>
        <v>0</v>
      </c>
      <c r="D6" s="73">
        <f t="shared" si="4"/>
        <v>0</v>
      </c>
      <c r="E6" s="2">
        <f t="shared" si="19"/>
        <v>4085.1</v>
      </c>
      <c r="F6" s="56">
        <f t="shared" si="5"/>
        <v>0</v>
      </c>
      <c r="G6" s="73">
        <f t="shared" si="6"/>
        <v>0</v>
      </c>
      <c r="H6" s="2">
        <f t="shared" si="20"/>
        <v>4562</v>
      </c>
      <c r="I6" s="56">
        <f t="shared" si="7"/>
        <v>0</v>
      </c>
      <c r="J6" s="73">
        <f t="shared" si="0"/>
        <v>0</v>
      </c>
      <c r="K6" s="74">
        <f t="shared" si="21"/>
        <v>13883.26</v>
      </c>
      <c r="L6" s="56">
        <f t="shared" si="8"/>
        <v>0</v>
      </c>
      <c r="M6" s="73">
        <f t="shared" si="1"/>
        <v>0</v>
      </c>
      <c r="N6" s="74">
        <f t="shared" si="22"/>
        <v>3371.6190000000001</v>
      </c>
      <c r="O6" s="56">
        <f t="shared" si="9"/>
        <v>0</v>
      </c>
      <c r="P6" s="73">
        <f t="shared" si="10"/>
        <v>0</v>
      </c>
      <c r="Q6" s="74"/>
      <c r="R6" s="56">
        <f t="shared" si="11"/>
        <v>0</v>
      </c>
      <c r="S6" s="73">
        <f t="shared" si="2"/>
        <v>0</v>
      </c>
      <c r="T6" s="75"/>
      <c r="U6" s="76">
        <f t="shared" si="12"/>
        <v>0</v>
      </c>
      <c r="W6" s="77">
        <v>44565</v>
      </c>
      <c r="X6" s="78">
        <f t="shared" si="23"/>
        <v>163421</v>
      </c>
      <c r="Y6" s="79">
        <f t="shared" si="13"/>
        <v>0</v>
      </c>
      <c r="Z6" s="78">
        <f t="shared" si="24"/>
        <v>8251</v>
      </c>
      <c r="AA6" s="79">
        <f t="shared" si="14"/>
        <v>0</v>
      </c>
      <c r="AB6" s="78">
        <f t="shared" si="25"/>
        <v>19</v>
      </c>
      <c r="AC6" s="79">
        <f t="shared" si="17"/>
        <v>0</v>
      </c>
      <c r="AD6" s="78">
        <f t="shared" si="26"/>
        <v>89</v>
      </c>
      <c r="AE6" s="79">
        <f t="shared" si="15"/>
        <v>0</v>
      </c>
      <c r="AF6" s="78">
        <f t="shared" si="27"/>
        <v>5258</v>
      </c>
      <c r="AG6" s="79">
        <f t="shared" si="16"/>
        <v>0</v>
      </c>
    </row>
    <row r="7" spans="1:33" ht="16.5" thickBot="1" x14ac:dyDescent="0.3">
      <c r="A7" s="7">
        <v>44566</v>
      </c>
      <c r="B7" s="72">
        <f t="shared" si="18"/>
        <v>22790.294999999998</v>
      </c>
      <c r="C7" s="56">
        <f t="shared" si="3"/>
        <v>0</v>
      </c>
      <c r="D7" s="73">
        <f t="shared" si="4"/>
        <v>0</v>
      </c>
      <c r="E7" s="2">
        <f t="shared" si="19"/>
        <v>4085.1</v>
      </c>
      <c r="F7" s="56">
        <f t="shared" si="5"/>
        <v>0</v>
      </c>
      <c r="G7" s="73">
        <f t="shared" si="6"/>
        <v>0</v>
      </c>
      <c r="H7" s="2">
        <f t="shared" si="20"/>
        <v>4562</v>
      </c>
      <c r="I7" s="56">
        <f t="shared" si="7"/>
        <v>0</v>
      </c>
      <c r="J7" s="73">
        <f t="shared" si="0"/>
        <v>0</v>
      </c>
      <c r="K7" s="74">
        <f t="shared" si="21"/>
        <v>13883.26</v>
      </c>
      <c r="L7" s="56">
        <f t="shared" si="8"/>
        <v>0</v>
      </c>
      <c r="M7" s="73">
        <f t="shared" si="1"/>
        <v>0</v>
      </c>
      <c r="N7" s="74">
        <f t="shared" si="22"/>
        <v>3371.6190000000001</v>
      </c>
      <c r="O7" s="56">
        <f t="shared" si="9"/>
        <v>0</v>
      </c>
      <c r="P7" s="73">
        <f t="shared" si="10"/>
        <v>0</v>
      </c>
      <c r="Q7" s="74"/>
      <c r="R7" s="56">
        <f t="shared" si="11"/>
        <v>0</v>
      </c>
      <c r="S7" s="73">
        <f t="shared" si="2"/>
        <v>0</v>
      </c>
      <c r="T7" s="75"/>
      <c r="U7" s="76">
        <f t="shared" si="12"/>
        <v>0</v>
      </c>
      <c r="W7" s="77">
        <v>44566</v>
      </c>
      <c r="X7" s="78">
        <f t="shared" si="23"/>
        <v>163421</v>
      </c>
      <c r="Y7" s="79">
        <f t="shared" si="13"/>
        <v>0</v>
      </c>
      <c r="Z7" s="78">
        <f t="shared" si="24"/>
        <v>8251</v>
      </c>
      <c r="AA7" s="79">
        <f t="shared" si="14"/>
        <v>0</v>
      </c>
      <c r="AB7" s="78">
        <f t="shared" si="25"/>
        <v>19</v>
      </c>
      <c r="AC7" s="79">
        <f t="shared" si="17"/>
        <v>0</v>
      </c>
      <c r="AD7" s="78">
        <f t="shared" si="26"/>
        <v>89</v>
      </c>
      <c r="AE7" s="79">
        <f t="shared" si="15"/>
        <v>0</v>
      </c>
      <c r="AF7" s="78">
        <f t="shared" si="27"/>
        <v>5258</v>
      </c>
      <c r="AG7" s="79">
        <f t="shared" si="16"/>
        <v>0</v>
      </c>
    </row>
    <row r="8" spans="1:33" ht="16.5" thickBot="1" x14ac:dyDescent="0.3">
      <c r="A8" s="7">
        <v>44567</v>
      </c>
      <c r="B8" s="72">
        <f t="shared" si="18"/>
        <v>22790.294999999998</v>
      </c>
      <c r="C8" s="56">
        <f t="shared" si="3"/>
        <v>0</v>
      </c>
      <c r="D8" s="73">
        <f t="shared" si="4"/>
        <v>0</v>
      </c>
      <c r="E8" s="2">
        <f t="shared" si="19"/>
        <v>4085.1</v>
      </c>
      <c r="F8" s="56">
        <f t="shared" si="5"/>
        <v>0</v>
      </c>
      <c r="G8" s="73">
        <f t="shared" si="6"/>
        <v>0</v>
      </c>
      <c r="H8" s="2">
        <f t="shared" si="20"/>
        <v>4562</v>
      </c>
      <c r="I8" s="56">
        <f t="shared" si="7"/>
        <v>0</v>
      </c>
      <c r="J8" s="73">
        <f t="shared" si="0"/>
        <v>0</v>
      </c>
      <c r="K8" s="74">
        <f t="shared" si="21"/>
        <v>13883.26</v>
      </c>
      <c r="L8" s="56">
        <f t="shared" si="8"/>
        <v>0</v>
      </c>
      <c r="M8" s="73">
        <f t="shared" si="1"/>
        <v>0</v>
      </c>
      <c r="N8" s="74">
        <f t="shared" si="22"/>
        <v>3371.6190000000001</v>
      </c>
      <c r="O8" s="56">
        <f t="shared" si="9"/>
        <v>0</v>
      </c>
      <c r="P8" s="73">
        <f t="shared" si="10"/>
        <v>0</v>
      </c>
      <c r="Q8" s="74"/>
      <c r="R8" s="56">
        <f t="shared" si="11"/>
        <v>0</v>
      </c>
      <c r="S8" s="73">
        <f t="shared" si="2"/>
        <v>0</v>
      </c>
      <c r="T8" s="75"/>
      <c r="U8" s="76">
        <f t="shared" si="12"/>
        <v>0</v>
      </c>
      <c r="W8" s="77">
        <v>44567</v>
      </c>
      <c r="X8" s="78">
        <f t="shared" si="23"/>
        <v>163421</v>
      </c>
      <c r="Y8" s="79">
        <f t="shared" si="13"/>
        <v>0</v>
      </c>
      <c r="Z8" s="78">
        <f t="shared" si="24"/>
        <v>8251</v>
      </c>
      <c r="AA8" s="79">
        <f t="shared" si="14"/>
        <v>0</v>
      </c>
      <c r="AB8" s="78">
        <f t="shared" si="25"/>
        <v>19</v>
      </c>
      <c r="AC8" s="79">
        <f t="shared" si="17"/>
        <v>0</v>
      </c>
      <c r="AD8" s="78">
        <f t="shared" si="26"/>
        <v>89</v>
      </c>
      <c r="AE8" s="79">
        <f t="shared" si="15"/>
        <v>0</v>
      </c>
      <c r="AF8" s="78">
        <f t="shared" si="27"/>
        <v>5258</v>
      </c>
      <c r="AG8" s="79">
        <f t="shared" si="16"/>
        <v>0</v>
      </c>
    </row>
    <row r="9" spans="1:33" ht="16.5" thickBot="1" x14ac:dyDescent="0.3">
      <c r="A9" s="7">
        <v>44568</v>
      </c>
      <c r="B9" s="72">
        <f t="shared" si="18"/>
        <v>22790.294999999998</v>
      </c>
      <c r="C9" s="56">
        <f t="shared" si="3"/>
        <v>0</v>
      </c>
      <c r="D9" s="73">
        <f t="shared" si="4"/>
        <v>0</v>
      </c>
      <c r="E9" s="2">
        <f t="shared" si="19"/>
        <v>4085.1</v>
      </c>
      <c r="F9" s="56">
        <f t="shared" si="5"/>
        <v>0</v>
      </c>
      <c r="G9" s="73">
        <f t="shared" si="6"/>
        <v>0</v>
      </c>
      <c r="H9" s="2">
        <f t="shared" si="20"/>
        <v>4562</v>
      </c>
      <c r="I9" s="56">
        <f t="shared" si="7"/>
        <v>0</v>
      </c>
      <c r="J9" s="73">
        <f t="shared" si="0"/>
        <v>0</v>
      </c>
      <c r="K9" s="74">
        <f t="shared" si="21"/>
        <v>13883.26</v>
      </c>
      <c r="L9" s="56">
        <f t="shared" si="8"/>
        <v>0</v>
      </c>
      <c r="M9" s="73">
        <f t="shared" si="1"/>
        <v>0</v>
      </c>
      <c r="N9" s="74">
        <f t="shared" si="22"/>
        <v>3371.6190000000001</v>
      </c>
      <c r="O9" s="56">
        <f t="shared" si="9"/>
        <v>0</v>
      </c>
      <c r="P9" s="73">
        <f t="shared" si="10"/>
        <v>0</v>
      </c>
      <c r="Q9" s="74"/>
      <c r="R9" s="56">
        <f t="shared" si="11"/>
        <v>0</v>
      </c>
      <c r="S9" s="73">
        <f t="shared" si="2"/>
        <v>0</v>
      </c>
      <c r="T9" s="75"/>
      <c r="U9" s="76">
        <f t="shared" si="12"/>
        <v>0</v>
      </c>
      <c r="W9" s="77">
        <v>44568</v>
      </c>
      <c r="X9" s="78">
        <f t="shared" si="23"/>
        <v>163421</v>
      </c>
      <c r="Y9" s="79">
        <f t="shared" si="13"/>
        <v>0</v>
      </c>
      <c r="Z9" s="78">
        <f t="shared" si="24"/>
        <v>8251</v>
      </c>
      <c r="AA9" s="79">
        <f t="shared" si="14"/>
        <v>0</v>
      </c>
      <c r="AB9" s="78">
        <f t="shared" si="25"/>
        <v>19</v>
      </c>
      <c r="AC9" s="79">
        <f t="shared" si="17"/>
        <v>0</v>
      </c>
      <c r="AD9" s="78">
        <f t="shared" si="26"/>
        <v>89</v>
      </c>
      <c r="AE9" s="79">
        <f t="shared" si="15"/>
        <v>0</v>
      </c>
      <c r="AF9" s="78">
        <f t="shared" si="27"/>
        <v>5258</v>
      </c>
      <c r="AG9" s="79">
        <f t="shared" si="16"/>
        <v>0</v>
      </c>
    </row>
    <row r="10" spans="1:33" ht="16.5" thickBot="1" x14ac:dyDescent="0.3">
      <c r="A10" s="7">
        <v>44569</v>
      </c>
      <c r="B10" s="72">
        <f t="shared" si="18"/>
        <v>22790.294999999998</v>
      </c>
      <c r="C10" s="56">
        <f t="shared" si="3"/>
        <v>0</v>
      </c>
      <c r="D10" s="73">
        <f t="shared" si="4"/>
        <v>0</v>
      </c>
      <c r="E10" s="2">
        <f t="shared" si="19"/>
        <v>4085.1</v>
      </c>
      <c r="F10" s="56">
        <f t="shared" si="5"/>
        <v>0</v>
      </c>
      <c r="G10" s="73">
        <f t="shared" si="6"/>
        <v>0</v>
      </c>
      <c r="H10" s="2">
        <f t="shared" si="20"/>
        <v>4562</v>
      </c>
      <c r="I10" s="56">
        <f t="shared" si="7"/>
        <v>0</v>
      </c>
      <c r="J10" s="73">
        <f t="shared" si="0"/>
        <v>0</v>
      </c>
      <c r="K10" s="74">
        <f t="shared" si="21"/>
        <v>13883.26</v>
      </c>
      <c r="L10" s="56">
        <f t="shared" si="8"/>
        <v>0</v>
      </c>
      <c r="M10" s="73">
        <f t="shared" si="1"/>
        <v>0</v>
      </c>
      <c r="N10" s="74">
        <f t="shared" si="22"/>
        <v>3371.6190000000001</v>
      </c>
      <c r="O10" s="56">
        <f t="shared" si="9"/>
        <v>0</v>
      </c>
      <c r="P10" s="73">
        <f t="shared" si="10"/>
        <v>0</v>
      </c>
      <c r="Q10" s="74"/>
      <c r="R10" s="56">
        <f t="shared" si="11"/>
        <v>0</v>
      </c>
      <c r="S10" s="73">
        <f t="shared" si="2"/>
        <v>0</v>
      </c>
      <c r="T10" s="75"/>
      <c r="U10" s="76">
        <f t="shared" si="12"/>
        <v>0</v>
      </c>
      <c r="W10" s="77">
        <v>44569</v>
      </c>
      <c r="X10" s="78">
        <f t="shared" si="23"/>
        <v>163421</v>
      </c>
      <c r="Y10" s="79">
        <f t="shared" si="13"/>
        <v>0</v>
      </c>
      <c r="Z10" s="78">
        <f t="shared" si="24"/>
        <v>8251</v>
      </c>
      <c r="AA10" s="79">
        <f t="shared" si="14"/>
        <v>0</v>
      </c>
      <c r="AB10" s="78">
        <f t="shared" si="25"/>
        <v>19</v>
      </c>
      <c r="AC10" s="79">
        <f t="shared" si="17"/>
        <v>0</v>
      </c>
      <c r="AD10" s="78">
        <f t="shared" si="26"/>
        <v>89</v>
      </c>
      <c r="AE10" s="79">
        <f t="shared" si="15"/>
        <v>0</v>
      </c>
      <c r="AF10" s="78">
        <f t="shared" si="27"/>
        <v>5258</v>
      </c>
      <c r="AG10" s="79">
        <f t="shared" si="16"/>
        <v>0</v>
      </c>
    </row>
    <row r="11" spans="1:33" ht="16.5" thickBot="1" x14ac:dyDescent="0.3">
      <c r="A11" s="7">
        <v>44570</v>
      </c>
      <c r="B11" s="72">
        <f t="shared" si="18"/>
        <v>22790.294999999998</v>
      </c>
      <c r="C11" s="56">
        <f t="shared" si="3"/>
        <v>0</v>
      </c>
      <c r="D11" s="73">
        <f t="shared" si="4"/>
        <v>0</v>
      </c>
      <c r="E11" s="2">
        <f t="shared" si="19"/>
        <v>4085.1</v>
      </c>
      <c r="F11" s="56">
        <f t="shared" si="5"/>
        <v>0</v>
      </c>
      <c r="G11" s="73">
        <f t="shared" si="6"/>
        <v>0</v>
      </c>
      <c r="H11" s="2">
        <f t="shared" si="20"/>
        <v>4562</v>
      </c>
      <c r="I11" s="56">
        <f t="shared" si="7"/>
        <v>0</v>
      </c>
      <c r="J11" s="73">
        <f t="shared" si="0"/>
        <v>0</v>
      </c>
      <c r="K11" s="74">
        <f t="shared" si="21"/>
        <v>13883.26</v>
      </c>
      <c r="L11" s="56">
        <f t="shared" si="8"/>
        <v>0</v>
      </c>
      <c r="M11" s="73">
        <f t="shared" si="1"/>
        <v>0</v>
      </c>
      <c r="N11" s="74">
        <f t="shared" si="22"/>
        <v>3371.6190000000001</v>
      </c>
      <c r="O11" s="56">
        <f t="shared" si="9"/>
        <v>0</v>
      </c>
      <c r="P11" s="73">
        <f t="shared" si="10"/>
        <v>0</v>
      </c>
      <c r="Q11" s="74"/>
      <c r="R11" s="56">
        <f t="shared" si="11"/>
        <v>0</v>
      </c>
      <c r="S11" s="73">
        <f t="shared" si="2"/>
        <v>0</v>
      </c>
      <c r="T11" s="75"/>
      <c r="U11" s="76">
        <f t="shared" si="12"/>
        <v>0</v>
      </c>
      <c r="W11" s="77">
        <v>44570</v>
      </c>
      <c r="X11" s="78">
        <f t="shared" si="23"/>
        <v>163421</v>
      </c>
      <c r="Y11" s="79">
        <f t="shared" si="13"/>
        <v>0</v>
      </c>
      <c r="Z11" s="78">
        <f t="shared" si="24"/>
        <v>8251</v>
      </c>
      <c r="AA11" s="79">
        <f t="shared" si="14"/>
        <v>0</v>
      </c>
      <c r="AB11" s="78">
        <f t="shared" si="25"/>
        <v>19</v>
      </c>
      <c r="AC11" s="79">
        <f t="shared" si="17"/>
        <v>0</v>
      </c>
      <c r="AD11" s="78">
        <f t="shared" si="26"/>
        <v>89</v>
      </c>
      <c r="AE11" s="79">
        <f t="shared" si="15"/>
        <v>0</v>
      </c>
      <c r="AF11" s="78">
        <f t="shared" si="27"/>
        <v>5258</v>
      </c>
      <c r="AG11" s="79">
        <f t="shared" si="16"/>
        <v>0</v>
      </c>
    </row>
    <row r="12" spans="1:33" ht="16.5" thickBot="1" x14ac:dyDescent="0.3">
      <c r="A12" s="7">
        <v>44571</v>
      </c>
      <c r="B12" s="72">
        <f t="shared" si="18"/>
        <v>22790.294999999998</v>
      </c>
      <c r="C12" s="56">
        <f t="shared" si="3"/>
        <v>0</v>
      </c>
      <c r="D12" s="73">
        <f t="shared" si="4"/>
        <v>0</v>
      </c>
      <c r="E12" s="2">
        <f t="shared" si="19"/>
        <v>4085.1</v>
      </c>
      <c r="F12" s="56">
        <f t="shared" si="5"/>
        <v>0</v>
      </c>
      <c r="G12" s="73">
        <f t="shared" si="6"/>
        <v>0</v>
      </c>
      <c r="H12" s="2">
        <f t="shared" si="20"/>
        <v>4562</v>
      </c>
      <c r="I12" s="56">
        <f t="shared" si="7"/>
        <v>0</v>
      </c>
      <c r="J12" s="73">
        <f t="shared" si="0"/>
        <v>0</v>
      </c>
      <c r="K12" s="74">
        <f t="shared" si="21"/>
        <v>13883.26</v>
      </c>
      <c r="L12" s="56">
        <f t="shared" si="8"/>
        <v>0</v>
      </c>
      <c r="M12" s="73">
        <f t="shared" si="1"/>
        <v>0</v>
      </c>
      <c r="N12" s="74">
        <f t="shared" si="22"/>
        <v>3371.6190000000001</v>
      </c>
      <c r="O12" s="56">
        <f t="shared" si="9"/>
        <v>0</v>
      </c>
      <c r="P12" s="73">
        <f t="shared" si="10"/>
        <v>0</v>
      </c>
      <c r="Q12" s="74"/>
      <c r="R12" s="56">
        <f t="shared" si="11"/>
        <v>0</v>
      </c>
      <c r="S12" s="73">
        <f t="shared" si="2"/>
        <v>0</v>
      </c>
      <c r="T12" s="75"/>
      <c r="U12" s="76">
        <f t="shared" si="12"/>
        <v>0</v>
      </c>
      <c r="W12" s="77">
        <v>44571</v>
      </c>
      <c r="X12" s="78">
        <f t="shared" si="23"/>
        <v>163421</v>
      </c>
      <c r="Y12" s="79">
        <f t="shared" si="13"/>
        <v>0</v>
      </c>
      <c r="Z12" s="78">
        <f t="shared" si="24"/>
        <v>8251</v>
      </c>
      <c r="AA12" s="79">
        <f t="shared" si="14"/>
        <v>0</v>
      </c>
      <c r="AB12" s="78">
        <f t="shared" si="25"/>
        <v>19</v>
      </c>
      <c r="AC12" s="79">
        <f t="shared" si="17"/>
        <v>0</v>
      </c>
      <c r="AD12" s="78">
        <f t="shared" si="26"/>
        <v>89</v>
      </c>
      <c r="AE12" s="79">
        <f t="shared" si="15"/>
        <v>0</v>
      </c>
      <c r="AF12" s="78">
        <f t="shared" si="27"/>
        <v>5258</v>
      </c>
      <c r="AG12" s="79">
        <f t="shared" si="16"/>
        <v>0</v>
      </c>
    </row>
    <row r="13" spans="1:33" ht="16.5" thickBot="1" x14ac:dyDescent="0.3">
      <c r="A13" s="7">
        <v>44572</v>
      </c>
      <c r="B13" s="72">
        <f t="shared" si="18"/>
        <v>22790.294999999998</v>
      </c>
      <c r="C13" s="56">
        <f t="shared" si="3"/>
        <v>0</v>
      </c>
      <c r="D13" s="73">
        <f t="shared" si="4"/>
        <v>0</v>
      </c>
      <c r="E13" s="2">
        <f t="shared" si="19"/>
        <v>4085.1</v>
      </c>
      <c r="F13" s="56">
        <f t="shared" si="5"/>
        <v>0</v>
      </c>
      <c r="G13" s="73">
        <f t="shared" si="6"/>
        <v>0</v>
      </c>
      <c r="H13" s="2">
        <f t="shared" si="20"/>
        <v>4562</v>
      </c>
      <c r="I13" s="56">
        <f t="shared" si="7"/>
        <v>0</v>
      </c>
      <c r="J13" s="73">
        <f t="shared" si="0"/>
        <v>0</v>
      </c>
      <c r="K13" s="74">
        <f t="shared" si="21"/>
        <v>13883.26</v>
      </c>
      <c r="L13" s="56">
        <f t="shared" si="8"/>
        <v>0</v>
      </c>
      <c r="M13" s="73">
        <f t="shared" si="1"/>
        <v>0</v>
      </c>
      <c r="N13" s="74">
        <f t="shared" si="22"/>
        <v>3371.6190000000001</v>
      </c>
      <c r="O13" s="56">
        <f t="shared" si="9"/>
        <v>0</v>
      </c>
      <c r="P13" s="73">
        <f t="shared" si="10"/>
        <v>0</v>
      </c>
      <c r="Q13" s="74"/>
      <c r="R13" s="56">
        <f t="shared" si="11"/>
        <v>0</v>
      </c>
      <c r="S13" s="73">
        <f t="shared" si="2"/>
        <v>0</v>
      </c>
      <c r="T13" s="75"/>
      <c r="U13" s="76">
        <f t="shared" si="12"/>
        <v>0</v>
      </c>
      <c r="W13" s="77">
        <v>44572</v>
      </c>
      <c r="X13" s="78">
        <f t="shared" si="23"/>
        <v>163421</v>
      </c>
      <c r="Y13" s="79">
        <f t="shared" si="13"/>
        <v>0</v>
      </c>
      <c r="Z13" s="78">
        <f t="shared" si="24"/>
        <v>8251</v>
      </c>
      <c r="AA13" s="79">
        <f t="shared" si="14"/>
        <v>0</v>
      </c>
      <c r="AB13" s="78">
        <f t="shared" si="25"/>
        <v>19</v>
      </c>
      <c r="AC13" s="79">
        <f t="shared" si="17"/>
        <v>0</v>
      </c>
      <c r="AD13" s="78">
        <f t="shared" si="26"/>
        <v>89</v>
      </c>
      <c r="AE13" s="79">
        <f t="shared" si="15"/>
        <v>0</v>
      </c>
      <c r="AF13" s="78">
        <f t="shared" si="27"/>
        <v>5258</v>
      </c>
      <c r="AG13" s="79">
        <f t="shared" si="16"/>
        <v>0</v>
      </c>
    </row>
    <row r="14" spans="1:33" ht="16.5" thickBot="1" x14ac:dyDescent="0.3">
      <c r="A14" s="7">
        <v>44573</v>
      </c>
      <c r="B14" s="72">
        <f t="shared" si="18"/>
        <v>22790.294999999998</v>
      </c>
      <c r="C14" s="56">
        <f t="shared" si="3"/>
        <v>0</v>
      </c>
      <c r="D14" s="73">
        <f t="shared" si="4"/>
        <v>0</v>
      </c>
      <c r="E14" s="2">
        <f t="shared" si="19"/>
        <v>4085.1</v>
      </c>
      <c r="F14" s="56">
        <f t="shared" si="5"/>
        <v>0</v>
      </c>
      <c r="G14" s="73">
        <f t="shared" si="6"/>
        <v>0</v>
      </c>
      <c r="H14" s="2">
        <f t="shared" si="20"/>
        <v>4562</v>
      </c>
      <c r="I14" s="56">
        <f t="shared" si="7"/>
        <v>0</v>
      </c>
      <c r="J14" s="73">
        <f t="shared" si="0"/>
        <v>0</v>
      </c>
      <c r="K14" s="74">
        <f t="shared" si="21"/>
        <v>13883.26</v>
      </c>
      <c r="L14" s="56">
        <f t="shared" si="8"/>
        <v>0</v>
      </c>
      <c r="M14" s="73">
        <f t="shared" si="1"/>
        <v>0</v>
      </c>
      <c r="N14" s="74">
        <f t="shared" si="22"/>
        <v>3371.6190000000001</v>
      </c>
      <c r="O14" s="56">
        <f t="shared" si="9"/>
        <v>0</v>
      </c>
      <c r="P14" s="73">
        <f t="shared" si="10"/>
        <v>0</v>
      </c>
      <c r="Q14" s="74"/>
      <c r="R14" s="56">
        <f t="shared" si="11"/>
        <v>0</v>
      </c>
      <c r="S14" s="73">
        <f t="shared" si="2"/>
        <v>0</v>
      </c>
      <c r="T14" s="75"/>
      <c r="U14" s="76">
        <f t="shared" si="12"/>
        <v>0</v>
      </c>
      <c r="W14" s="77">
        <v>44573</v>
      </c>
      <c r="X14" s="78">
        <f t="shared" si="23"/>
        <v>163421</v>
      </c>
      <c r="Y14" s="79">
        <f t="shared" si="13"/>
        <v>0</v>
      </c>
      <c r="Z14" s="78">
        <f t="shared" si="24"/>
        <v>8251</v>
      </c>
      <c r="AA14" s="79">
        <f t="shared" si="14"/>
        <v>0</v>
      </c>
      <c r="AB14" s="78">
        <f t="shared" si="25"/>
        <v>19</v>
      </c>
      <c r="AC14" s="79">
        <f t="shared" si="17"/>
        <v>0</v>
      </c>
      <c r="AD14" s="78">
        <f t="shared" si="26"/>
        <v>89</v>
      </c>
      <c r="AE14" s="79">
        <f t="shared" si="15"/>
        <v>0</v>
      </c>
      <c r="AF14" s="78">
        <f t="shared" si="27"/>
        <v>5258</v>
      </c>
      <c r="AG14" s="79">
        <f t="shared" si="16"/>
        <v>0</v>
      </c>
    </row>
    <row r="15" spans="1:33" ht="16.5" thickBot="1" x14ac:dyDescent="0.3">
      <c r="A15" s="7">
        <v>44574</v>
      </c>
      <c r="B15" s="72">
        <f t="shared" si="18"/>
        <v>22790.294999999998</v>
      </c>
      <c r="C15" s="56">
        <f t="shared" si="3"/>
        <v>0</v>
      </c>
      <c r="D15" s="73">
        <f t="shared" si="4"/>
        <v>0</v>
      </c>
      <c r="E15" s="2">
        <f t="shared" si="19"/>
        <v>4085.1</v>
      </c>
      <c r="F15" s="56">
        <f t="shared" si="5"/>
        <v>0</v>
      </c>
      <c r="G15" s="73">
        <f t="shared" si="6"/>
        <v>0</v>
      </c>
      <c r="H15" s="2">
        <f t="shared" si="20"/>
        <v>4562</v>
      </c>
      <c r="I15" s="56">
        <f t="shared" si="7"/>
        <v>0</v>
      </c>
      <c r="J15" s="73">
        <f t="shared" si="0"/>
        <v>0</v>
      </c>
      <c r="K15" s="74">
        <f t="shared" si="21"/>
        <v>13883.26</v>
      </c>
      <c r="L15" s="56">
        <f t="shared" si="8"/>
        <v>0</v>
      </c>
      <c r="M15" s="73">
        <f t="shared" si="1"/>
        <v>0</v>
      </c>
      <c r="N15" s="74">
        <f t="shared" si="22"/>
        <v>3371.6190000000001</v>
      </c>
      <c r="O15" s="56">
        <f t="shared" si="9"/>
        <v>0</v>
      </c>
      <c r="P15" s="73">
        <f t="shared" si="10"/>
        <v>0</v>
      </c>
      <c r="Q15" s="74"/>
      <c r="R15" s="56">
        <f t="shared" si="11"/>
        <v>0</v>
      </c>
      <c r="S15" s="73">
        <f t="shared" si="2"/>
        <v>0</v>
      </c>
      <c r="T15" s="75"/>
      <c r="U15" s="76">
        <f t="shared" si="12"/>
        <v>0</v>
      </c>
      <c r="W15" s="77">
        <v>44574</v>
      </c>
      <c r="X15" s="78">
        <f t="shared" si="23"/>
        <v>163421</v>
      </c>
      <c r="Y15" s="79">
        <f t="shared" si="13"/>
        <v>0</v>
      </c>
      <c r="Z15" s="78">
        <f t="shared" si="24"/>
        <v>8251</v>
      </c>
      <c r="AA15" s="79">
        <f t="shared" si="14"/>
        <v>0</v>
      </c>
      <c r="AB15" s="78">
        <f t="shared" si="25"/>
        <v>19</v>
      </c>
      <c r="AC15" s="79">
        <f t="shared" si="17"/>
        <v>0</v>
      </c>
      <c r="AD15" s="78">
        <f t="shared" si="26"/>
        <v>89</v>
      </c>
      <c r="AE15" s="79">
        <f t="shared" si="15"/>
        <v>0</v>
      </c>
      <c r="AF15" s="78">
        <f t="shared" si="27"/>
        <v>5258</v>
      </c>
      <c r="AG15" s="79">
        <f t="shared" si="16"/>
        <v>0</v>
      </c>
    </row>
    <row r="16" spans="1:33" ht="16.5" thickBot="1" x14ac:dyDescent="0.3">
      <c r="A16" s="7">
        <v>44575</v>
      </c>
      <c r="B16" s="72">
        <f t="shared" si="18"/>
        <v>22790.294999999998</v>
      </c>
      <c r="C16" s="56">
        <f t="shared" si="3"/>
        <v>0</v>
      </c>
      <c r="D16" s="73">
        <f t="shared" si="4"/>
        <v>0</v>
      </c>
      <c r="E16" s="2">
        <f t="shared" si="19"/>
        <v>4085.1</v>
      </c>
      <c r="F16" s="56">
        <f t="shared" si="5"/>
        <v>0</v>
      </c>
      <c r="G16" s="73">
        <f t="shared" si="6"/>
        <v>0</v>
      </c>
      <c r="H16" s="2">
        <f t="shared" si="20"/>
        <v>4562</v>
      </c>
      <c r="I16" s="56">
        <f t="shared" si="7"/>
        <v>0</v>
      </c>
      <c r="J16" s="73">
        <f t="shared" si="0"/>
        <v>0</v>
      </c>
      <c r="K16" s="74">
        <f t="shared" si="21"/>
        <v>13883.26</v>
      </c>
      <c r="L16" s="56">
        <f t="shared" si="8"/>
        <v>0</v>
      </c>
      <c r="M16" s="73">
        <f t="shared" si="1"/>
        <v>0</v>
      </c>
      <c r="N16" s="74">
        <f t="shared" si="22"/>
        <v>3371.6190000000001</v>
      </c>
      <c r="O16" s="56">
        <f t="shared" si="9"/>
        <v>0</v>
      </c>
      <c r="P16" s="73">
        <f t="shared" si="10"/>
        <v>0</v>
      </c>
      <c r="Q16" s="74"/>
      <c r="R16" s="56">
        <f t="shared" si="11"/>
        <v>0</v>
      </c>
      <c r="S16" s="73">
        <f t="shared" si="2"/>
        <v>0</v>
      </c>
      <c r="T16" s="75"/>
      <c r="U16" s="76">
        <f t="shared" si="12"/>
        <v>0</v>
      </c>
      <c r="W16" s="77">
        <v>44575</v>
      </c>
      <c r="X16" s="78">
        <f t="shared" si="23"/>
        <v>163421</v>
      </c>
      <c r="Y16" s="79">
        <f t="shared" si="13"/>
        <v>0</v>
      </c>
      <c r="Z16" s="78">
        <f t="shared" si="24"/>
        <v>8251</v>
      </c>
      <c r="AA16" s="79">
        <f t="shared" si="14"/>
        <v>0</v>
      </c>
      <c r="AB16" s="78">
        <f t="shared" si="25"/>
        <v>19</v>
      </c>
      <c r="AC16" s="79">
        <f t="shared" si="17"/>
        <v>0</v>
      </c>
      <c r="AD16" s="78">
        <f t="shared" si="26"/>
        <v>89</v>
      </c>
      <c r="AE16" s="79">
        <f t="shared" si="15"/>
        <v>0</v>
      </c>
      <c r="AF16" s="78">
        <f t="shared" si="27"/>
        <v>5258</v>
      </c>
      <c r="AG16" s="79">
        <f t="shared" si="16"/>
        <v>0</v>
      </c>
    </row>
    <row r="17" spans="1:33" ht="16.5" thickBot="1" x14ac:dyDescent="0.3">
      <c r="A17" s="7">
        <v>44576</v>
      </c>
      <c r="B17" s="72">
        <f t="shared" si="18"/>
        <v>22790.294999999998</v>
      </c>
      <c r="C17" s="56">
        <f t="shared" si="3"/>
        <v>0</v>
      </c>
      <c r="D17" s="73">
        <f t="shared" si="4"/>
        <v>0</v>
      </c>
      <c r="E17" s="2">
        <f t="shared" si="19"/>
        <v>4085.1</v>
      </c>
      <c r="F17" s="56">
        <f t="shared" si="5"/>
        <v>0</v>
      </c>
      <c r="G17" s="73">
        <f t="shared" si="6"/>
        <v>0</v>
      </c>
      <c r="H17" s="2">
        <f t="shared" si="20"/>
        <v>4562</v>
      </c>
      <c r="I17" s="56">
        <f t="shared" si="7"/>
        <v>0</v>
      </c>
      <c r="J17" s="73">
        <f t="shared" si="0"/>
        <v>0</v>
      </c>
      <c r="K17" s="74">
        <f t="shared" si="21"/>
        <v>13883.26</v>
      </c>
      <c r="L17" s="56">
        <f t="shared" si="8"/>
        <v>0</v>
      </c>
      <c r="M17" s="73">
        <f t="shared" si="1"/>
        <v>0</v>
      </c>
      <c r="N17" s="74">
        <f t="shared" si="22"/>
        <v>3371.6190000000001</v>
      </c>
      <c r="O17" s="56">
        <f t="shared" si="9"/>
        <v>0</v>
      </c>
      <c r="P17" s="73">
        <f t="shared" si="10"/>
        <v>0</v>
      </c>
      <c r="Q17" s="74"/>
      <c r="R17" s="56">
        <f t="shared" si="11"/>
        <v>0</v>
      </c>
      <c r="S17" s="73">
        <f t="shared" si="2"/>
        <v>0</v>
      </c>
      <c r="T17" s="75"/>
      <c r="U17" s="76">
        <f t="shared" si="12"/>
        <v>0</v>
      </c>
      <c r="W17" s="77">
        <v>44576</v>
      </c>
      <c r="X17" s="78">
        <f t="shared" si="23"/>
        <v>163421</v>
      </c>
      <c r="Y17" s="79">
        <f t="shared" si="13"/>
        <v>0</v>
      </c>
      <c r="Z17" s="78">
        <f t="shared" si="24"/>
        <v>8251</v>
      </c>
      <c r="AA17" s="79">
        <f t="shared" si="14"/>
        <v>0</v>
      </c>
      <c r="AB17" s="78">
        <f t="shared" si="25"/>
        <v>19</v>
      </c>
      <c r="AC17" s="79">
        <f t="shared" si="17"/>
        <v>0</v>
      </c>
      <c r="AD17" s="78">
        <f t="shared" si="26"/>
        <v>89</v>
      </c>
      <c r="AE17" s="79">
        <f t="shared" si="15"/>
        <v>0</v>
      </c>
      <c r="AF17" s="78">
        <f t="shared" si="27"/>
        <v>5258</v>
      </c>
      <c r="AG17" s="79">
        <f t="shared" si="16"/>
        <v>0</v>
      </c>
    </row>
    <row r="18" spans="1:33" ht="16.5" thickBot="1" x14ac:dyDescent="0.3">
      <c r="A18" s="7">
        <v>44577</v>
      </c>
      <c r="B18" s="72">
        <f t="shared" si="18"/>
        <v>22790.294999999998</v>
      </c>
      <c r="C18" s="56">
        <f t="shared" si="3"/>
        <v>0</v>
      </c>
      <c r="D18" s="73">
        <f t="shared" si="4"/>
        <v>0</v>
      </c>
      <c r="E18" s="2">
        <f t="shared" si="19"/>
        <v>4085.1</v>
      </c>
      <c r="F18" s="56">
        <f t="shared" si="5"/>
        <v>0</v>
      </c>
      <c r="G18" s="73">
        <f t="shared" si="6"/>
        <v>0</v>
      </c>
      <c r="H18" s="2">
        <f t="shared" si="20"/>
        <v>4562</v>
      </c>
      <c r="I18" s="56">
        <f t="shared" si="7"/>
        <v>0</v>
      </c>
      <c r="J18" s="73">
        <f t="shared" si="0"/>
        <v>0</v>
      </c>
      <c r="K18" s="74">
        <f t="shared" si="21"/>
        <v>13883.26</v>
      </c>
      <c r="L18" s="56">
        <f t="shared" si="8"/>
        <v>0</v>
      </c>
      <c r="M18" s="73">
        <f t="shared" si="1"/>
        <v>0</v>
      </c>
      <c r="N18" s="74">
        <f t="shared" si="22"/>
        <v>3371.6190000000001</v>
      </c>
      <c r="O18" s="56">
        <f t="shared" si="9"/>
        <v>0</v>
      </c>
      <c r="P18" s="73">
        <f t="shared" si="10"/>
        <v>0</v>
      </c>
      <c r="Q18" s="74"/>
      <c r="R18" s="56">
        <f t="shared" si="11"/>
        <v>0</v>
      </c>
      <c r="S18" s="73">
        <f t="shared" si="2"/>
        <v>0</v>
      </c>
      <c r="T18" s="75"/>
      <c r="U18" s="76">
        <f t="shared" si="12"/>
        <v>0</v>
      </c>
      <c r="W18" s="77">
        <v>44577</v>
      </c>
      <c r="X18" s="78">
        <f t="shared" si="23"/>
        <v>163421</v>
      </c>
      <c r="Y18" s="79">
        <f t="shared" si="13"/>
        <v>0</v>
      </c>
      <c r="Z18" s="78">
        <f t="shared" si="24"/>
        <v>8251</v>
      </c>
      <c r="AA18" s="79">
        <f t="shared" si="14"/>
        <v>0</v>
      </c>
      <c r="AB18" s="78">
        <f t="shared" si="25"/>
        <v>19</v>
      </c>
      <c r="AC18" s="79">
        <f t="shared" si="17"/>
        <v>0</v>
      </c>
      <c r="AD18" s="78">
        <f t="shared" si="26"/>
        <v>89</v>
      </c>
      <c r="AE18" s="79">
        <f t="shared" si="15"/>
        <v>0</v>
      </c>
      <c r="AF18" s="78">
        <f t="shared" si="27"/>
        <v>5258</v>
      </c>
      <c r="AG18" s="79">
        <f t="shared" si="16"/>
        <v>0</v>
      </c>
    </row>
    <row r="19" spans="1:33" ht="16.5" thickBot="1" x14ac:dyDescent="0.3">
      <c r="A19" s="7">
        <v>44578</v>
      </c>
      <c r="B19" s="72">
        <f t="shared" si="18"/>
        <v>22790.294999999998</v>
      </c>
      <c r="C19" s="56">
        <f t="shared" si="3"/>
        <v>0</v>
      </c>
      <c r="D19" s="73">
        <f t="shared" si="4"/>
        <v>0</v>
      </c>
      <c r="E19" s="2">
        <f t="shared" si="19"/>
        <v>4085.1</v>
      </c>
      <c r="F19" s="56">
        <f t="shared" si="5"/>
        <v>0</v>
      </c>
      <c r="G19" s="73">
        <f t="shared" si="6"/>
        <v>0</v>
      </c>
      <c r="H19" s="2">
        <f t="shared" si="20"/>
        <v>4562</v>
      </c>
      <c r="I19" s="56">
        <f t="shared" si="7"/>
        <v>0</v>
      </c>
      <c r="J19" s="73">
        <f t="shared" si="0"/>
        <v>0</v>
      </c>
      <c r="K19" s="74">
        <f t="shared" si="21"/>
        <v>13883.26</v>
      </c>
      <c r="L19" s="56">
        <f t="shared" si="8"/>
        <v>0</v>
      </c>
      <c r="M19" s="73">
        <f t="shared" si="1"/>
        <v>0</v>
      </c>
      <c r="N19" s="74">
        <f t="shared" si="22"/>
        <v>3371.6190000000001</v>
      </c>
      <c r="O19" s="56">
        <f t="shared" si="9"/>
        <v>0</v>
      </c>
      <c r="P19" s="73">
        <f t="shared" si="10"/>
        <v>0</v>
      </c>
      <c r="Q19" s="74"/>
      <c r="R19" s="56">
        <f t="shared" si="11"/>
        <v>0</v>
      </c>
      <c r="S19" s="73">
        <f t="shared" si="2"/>
        <v>0</v>
      </c>
      <c r="T19" s="75"/>
      <c r="U19" s="76">
        <f t="shared" si="12"/>
        <v>0</v>
      </c>
      <c r="W19" s="77">
        <v>44578</v>
      </c>
      <c r="X19" s="78">
        <f t="shared" si="23"/>
        <v>163421</v>
      </c>
      <c r="Y19" s="79">
        <f t="shared" si="13"/>
        <v>0</v>
      </c>
      <c r="Z19" s="78">
        <f t="shared" si="24"/>
        <v>8251</v>
      </c>
      <c r="AA19" s="79">
        <f t="shared" si="14"/>
        <v>0</v>
      </c>
      <c r="AB19" s="78">
        <f t="shared" si="25"/>
        <v>19</v>
      </c>
      <c r="AC19" s="79">
        <f t="shared" si="17"/>
        <v>0</v>
      </c>
      <c r="AD19" s="78">
        <f t="shared" si="26"/>
        <v>89</v>
      </c>
      <c r="AE19" s="79">
        <f t="shared" si="15"/>
        <v>0</v>
      </c>
      <c r="AF19" s="78">
        <f t="shared" si="27"/>
        <v>5258</v>
      </c>
      <c r="AG19" s="79">
        <f t="shared" si="16"/>
        <v>0</v>
      </c>
    </row>
    <row r="20" spans="1:33" ht="16.5" thickBot="1" x14ac:dyDescent="0.3">
      <c r="A20" s="7">
        <v>44579</v>
      </c>
      <c r="B20" s="72">
        <f t="shared" si="18"/>
        <v>22790.294999999998</v>
      </c>
      <c r="C20" s="56">
        <f t="shared" si="3"/>
        <v>0</v>
      </c>
      <c r="D20" s="73">
        <f t="shared" si="4"/>
        <v>0</v>
      </c>
      <c r="E20" s="2">
        <f t="shared" si="19"/>
        <v>4085.1</v>
      </c>
      <c r="F20" s="56">
        <f t="shared" si="5"/>
        <v>0</v>
      </c>
      <c r="G20" s="73">
        <f t="shared" si="6"/>
        <v>0</v>
      </c>
      <c r="H20" s="2">
        <f t="shared" si="20"/>
        <v>4562</v>
      </c>
      <c r="I20" s="56">
        <f t="shared" si="7"/>
        <v>0</v>
      </c>
      <c r="J20" s="73">
        <f t="shared" si="0"/>
        <v>0</v>
      </c>
      <c r="K20" s="74">
        <f t="shared" si="21"/>
        <v>13883.26</v>
      </c>
      <c r="L20" s="56">
        <f t="shared" si="8"/>
        <v>0</v>
      </c>
      <c r="M20" s="73">
        <f t="shared" si="1"/>
        <v>0</v>
      </c>
      <c r="N20" s="74">
        <f t="shared" si="22"/>
        <v>3371.6190000000001</v>
      </c>
      <c r="O20" s="56">
        <f t="shared" si="9"/>
        <v>0</v>
      </c>
      <c r="P20" s="73">
        <f t="shared" si="10"/>
        <v>0</v>
      </c>
      <c r="Q20" s="74"/>
      <c r="R20" s="56">
        <f t="shared" si="11"/>
        <v>0</v>
      </c>
      <c r="S20" s="73">
        <f t="shared" si="2"/>
        <v>0</v>
      </c>
      <c r="T20" s="75"/>
      <c r="U20" s="76">
        <f t="shared" si="12"/>
        <v>0</v>
      </c>
      <c r="W20" s="77">
        <v>44579</v>
      </c>
      <c r="X20" s="78">
        <f t="shared" si="23"/>
        <v>163421</v>
      </c>
      <c r="Y20" s="79">
        <f t="shared" si="13"/>
        <v>0</v>
      </c>
      <c r="Z20" s="78">
        <f t="shared" si="24"/>
        <v>8251</v>
      </c>
      <c r="AA20" s="79">
        <f t="shared" si="14"/>
        <v>0</v>
      </c>
      <c r="AB20" s="78">
        <f t="shared" si="25"/>
        <v>19</v>
      </c>
      <c r="AC20" s="79">
        <f t="shared" si="17"/>
        <v>0</v>
      </c>
      <c r="AD20" s="78">
        <f t="shared" si="26"/>
        <v>89</v>
      </c>
      <c r="AE20" s="79">
        <f t="shared" si="15"/>
        <v>0</v>
      </c>
      <c r="AF20" s="78">
        <f t="shared" si="27"/>
        <v>5258</v>
      </c>
      <c r="AG20" s="79">
        <f t="shared" si="16"/>
        <v>0</v>
      </c>
    </row>
    <row r="21" spans="1:33" ht="16.5" thickBot="1" x14ac:dyDescent="0.3">
      <c r="A21" s="7">
        <v>44580</v>
      </c>
      <c r="B21" s="72">
        <f t="shared" si="18"/>
        <v>22790.294999999998</v>
      </c>
      <c r="C21" s="56">
        <f t="shared" si="3"/>
        <v>0</v>
      </c>
      <c r="D21" s="73">
        <f t="shared" si="4"/>
        <v>0</v>
      </c>
      <c r="E21" s="2">
        <f t="shared" si="19"/>
        <v>4085.1</v>
      </c>
      <c r="F21" s="56">
        <f t="shared" si="5"/>
        <v>0</v>
      </c>
      <c r="G21" s="73">
        <f t="shared" si="6"/>
        <v>0</v>
      </c>
      <c r="H21" s="2">
        <f t="shared" si="20"/>
        <v>4562</v>
      </c>
      <c r="I21" s="56">
        <f t="shared" si="7"/>
        <v>0</v>
      </c>
      <c r="J21" s="73">
        <f t="shared" si="0"/>
        <v>0</v>
      </c>
      <c r="K21" s="74">
        <f t="shared" si="21"/>
        <v>13883.26</v>
      </c>
      <c r="L21" s="56">
        <f t="shared" si="8"/>
        <v>0</v>
      </c>
      <c r="M21" s="73">
        <f t="shared" si="1"/>
        <v>0</v>
      </c>
      <c r="N21" s="74">
        <f t="shared" si="22"/>
        <v>3371.6190000000001</v>
      </c>
      <c r="O21" s="56">
        <f t="shared" si="9"/>
        <v>0</v>
      </c>
      <c r="P21" s="73">
        <f t="shared" si="10"/>
        <v>0</v>
      </c>
      <c r="Q21" s="74"/>
      <c r="R21" s="56">
        <f t="shared" si="11"/>
        <v>0</v>
      </c>
      <c r="S21" s="73">
        <f t="shared" si="2"/>
        <v>0</v>
      </c>
      <c r="T21" s="75"/>
      <c r="U21" s="76">
        <f t="shared" si="12"/>
        <v>0</v>
      </c>
      <c r="W21" s="77">
        <v>44580</v>
      </c>
      <c r="X21" s="78">
        <f t="shared" si="23"/>
        <v>163421</v>
      </c>
      <c r="Y21" s="79">
        <f t="shared" si="13"/>
        <v>0</v>
      </c>
      <c r="Z21" s="78">
        <f t="shared" si="24"/>
        <v>8251</v>
      </c>
      <c r="AA21" s="79">
        <f t="shared" si="14"/>
        <v>0</v>
      </c>
      <c r="AB21" s="78">
        <f t="shared" si="25"/>
        <v>19</v>
      </c>
      <c r="AC21" s="79">
        <f t="shared" si="17"/>
        <v>0</v>
      </c>
      <c r="AD21" s="78">
        <f t="shared" si="26"/>
        <v>89</v>
      </c>
      <c r="AE21" s="79">
        <f t="shared" si="15"/>
        <v>0</v>
      </c>
      <c r="AF21" s="78">
        <f t="shared" si="27"/>
        <v>5258</v>
      </c>
      <c r="AG21" s="79">
        <f t="shared" si="16"/>
        <v>0</v>
      </c>
    </row>
    <row r="22" spans="1:33" ht="16.5" thickBot="1" x14ac:dyDescent="0.3">
      <c r="A22" s="7">
        <v>44581</v>
      </c>
      <c r="B22" s="72">
        <f t="shared" si="18"/>
        <v>22790.294999999998</v>
      </c>
      <c r="C22" s="56">
        <f t="shared" si="3"/>
        <v>0</v>
      </c>
      <c r="D22" s="73">
        <f t="shared" si="4"/>
        <v>0</v>
      </c>
      <c r="E22" s="2">
        <f t="shared" si="19"/>
        <v>4085.1</v>
      </c>
      <c r="F22" s="56">
        <f t="shared" si="5"/>
        <v>0</v>
      </c>
      <c r="G22" s="73">
        <f t="shared" si="6"/>
        <v>0</v>
      </c>
      <c r="H22" s="2">
        <f t="shared" si="20"/>
        <v>4562</v>
      </c>
      <c r="I22" s="56">
        <f t="shared" si="7"/>
        <v>0</v>
      </c>
      <c r="J22" s="73">
        <f t="shared" si="0"/>
        <v>0</v>
      </c>
      <c r="K22" s="74">
        <f t="shared" si="21"/>
        <v>13883.26</v>
      </c>
      <c r="L22" s="56">
        <f t="shared" si="8"/>
        <v>0</v>
      </c>
      <c r="M22" s="73">
        <f t="shared" si="1"/>
        <v>0</v>
      </c>
      <c r="N22" s="74">
        <f t="shared" si="22"/>
        <v>3371.6190000000001</v>
      </c>
      <c r="O22" s="56">
        <f t="shared" si="9"/>
        <v>0</v>
      </c>
      <c r="P22" s="73">
        <f t="shared" si="10"/>
        <v>0</v>
      </c>
      <c r="Q22" s="74"/>
      <c r="R22" s="56">
        <f t="shared" si="11"/>
        <v>0</v>
      </c>
      <c r="S22" s="73">
        <f t="shared" si="2"/>
        <v>0</v>
      </c>
      <c r="T22" s="75"/>
      <c r="U22" s="76">
        <f t="shared" si="12"/>
        <v>0</v>
      </c>
      <c r="W22" s="77">
        <v>44581</v>
      </c>
      <c r="X22" s="78">
        <f t="shared" si="23"/>
        <v>163421</v>
      </c>
      <c r="Y22" s="79">
        <f t="shared" si="13"/>
        <v>0</v>
      </c>
      <c r="Z22" s="78">
        <f t="shared" si="24"/>
        <v>8251</v>
      </c>
      <c r="AA22" s="79">
        <f t="shared" si="14"/>
        <v>0</v>
      </c>
      <c r="AB22" s="78">
        <f t="shared" si="25"/>
        <v>19</v>
      </c>
      <c r="AC22" s="79">
        <f t="shared" si="17"/>
        <v>0</v>
      </c>
      <c r="AD22" s="78">
        <f t="shared" si="26"/>
        <v>89</v>
      </c>
      <c r="AE22" s="79">
        <f t="shared" si="15"/>
        <v>0</v>
      </c>
      <c r="AF22" s="78">
        <f t="shared" si="27"/>
        <v>5258</v>
      </c>
      <c r="AG22" s="79">
        <f t="shared" si="16"/>
        <v>0</v>
      </c>
    </row>
    <row r="23" spans="1:33" ht="16.5" thickBot="1" x14ac:dyDescent="0.3">
      <c r="A23" s="7">
        <v>44582</v>
      </c>
      <c r="B23" s="72">
        <f t="shared" si="18"/>
        <v>22790.294999999998</v>
      </c>
      <c r="C23" s="56">
        <f t="shared" si="3"/>
        <v>0</v>
      </c>
      <c r="D23" s="73">
        <f t="shared" si="4"/>
        <v>0</v>
      </c>
      <c r="E23" s="2">
        <f t="shared" si="19"/>
        <v>4085.1</v>
      </c>
      <c r="F23" s="56">
        <f t="shared" si="5"/>
        <v>0</v>
      </c>
      <c r="G23" s="73">
        <f t="shared" si="6"/>
        <v>0</v>
      </c>
      <c r="H23" s="2">
        <f t="shared" si="20"/>
        <v>4562</v>
      </c>
      <c r="I23" s="56">
        <f t="shared" si="7"/>
        <v>0</v>
      </c>
      <c r="J23" s="73">
        <f t="shared" si="0"/>
        <v>0</v>
      </c>
      <c r="K23" s="74">
        <f t="shared" si="21"/>
        <v>13883.26</v>
      </c>
      <c r="L23" s="56">
        <f t="shared" si="8"/>
        <v>0</v>
      </c>
      <c r="M23" s="73">
        <f t="shared" si="1"/>
        <v>0</v>
      </c>
      <c r="N23" s="74">
        <f t="shared" si="22"/>
        <v>3371.6190000000001</v>
      </c>
      <c r="O23" s="56">
        <f t="shared" si="9"/>
        <v>0</v>
      </c>
      <c r="P23" s="73">
        <f t="shared" si="10"/>
        <v>0</v>
      </c>
      <c r="Q23" s="74"/>
      <c r="R23" s="56">
        <f t="shared" si="11"/>
        <v>0</v>
      </c>
      <c r="S23" s="73">
        <f t="shared" si="2"/>
        <v>0</v>
      </c>
      <c r="T23" s="75"/>
      <c r="U23" s="76">
        <f t="shared" si="12"/>
        <v>0</v>
      </c>
      <c r="W23" s="77">
        <v>44582</v>
      </c>
      <c r="X23" s="78">
        <f t="shared" si="23"/>
        <v>163421</v>
      </c>
      <c r="Y23" s="79">
        <f t="shared" si="13"/>
        <v>0</v>
      </c>
      <c r="Z23" s="78">
        <f t="shared" si="24"/>
        <v>8251</v>
      </c>
      <c r="AA23" s="79">
        <f t="shared" si="14"/>
        <v>0</v>
      </c>
      <c r="AB23" s="78">
        <f t="shared" si="25"/>
        <v>19</v>
      </c>
      <c r="AC23" s="79">
        <f t="shared" si="17"/>
        <v>0</v>
      </c>
      <c r="AD23" s="78">
        <f t="shared" si="26"/>
        <v>89</v>
      </c>
      <c r="AE23" s="79">
        <f t="shared" si="15"/>
        <v>0</v>
      </c>
      <c r="AF23" s="78">
        <f t="shared" si="27"/>
        <v>5258</v>
      </c>
      <c r="AG23" s="79">
        <f t="shared" si="16"/>
        <v>0</v>
      </c>
    </row>
    <row r="24" spans="1:33" ht="16.5" thickBot="1" x14ac:dyDescent="0.3">
      <c r="A24" s="7">
        <v>44583</v>
      </c>
      <c r="B24" s="72">
        <f t="shared" si="18"/>
        <v>22790.294999999998</v>
      </c>
      <c r="C24" s="56">
        <f t="shared" si="3"/>
        <v>0</v>
      </c>
      <c r="D24" s="73">
        <f t="shared" si="4"/>
        <v>0</v>
      </c>
      <c r="E24" s="2">
        <f t="shared" si="19"/>
        <v>4085.1</v>
      </c>
      <c r="F24" s="56">
        <f t="shared" si="5"/>
        <v>0</v>
      </c>
      <c r="G24" s="73">
        <f t="shared" si="6"/>
        <v>0</v>
      </c>
      <c r="H24" s="2">
        <f t="shared" si="20"/>
        <v>4562</v>
      </c>
      <c r="I24" s="56">
        <f t="shared" si="7"/>
        <v>0</v>
      </c>
      <c r="J24" s="73">
        <f t="shared" si="0"/>
        <v>0</v>
      </c>
      <c r="K24" s="74">
        <f t="shared" si="21"/>
        <v>13883.26</v>
      </c>
      <c r="L24" s="56">
        <f t="shared" si="8"/>
        <v>0</v>
      </c>
      <c r="M24" s="73">
        <f t="shared" si="1"/>
        <v>0</v>
      </c>
      <c r="N24" s="74">
        <f t="shared" si="22"/>
        <v>3371.6190000000001</v>
      </c>
      <c r="O24" s="56">
        <f t="shared" si="9"/>
        <v>0</v>
      </c>
      <c r="P24" s="73">
        <f t="shared" si="10"/>
        <v>0</v>
      </c>
      <c r="Q24" s="74"/>
      <c r="R24" s="56">
        <f t="shared" si="11"/>
        <v>0</v>
      </c>
      <c r="S24" s="73">
        <f t="shared" si="2"/>
        <v>0</v>
      </c>
      <c r="T24" s="75"/>
      <c r="U24" s="76">
        <f t="shared" si="12"/>
        <v>0</v>
      </c>
      <c r="W24" s="77">
        <v>44583</v>
      </c>
      <c r="X24" s="78">
        <f t="shared" si="23"/>
        <v>163421</v>
      </c>
      <c r="Y24" s="79">
        <f t="shared" si="13"/>
        <v>0</v>
      </c>
      <c r="Z24" s="78">
        <f t="shared" si="24"/>
        <v>8251</v>
      </c>
      <c r="AA24" s="79">
        <f t="shared" si="14"/>
        <v>0</v>
      </c>
      <c r="AB24" s="78">
        <f t="shared" si="25"/>
        <v>19</v>
      </c>
      <c r="AC24" s="79">
        <f t="shared" si="17"/>
        <v>0</v>
      </c>
      <c r="AD24" s="78">
        <f t="shared" si="26"/>
        <v>89</v>
      </c>
      <c r="AE24" s="79">
        <f t="shared" si="15"/>
        <v>0</v>
      </c>
      <c r="AF24" s="78">
        <f t="shared" si="27"/>
        <v>5258</v>
      </c>
      <c r="AG24" s="79">
        <f t="shared" si="16"/>
        <v>0</v>
      </c>
    </row>
    <row r="25" spans="1:33" ht="16.5" thickBot="1" x14ac:dyDescent="0.3">
      <c r="A25" s="7">
        <v>44584</v>
      </c>
      <c r="B25" s="72">
        <f t="shared" si="18"/>
        <v>22790.294999999998</v>
      </c>
      <c r="C25" s="56">
        <f t="shared" si="3"/>
        <v>0</v>
      </c>
      <c r="D25" s="73">
        <f t="shared" si="4"/>
        <v>0</v>
      </c>
      <c r="E25" s="2">
        <f t="shared" si="19"/>
        <v>4085.1</v>
      </c>
      <c r="F25" s="56">
        <f t="shared" si="5"/>
        <v>0</v>
      </c>
      <c r="G25" s="73">
        <f t="shared" si="6"/>
        <v>0</v>
      </c>
      <c r="H25" s="2">
        <f t="shared" si="20"/>
        <v>4562</v>
      </c>
      <c r="I25" s="56">
        <f t="shared" si="7"/>
        <v>0</v>
      </c>
      <c r="J25" s="73">
        <f t="shared" si="0"/>
        <v>0</v>
      </c>
      <c r="K25" s="74">
        <f t="shared" si="21"/>
        <v>13883.26</v>
      </c>
      <c r="L25" s="56">
        <f t="shared" si="8"/>
        <v>0</v>
      </c>
      <c r="M25" s="73">
        <f t="shared" si="1"/>
        <v>0</v>
      </c>
      <c r="N25" s="74">
        <f t="shared" si="22"/>
        <v>3371.6190000000001</v>
      </c>
      <c r="O25" s="56">
        <f t="shared" si="9"/>
        <v>0</v>
      </c>
      <c r="P25" s="73">
        <f t="shared" si="10"/>
        <v>0</v>
      </c>
      <c r="Q25" s="74"/>
      <c r="R25" s="56">
        <f t="shared" si="11"/>
        <v>0</v>
      </c>
      <c r="S25" s="73">
        <f t="shared" si="2"/>
        <v>0</v>
      </c>
      <c r="T25" s="75"/>
      <c r="U25" s="76">
        <f t="shared" si="12"/>
        <v>0</v>
      </c>
      <c r="W25" s="77">
        <v>44584</v>
      </c>
      <c r="X25" s="78">
        <f t="shared" si="23"/>
        <v>163421</v>
      </c>
      <c r="Y25" s="79">
        <f t="shared" si="13"/>
        <v>0</v>
      </c>
      <c r="Z25" s="78">
        <f t="shared" si="24"/>
        <v>8251</v>
      </c>
      <c r="AA25" s="79">
        <f t="shared" si="14"/>
        <v>0</v>
      </c>
      <c r="AB25" s="78">
        <f t="shared" si="25"/>
        <v>19</v>
      </c>
      <c r="AC25" s="79">
        <f t="shared" si="17"/>
        <v>0</v>
      </c>
      <c r="AD25" s="78">
        <f t="shared" si="26"/>
        <v>89</v>
      </c>
      <c r="AE25" s="79">
        <f t="shared" si="15"/>
        <v>0</v>
      </c>
      <c r="AF25" s="78">
        <f t="shared" si="27"/>
        <v>5258</v>
      </c>
      <c r="AG25" s="79">
        <f t="shared" si="16"/>
        <v>0</v>
      </c>
    </row>
    <row r="26" spans="1:33" ht="16.5" thickBot="1" x14ac:dyDescent="0.3">
      <c r="A26" s="7">
        <v>44585</v>
      </c>
      <c r="B26" s="72">
        <f t="shared" si="18"/>
        <v>22790.294999999998</v>
      </c>
      <c r="C26" s="56">
        <f t="shared" si="3"/>
        <v>0</v>
      </c>
      <c r="D26" s="73">
        <f t="shared" si="4"/>
        <v>0</v>
      </c>
      <c r="E26" s="2">
        <f t="shared" si="19"/>
        <v>4085.1</v>
      </c>
      <c r="F26" s="56">
        <f t="shared" si="5"/>
        <v>0</v>
      </c>
      <c r="G26" s="73">
        <f t="shared" si="6"/>
        <v>0</v>
      </c>
      <c r="H26" s="2">
        <f t="shared" si="20"/>
        <v>4562</v>
      </c>
      <c r="I26" s="56">
        <f t="shared" si="7"/>
        <v>0</v>
      </c>
      <c r="J26" s="73">
        <f t="shared" si="0"/>
        <v>0</v>
      </c>
      <c r="K26" s="74">
        <f t="shared" si="21"/>
        <v>13883.26</v>
      </c>
      <c r="L26" s="56">
        <f t="shared" si="8"/>
        <v>0</v>
      </c>
      <c r="M26" s="73">
        <f t="shared" si="1"/>
        <v>0</v>
      </c>
      <c r="N26" s="74">
        <f t="shared" si="22"/>
        <v>3371.6190000000001</v>
      </c>
      <c r="O26" s="56">
        <f t="shared" si="9"/>
        <v>0</v>
      </c>
      <c r="P26" s="73">
        <f t="shared" si="10"/>
        <v>0</v>
      </c>
      <c r="Q26" s="74"/>
      <c r="R26" s="56">
        <f t="shared" si="11"/>
        <v>0</v>
      </c>
      <c r="S26" s="73">
        <f t="shared" si="2"/>
        <v>0</v>
      </c>
      <c r="T26" s="75"/>
      <c r="U26" s="76">
        <f t="shared" si="12"/>
        <v>0</v>
      </c>
      <c r="W26" s="77">
        <v>44585</v>
      </c>
      <c r="X26" s="78">
        <f t="shared" si="23"/>
        <v>163421</v>
      </c>
      <c r="Y26" s="79">
        <f t="shared" si="13"/>
        <v>0</v>
      </c>
      <c r="Z26" s="78">
        <f t="shared" si="24"/>
        <v>8251</v>
      </c>
      <c r="AA26" s="79">
        <f t="shared" si="14"/>
        <v>0</v>
      </c>
      <c r="AB26" s="78">
        <f t="shared" si="25"/>
        <v>19</v>
      </c>
      <c r="AC26" s="79">
        <f t="shared" si="17"/>
        <v>0</v>
      </c>
      <c r="AD26" s="78">
        <f t="shared" si="26"/>
        <v>89</v>
      </c>
      <c r="AE26" s="79">
        <f t="shared" si="15"/>
        <v>0</v>
      </c>
      <c r="AF26" s="78">
        <f t="shared" si="27"/>
        <v>5258</v>
      </c>
      <c r="AG26" s="79">
        <f t="shared" si="16"/>
        <v>0</v>
      </c>
    </row>
    <row r="27" spans="1:33" ht="16.5" thickBot="1" x14ac:dyDescent="0.3">
      <c r="A27" s="7">
        <v>44586</v>
      </c>
      <c r="B27" s="72">
        <f t="shared" si="18"/>
        <v>22790.294999999998</v>
      </c>
      <c r="C27" s="56">
        <f t="shared" si="3"/>
        <v>0</v>
      </c>
      <c r="D27" s="73">
        <f t="shared" si="4"/>
        <v>0</v>
      </c>
      <c r="E27" s="2">
        <f t="shared" si="19"/>
        <v>4085.1</v>
      </c>
      <c r="F27" s="56">
        <f t="shared" si="5"/>
        <v>0</v>
      </c>
      <c r="G27" s="73">
        <f t="shared" si="6"/>
        <v>0</v>
      </c>
      <c r="H27" s="2">
        <f t="shared" si="20"/>
        <v>4562</v>
      </c>
      <c r="I27" s="56">
        <f t="shared" si="7"/>
        <v>0</v>
      </c>
      <c r="J27" s="73">
        <f t="shared" si="0"/>
        <v>0</v>
      </c>
      <c r="K27" s="74">
        <f t="shared" si="21"/>
        <v>13883.26</v>
      </c>
      <c r="L27" s="56">
        <f t="shared" si="8"/>
        <v>0</v>
      </c>
      <c r="M27" s="73">
        <f t="shared" si="1"/>
        <v>0</v>
      </c>
      <c r="N27" s="74">
        <f t="shared" si="22"/>
        <v>3371.6190000000001</v>
      </c>
      <c r="O27" s="56">
        <f t="shared" si="9"/>
        <v>0</v>
      </c>
      <c r="P27" s="73">
        <f t="shared" si="10"/>
        <v>0</v>
      </c>
      <c r="Q27" s="74"/>
      <c r="R27" s="56">
        <f t="shared" si="11"/>
        <v>0</v>
      </c>
      <c r="S27" s="73">
        <f t="shared" si="2"/>
        <v>0</v>
      </c>
      <c r="T27" s="75"/>
      <c r="U27" s="76">
        <f t="shared" si="12"/>
        <v>0</v>
      </c>
      <c r="W27" s="77">
        <v>44586</v>
      </c>
      <c r="X27" s="78">
        <f t="shared" si="23"/>
        <v>163421</v>
      </c>
      <c r="Y27" s="79">
        <f t="shared" si="13"/>
        <v>0</v>
      </c>
      <c r="Z27" s="78">
        <f t="shared" si="24"/>
        <v>8251</v>
      </c>
      <c r="AA27" s="79">
        <f t="shared" si="14"/>
        <v>0</v>
      </c>
      <c r="AB27" s="78">
        <f t="shared" si="25"/>
        <v>19</v>
      </c>
      <c r="AC27" s="79">
        <f t="shared" si="17"/>
        <v>0</v>
      </c>
      <c r="AD27" s="78">
        <f t="shared" si="26"/>
        <v>89</v>
      </c>
      <c r="AE27" s="79">
        <f t="shared" si="15"/>
        <v>0</v>
      </c>
      <c r="AF27" s="78">
        <f t="shared" si="27"/>
        <v>5258</v>
      </c>
      <c r="AG27" s="79">
        <f t="shared" si="16"/>
        <v>0</v>
      </c>
    </row>
    <row r="28" spans="1:33" ht="16.5" thickBot="1" x14ac:dyDescent="0.3">
      <c r="A28" s="7">
        <v>44587</v>
      </c>
      <c r="B28" s="72">
        <f t="shared" si="18"/>
        <v>22790.294999999998</v>
      </c>
      <c r="C28" s="56">
        <f t="shared" si="3"/>
        <v>0</v>
      </c>
      <c r="D28" s="73">
        <f t="shared" si="4"/>
        <v>0</v>
      </c>
      <c r="E28" s="2">
        <f t="shared" si="19"/>
        <v>4085.1</v>
      </c>
      <c r="F28" s="56">
        <f t="shared" si="5"/>
        <v>0</v>
      </c>
      <c r="G28" s="73">
        <f t="shared" si="6"/>
        <v>0</v>
      </c>
      <c r="H28" s="2">
        <f t="shared" si="20"/>
        <v>4562</v>
      </c>
      <c r="I28" s="56">
        <f t="shared" si="7"/>
        <v>0</v>
      </c>
      <c r="J28" s="73">
        <f t="shared" si="0"/>
        <v>0</v>
      </c>
      <c r="K28" s="74">
        <f t="shared" si="21"/>
        <v>13883.26</v>
      </c>
      <c r="L28" s="56">
        <f t="shared" si="8"/>
        <v>0</v>
      </c>
      <c r="M28" s="73">
        <f t="shared" si="1"/>
        <v>0</v>
      </c>
      <c r="N28" s="74">
        <f t="shared" si="22"/>
        <v>3371.6190000000001</v>
      </c>
      <c r="O28" s="56">
        <f t="shared" si="9"/>
        <v>0</v>
      </c>
      <c r="P28" s="73">
        <f t="shared" si="10"/>
        <v>0</v>
      </c>
      <c r="Q28" s="74"/>
      <c r="R28" s="56">
        <f t="shared" si="11"/>
        <v>0</v>
      </c>
      <c r="S28" s="73">
        <f t="shared" si="2"/>
        <v>0</v>
      </c>
      <c r="T28" s="75"/>
      <c r="U28" s="76">
        <f t="shared" si="12"/>
        <v>0</v>
      </c>
      <c r="W28" s="77">
        <v>44587</v>
      </c>
      <c r="X28" s="78">
        <f t="shared" si="23"/>
        <v>163421</v>
      </c>
      <c r="Y28" s="79">
        <f t="shared" si="13"/>
        <v>0</v>
      </c>
      <c r="Z28" s="78">
        <f t="shared" si="24"/>
        <v>8251</v>
      </c>
      <c r="AA28" s="79">
        <f t="shared" si="14"/>
        <v>0</v>
      </c>
      <c r="AB28" s="78">
        <f t="shared" si="25"/>
        <v>19</v>
      </c>
      <c r="AC28" s="79">
        <f t="shared" si="17"/>
        <v>0</v>
      </c>
      <c r="AD28" s="78">
        <f t="shared" si="26"/>
        <v>89</v>
      </c>
      <c r="AE28" s="79">
        <f t="shared" si="15"/>
        <v>0</v>
      </c>
      <c r="AF28" s="78">
        <f t="shared" si="27"/>
        <v>5258</v>
      </c>
      <c r="AG28" s="79">
        <f t="shared" si="16"/>
        <v>0</v>
      </c>
    </row>
    <row r="29" spans="1:33" ht="16.5" thickBot="1" x14ac:dyDescent="0.3">
      <c r="A29" s="7">
        <v>44588</v>
      </c>
      <c r="B29" s="72">
        <f t="shared" si="18"/>
        <v>22790.294999999998</v>
      </c>
      <c r="C29" s="56">
        <f t="shared" si="3"/>
        <v>0</v>
      </c>
      <c r="D29" s="73">
        <f t="shared" si="4"/>
        <v>0</v>
      </c>
      <c r="E29" s="2">
        <f t="shared" si="19"/>
        <v>4085.1</v>
      </c>
      <c r="F29" s="56">
        <f t="shared" si="5"/>
        <v>0</v>
      </c>
      <c r="G29" s="73">
        <f t="shared" si="6"/>
        <v>0</v>
      </c>
      <c r="H29" s="2">
        <f t="shared" si="20"/>
        <v>4562</v>
      </c>
      <c r="I29" s="56">
        <f t="shared" si="7"/>
        <v>0</v>
      </c>
      <c r="J29" s="73">
        <f t="shared" si="0"/>
        <v>0</v>
      </c>
      <c r="K29" s="74">
        <f t="shared" si="21"/>
        <v>13883.26</v>
      </c>
      <c r="L29" s="56">
        <f t="shared" si="8"/>
        <v>0</v>
      </c>
      <c r="M29" s="73">
        <f t="shared" si="1"/>
        <v>0</v>
      </c>
      <c r="N29" s="74">
        <f t="shared" si="22"/>
        <v>3371.6190000000001</v>
      </c>
      <c r="O29" s="56">
        <f t="shared" si="9"/>
        <v>0</v>
      </c>
      <c r="P29" s="73">
        <f t="shared" si="10"/>
        <v>0</v>
      </c>
      <c r="Q29" s="74"/>
      <c r="R29" s="56">
        <f t="shared" si="11"/>
        <v>0</v>
      </c>
      <c r="S29" s="73">
        <f t="shared" si="2"/>
        <v>0</v>
      </c>
      <c r="T29" s="75"/>
      <c r="U29" s="76">
        <f t="shared" si="12"/>
        <v>0</v>
      </c>
      <c r="W29" s="77">
        <v>44588</v>
      </c>
      <c r="X29" s="78">
        <f t="shared" si="23"/>
        <v>163421</v>
      </c>
      <c r="Y29" s="79">
        <f t="shared" si="13"/>
        <v>0</v>
      </c>
      <c r="Z29" s="78">
        <f t="shared" si="24"/>
        <v>8251</v>
      </c>
      <c r="AA29" s="79">
        <f t="shared" si="14"/>
        <v>0</v>
      </c>
      <c r="AB29" s="78">
        <f t="shared" si="25"/>
        <v>19</v>
      </c>
      <c r="AC29" s="79">
        <f t="shared" si="17"/>
        <v>0</v>
      </c>
      <c r="AD29" s="78">
        <f t="shared" si="26"/>
        <v>89</v>
      </c>
      <c r="AE29" s="79">
        <f t="shared" si="15"/>
        <v>0</v>
      </c>
      <c r="AF29" s="78">
        <f t="shared" si="27"/>
        <v>5258</v>
      </c>
      <c r="AG29" s="79">
        <f t="shared" si="16"/>
        <v>0</v>
      </c>
    </row>
    <row r="30" spans="1:33" ht="16.5" thickBot="1" x14ac:dyDescent="0.3">
      <c r="A30" s="7">
        <v>44589</v>
      </c>
      <c r="B30" s="72">
        <f t="shared" si="18"/>
        <v>22790.294999999998</v>
      </c>
      <c r="C30" s="56">
        <f t="shared" si="3"/>
        <v>0</v>
      </c>
      <c r="D30" s="73">
        <f t="shared" si="4"/>
        <v>0</v>
      </c>
      <c r="E30" s="2">
        <f t="shared" si="19"/>
        <v>4085.1</v>
      </c>
      <c r="F30" s="56">
        <f t="shared" si="5"/>
        <v>0</v>
      </c>
      <c r="G30" s="73">
        <f t="shared" si="6"/>
        <v>0</v>
      </c>
      <c r="H30" s="2">
        <f t="shared" si="20"/>
        <v>4562</v>
      </c>
      <c r="I30" s="56">
        <f t="shared" si="7"/>
        <v>0</v>
      </c>
      <c r="J30" s="73">
        <f t="shared" si="0"/>
        <v>0</v>
      </c>
      <c r="K30" s="74">
        <f t="shared" si="21"/>
        <v>13883.26</v>
      </c>
      <c r="L30" s="56">
        <f t="shared" si="8"/>
        <v>0</v>
      </c>
      <c r="M30" s="73">
        <f t="shared" si="1"/>
        <v>0</v>
      </c>
      <c r="N30" s="74">
        <f t="shared" si="22"/>
        <v>3371.6190000000001</v>
      </c>
      <c r="O30" s="56">
        <f t="shared" si="9"/>
        <v>0</v>
      </c>
      <c r="P30" s="73">
        <f t="shared" si="10"/>
        <v>0</v>
      </c>
      <c r="Q30" s="74"/>
      <c r="R30" s="56">
        <f t="shared" si="11"/>
        <v>0</v>
      </c>
      <c r="S30" s="73">
        <f t="shared" si="2"/>
        <v>0</v>
      </c>
      <c r="T30" s="75"/>
      <c r="U30" s="76">
        <f t="shared" si="12"/>
        <v>0</v>
      </c>
      <c r="W30" s="77">
        <v>44589</v>
      </c>
      <c r="X30" s="78">
        <f t="shared" si="23"/>
        <v>163421</v>
      </c>
      <c r="Y30" s="79">
        <f t="shared" si="13"/>
        <v>0</v>
      </c>
      <c r="Z30" s="78">
        <f t="shared" si="24"/>
        <v>8251</v>
      </c>
      <c r="AA30" s="79">
        <f t="shared" si="14"/>
        <v>0</v>
      </c>
      <c r="AB30" s="78">
        <f t="shared" si="25"/>
        <v>19</v>
      </c>
      <c r="AC30" s="79">
        <f t="shared" si="17"/>
        <v>0</v>
      </c>
      <c r="AD30" s="78">
        <f t="shared" si="26"/>
        <v>89</v>
      </c>
      <c r="AE30" s="79">
        <f t="shared" si="15"/>
        <v>0</v>
      </c>
      <c r="AF30" s="78">
        <f t="shared" si="27"/>
        <v>5258</v>
      </c>
      <c r="AG30" s="79">
        <f t="shared" si="16"/>
        <v>0</v>
      </c>
    </row>
    <row r="31" spans="1:33" ht="16.5" thickBot="1" x14ac:dyDescent="0.3">
      <c r="A31" s="7">
        <v>44590</v>
      </c>
      <c r="B31" s="72">
        <f t="shared" si="18"/>
        <v>22790.294999999998</v>
      </c>
      <c r="C31" s="56">
        <f t="shared" si="3"/>
        <v>0</v>
      </c>
      <c r="D31" s="73">
        <f t="shared" si="4"/>
        <v>0</v>
      </c>
      <c r="E31" s="2">
        <f t="shared" si="19"/>
        <v>4085.1</v>
      </c>
      <c r="F31" s="56">
        <f t="shared" si="5"/>
        <v>0</v>
      </c>
      <c r="G31" s="73">
        <f t="shared" si="6"/>
        <v>0</v>
      </c>
      <c r="H31" s="2">
        <f t="shared" si="20"/>
        <v>4562</v>
      </c>
      <c r="I31" s="56">
        <f t="shared" si="7"/>
        <v>0</v>
      </c>
      <c r="J31" s="73">
        <f t="shared" si="0"/>
        <v>0</v>
      </c>
      <c r="K31" s="74">
        <f t="shared" si="21"/>
        <v>13883.26</v>
      </c>
      <c r="L31" s="56">
        <f t="shared" si="8"/>
        <v>0</v>
      </c>
      <c r="M31" s="73">
        <f t="shared" si="1"/>
        <v>0</v>
      </c>
      <c r="N31" s="74">
        <f t="shared" si="22"/>
        <v>3371.6190000000001</v>
      </c>
      <c r="O31" s="56">
        <f t="shared" si="9"/>
        <v>0</v>
      </c>
      <c r="P31" s="73">
        <f t="shared" si="10"/>
        <v>0</v>
      </c>
      <c r="Q31" s="74"/>
      <c r="R31" s="56">
        <f t="shared" si="11"/>
        <v>0</v>
      </c>
      <c r="S31" s="73">
        <f t="shared" si="2"/>
        <v>0</v>
      </c>
      <c r="T31" s="75"/>
      <c r="U31" s="76">
        <f t="shared" si="12"/>
        <v>0</v>
      </c>
      <c r="W31" s="77">
        <v>44590</v>
      </c>
      <c r="X31" s="78">
        <f t="shared" si="23"/>
        <v>163421</v>
      </c>
      <c r="Y31" s="79">
        <f t="shared" si="13"/>
        <v>0</v>
      </c>
      <c r="Z31" s="78">
        <f t="shared" si="24"/>
        <v>8251</v>
      </c>
      <c r="AA31" s="79">
        <f t="shared" si="14"/>
        <v>0</v>
      </c>
      <c r="AB31" s="78">
        <f t="shared" si="25"/>
        <v>19</v>
      </c>
      <c r="AC31" s="79">
        <f t="shared" si="17"/>
        <v>0</v>
      </c>
      <c r="AD31" s="78">
        <f t="shared" si="26"/>
        <v>89</v>
      </c>
      <c r="AE31" s="79">
        <f t="shared" si="15"/>
        <v>0</v>
      </c>
      <c r="AF31" s="78">
        <f t="shared" si="27"/>
        <v>5258</v>
      </c>
      <c r="AG31" s="79">
        <f t="shared" si="16"/>
        <v>0</v>
      </c>
    </row>
    <row r="32" spans="1:33" ht="16.5" thickBot="1" x14ac:dyDescent="0.3">
      <c r="A32" s="7">
        <v>44591</v>
      </c>
      <c r="B32" s="72">
        <f t="shared" si="18"/>
        <v>22790.294999999998</v>
      </c>
      <c r="C32" s="56">
        <f t="shared" si="3"/>
        <v>0</v>
      </c>
      <c r="D32" s="73">
        <f t="shared" si="4"/>
        <v>0</v>
      </c>
      <c r="E32" s="2">
        <f t="shared" si="19"/>
        <v>4085.1</v>
      </c>
      <c r="F32" s="56">
        <f t="shared" si="5"/>
        <v>0</v>
      </c>
      <c r="G32" s="73">
        <f t="shared" si="6"/>
        <v>0</v>
      </c>
      <c r="H32" s="2">
        <f t="shared" si="20"/>
        <v>4562</v>
      </c>
      <c r="I32" s="56">
        <f t="shared" si="7"/>
        <v>0</v>
      </c>
      <c r="J32" s="73">
        <f t="shared" si="0"/>
        <v>0</v>
      </c>
      <c r="K32" s="74">
        <f t="shared" si="21"/>
        <v>13883.26</v>
      </c>
      <c r="L32" s="56">
        <f t="shared" si="8"/>
        <v>0</v>
      </c>
      <c r="M32" s="73">
        <f t="shared" si="1"/>
        <v>0</v>
      </c>
      <c r="N32" s="74">
        <f t="shared" si="22"/>
        <v>3371.6190000000001</v>
      </c>
      <c r="O32" s="56">
        <f t="shared" si="9"/>
        <v>0</v>
      </c>
      <c r="P32" s="73">
        <f t="shared" si="10"/>
        <v>0</v>
      </c>
      <c r="Q32" s="74"/>
      <c r="R32" s="56">
        <f t="shared" si="11"/>
        <v>0</v>
      </c>
      <c r="S32" s="73">
        <f t="shared" si="2"/>
        <v>0</v>
      </c>
      <c r="T32" s="75"/>
      <c r="U32" s="76">
        <f t="shared" si="12"/>
        <v>0</v>
      </c>
      <c r="W32" s="77">
        <v>44591</v>
      </c>
      <c r="X32" s="78">
        <f t="shared" si="23"/>
        <v>163421</v>
      </c>
      <c r="Y32" s="79">
        <f t="shared" si="13"/>
        <v>0</v>
      </c>
      <c r="Z32" s="78">
        <f t="shared" si="24"/>
        <v>8251</v>
      </c>
      <c r="AA32" s="79">
        <f t="shared" si="14"/>
        <v>0</v>
      </c>
      <c r="AB32" s="78">
        <f t="shared" si="25"/>
        <v>19</v>
      </c>
      <c r="AC32" s="79">
        <f t="shared" si="17"/>
        <v>0</v>
      </c>
      <c r="AD32" s="78">
        <f t="shared" si="26"/>
        <v>89</v>
      </c>
      <c r="AE32" s="79">
        <f t="shared" si="15"/>
        <v>0</v>
      </c>
      <c r="AF32" s="78">
        <f t="shared" si="27"/>
        <v>5258</v>
      </c>
      <c r="AG32" s="79">
        <f t="shared" si="16"/>
        <v>0</v>
      </c>
    </row>
    <row r="33" spans="1:33" s="37" customFormat="1" ht="16.5" thickBot="1" x14ac:dyDescent="0.3">
      <c r="A33" s="7">
        <v>44592</v>
      </c>
      <c r="B33" s="72">
        <f t="shared" si="18"/>
        <v>22790.294999999998</v>
      </c>
      <c r="C33" s="56">
        <f t="shared" si="3"/>
        <v>0</v>
      </c>
      <c r="D33" s="73">
        <f t="shared" si="4"/>
        <v>0</v>
      </c>
      <c r="E33" s="2">
        <f t="shared" si="19"/>
        <v>4085.1</v>
      </c>
      <c r="F33" s="56">
        <f t="shared" si="5"/>
        <v>0</v>
      </c>
      <c r="G33" s="73">
        <f t="shared" si="6"/>
        <v>0</v>
      </c>
      <c r="H33" s="2">
        <f t="shared" si="20"/>
        <v>4562</v>
      </c>
      <c r="I33" s="56">
        <f t="shared" si="7"/>
        <v>0</v>
      </c>
      <c r="J33" s="73">
        <f t="shared" si="0"/>
        <v>0</v>
      </c>
      <c r="K33" s="74">
        <f t="shared" si="21"/>
        <v>13883.26</v>
      </c>
      <c r="L33" s="56">
        <f t="shared" si="8"/>
        <v>0</v>
      </c>
      <c r="M33" s="73">
        <f t="shared" si="1"/>
        <v>0</v>
      </c>
      <c r="N33" s="74">
        <f t="shared" si="22"/>
        <v>3371.6190000000001</v>
      </c>
      <c r="O33" s="56">
        <f t="shared" si="9"/>
        <v>0</v>
      </c>
      <c r="P33" s="73">
        <f t="shared" si="10"/>
        <v>0</v>
      </c>
      <c r="Q33" s="74"/>
      <c r="R33" s="56">
        <f t="shared" si="11"/>
        <v>0</v>
      </c>
      <c r="S33" s="73">
        <f t="shared" si="2"/>
        <v>0</v>
      </c>
      <c r="T33" s="75"/>
      <c r="U33" s="76">
        <f t="shared" si="12"/>
        <v>0</v>
      </c>
      <c r="V33"/>
      <c r="W33" s="77">
        <v>44592</v>
      </c>
      <c r="X33" s="78">
        <f t="shared" si="23"/>
        <v>163421</v>
      </c>
      <c r="Y33" s="79"/>
      <c r="Z33" s="78">
        <f t="shared" si="24"/>
        <v>8251</v>
      </c>
      <c r="AA33" s="79">
        <f t="shared" si="14"/>
        <v>0</v>
      </c>
      <c r="AB33" s="78">
        <f t="shared" si="25"/>
        <v>19</v>
      </c>
      <c r="AC33" s="79">
        <f t="shared" si="17"/>
        <v>0</v>
      </c>
      <c r="AD33" s="78">
        <f t="shared" si="26"/>
        <v>89</v>
      </c>
      <c r="AE33" s="79">
        <f t="shared" si="15"/>
        <v>0</v>
      </c>
      <c r="AF33" s="78">
        <f t="shared" si="27"/>
        <v>5258</v>
      </c>
      <c r="AG33" s="79">
        <f t="shared" si="16"/>
        <v>0</v>
      </c>
    </row>
    <row r="34" spans="1:33" s="37" customFormat="1" ht="16.5" thickBot="1" x14ac:dyDescent="0.3">
      <c r="A34" s="31" t="s">
        <v>14</v>
      </c>
      <c r="B34" s="80"/>
      <c r="C34" s="47">
        <f>SUM(C4:C33)</f>
        <v>2.2049999999981083</v>
      </c>
      <c r="D34" s="47">
        <f>SUM(D3:D33)</f>
        <v>8299.1999999972904</v>
      </c>
      <c r="E34" s="47">
        <v>0</v>
      </c>
      <c r="F34" s="47">
        <f>SUM(F3:F33)</f>
        <v>1.1999999999998181</v>
      </c>
      <c r="G34" s="47">
        <f>SUM(G3:G33)</f>
        <v>2279.9999999996544</v>
      </c>
      <c r="H34" s="47"/>
      <c r="I34" s="47">
        <f>SUM(I3:I33)</f>
        <v>9</v>
      </c>
      <c r="J34" s="47">
        <f>SUM(J3:J33)</f>
        <v>17100</v>
      </c>
      <c r="K34" s="47"/>
      <c r="L34" s="47">
        <f>SUM(L3:L33)</f>
        <v>0.17000000000007276</v>
      </c>
      <c r="M34" s="47">
        <f>SUM(M3:M33)</f>
        <v>323.00000000013824</v>
      </c>
      <c r="N34" s="47"/>
      <c r="O34" s="56" t="str">
        <f t="shared" ref="O34" si="28">IF((N34-N33)&lt;0,"0",(N34-N33))</f>
        <v>0</v>
      </c>
      <c r="P34" s="47">
        <f>SUM(P3:P33)</f>
        <v>4976.1000000002696</v>
      </c>
      <c r="Q34" s="47"/>
      <c r="R34" s="47">
        <f>SUM(R3:R33)</f>
        <v>0.93000000000029104</v>
      </c>
      <c r="S34" s="47">
        <f>SUM(S3:S33)</f>
        <v>1767.000000000553</v>
      </c>
      <c r="T34" s="47">
        <f>SUM(T3:T33)</f>
        <v>0</v>
      </c>
      <c r="U34" s="47">
        <f>SUM(U3:U33)</f>
        <v>0</v>
      </c>
      <c r="V34"/>
      <c r="W34" s="47" t="s">
        <v>90</v>
      </c>
      <c r="X34" s="47"/>
      <c r="Y34" s="47">
        <f>SUM(Y5:Y33)</f>
        <v>0</v>
      </c>
      <c r="Z34" s="47"/>
      <c r="AA34" s="47">
        <f>SUM(AA5:AA33)</f>
        <v>0</v>
      </c>
      <c r="AB34" s="47"/>
      <c r="AC34" s="47"/>
      <c r="AD34" s="47"/>
      <c r="AE34" s="47">
        <v>0</v>
      </c>
      <c r="AF34" s="47">
        <v>0</v>
      </c>
      <c r="AG34" s="47">
        <v>0</v>
      </c>
    </row>
    <row r="37" spans="1:33" x14ac:dyDescent="0.25">
      <c r="AA37" t="s">
        <v>13</v>
      </c>
    </row>
  </sheetData>
  <mergeCells count="4">
    <mergeCell ref="W1:AA1"/>
    <mergeCell ref="AB1:AC1"/>
    <mergeCell ref="AD1:AE1"/>
    <mergeCell ref="AF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N21" sqref="N21"/>
    </sheetView>
  </sheetViews>
  <sheetFormatPr defaultRowHeight="15" x14ac:dyDescent="0.25"/>
  <sheetData>
    <row r="1" spans="1:11" ht="24" thickBot="1" x14ac:dyDescent="0.3">
      <c r="A1" s="166" t="s">
        <v>149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spans="1:11" ht="15.75" thickBot="1" x14ac:dyDescent="0.3">
      <c r="A2" s="83"/>
      <c r="B2" s="84" t="s">
        <v>91</v>
      </c>
      <c r="C2" s="85" t="e">
        <f>K8+K9+K14</f>
        <v>#REF!</v>
      </c>
      <c r="D2" s="85" t="e">
        <f>C2*1.27</f>
        <v>#REF!</v>
      </c>
      <c r="E2" s="86"/>
      <c r="F2" s="83"/>
      <c r="G2" s="83"/>
      <c r="H2" s="87" t="s">
        <v>92</v>
      </c>
      <c r="I2" s="88"/>
      <c r="J2" s="88"/>
      <c r="K2" s="88"/>
    </row>
    <row r="3" spans="1:11" ht="15.75" thickBot="1" x14ac:dyDescent="0.3">
      <c r="A3" s="83"/>
      <c r="B3" s="83"/>
      <c r="C3" s="83"/>
      <c r="D3" s="83"/>
      <c r="E3" s="83"/>
      <c r="F3" s="83"/>
      <c r="G3" s="83"/>
      <c r="H3" s="89" t="s">
        <v>93</v>
      </c>
      <c r="I3" s="90">
        <f>[1]ELECT.!E2</f>
        <v>29003598</v>
      </c>
      <c r="J3" s="90" t="e">
        <f>[1]ELECT.!#REF!</f>
        <v>#REF!</v>
      </c>
      <c r="K3" s="91" t="e">
        <f>J3-I3</f>
        <v>#REF!</v>
      </c>
    </row>
    <row r="4" spans="1:11" ht="15.75" thickBot="1" x14ac:dyDescent="0.3">
      <c r="A4" s="83"/>
      <c r="B4" s="92" t="s">
        <v>94</v>
      </c>
      <c r="C4" s="93" t="s">
        <v>95</v>
      </c>
      <c r="D4" s="93" t="s">
        <v>96</v>
      </c>
      <c r="E4" s="93"/>
      <c r="F4" s="83"/>
      <c r="G4" s="83"/>
      <c r="H4" s="89" t="s">
        <v>97</v>
      </c>
      <c r="I4" s="94">
        <f>[1]ELECT.!G2</f>
        <v>92139910</v>
      </c>
      <c r="J4" s="90" t="e">
        <f>[1]ELECT.!#REF!</f>
        <v>#REF!</v>
      </c>
      <c r="K4" s="91" t="e">
        <f>J4-I4</f>
        <v>#REF!</v>
      </c>
    </row>
    <row r="5" spans="1:11" ht="15.75" thickBot="1" x14ac:dyDescent="0.3">
      <c r="A5" s="83"/>
      <c r="B5" s="89" t="s">
        <v>69</v>
      </c>
      <c r="C5" s="95" t="e">
        <f>(K10+K12)*0.842284+K26</f>
        <v>#REF!</v>
      </c>
      <c r="D5" s="95" t="e">
        <f t="shared" ref="D5:D11" si="0">C5*1.27</f>
        <v>#REF!</v>
      </c>
      <c r="E5" s="96"/>
      <c r="F5" s="83"/>
      <c r="G5" s="83"/>
      <c r="H5" s="89" t="s">
        <v>14</v>
      </c>
      <c r="I5" s="97"/>
      <c r="J5" s="97"/>
      <c r="K5" s="98" t="e">
        <f>K3+K4</f>
        <v>#REF!</v>
      </c>
    </row>
    <row r="6" spans="1:11" ht="15.75" thickBot="1" x14ac:dyDescent="0.3">
      <c r="A6" s="83"/>
      <c r="B6" s="89" t="s">
        <v>98</v>
      </c>
      <c r="C6" s="95" t="e">
        <f>(K10+K12+K26)*0.1488</f>
        <v>#REF!</v>
      </c>
      <c r="D6" s="95" t="e">
        <f t="shared" si="0"/>
        <v>#REF!</v>
      </c>
      <c r="E6" s="96"/>
      <c r="F6" s="83"/>
      <c r="G6" s="83"/>
      <c r="H6" s="89" t="s">
        <v>99</v>
      </c>
      <c r="I6" s="99">
        <f>[1]ELECT.!J2</f>
        <v>9100173</v>
      </c>
      <c r="J6" s="100" t="e">
        <f>[1]ELECT.!#REF!</f>
        <v>#REF!</v>
      </c>
      <c r="K6" s="91" t="e">
        <f>J6-I6</f>
        <v>#REF!</v>
      </c>
    </row>
    <row r="7" spans="1:11" ht="15.75" thickBot="1" x14ac:dyDescent="0.3">
      <c r="A7" s="83"/>
      <c r="B7" s="89" t="s">
        <v>100</v>
      </c>
      <c r="C7" s="95" t="e">
        <f>(K6+K7)-(C8+C9+C10+C11+K26)</f>
        <v>#REF!</v>
      </c>
      <c r="D7" s="95" t="e">
        <f t="shared" si="0"/>
        <v>#REF!</v>
      </c>
      <c r="E7" s="96"/>
      <c r="F7" s="83"/>
      <c r="G7" s="83"/>
      <c r="H7" s="89" t="s">
        <v>101</v>
      </c>
      <c r="I7" s="99">
        <f>[1]ELECT.!L2</f>
        <v>9052227</v>
      </c>
      <c r="J7" s="100" t="e">
        <f>[1]ELECT.!#REF!</f>
        <v>#REF!</v>
      </c>
      <c r="K7" s="91" t="e">
        <f>J7-I7</f>
        <v>#REF!</v>
      </c>
    </row>
    <row r="8" spans="1:11" ht="15.75" thickBot="1" x14ac:dyDescent="0.3">
      <c r="A8" s="83"/>
      <c r="B8" s="89" t="s">
        <v>102</v>
      </c>
      <c r="C8" s="95" t="e">
        <f>K21+K22+K23+K24</f>
        <v>#REF!</v>
      </c>
      <c r="D8" s="95" t="e">
        <f t="shared" si="0"/>
        <v>#REF!</v>
      </c>
      <c r="E8" s="96"/>
      <c r="F8" s="83"/>
      <c r="G8" s="83"/>
      <c r="H8" s="89" t="s">
        <v>103</v>
      </c>
      <c r="I8" s="99">
        <f>[1]ELECT.!N2</f>
        <v>6133946</v>
      </c>
      <c r="J8" s="100" t="e">
        <f>[1]ELECT.!#REF!</f>
        <v>#REF!</v>
      </c>
      <c r="K8" s="91" t="e">
        <f>(J8-I8)*2</f>
        <v>#REF!</v>
      </c>
    </row>
    <row r="9" spans="1:11" ht="15.75" thickBot="1" x14ac:dyDescent="0.3">
      <c r="A9" s="83"/>
      <c r="B9" s="89" t="s">
        <v>104</v>
      </c>
      <c r="C9" s="95" t="e">
        <f>K25+K16+K17</f>
        <v>#REF!</v>
      </c>
      <c r="D9" s="95" t="e">
        <f t="shared" si="0"/>
        <v>#REF!</v>
      </c>
      <c r="E9" s="96"/>
      <c r="F9" s="83"/>
      <c r="G9" s="83"/>
      <c r="H9" s="89" t="s">
        <v>105</v>
      </c>
      <c r="I9" s="99">
        <f>[1]ELECT.!P2</f>
        <v>5618556</v>
      </c>
      <c r="J9" s="100" t="e">
        <f>[1]ELECT.!#REF!</f>
        <v>#REF!</v>
      </c>
      <c r="K9" s="91" t="e">
        <f>J9-I9</f>
        <v>#REF!</v>
      </c>
    </row>
    <row r="10" spans="1:11" ht="15.75" thickBot="1" x14ac:dyDescent="0.3">
      <c r="A10" s="83"/>
      <c r="B10" s="89" t="s">
        <v>106</v>
      </c>
      <c r="C10" s="95" t="e">
        <f>K18</f>
        <v>#REF!</v>
      </c>
      <c r="D10" s="95" t="e">
        <f t="shared" si="0"/>
        <v>#REF!</v>
      </c>
      <c r="E10" s="96"/>
      <c r="F10" s="83"/>
      <c r="G10" s="83"/>
      <c r="H10" s="89" t="s">
        <v>107</v>
      </c>
      <c r="I10" s="99">
        <f>[1]ELECT.!R2</f>
        <v>19446426</v>
      </c>
      <c r="J10" s="100" t="e">
        <f>[1]ELECT.!#REF!</f>
        <v>#REF!</v>
      </c>
      <c r="K10" s="91" t="e">
        <f>J10-I10</f>
        <v>#REF!</v>
      </c>
    </row>
    <row r="11" spans="1:11" ht="15.75" thickBot="1" x14ac:dyDescent="0.3">
      <c r="A11" s="83"/>
      <c r="B11" s="89" t="s">
        <v>108</v>
      </c>
      <c r="C11" s="95" t="e">
        <f>K19+K20</f>
        <v>#REF!</v>
      </c>
      <c r="D11" s="95" t="e">
        <f t="shared" si="0"/>
        <v>#REF!</v>
      </c>
      <c r="E11" s="96"/>
      <c r="F11" s="83"/>
      <c r="G11" s="83"/>
      <c r="H11" s="89" t="s">
        <v>109</v>
      </c>
      <c r="I11" s="101">
        <v>0</v>
      </c>
      <c r="J11" s="100">
        <f>[1]ELECT.!J35</f>
        <v>0</v>
      </c>
      <c r="K11" s="91">
        <f>J11-I11</f>
        <v>0</v>
      </c>
    </row>
    <row r="12" spans="1:11" ht="15.75" thickBot="1" x14ac:dyDescent="0.3">
      <c r="A12" s="83"/>
      <c r="B12" s="83"/>
      <c r="C12" s="102"/>
      <c r="D12" s="102"/>
      <c r="E12" s="102"/>
      <c r="F12" s="83"/>
      <c r="G12" s="83"/>
      <c r="H12" s="89" t="s">
        <v>110</v>
      </c>
      <c r="I12" s="99">
        <f>[1]ELECT.!V2</f>
        <v>7309228</v>
      </c>
      <c r="J12" s="100" t="e">
        <f>[1]ELECT.!#REF!</f>
        <v>#REF!</v>
      </c>
      <c r="K12" s="91" t="e">
        <f>(J12-I12)*2</f>
        <v>#REF!</v>
      </c>
    </row>
    <row r="13" spans="1:11" ht="15.75" thickBot="1" x14ac:dyDescent="0.3">
      <c r="A13" s="83"/>
      <c r="B13" s="87" t="s">
        <v>111</v>
      </c>
      <c r="C13" s="96" t="s">
        <v>112</v>
      </c>
      <c r="D13" s="96" t="s">
        <v>96</v>
      </c>
      <c r="E13" s="96"/>
      <c r="F13" s="83"/>
      <c r="G13" s="83"/>
      <c r="H13" s="89" t="s">
        <v>113</v>
      </c>
      <c r="I13" s="103"/>
      <c r="J13" s="104"/>
      <c r="K13" s="105" t="e">
        <f>SUM(K6:K12)</f>
        <v>#REF!</v>
      </c>
    </row>
    <row r="14" spans="1:11" ht="15.75" thickBot="1" x14ac:dyDescent="0.3">
      <c r="A14" s="83"/>
      <c r="B14" s="89" t="s">
        <v>73</v>
      </c>
      <c r="C14" s="95" t="e">
        <f>K29</f>
        <v>#REF!</v>
      </c>
      <c r="D14" s="106" t="e">
        <f t="shared" ref="D14:D22" si="1">C14*10.03</f>
        <v>#REF!</v>
      </c>
      <c r="E14" s="107"/>
      <c r="F14" s="83"/>
      <c r="G14" s="83"/>
      <c r="H14" s="89" t="s">
        <v>114</v>
      </c>
      <c r="I14" s="103"/>
      <c r="J14" s="104"/>
      <c r="K14" s="108" t="e">
        <f>K5-K13</f>
        <v>#REF!</v>
      </c>
    </row>
    <row r="15" spans="1:11" ht="15.75" thickBot="1" x14ac:dyDescent="0.3">
      <c r="A15" s="83"/>
      <c r="B15" s="89" t="s">
        <v>115</v>
      </c>
      <c r="C15" s="109" t="e">
        <f>K30</f>
        <v>#REF!</v>
      </c>
      <c r="D15" s="106" t="e">
        <f t="shared" si="1"/>
        <v>#REF!</v>
      </c>
      <c r="E15" s="107"/>
      <c r="F15" s="83"/>
      <c r="G15" s="83"/>
      <c r="H15" s="83"/>
      <c r="I15" s="83"/>
      <c r="J15" s="83"/>
      <c r="K15" s="83"/>
    </row>
    <row r="16" spans="1:11" ht="15.75" thickBot="1" x14ac:dyDescent="0.3">
      <c r="A16" s="83"/>
      <c r="B16" s="89" t="s">
        <v>98</v>
      </c>
      <c r="C16" s="109" t="e">
        <f>(C14-C15-C17-C18-C19-C20-C21)*0.1318</f>
        <v>#REF!</v>
      </c>
      <c r="D16" s="106" t="e">
        <f t="shared" si="1"/>
        <v>#REF!</v>
      </c>
      <c r="E16" s="107"/>
      <c r="F16" s="83"/>
      <c r="G16" s="83"/>
      <c r="H16" s="110" t="s">
        <v>116</v>
      </c>
      <c r="I16" s="111">
        <f>'[1]Mall, Citadel, Rotana'!T2</f>
        <v>3856</v>
      </c>
      <c r="J16" s="111" t="e">
        <f>'[1]Mall, Citadel, Rotana'!#REF!</f>
        <v>#REF!</v>
      </c>
      <c r="K16" s="112" t="e">
        <f>(J16-I16)*160</f>
        <v>#REF!</v>
      </c>
    </row>
    <row r="17" spans="1:11" ht="15.75" thickBot="1" x14ac:dyDescent="0.3">
      <c r="A17" s="83"/>
      <c r="B17" s="89" t="s">
        <v>102</v>
      </c>
      <c r="C17" s="109">
        <v>1420</v>
      </c>
      <c r="D17" s="106">
        <f t="shared" si="1"/>
        <v>14242.599999999999</v>
      </c>
      <c r="E17" s="107"/>
      <c r="F17" s="83"/>
      <c r="G17" s="83"/>
      <c r="H17" s="110" t="s">
        <v>7</v>
      </c>
      <c r="I17" s="111">
        <f>'[1]Mall, Citadel, Rotana'!J2</f>
        <v>303517</v>
      </c>
      <c r="J17" s="111" t="e">
        <f>'[1]Mall, Citadel, Rotana'!#REF!</f>
        <v>#REF!</v>
      </c>
      <c r="K17" s="112" t="e">
        <f>(J17-I17)*160</f>
        <v>#REF!</v>
      </c>
    </row>
    <row r="18" spans="1:11" ht="15.75" thickBot="1" x14ac:dyDescent="0.3">
      <c r="A18" s="83"/>
      <c r="B18" s="89" t="s">
        <v>108</v>
      </c>
      <c r="C18" s="109">
        <v>200</v>
      </c>
      <c r="D18" s="106">
        <f t="shared" si="1"/>
        <v>2005.9999999999998</v>
      </c>
      <c r="E18" s="107"/>
      <c r="F18" s="83"/>
      <c r="G18" s="83"/>
      <c r="H18" s="110" t="s">
        <v>8</v>
      </c>
      <c r="I18" s="111">
        <f>'[1]Mall, Citadel, Rotana'!L2</f>
        <v>25637</v>
      </c>
      <c r="J18" s="111" t="e">
        <f>'[1]Mall, Citadel, Rotana'!#REF!</f>
        <v>#REF!</v>
      </c>
      <c r="K18" s="112" t="e">
        <f>(J18-I18)*160</f>
        <v>#REF!</v>
      </c>
    </row>
    <row r="19" spans="1:11" ht="15.75" thickBot="1" x14ac:dyDescent="0.3">
      <c r="A19" s="83"/>
      <c r="B19" s="89" t="s">
        <v>104</v>
      </c>
      <c r="C19" s="109">
        <v>600</v>
      </c>
      <c r="D19" s="106">
        <f t="shared" si="1"/>
        <v>6018</v>
      </c>
      <c r="E19" s="167" t="s">
        <v>117</v>
      </c>
      <c r="F19" s="168"/>
      <c r="G19" s="83"/>
      <c r="H19" s="110" t="s">
        <v>118</v>
      </c>
      <c r="I19" s="111">
        <f>'[1]Mall, Citadel, Rotana'!P2</f>
        <v>132781</v>
      </c>
      <c r="J19" s="111" t="e">
        <f>'[1]Mall, Citadel, Rotana'!#REF!</f>
        <v>#REF!</v>
      </c>
      <c r="K19" s="112" t="e">
        <f>J19-I19</f>
        <v>#REF!</v>
      </c>
    </row>
    <row r="20" spans="1:11" ht="15.75" thickBot="1" x14ac:dyDescent="0.3">
      <c r="A20" s="83"/>
      <c r="B20" s="89" t="s">
        <v>106</v>
      </c>
      <c r="C20" s="109">
        <v>600</v>
      </c>
      <c r="D20" s="106">
        <f t="shared" si="1"/>
        <v>6018</v>
      </c>
      <c r="E20" s="107"/>
      <c r="F20" s="83"/>
      <c r="G20" s="83"/>
      <c r="H20" s="110" t="s">
        <v>119</v>
      </c>
      <c r="I20" s="111">
        <f>'[1]Mall, Citadel, Rotana'!R2</f>
        <v>55047</v>
      </c>
      <c r="J20" s="111" t="e">
        <f>'[1]Mall, Citadel, Rotana'!#REF!</f>
        <v>#REF!</v>
      </c>
      <c r="K20" s="112" t="e">
        <f>J20-I20</f>
        <v>#REF!</v>
      </c>
    </row>
    <row r="21" spans="1:11" ht="15.75" thickBot="1" x14ac:dyDescent="0.3">
      <c r="A21" s="83"/>
      <c r="B21" s="89" t="s">
        <v>91</v>
      </c>
      <c r="C21" s="109">
        <v>3000</v>
      </c>
      <c r="D21" s="106">
        <f t="shared" si="1"/>
        <v>30089.999999999996</v>
      </c>
      <c r="E21" s="107"/>
      <c r="F21" s="83"/>
      <c r="G21" s="83"/>
      <c r="H21" s="110" t="s">
        <v>1</v>
      </c>
      <c r="I21" s="111">
        <f>'[1]Mall, Citadel, Rotana'!B2</f>
        <v>46274</v>
      </c>
      <c r="J21" s="111" t="e">
        <f>'[1]Mall, Citadel, Rotana'!#REF!</f>
        <v>#REF!</v>
      </c>
      <c r="K21" s="112" t="e">
        <f>(J21-I21)*120</f>
        <v>#REF!</v>
      </c>
    </row>
    <row r="22" spans="1:11" ht="15.75" thickBot="1" x14ac:dyDescent="0.3">
      <c r="A22" s="83"/>
      <c r="B22" s="89" t="s">
        <v>120</v>
      </c>
      <c r="C22" s="106" t="e">
        <f>C14-(C15+C16+C17+C18+C19+C20+C21)</f>
        <v>#REF!</v>
      </c>
      <c r="D22" s="106" t="e">
        <f t="shared" si="1"/>
        <v>#REF!</v>
      </c>
      <c r="E22" s="107"/>
      <c r="F22" s="83"/>
      <c r="G22" s="83"/>
      <c r="H22" s="110" t="s">
        <v>3</v>
      </c>
      <c r="I22" s="111">
        <f>'[1]Mall, Citadel, Rotana'!D2</f>
        <v>40081</v>
      </c>
      <c r="J22" s="111" t="e">
        <f>'[1]Mall, Citadel, Rotana'!#REF!</f>
        <v>#REF!</v>
      </c>
      <c r="K22" s="112" t="e">
        <f>(J22-I22)*160</f>
        <v>#REF!</v>
      </c>
    </row>
    <row r="23" spans="1:11" x14ac:dyDescent="0.25">
      <c r="A23" s="83"/>
      <c r="B23" s="83"/>
      <c r="C23" s="102"/>
      <c r="D23" s="113"/>
      <c r="E23" s="107"/>
      <c r="F23" s="83"/>
      <c r="G23" s="83"/>
      <c r="H23" s="110" t="s">
        <v>5</v>
      </c>
      <c r="I23" s="111">
        <f>'[1]Mall, Citadel, Rotana'!F2</f>
        <v>21055</v>
      </c>
      <c r="J23" s="111" t="e">
        <f>'[1]Mall, Citadel, Rotana'!#REF!</f>
        <v>#REF!</v>
      </c>
      <c r="K23" s="112" t="e">
        <f>(J23-I23)*20</f>
        <v>#REF!</v>
      </c>
    </row>
    <row r="24" spans="1:11" x14ac:dyDescent="0.25">
      <c r="A24" s="83"/>
      <c r="B24" s="87" t="s">
        <v>121</v>
      </c>
      <c r="C24" s="102"/>
      <c r="D24" s="102"/>
      <c r="E24" s="102"/>
      <c r="F24" s="83"/>
      <c r="G24" s="83"/>
      <c r="H24" s="110" t="s">
        <v>6</v>
      </c>
      <c r="I24" s="111">
        <f>'[1]Mall, Citadel, Rotana'!H2</f>
        <v>252282</v>
      </c>
      <c r="J24" s="111" t="e">
        <f>'[1]Mall, Citadel, Rotana'!#REF!</f>
        <v>#REF!</v>
      </c>
      <c r="K24" s="112" t="e">
        <f>J24-I24</f>
        <v>#REF!</v>
      </c>
    </row>
    <row r="25" spans="1:11" ht="15.75" thickBot="1" x14ac:dyDescent="0.3">
      <c r="A25" s="83"/>
      <c r="B25" s="83"/>
      <c r="C25" s="96" t="s">
        <v>112</v>
      </c>
      <c r="D25" s="96" t="s">
        <v>122</v>
      </c>
      <c r="E25" s="96"/>
      <c r="F25" s="83"/>
      <c r="G25" s="83"/>
      <c r="H25" s="110" t="s">
        <v>123</v>
      </c>
      <c r="I25" s="111">
        <f>'[1]Mall, Citadel, Rotana'!N2</f>
        <v>216119</v>
      </c>
      <c r="J25" s="111" t="e">
        <f>'[1]Mall, Citadel, Rotana'!#REF!</f>
        <v>#REF!</v>
      </c>
      <c r="K25" s="112" t="e">
        <f>J25-I25</f>
        <v>#REF!</v>
      </c>
    </row>
    <row r="26" spans="1:11" ht="15.75" thickBot="1" x14ac:dyDescent="0.3">
      <c r="A26" s="83"/>
      <c r="B26" s="89" t="s">
        <v>73</v>
      </c>
      <c r="C26" s="114" t="e">
        <f>K35</f>
        <v>#REF!</v>
      </c>
      <c r="D26" s="95" t="e">
        <f>C26*3.65</f>
        <v>#REF!</v>
      </c>
      <c r="E26" s="96"/>
      <c r="F26" s="83"/>
      <c r="G26" s="83"/>
      <c r="H26" s="110" t="s">
        <v>124</v>
      </c>
      <c r="I26" s="115">
        <f>[1]ELECT.!C2</f>
        <v>19174</v>
      </c>
      <c r="J26" s="115" t="e">
        <f>[1]ELECT.!#REF!</f>
        <v>#REF!</v>
      </c>
      <c r="K26" s="112" t="e">
        <f>(J26-I26)*160</f>
        <v>#REF!</v>
      </c>
    </row>
    <row r="27" spans="1:11" ht="15.75" thickBot="1" x14ac:dyDescent="0.3">
      <c r="A27" s="83"/>
      <c r="B27" s="84" t="s">
        <v>125</v>
      </c>
      <c r="C27" s="114" t="e">
        <f>C26</f>
        <v>#REF!</v>
      </c>
      <c r="D27" s="95" t="e">
        <f>C27*3.65</f>
        <v>#REF!</v>
      </c>
      <c r="E27" s="96"/>
      <c r="F27" s="83"/>
      <c r="G27" s="83"/>
      <c r="H27" s="87"/>
      <c r="I27" s="116"/>
      <c r="J27" s="83"/>
      <c r="K27" s="83"/>
    </row>
    <row r="28" spans="1:11" x14ac:dyDescent="0.25">
      <c r="A28" s="83"/>
      <c r="B28" s="83"/>
      <c r="C28" s="83"/>
      <c r="D28" s="83"/>
      <c r="E28" s="83"/>
      <c r="F28" s="83"/>
      <c r="G28" s="83"/>
      <c r="H28" s="87" t="s">
        <v>111</v>
      </c>
      <c r="I28" s="116"/>
      <c r="J28" s="83"/>
      <c r="K28" s="83"/>
    </row>
    <row r="29" spans="1:11" x14ac:dyDescent="0.25">
      <c r="A29" s="83"/>
      <c r="B29" s="83"/>
      <c r="C29" s="83"/>
      <c r="D29" s="83"/>
      <c r="E29" s="83"/>
      <c r="F29" s="83"/>
      <c r="G29" s="83" t="s">
        <v>13</v>
      </c>
      <c r="H29" s="110" t="s">
        <v>67</v>
      </c>
      <c r="I29" s="111">
        <f>[1]Water!B2</f>
        <v>433119</v>
      </c>
      <c r="J29" s="111" t="e">
        <f>[1]Water!#REF!</f>
        <v>#REF!</v>
      </c>
      <c r="K29" s="112" t="e">
        <f>(J29-I29)*10</f>
        <v>#REF!</v>
      </c>
    </row>
    <row r="30" spans="1:11" x14ac:dyDescent="0.25">
      <c r="A30" s="83"/>
      <c r="B30" s="83"/>
      <c r="C30" s="83"/>
      <c r="D30" s="83"/>
      <c r="E30" s="83"/>
      <c r="F30" s="83"/>
      <c r="G30" s="83"/>
      <c r="H30" s="110" t="s">
        <v>126</v>
      </c>
      <c r="I30" s="111">
        <f>[1]Water!H2</f>
        <v>760516</v>
      </c>
      <c r="J30" s="111" t="e">
        <f>[1]Water!#REF!</f>
        <v>#REF!</v>
      </c>
      <c r="K30" s="112" t="e">
        <f>(J30-I30)*0.027</f>
        <v>#REF!</v>
      </c>
    </row>
    <row r="31" spans="1:11" x14ac:dyDescent="0.25">
      <c r="A31" s="83"/>
      <c r="B31" s="83"/>
      <c r="C31" s="83"/>
      <c r="D31" s="83"/>
      <c r="E31" s="83"/>
      <c r="F31" s="83"/>
      <c r="G31" s="83"/>
      <c r="H31" s="110" t="s">
        <v>127</v>
      </c>
      <c r="I31" s="111">
        <f>[1]Water!D2</f>
        <v>59</v>
      </c>
      <c r="J31" s="111" t="e">
        <f>[1]Water!#REF!</f>
        <v>#REF!</v>
      </c>
      <c r="K31" s="112" t="e">
        <f>(J31-I31)*0.027</f>
        <v>#REF!</v>
      </c>
    </row>
    <row r="32" spans="1:11" x14ac:dyDescent="0.25">
      <c r="A32" s="83"/>
      <c r="B32" s="83"/>
      <c r="C32" s="83"/>
      <c r="D32" s="83"/>
      <c r="E32" s="83"/>
      <c r="F32" s="83"/>
      <c r="G32" s="83"/>
      <c r="H32" s="110" t="s">
        <v>128</v>
      </c>
      <c r="I32" s="111">
        <f>[1]Water!F2</f>
        <v>6928000</v>
      </c>
      <c r="J32" s="111" t="e">
        <f>[1]Water!#REF!</f>
        <v>#REF!</v>
      </c>
      <c r="K32" s="112" t="e">
        <f>(J32-I32)*0.027</f>
        <v>#REF!</v>
      </c>
    </row>
    <row r="33" spans="1:1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</row>
    <row r="34" spans="1:11" x14ac:dyDescent="0.25">
      <c r="A34" s="117"/>
      <c r="B34" s="117"/>
      <c r="C34" s="117"/>
      <c r="D34" s="117"/>
      <c r="E34" s="117"/>
      <c r="F34" s="117"/>
      <c r="G34" s="117"/>
      <c r="H34" s="117" t="s">
        <v>121</v>
      </c>
      <c r="I34" s="117"/>
      <c r="J34" s="117"/>
      <c r="K34" s="117"/>
    </row>
    <row r="35" spans="1:11" x14ac:dyDescent="0.25">
      <c r="A35" s="117"/>
      <c r="B35" s="117"/>
      <c r="C35" s="117"/>
      <c r="D35" s="117"/>
      <c r="E35" s="117"/>
      <c r="F35" s="117"/>
      <c r="G35" s="118"/>
      <c r="H35" s="119" t="s">
        <v>73</v>
      </c>
      <c r="I35" s="120">
        <f>[1]Gas!B2</f>
        <v>17783497</v>
      </c>
      <c r="J35" s="121" t="e">
        <f>[1]Gas!#REF!</f>
        <v>#REF!</v>
      </c>
      <c r="K35" s="122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workbookViewId="0">
      <selection sqref="A1:XFD1048576"/>
    </sheetView>
  </sheetViews>
  <sheetFormatPr defaultRowHeight="15" x14ac:dyDescent="0.25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5">
      <c r="B1" s="123"/>
      <c r="C1" s="124" t="s">
        <v>129</v>
      </c>
      <c r="D1" s="125" t="s">
        <v>130</v>
      </c>
      <c r="E1" s="125" t="s">
        <v>131</v>
      </c>
      <c r="F1" s="125" t="s">
        <v>132</v>
      </c>
      <c r="G1" s="125" t="s">
        <v>133</v>
      </c>
      <c r="H1" s="126" t="s">
        <v>134</v>
      </c>
      <c r="J1" s="124" t="s">
        <v>129</v>
      </c>
      <c r="K1" s="125" t="s">
        <v>130</v>
      </c>
      <c r="L1" s="125" t="s">
        <v>132</v>
      </c>
      <c r="M1" s="125" t="s">
        <v>135</v>
      </c>
      <c r="N1" s="125" t="s">
        <v>133</v>
      </c>
      <c r="O1" s="126" t="s">
        <v>134</v>
      </c>
    </row>
    <row r="2" spans="2:15" x14ac:dyDescent="0.25">
      <c r="B2" s="123"/>
      <c r="C2" s="169">
        <v>6</v>
      </c>
      <c r="D2" s="127" t="s">
        <v>136</v>
      </c>
      <c r="E2" s="128">
        <v>280262</v>
      </c>
      <c r="F2" s="128">
        <v>281385</v>
      </c>
      <c r="G2" s="129">
        <f>F2-E2</f>
        <v>1123</v>
      </c>
      <c r="H2" s="130"/>
      <c r="J2" s="169">
        <v>6</v>
      </c>
      <c r="K2" s="127" t="s">
        <v>136</v>
      </c>
      <c r="L2" s="128">
        <v>281385</v>
      </c>
      <c r="M2" s="128">
        <v>283246</v>
      </c>
      <c r="N2" s="129">
        <f>M2-L2</f>
        <v>1861</v>
      </c>
      <c r="O2" s="130"/>
    </row>
    <row r="3" spans="2:15" x14ac:dyDescent="0.25">
      <c r="B3" s="123"/>
      <c r="C3" s="170"/>
      <c r="D3" s="127" t="s">
        <v>137</v>
      </c>
      <c r="E3" s="128">
        <v>242725</v>
      </c>
      <c r="F3" s="128">
        <v>243779</v>
      </c>
      <c r="G3" s="129">
        <f t="shared" ref="G3:G43" si="0">F3-E3</f>
        <v>1054</v>
      </c>
      <c r="H3" s="130"/>
      <c r="J3" s="170"/>
      <c r="K3" s="127" t="s">
        <v>137</v>
      </c>
      <c r="L3" s="128">
        <v>243779</v>
      </c>
      <c r="M3" s="128">
        <v>245142</v>
      </c>
      <c r="N3" s="129">
        <f t="shared" ref="N3:N60" si="1">M3-L3</f>
        <v>1363</v>
      </c>
      <c r="O3" s="130"/>
    </row>
    <row r="4" spans="2:15" x14ac:dyDescent="0.25">
      <c r="B4" s="123"/>
      <c r="C4" s="171"/>
      <c r="D4" s="127" t="s">
        <v>138</v>
      </c>
      <c r="E4" s="128">
        <v>190541</v>
      </c>
      <c r="F4" s="128">
        <v>191088</v>
      </c>
      <c r="G4" s="129">
        <f t="shared" si="0"/>
        <v>547</v>
      </c>
      <c r="H4" s="130"/>
      <c r="J4" s="171"/>
      <c r="K4" s="127" t="s">
        <v>138</v>
      </c>
      <c r="L4" s="128">
        <v>191088</v>
      </c>
      <c r="M4" s="128">
        <v>192356</v>
      </c>
      <c r="N4" s="129">
        <f t="shared" si="1"/>
        <v>1268</v>
      </c>
      <c r="O4" s="130"/>
    </row>
    <row r="5" spans="2:15" x14ac:dyDescent="0.25">
      <c r="B5" s="123"/>
      <c r="C5" s="169">
        <v>7</v>
      </c>
      <c r="D5" s="127" t="s">
        <v>136</v>
      </c>
      <c r="E5" s="128">
        <v>241447</v>
      </c>
      <c r="F5" s="128">
        <v>242725</v>
      </c>
      <c r="G5" s="129">
        <f t="shared" si="0"/>
        <v>1278</v>
      </c>
      <c r="H5" s="130"/>
      <c r="J5" s="169">
        <v>7</v>
      </c>
      <c r="K5" s="127" t="s">
        <v>136</v>
      </c>
      <c r="L5" s="128">
        <v>242725</v>
      </c>
      <c r="M5" s="128">
        <v>245439</v>
      </c>
      <c r="N5" s="129">
        <f t="shared" si="1"/>
        <v>2714</v>
      </c>
      <c r="O5" s="130"/>
    </row>
    <row r="6" spans="2:15" x14ac:dyDescent="0.25">
      <c r="B6" s="123"/>
      <c r="C6" s="170"/>
      <c r="D6" s="127" t="s">
        <v>137</v>
      </c>
      <c r="E6" s="128">
        <v>153709</v>
      </c>
      <c r="F6" s="128">
        <v>153801</v>
      </c>
      <c r="G6" s="129">
        <f t="shared" si="0"/>
        <v>92</v>
      </c>
      <c r="H6" s="130"/>
      <c r="J6" s="170"/>
      <c r="K6" s="127" t="s">
        <v>137</v>
      </c>
      <c r="L6" s="128">
        <v>153801</v>
      </c>
      <c r="M6" s="128">
        <v>153827</v>
      </c>
      <c r="N6" s="129">
        <f t="shared" si="1"/>
        <v>26</v>
      </c>
      <c r="O6" s="130"/>
    </row>
    <row r="7" spans="2:15" x14ac:dyDescent="0.25">
      <c r="B7" s="123"/>
      <c r="C7" s="171"/>
      <c r="D7" s="127" t="s">
        <v>138</v>
      </c>
      <c r="E7" s="128">
        <v>119307</v>
      </c>
      <c r="F7" s="128">
        <v>120067</v>
      </c>
      <c r="G7" s="129">
        <f t="shared" si="0"/>
        <v>760</v>
      </c>
      <c r="H7" s="130"/>
      <c r="J7" s="171"/>
      <c r="K7" s="127" t="s">
        <v>138</v>
      </c>
      <c r="L7" s="128">
        <v>120067</v>
      </c>
      <c r="M7" s="128">
        <v>121622</v>
      </c>
      <c r="N7" s="129">
        <f t="shared" si="1"/>
        <v>1555</v>
      </c>
      <c r="O7" s="130"/>
    </row>
    <row r="8" spans="2:15" x14ac:dyDescent="0.25">
      <c r="B8" s="123"/>
      <c r="C8" s="169">
        <v>8</v>
      </c>
      <c r="D8" s="127" t="s">
        <v>136</v>
      </c>
      <c r="E8" s="128">
        <v>72845</v>
      </c>
      <c r="F8" s="128">
        <v>73064</v>
      </c>
      <c r="G8" s="129">
        <f t="shared" si="0"/>
        <v>219</v>
      </c>
      <c r="H8" s="130"/>
      <c r="J8" s="169">
        <v>8</v>
      </c>
      <c r="K8" s="127" t="s">
        <v>136</v>
      </c>
      <c r="L8" s="128">
        <v>73064</v>
      </c>
      <c r="M8" s="128">
        <v>75412</v>
      </c>
      <c r="N8" s="129">
        <f t="shared" si="1"/>
        <v>2348</v>
      </c>
      <c r="O8" s="130"/>
    </row>
    <row r="9" spans="2:15" x14ac:dyDescent="0.25">
      <c r="B9" s="123"/>
      <c r="C9" s="170"/>
      <c r="D9" s="127" t="s">
        <v>137</v>
      </c>
      <c r="E9" s="128">
        <v>158</v>
      </c>
      <c r="F9" s="128">
        <v>158</v>
      </c>
      <c r="G9" s="129">
        <f t="shared" si="0"/>
        <v>0</v>
      </c>
      <c r="H9" s="131" t="s">
        <v>13</v>
      </c>
      <c r="J9" s="170"/>
      <c r="K9" s="127" t="s">
        <v>137</v>
      </c>
      <c r="L9" s="128">
        <v>158</v>
      </c>
      <c r="M9" s="128">
        <v>158</v>
      </c>
      <c r="N9" s="129">
        <f t="shared" si="1"/>
        <v>0</v>
      </c>
      <c r="O9" s="131" t="s">
        <v>13</v>
      </c>
    </row>
    <row r="10" spans="2:15" x14ac:dyDescent="0.25">
      <c r="B10" s="123"/>
      <c r="C10" s="171"/>
      <c r="D10" s="127" t="s">
        <v>138</v>
      </c>
      <c r="E10" s="128">
        <v>98137</v>
      </c>
      <c r="F10" s="128">
        <v>98822</v>
      </c>
      <c r="G10" s="129">
        <f t="shared" si="0"/>
        <v>685</v>
      </c>
      <c r="H10" s="130"/>
      <c r="J10" s="171"/>
      <c r="K10" s="127" t="s">
        <v>138</v>
      </c>
      <c r="L10" s="128">
        <v>98822</v>
      </c>
      <c r="M10" s="128">
        <v>99971</v>
      </c>
      <c r="N10" s="129">
        <f t="shared" si="1"/>
        <v>1149</v>
      </c>
      <c r="O10" s="130"/>
    </row>
    <row r="11" spans="2:15" x14ac:dyDescent="0.25">
      <c r="B11" s="123"/>
      <c r="C11" s="169">
        <v>9</v>
      </c>
      <c r="D11" s="127" t="s">
        <v>136</v>
      </c>
      <c r="E11" s="128">
        <v>34639</v>
      </c>
      <c r="F11" s="128">
        <v>34694</v>
      </c>
      <c r="G11" s="129">
        <f t="shared" si="0"/>
        <v>55</v>
      </c>
      <c r="H11" s="130"/>
      <c r="J11" s="169">
        <v>9</v>
      </c>
      <c r="K11" s="127" t="s">
        <v>136</v>
      </c>
      <c r="L11" s="128">
        <v>34694</v>
      </c>
      <c r="M11" s="128">
        <v>34726</v>
      </c>
      <c r="N11" s="129">
        <f t="shared" si="1"/>
        <v>32</v>
      </c>
      <c r="O11" s="130"/>
    </row>
    <row r="12" spans="2:15" x14ac:dyDescent="0.25">
      <c r="B12" s="123"/>
      <c r="C12" s="170"/>
      <c r="D12" s="127" t="s">
        <v>137</v>
      </c>
      <c r="E12" s="128">
        <v>0</v>
      </c>
      <c r="F12" s="128">
        <v>0</v>
      </c>
      <c r="G12" s="129">
        <f t="shared" si="0"/>
        <v>0</v>
      </c>
      <c r="H12" s="131" t="s">
        <v>13</v>
      </c>
      <c r="J12" s="170"/>
      <c r="K12" s="127" t="s">
        <v>137</v>
      </c>
      <c r="L12" s="128">
        <v>0</v>
      </c>
      <c r="M12" s="128">
        <v>0</v>
      </c>
      <c r="N12" s="129">
        <f t="shared" si="1"/>
        <v>0</v>
      </c>
      <c r="O12" s="131" t="s">
        <v>13</v>
      </c>
    </row>
    <row r="13" spans="2:15" x14ac:dyDescent="0.25">
      <c r="B13" s="123"/>
      <c r="C13" s="171"/>
      <c r="D13" s="127" t="s">
        <v>138</v>
      </c>
      <c r="E13" s="128">
        <v>28642</v>
      </c>
      <c r="F13" s="128">
        <v>28776</v>
      </c>
      <c r="G13" s="129">
        <f t="shared" si="0"/>
        <v>134</v>
      </c>
      <c r="H13" s="130"/>
      <c r="I13" s="132"/>
      <c r="J13" s="171"/>
      <c r="K13" s="127" t="s">
        <v>138</v>
      </c>
      <c r="L13" s="128">
        <v>28776</v>
      </c>
      <c r="M13" s="128">
        <v>28926</v>
      </c>
      <c r="N13" s="129">
        <f t="shared" si="1"/>
        <v>150</v>
      </c>
      <c r="O13" s="130"/>
    </row>
    <row r="14" spans="2:15" x14ac:dyDescent="0.25">
      <c r="B14" s="123"/>
      <c r="C14" s="169">
        <v>10</v>
      </c>
      <c r="D14" s="127" t="s">
        <v>136</v>
      </c>
      <c r="E14" s="128">
        <v>197101</v>
      </c>
      <c r="F14" s="128">
        <v>198779</v>
      </c>
      <c r="G14" s="129">
        <f t="shared" si="0"/>
        <v>1678</v>
      </c>
      <c r="H14" s="130"/>
      <c r="I14" s="133"/>
      <c r="J14" s="169">
        <v>10</v>
      </c>
      <c r="K14" s="127" t="s">
        <v>136</v>
      </c>
      <c r="L14" s="128">
        <v>198779</v>
      </c>
      <c r="M14" s="128">
        <v>202553</v>
      </c>
      <c r="N14" s="129">
        <f t="shared" si="1"/>
        <v>3774</v>
      </c>
      <c r="O14" s="130"/>
    </row>
    <row r="15" spans="2:15" x14ac:dyDescent="0.25">
      <c r="B15" s="123"/>
      <c r="C15" s="170"/>
      <c r="D15" s="127" t="s">
        <v>137</v>
      </c>
      <c r="E15" s="128">
        <v>7741</v>
      </c>
      <c r="F15" s="128">
        <v>7741</v>
      </c>
      <c r="G15" s="129">
        <f t="shared" si="0"/>
        <v>0</v>
      </c>
      <c r="H15" s="130"/>
      <c r="I15" s="133"/>
      <c r="J15" s="170"/>
      <c r="K15" s="127" t="s">
        <v>137</v>
      </c>
      <c r="L15" s="128">
        <v>7741</v>
      </c>
      <c r="M15" s="128">
        <v>7174</v>
      </c>
      <c r="N15" s="129">
        <f t="shared" si="1"/>
        <v>-567</v>
      </c>
      <c r="O15" s="130"/>
    </row>
    <row r="16" spans="2:15" x14ac:dyDescent="0.25">
      <c r="B16" s="123"/>
      <c r="C16" s="171"/>
      <c r="D16" s="127" t="s">
        <v>138</v>
      </c>
      <c r="E16" s="128">
        <v>185938</v>
      </c>
      <c r="F16" s="128">
        <v>186735</v>
      </c>
      <c r="G16" s="129">
        <f t="shared" si="0"/>
        <v>797</v>
      </c>
      <c r="H16" s="130"/>
      <c r="I16" s="133"/>
      <c r="J16" s="171"/>
      <c r="K16" s="127" t="s">
        <v>138</v>
      </c>
      <c r="L16" s="128">
        <v>186735</v>
      </c>
      <c r="M16" s="128">
        <v>188697</v>
      </c>
      <c r="N16" s="129">
        <f t="shared" si="1"/>
        <v>1962</v>
      </c>
      <c r="O16" s="130"/>
    </row>
    <row r="17" spans="2:15" x14ac:dyDescent="0.25">
      <c r="B17" s="123"/>
      <c r="C17" s="169">
        <v>11</v>
      </c>
      <c r="D17" s="127" t="s">
        <v>136</v>
      </c>
      <c r="E17" s="129">
        <v>64235</v>
      </c>
      <c r="F17" s="129">
        <v>64951</v>
      </c>
      <c r="G17" s="129">
        <f t="shared" si="0"/>
        <v>716</v>
      </c>
      <c r="H17" s="130"/>
      <c r="I17" s="133"/>
      <c r="J17" s="169">
        <v>11</v>
      </c>
      <c r="K17" s="127" t="s">
        <v>136</v>
      </c>
      <c r="L17" s="129">
        <v>64951</v>
      </c>
      <c r="M17" s="129">
        <v>66191</v>
      </c>
      <c r="N17" s="129">
        <f t="shared" si="1"/>
        <v>1240</v>
      </c>
      <c r="O17" s="130"/>
    </row>
    <row r="18" spans="2:15" x14ac:dyDescent="0.25">
      <c r="B18" s="123"/>
      <c r="C18" s="170"/>
      <c r="D18" s="127" t="s">
        <v>137</v>
      </c>
      <c r="E18" s="129">
        <v>213386</v>
      </c>
      <c r="F18" s="129">
        <v>214391</v>
      </c>
      <c r="G18" s="129">
        <f t="shared" si="0"/>
        <v>1005</v>
      </c>
      <c r="H18" s="130"/>
      <c r="I18" s="133"/>
      <c r="J18" s="170"/>
      <c r="K18" s="127" t="s">
        <v>137</v>
      </c>
      <c r="L18" s="129">
        <v>214391</v>
      </c>
      <c r="M18" s="129">
        <v>215756</v>
      </c>
      <c r="N18" s="129">
        <f t="shared" si="1"/>
        <v>1365</v>
      </c>
      <c r="O18" s="130"/>
    </row>
    <row r="19" spans="2:15" x14ac:dyDescent="0.25">
      <c r="B19" s="123"/>
      <c r="C19" s="171"/>
      <c r="D19" s="127" t="s">
        <v>138</v>
      </c>
      <c r="E19" s="128">
        <v>30683</v>
      </c>
      <c r="F19" s="128">
        <v>30758</v>
      </c>
      <c r="G19" s="129">
        <f t="shared" si="0"/>
        <v>75</v>
      </c>
      <c r="H19" s="130"/>
      <c r="I19" s="133"/>
      <c r="J19" s="171"/>
      <c r="K19" s="127" t="s">
        <v>138</v>
      </c>
      <c r="L19" s="128">
        <v>30758</v>
      </c>
      <c r="M19" s="128">
        <v>30919</v>
      </c>
      <c r="N19" s="129">
        <f t="shared" si="1"/>
        <v>161</v>
      </c>
      <c r="O19" s="130"/>
    </row>
    <row r="20" spans="2:15" x14ac:dyDescent="0.25">
      <c r="B20" s="123"/>
      <c r="C20" s="169">
        <v>12</v>
      </c>
      <c r="D20" s="127" t="s">
        <v>136</v>
      </c>
      <c r="E20" s="134">
        <v>146008</v>
      </c>
      <c r="F20" s="134">
        <v>146144</v>
      </c>
      <c r="G20" s="129">
        <f t="shared" si="0"/>
        <v>136</v>
      </c>
      <c r="H20" s="130"/>
      <c r="I20" s="133"/>
      <c r="J20" s="169">
        <v>12</v>
      </c>
      <c r="K20" s="127" t="s">
        <v>136</v>
      </c>
      <c r="L20" s="134">
        <v>146144</v>
      </c>
      <c r="M20" s="134">
        <v>146382</v>
      </c>
      <c r="N20" s="129">
        <f t="shared" si="1"/>
        <v>238</v>
      </c>
      <c r="O20" s="130"/>
    </row>
    <row r="21" spans="2:15" x14ac:dyDescent="0.25">
      <c r="B21" s="123"/>
      <c r="C21" s="170"/>
      <c r="D21" s="127" t="s">
        <v>137</v>
      </c>
      <c r="E21" s="128">
        <v>22414</v>
      </c>
      <c r="F21" s="128">
        <v>22438</v>
      </c>
      <c r="G21" s="129">
        <f t="shared" si="0"/>
        <v>24</v>
      </c>
      <c r="H21" s="130"/>
      <c r="I21" s="135" t="s">
        <v>13</v>
      </c>
      <c r="J21" s="170"/>
      <c r="K21" s="127" t="s">
        <v>137</v>
      </c>
      <c r="L21" s="128">
        <v>22438</v>
      </c>
      <c r="M21" s="128">
        <v>22483</v>
      </c>
      <c r="N21" s="129">
        <f t="shared" si="1"/>
        <v>45</v>
      </c>
      <c r="O21" s="130"/>
    </row>
    <row r="22" spans="2:15" x14ac:dyDescent="0.25">
      <c r="B22" s="123"/>
      <c r="C22" s="171"/>
      <c r="D22" s="127" t="s">
        <v>138</v>
      </c>
      <c r="E22" s="128">
        <v>242715</v>
      </c>
      <c r="F22" s="128">
        <v>243056</v>
      </c>
      <c r="G22" s="129">
        <f t="shared" si="0"/>
        <v>341</v>
      </c>
      <c r="H22" s="130"/>
      <c r="I22" s="133"/>
      <c r="J22" s="171"/>
      <c r="K22" s="127" t="s">
        <v>138</v>
      </c>
      <c r="L22" s="128">
        <v>243056</v>
      </c>
      <c r="M22" s="128">
        <v>245112</v>
      </c>
      <c r="N22" s="129">
        <f t="shared" si="1"/>
        <v>2056</v>
      </c>
      <c r="O22" s="130"/>
    </row>
    <row r="23" spans="2:15" x14ac:dyDescent="0.25">
      <c r="B23" s="123"/>
      <c r="C23" s="169">
        <v>14</v>
      </c>
      <c r="D23" s="127" t="s">
        <v>136</v>
      </c>
      <c r="E23" s="128">
        <v>116871</v>
      </c>
      <c r="F23" s="128">
        <v>117017</v>
      </c>
      <c r="G23" s="129">
        <f t="shared" si="0"/>
        <v>146</v>
      </c>
      <c r="H23" s="130"/>
      <c r="I23" s="133"/>
      <c r="J23" s="169">
        <v>14</v>
      </c>
      <c r="K23" s="127" t="s">
        <v>136</v>
      </c>
      <c r="L23" s="128">
        <v>117017</v>
      </c>
      <c r="M23" s="128">
        <v>117346</v>
      </c>
      <c r="N23" s="129">
        <f t="shared" si="1"/>
        <v>329</v>
      </c>
      <c r="O23" s="130"/>
    </row>
    <row r="24" spans="2:15" x14ac:dyDescent="0.25">
      <c r="B24" s="123"/>
      <c r="C24" s="170"/>
      <c r="D24" s="127" t="s">
        <v>137</v>
      </c>
      <c r="E24" s="136">
        <v>23763</v>
      </c>
      <c r="F24" s="136">
        <v>23763</v>
      </c>
      <c r="G24" s="129">
        <f t="shared" si="0"/>
        <v>0</v>
      </c>
      <c r="H24" s="130"/>
      <c r="I24" s="133"/>
      <c r="J24" s="170"/>
      <c r="K24" s="127" t="s">
        <v>137</v>
      </c>
      <c r="L24" s="136">
        <v>23763</v>
      </c>
      <c r="M24" s="136">
        <v>25937</v>
      </c>
      <c r="N24" s="129">
        <f t="shared" si="1"/>
        <v>2174</v>
      </c>
      <c r="O24" s="130"/>
    </row>
    <row r="25" spans="2:15" x14ac:dyDescent="0.25">
      <c r="B25" s="123"/>
      <c r="C25" s="171"/>
      <c r="D25" s="127" t="s">
        <v>138</v>
      </c>
      <c r="E25" s="128">
        <v>1999</v>
      </c>
      <c r="F25" s="128">
        <v>1999</v>
      </c>
      <c r="G25" s="129">
        <f t="shared" si="0"/>
        <v>0</v>
      </c>
      <c r="H25" s="130"/>
      <c r="I25" s="133"/>
      <c r="J25" s="171"/>
      <c r="K25" s="127" t="s">
        <v>138</v>
      </c>
      <c r="L25" s="128">
        <v>1999</v>
      </c>
      <c r="M25" s="128">
        <v>1767</v>
      </c>
      <c r="N25" s="129">
        <f t="shared" si="1"/>
        <v>-232</v>
      </c>
      <c r="O25" s="130"/>
    </row>
    <row r="26" spans="2:15" x14ac:dyDescent="0.25">
      <c r="B26" s="123"/>
      <c r="C26" s="169">
        <v>15</v>
      </c>
      <c r="D26" s="127" t="s">
        <v>136</v>
      </c>
      <c r="E26" s="134">
        <v>39380</v>
      </c>
      <c r="F26" s="134">
        <v>39380</v>
      </c>
      <c r="G26" s="129">
        <f t="shared" si="0"/>
        <v>0</v>
      </c>
      <c r="H26" s="130"/>
      <c r="I26" s="135" t="s">
        <v>13</v>
      </c>
      <c r="J26" s="169">
        <v>15</v>
      </c>
      <c r="K26" s="127" t="s">
        <v>136</v>
      </c>
      <c r="L26" s="134">
        <v>39380</v>
      </c>
      <c r="M26" s="134">
        <v>39348</v>
      </c>
      <c r="N26" s="129">
        <f t="shared" si="1"/>
        <v>-32</v>
      </c>
      <c r="O26" s="130"/>
    </row>
    <row r="27" spans="2:15" x14ac:dyDescent="0.25">
      <c r="B27" s="123"/>
      <c r="C27" s="170"/>
      <c r="D27" s="127" t="s">
        <v>137</v>
      </c>
      <c r="E27" s="128">
        <v>80522</v>
      </c>
      <c r="F27" s="128">
        <v>80886</v>
      </c>
      <c r="G27" s="129">
        <f t="shared" si="0"/>
        <v>364</v>
      </c>
      <c r="H27" s="130"/>
      <c r="I27" s="135" t="s">
        <v>13</v>
      </c>
      <c r="J27" s="170"/>
      <c r="K27" s="127" t="s">
        <v>137</v>
      </c>
      <c r="L27" s="128">
        <v>80886</v>
      </c>
      <c r="M27" s="128">
        <v>81676</v>
      </c>
      <c r="N27" s="129">
        <f t="shared" si="1"/>
        <v>790</v>
      </c>
      <c r="O27" s="130"/>
    </row>
    <row r="28" spans="2:15" x14ac:dyDescent="0.25">
      <c r="B28" s="123"/>
      <c r="C28" s="171"/>
      <c r="D28" s="127" t="s">
        <v>138</v>
      </c>
      <c r="E28" s="128">
        <v>154238</v>
      </c>
      <c r="F28" s="128">
        <v>155292</v>
      </c>
      <c r="G28" s="129">
        <f t="shared" si="0"/>
        <v>1054</v>
      </c>
      <c r="H28" s="130"/>
      <c r="I28" s="133"/>
      <c r="J28" s="171"/>
      <c r="K28" s="127" t="s">
        <v>138</v>
      </c>
      <c r="L28" s="128">
        <v>155292</v>
      </c>
      <c r="M28" s="128">
        <v>157355</v>
      </c>
      <c r="N28" s="129">
        <f t="shared" si="1"/>
        <v>2063</v>
      </c>
      <c r="O28" s="130"/>
    </row>
    <row r="29" spans="2:15" x14ac:dyDescent="0.25">
      <c r="B29" s="123"/>
      <c r="C29" s="169">
        <v>16</v>
      </c>
      <c r="D29" s="127" t="s">
        <v>136</v>
      </c>
      <c r="E29" s="134">
        <v>97965</v>
      </c>
      <c r="F29" s="134">
        <v>97965</v>
      </c>
      <c r="G29" s="129">
        <f t="shared" si="0"/>
        <v>0</v>
      </c>
      <c r="H29" s="131" t="s">
        <v>13</v>
      </c>
      <c r="I29" s="133"/>
      <c r="J29" s="169">
        <v>16</v>
      </c>
      <c r="K29" s="127" t="s">
        <v>136</v>
      </c>
      <c r="L29" s="134">
        <v>97965</v>
      </c>
      <c r="M29" s="134">
        <v>97792</v>
      </c>
      <c r="N29" s="129">
        <f t="shared" si="1"/>
        <v>-173</v>
      </c>
      <c r="O29" s="131" t="s">
        <v>13</v>
      </c>
    </row>
    <row r="30" spans="2:15" x14ac:dyDescent="0.25">
      <c r="B30" s="123"/>
      <c r="C30" s="170"/>
      <c r="D30" s="127" t="s">
        <v>137</v>
      </c>
      <c r="E30" s="134">
        <v>59824</v>
      </c>
      <c r="F30" s="134">
        <v>60065</v>
      </c>
      <c r="G30" s="129">
        <f t="shared" si="0"/>
        <v>241</v>
      </c>
      <c r="H30" s="130"/>
      <c r="I30" s="133"/>
      <c r="J30" s="170"/>
      <c r="K30" s="127" t="s">
        <v>137</v>
      </c>
      <c r="L30" s="134">
        <v>60065</v>
      </c>
      <c r="M30" s="134">
        <v>60464</v>
      </c>
      <c r="N30" s="129">
        <f t="shared" si="1"/>
        <v>399</v>
      </c>
      <c r="O30" s="130"/>
    </row>
    <row r="31" spans="2:15" x14ac:dyDescent="0.25">
      <c r="B31" s="123"/>
      <c r="C31" s="171"/>
      <c r="D31" s="127" t="s">
        <v>138</v>
      </c>
      <c r="E31" s="128">
        <v>68462</v>
      </c>
      <c r="F31" s="128">
        <v>68462</v>
      </c>
      <c r="G31" s="129">
        <f t="shared" si="0"/>
        <v>0</v>
      </c>
      <c r="H31" s="137"/>
      <c r="I31" s="133"/>
      <c r="J31" s="171"/>
      <c r="K31" s="127" t="s">
        <v>138</v>
      </c>
      <c r="L31" s="128">
        <v>68462</v>
      </c>
      <c r="M31" s="128">
        <v>68462</v>
      </c>
      <c r="N31" s="129">
        <f t="shared" si="1"/>
        <v>0</v>
      </c>
      <c r="O31" s="137"/>
    </row>
    <row r="32" spans="2:15" x14ac:dyDescent="0.25">
      <c r="B32" s="123"/>
      <c r="C32" s="169">
        <v>17</v>
      </c>
      <c r="D32" s="127" t="s">
        <v>136</v>
      </c>
      <c r="E32" s="128">
        <v>32768</v>
      </c>
      <c r="F32" s="128">
        <v>33108</v>
      </c>
      <c r="G32" s="129">
        <f t="shared" si="0"/>
        <v>340</v>
      </c>
      <c r="H32" s="130"/>
      <c r="I32" s="133"/>
      <c r="J32" s="169">
        <v>17</v>
      </c>
      <c r="K32" s="127" t="s">
        <v>136</v>
      </c>
      <c r="L32" s="128">
        <v>33108</v>
      </c>
      <c r="M32" s="128">
        <v>34035</v>
      </c>
      <c r="N32" s="129">
        <f t="shared" si="1"/>
        <v>927</v>
      </c>
      <c r="O32" s="130"/>
    </row>
    <row r="33" spans="2:15" x14ac:dyDescent="0.25">
      <c r="B33" s="123"/>
      <c r="C33" s="170"/>
      <c r="D33" s="127" t="s">
        <v>137</v>
      </c>
      <c r="E33" s="128">
        <v>64149</v>
      </c>
      <c r="F33" s="128">
        <v>64190</v>
      </c>
      <c r="G33" s="129">
        <f t="shared" si="0"/>
        <v>41</v>
      </c>
      <c r="H33" s="130"/>
      <c r="I33" s="133"/>
      <c r="J33" s="170"/>
      <c r="K33" s="127" t="s">
        <v>137</v>
      </c>
      <c r="L33" s="128">
        <v>64190</v>
      </c>
      <c r="M33" s="128">
        <v>64134</v>
      </c>
      <c r="N33" s="129">
        <f t="shared" si="1"/>
        <v>-56</v>
      </c>
      <c r="O33" s="130"/>
    </row>
    <row r="34" spans="2:15" x14ac:dyDescent="0.25">
      <c r="B34" s="123"/>
      <c r="C34" s="171"/>
      <c r="D34" s="127" t="s">
        <v>138</v>
      </c>
      <c r="E34" s="128">
        <v>11579</v>
      </c>
      <c r="F34" s="128">
        <v>11664</v>
      </c>
      <c r="G34" s="129">
        <f t="shared" si="0"/>
        <v>85</v>
      </c>
      <c r="H34" s="137"/>
      <c r="I34" s="133"/>
      <c r="J34" s="171"/>
      <c r="K34" s="127" t="s">
        <v>138</v>
      </c>
      <c r="L34" s="128">
        <v>11664</v>
      </c>
      <c r="M34" s="128">
        <v>83366</v>
      </c>
      <c r="N34" s="129">
        <f t="shared" si="1"/>
        <v>71702</v>
      </c>
      <c r="O34" s="137"/>
    </row>
    <row r="35" spans="2:15" x14ac:dyDescent="0.25">
      <c r="B35" s="123"/>
      <c r="C35" s="169">
        <v>18</v>
      </c>
      <c r="D35" s="127" t="s">
        <v>136</v>
      </c>
      <c r="E35" s="128">
        <v>239144</v>
      </c>
      <c r="F35" s="128">
        <v>240194</v>
      </c>
      <c r="G35" s="129">
        <f t="shared" si="0"/>
        <v>1050</v>
      </c>
      <c r="H35" s="137"/>
      <c r="I35" s="133"/>
      <c r="J35" s="169">
        <v>18</v>
      </c>
      <c r="K35" s="127" t="s">
        <v>136</v>
      </c>
      <c r="L35" s="128">
        <v>240194</v>
      </c>
      <c r="M35" s="128">
        <v>243624</v>
      </c>
      <c r="N35" s="129">
        <f t="shared" si="1"/>
        <v>3430</v>
      </c>
      <c r="O35" s="137"/>
    </row>
    <row r="36" spans="2:15" x14ac:dyDescent="0.25">
      <c r="B36" s="123"/>
      <c r="C36" s="170"/>
      <c r="D36" s="127" t="s">
        <v>137</v>
      </c>
      <c r="E36" s="136">
        <v>16836</v>
      </c>
      <c r="F36" s="136">
        <v>17660</v>
      </c>
      <c r="G36" s="129">
        <f t="shared" si="0"/>
        <v>824</v>
      </c>
      <c r="H36" s="130"/>
      <c r="I36" s="133"/>
      <c r="J36" s="170"/>
      <c r="K36" s="127" t="s">
        <v>137</v>
      </c>
      <c r="L36" s="136">
        <v>17660</v>
      </c>
      <c r="M36" s="136">
        <v>17660</v>
      </c>
      <c r="N36" s="129">
        <f t="shared" si="1"/>
        <v>0</v>
      </c>
      <c r="O36" s="130"/>
    </row>
    <row r="37" spans="2:15" x14ac:dyDescent="0.25">
      <c r="B37" s="123"/>
      <c r="C37" s="171"/>
      <c r="D37" s="127" t="s">
        <v>138</v>
      </c>
      <c r="E37" s="128">
        <v>78775</v>
      </c>
      <c r="F37" s="128">
        <v>80127</v>
      </c>
      <c r="G37" s="129">
        <f t="shared" si="0"/>
        <v>1352</v>
      </c>
      <c r="H37" s="130"/>
      <c r="I37" s="133"/>
      <c r="J37" s="171"/>
      <c r="K37" s="127" t="s">
        <v>138</v>
      </c>
      <c r="L37" s="128">
        <v>80127</v>
      </c>
      <c r="M37" s="128">
        <v>83790</v>
      </c>
      <c r="N37" s="129">
        <f t="shared" si="1"/>
        <v>3663</v>
      </c>
      <c r="O37" s="130"/>
    </row>
    <row r="38" spans="2:15" x14ac:dyDescent="0.25">
      <c r="B38" s="123"/>
      <c r="C38" s="169">
        <v>19</v>
      </c>
      <c r="D38" s="127" t="s">
        <v>136</v>
      </c>
      <c r="E38" s="128">
        <v>21552</v>
      </c>
      <c r="F38" s="128">
        <v>21717</v>
      </c>
      <c r="G38" s="129">
        <f t="shared" si="0"/>
        <v>165</v>
      </c>
      <c r="H38" s="130"/>
      <c r="I38" s="133"/>
      <c r="J38" s="169">
        <v>19</v>
      </c>
      <c r="K38" s="127" t="s">
        <v>136</v>
      </c>
      <c r="L38" s="128">
        <v>21717</v>
      </c>
      <c r="M38" s="128">
        <v>22092</v>
      </c>
      <c r="N38" s="129">
        <f t="shared" si="1"/>
        <v>375</v>
      </c>
      <c r="O38" s="130"/>
    </row>
    <row r="39" spans="2:15" x14ac:dyDescent="0.25">
      <c r="B39" s="123"/>
      <c r="C39" s="170"/>
      <c r="D39" s="127" t="s">
        <v>137</v>
      </c>
      <c r="E39" s="134">
        <v>83126</v>
      </c>
      <c r="F39" s="134">
        <v>83384</v>
      </c>
      <c r="G39" s="129">
        <f t="shared" si="0"/>
        <v>258</v>
      </c>
      <c r="H39" s="137"/>
      <c r="I39" s="133"/>
      <c r="J39" s="170"/>
      <c r="K39" s="127" t="s">
        <v>137</v>
      </c>
      <c r="L39" s="134">
        <v>83384</v>
      </c>
      <c r="M39" s="134">
        <v>53053</v>
      </c>
      <c r="N39" s="129">
        <f t="shared" si="1"/>
        <v>-30331</v>
      </c>
      <c r="O39" s="137"/>
    </row>
    <row r="40" spans="2:15" x14ac:dyDescent="0.25">
      <c r="B40" s="123"/>
      <c r="C40" s="171"/>
      <c r="D40" s="127" t="s">
        <v>138</v>
      </c>
      <c r="E40" s="128">
        <v>53053</v>
      </c>
      <c r="F40" s="128">
        <v>53053</v>
      </c>
      <c r="G40" s="129">
        <f t="shared" si="0"/>
        <v>0</v>
      </c>
      <c r="H40" s="130"/>
      <c r="I40" s="133"/>
      <c r="J40" s="171"/>
      <c r="K40" s="127" t="s">
        <v>138</v>
      </c>
      <c r="L40" s="128">
        <v>53053</v>
      </c>
      <c r="M40" s="128">
        <v>53053</v>
      </c>
      <c r="N40" s="129">
        <f t="shared" si="1"/>
        <v>0</v>
      </c>
      <c r="O40" s="130"/>
    </row>
    <row r="41" spans="2:15" x14ac:dyDescent="0.25">
      <c r="B41" s="123"/>
      <c r="C41" s="169">
        <v>20</v>
      </c>
      <c r="D41" s="127" t="s">
        <v>136</v>
      </c>
      <c r="E41" s="128">
        <v>118849</v>
      </c>
      <c r="F41" s="128">
        <v>119121</v>
      </c>
      <c r="G41" s="129">
        <f t="shared" si="0"/>
        <v>272</v>
      </c>
      <c r="H41" s="130"/>
      <c r="I41" s="133"/>
      <c r="J41" s="169">
        <v>20</v>
      </c>
      <c r="K41" s="127" t="s">
        <v>136</v>
      </c>
      <c r="L41" s="128">
        <v>119121</v>
      </c>
      <c r="M41" s="128">
        <v>119626</v>
      </c>
      <c r="N41" s="129">
        <f t="shared" si="1"/>
        <v>505</v>
      </c>
      <c r="O41" s="130"/>
    </row>
    <row r="42" spans="2:15" x14ac:dyDescent="0.25">
      <c r="B42" s="123"/>
      <c r="C42" s="170"/>
      <c r="D42" s="127" t="s">
        <v>137</v>
      </c>
      <c r="E42" s="134">
        <v>69099</v>
      </c>
      <c r="F42" s="134">
        <v>69249</v>
      </c>
      <c r="G42" s="129">
        <f t="shared" si="0"/>
        <v>150</v>
      </c>
      <c r="H42" s="130"/>
      <c r="J42" s="170"/>
      <c r="K42" s="127" t="s">
        <v>137</v>
      </c>
      <c r="L42" s="134">
        <v>69249</v>
      </c>
      <c r="M42" s="134">
        <v>66556</v>
      </c>
      <c r="N42" s="129">
        <f t="shared" si="1"/>
        <v>-2693</v>
      </c>
      <c r="O42" s="130"/>
    </row>
    <row r="43" spans="2:15" x14ac:dyDescent="0.25">
      <c r="B43" s="123"/>
      <c r="C43" s="171"/>
      <c r="D43" s="127" t="s">
        <v>138</v>
      </c>
      <c r="E43" s="128">
        <v>3298</v>
      </c>
      <c r="F43" s="128">
        <v>3298</v>
      </c>
      <c r="G43" s="129">
        <f t="shared" si="0"/>
        <v>0</v>
      </c>
      <c r="H43" s="130"/>
      <c r="J43" s="171"/>
      <c r="K43" s="127" t="s">
        <v>138</v>
      </c>
      <c r="L43" s="128">
        <v>3298</v>
      </c>
      <c r="M43" s="128">
        <v>3312</v>
      </c>
      <c r="N43" s="129">
        <f t="shared" si="1"/>
        <v>14</v>
      </c>
      <c r="O43" s="130"/>
    </row>
    <row r="44" spans="2:15" x14ac:dyDescent="0.25">
      <c r="B44" s="123"/>
      <c r="C44" s="138"/>
      <c r="D44" s="139"/>
      <c r="E44" s="139"/>
      <c r="F44" s="139"/>
      <c r="G44" s="139"/>
      <c r="H44" s="140"/>
      <c r="J44" s="138"/>
      <c r="K44" s="139"/>
      <c r="L44" s="139"/>
      <c r="M44" s="139"/>
      <c r="N44" s="139"/>
      <c r="O44" s="140"/>
    </row>
    <row r="45" spans="2:15" x14ac:dyDescent="0.25">
      <c r="B45" s="123"/>
      <c r="C45" s="169">
        <v>21</v>
      </c>
      <c r="D45" s="141" t="s">
        <v>139</v>
      </c>
      <c r="E45" s="128">
        <v>3468</v>
      </c>
      <c r="F45" s="128">
        <v>3511</v>
      </c>
      <c r="G45" s="129">
        <f t="shared" ref="G45:G50" si="2">F45-E45</f>
        <v>43</v>
      </c>
      <c r="H45" s="131" t="s">
        <v>13</v>
      </c>
      <c r="J45" s="169">
        <v>21</v>
      </c>
      <c r="K45" s="141" t="s">
        <v>139</v>
      </c>
      <c r="L45" s="128">
        <v>3511</v>
      </c>
      <c r="M45" s="128">
        <v>3585</v>
      </c>
      <c r="N45" s="129">
        <f t="shared" si="1"/>
        <v>74</v>
      </c>
      <c r="O45" s="131" t="s">
        <v>13</v>
      </c>
    </row>
    <row r="46" spans="2:15" x14ac:dyDescent="0.25">
      <c r="B46" s="123"/>
      <c r="C46" s="170"/>
      <c r="D46" s="141" t="s">
        <v>138</v>
      </c>
      <c r="E46" s="128">
        <v>38755</v>
      </c>
      <c r="F46" s="128">
        <v>39537</v>
      </c>
      <c r="G46" s="129">
        <f t="shared" si="2"/>
        <v>782</v>
      </c>
      <c r="H46" s="130"/>
      <c r="J46" s="170"/>
      <c r="K46" s="141" t="s">
        <v>138</v>
      </c>
      <c r="L46" s="128">
        <v>39537</v>
      </c>
      <c r="M46" s="128">
        <v>41106</v>
      </c>
      <c r="N46" s="129">
        <f t="shared" si="1"/>
        <v>1569</v>
      </c>
      <c r="O46" s="130"/>
    </row>
    <row r="47" spans="2:15" x14ac:dyDescent="0.25">
      <c r="B47" s="123"/>
      <c r="C47" s="169">
        <v>22</v>
      </c>
      <c r="D47" s="141" t="s">
        <v>139</v>
      </c>
      <c r="E47" s="142">
        <v>13941</v>
      </c>
      <c r="F47" s="142">
        <v>13941</v>
      </c>
      <c r="G47" s="129">
        <f t="shared" si="2"/>
        <v>0</v>
      </c>
      <c r="H47" s="130"/>
      <c r="I47" t="s">
        <v>13</v>
      </c>
      <c r="J47" s="169">
        <v>22</v>
      </c>
      <c r="K47" s="141" t="s">
        <v>139</v>
      </c>
      <c r="L47" s="142">
        <v>13941</v>
      </c>
      <c r="M47" s="142">
        <v>13642</v>
      </c>
      <c r="N47" s="129">
        <f t="shared" si="1"/>
        <v>-299</v>
      </c>
      <c r="O47" s="130"/>
    </row>
    <row r="48" spans="2:15" x14ac:dyDescent="0.25">
      <c r="B48" s="123"/>
      <c r="C48" s="170"/>
      <c r="D48" s="141" t="s">
        <v>138</v>
      </c>
      <c r="E48" s="142">
        <v>19792</v>
      </c>
      <c r="F48" s="142">
        <v>19942</v>
      </c>
      <c r="G48" s="129">
        <f t="shared" si="2"/>
        <v>150</v>
      </c>
      <c r="H48" s="130"/>
      <c r="J48" s="170"/>
      <c r="K48" s="141" t="s">
        <v>138</v>
      </c>
      <c r="L48" s="142">
        <v>19942</v>
      </c>
      <c r="M48" s="142">
        <v>20213</v>
      </c>
      <c r="N48" s="129">
        <f t="shared" si="1"/>
        <v>271</v>
      </c>
      <c r="O48" s="130"/>
    </row>
    <row r="49" spans="1:15" x14ac:dyDescent="0.25">
      <c r="B49" s="123"/>
      <c r="C49" s="169">
        <v>23</v>
      </c>
      <c r="D49" s="127" t="s">
        <v>139</v>
      </c>
      <c r="E49" s="142"/>
      <c r="F49" s="142"/>
      <c r="G49" s="129">
        <f t="shared" si="2"/>
        <v>0</v>
      </c>
      <c r="H49" s="130"/>
      <c r="J49" s="169">
        <v>23</v>
      </c>
      <c r="K49" s="127" t="s">
        <v>139</v>
      </c>
      <c r="L49" s="142"/>
      <c r="M49" s="142"/>
      <c r="N49" s="129">
        <f t="shared" si="1"/>
        <v>0</v>
      </c>
      <c r="O49" s="130"/>
    </row>
    <row r="50" spans="1:15" x14ac:dyDescent="0.25">
      <c r="B50" s="123"/>
      <c r="C50" s="170"/>
      <c r="D50" s="127" t="s">
        <v>138</v>
      </c>
      <c r="E50" s="142"/>
      <c r="F50" s="142"/>
      <c r="G50" s="129">
        <f t="shared" si="2"/>
        <v>0</v>
      </c>
      <c r="H50" s="130"/>
      <c r="J50" s="170"/>
      <c r="K50" s="127" t="s">
        <v>138</v>
      </c>
      <c r="L50" s="142"/>
      <c r="M50" s="142"/>
      <c r="N50" s="129">
        <f t="shared" si="1"/>
        <v>0</v>
      </c>
      <c r="O50" s="130"/>
    </row>
    <row r="51" spans="1:15" x14ac:dyDescent="0.25">
      <c r="B51" s="123"/>
      <c r="C51" s="143"/>
      <c r="D51" s="139"/>
      <c r="E51" s="144"/>
      <c r="F51" s="144"/>
      <c r="G51" s="144"/>
      <c r="H51" s="140"/>
      <c r="J51" s="143"/>
      <c r="K51" s="139"/>
      <c r="L51" s="144"/>
      <c r="M51" s="144"/>
      <c r="N51" s="144"/>
      <c r="O51" s="140"/>
    </row>
    <row r="52" spans="1:15" x14ac:dyDescent="0.25">
      <c r="B52" s="123"/>
      <c r="C52" s="172">
        <v>24</v>
      </c>
      <c r="D52" s="127" t="s">
        <v>140</v>
      </c>
      <c r="E52" s="134">
        <v>242334</v>
      </c>
      <c r="F52" s="134">
        <v>243404</v>
      </c>
      <c r="G52" s="129">
        <f t="shared" ref="G52:G60" si="3">F52-E52</f>
        <v>1070</v>
      </c>
      <c r="H52" s="145"/>
      <c r="J52" s="172">
        <v>24</v>
      </c>
      <c r="K52" s="127" t="s">
        <v>140</v>
      </c>
      <c r="L52" s="134">
        <v>243404</v>
      </c>
      <c r="M52" s="134">
        <v>245344</v>
      </c>
      <c r="N52" s="129">
        <f t="shared" si="1"/>
        <v>1940</v>
      </c>
      <c r="O52" s="145"/>
    </row>
    <row r="53" spans="1:15" x14ac:dyDescent="0.25">
      <c r="B53" s="123"/>
      <c r="C53" s="173"/>
      <c r="D53" s="127" t="s">
        <v>141</v>
      </c>
      <c r="E53" s="134">
        <v>536218</v>
      </c>
      <c r="F53" s="134">
        <v>536689</v>
      </c>
      <c r="G53" s="129">
        <f t="shared" si="3"/>
        <v>471</v>
      </c>
      <c r="H53" s="137"/>
      <c r="J53" s="173"/>
      <c r="K53" s="127" t="s">
        <v>141</v>
      </c>
      <c r="L53" s="134">
        <v>536689</v>
      </c>
      <c r="M53" s="134">
        <v>237646</v>
      </c>
      <c r="N53" s="129">
        <f t="shared" si="1"/>
        <v>-299043</v>
      </c>
      <c r="O53" s="137"/>
    </row>
    <row r="54" spans="1:15" x14ac:dyDescent="0.25">
      <c r="B54" s="123"/>
      <c r="C54" s="174"/>
      <c r="D54" s="127" t="s">
        <v>140</v>
      </c>
      <c r="E54" s="134">
        <v>34567</v>
      </c>
      <c r="F54" s="134">
        <v>34567</v>
      </c>
      <c r="G54" s="129">
        <f t="shared" si="3"/>
        <v>0</v>
      </c>
      <c r="H54" s="146" t="s">
        <v>13</v>
      </c>
      <c r="J54" s="174"/>
      <c r="K54" s="127" t="s">
        <v>140</v>
      </c>
      <c r="L54" s="134">
        <v>34567</v>
      </c>
      <c r="M54" s="134">
        <v>34557</v>
      </c>
      <c r="N54" s="129">
        <f t="shared" si="1"/>
        <v>-10</v>
      </c>
      <c r="O54" s="146" t="s">
        <v>13</v>
      </c>
    </row>
    <row r="55" spans="1:15" x14ac:dyDescent="0.25">
      <c r="B55" s="123"/>
      <c r="C55" s="169">
        <v>25</v>
      </c>
      <c r="D55" s="127" t="s">
        <v>140</v>
      </c>
      <c r="E55" s="142">
        <v>330</v>
      </c>
      <c r="F55" s="142">
        <v>330</v>
      </c>
      <c r="G55" s="129">
        <f t="shared" si="3"/>
        <v>0</v>
      </c>
      <c r="H55" s="130"/>
      <c r="J55" s="169">
        <v>25</v>
      </c>
      <c r="K55" s="127" t="s">
        <v>140</v>
      </c>
      <c r="L55" s="142">
        <v>330</v>
      </c>
      <c r="M55" s="142">
        <v>330</v>
      </c>
      <c r="N55" s="129">
        <f t="shared" si="1"/>
        <v>0</v>
      </c>
      <c r="O55" s="130"/>
    </row>
    <row r="56" spans="1:15" x14ac:dyDescent="0.25">
      <c r="B56" s="123"/>
      <c r="C56" s="171"/>
      <c r="D56" s="127" t="s">
        <v>141</v>
      </c>
      <c r="E56" s="142">
        <v>3</v>
      </c>
      <c r="F56" s="142">
        <v>3</v>
      </c>
      <c r="G56" s="129">
        <f t="shared" si="3"/>
        <v>0</v>
      </c>
      <c r="H56" s="130"/>
      <c r="J56" s="171"/>
      <c r="K56" s="127" t="s">
        <v>141</v>
      </c>
      <c r="L56" s="142">
        <v>3</v>
      </c>
      <c r="M56" s="142">
        <v>3</v>
      </c>
      <c r="N56" s="129">
        <f t="shared" si="1"/>
        <v>0</v>
      </c>
      <c r="O56" s="130"/>
    </row>
    <row r="57" spans="1:15" x14ac:dyDescent="0.25">
      <c r="B57" s="123"/>
      <c r="C57" s="169">
        <v>26</v>
      </c>
      <c r="D57" s="127" t="s">
        <v>140</v>
      </c>
      <c r="E57" s="128">
        <v>706781</v>
      </c>
      <c r="F57" s="128">
        <v>709819</v>
      </c>
      <c r="G57" s="129">
        <f t="shared" si="3"/>
        <v>3038</v>
      </c>
      <c r="H57" s="130"/>
      <c r="J57" s="169">
        <v>26</v>
      </c>
      <c r="K57" s="127" t="s">
        <v>140</v>
      </c>
      <c r="L57" s="128">
        <v>709819</v>
      </c>
      <c r="M57" s="128">
        <v>716183</v>
      </c>
      <c r="N57" s="129">
        <f t="shared" si="1"/>
        <v>6364</v>
      </c>
      <c r="O57" s="130"/>
    </row>
    <row r="58" spans="1:15" x14ac:dyDescent="0.25">
      <c r="A58" s="133"/>
      <c r="B58" s="123"/>
      <c r="C58" s="171"/>
      <c r="D58" s="127" t="s">
        <v>141</v>
      </c>
      <c r="E58" s="128">
        <v>775701</v>
      </c>
      <c r="F58" s="128">
        <v>779269</v>
      </c>
      <c r="G58" s="129">
        <f t="shared" si="3"/>
        <v>3568</v>
      </c>
      <c r="H58" s="137"/>
      <c r="I58" s="133"/>
      <c r="J58" s="171"/>
      <c r="K58" s="127" t="s">
        <v>141</v>
      </c>
      <c r="L58" s="128">
        <v>779269</v>
      </c>
      <c r="M58" s="128">
        <v>786793</v>
      </c>
      <c r="N58" s="129">
        <f t="shared" si="1"/>
        <v>7524</v>
      </c>
      <c r="O58" s="137"/>
    </row>
    <row r="59" spans="1:15" x14ac:dyDescent="0.25">
      <c r="A59" s="133"/>
      <c r="B59" s="123"/>
      <c r="C59" s="169">
        <v>27</v>
      </c>
      <c r="D59" s="127" t="s">
        <v>140</v>
      </c>
      <c r="E59" s="128">
        <v>239540</v>
      </c>
      <c r="F59" s="128">
        <v>240561</v>
      </c>
      <c r="G59" s="129">
        <f t="shared" si="3"/>
        <v>1021</v>
      </c>
      <c r="H59" s="130"/>
      <c r="I59" s="133"/>
      <c r="J59" s="169">
        <v>27</v>
      </c>
      <c r="K59" s="127" t="s">
        <v>140</v>
      </c>
      <c r="L59" s="128">
        <v>240561</v>
      </c>
      <c r="M59" s="128">
        <v>242888</v>
      </c>
      <c r="N59" s="129">
        <f t="shared" si="1"/>
        <v>2327</v>
      </c>
      <c r="O59" s="130"/>
    </row>
    <row r="60" spans="1:15" x14ac:dyDescent="0.25">
      <c r="A60" s="133"/>
      <c r="B60" s="123"/>
      <c r="C60" s="171"/>
      <c r="D60" s="127" t="s">
        <v>141</v>
      </c>
      <c r="E60" s="128">
        <v>99246</v>
      </c>
      <c r="F60" s="128">
        <v>100967</v>
      </c>
      <c r="G60" s="129">
        <f t="shared" si="3"/>
        <v>1721</v>
      </c>
      <c r="H60" s="130"/>
      <c r="I60" s="133"/>
      <c r="J60" s="171"/>
      <c r="K60" s="127" t="s">
        <v>141</v>
      </c>
      <c r="L60" s="128">
        <v>100967</v>
      </c>
      <c r="M60" s="128">
        <v>102293</v>
      </c>
      <c r="N60" s="129">
        <f t="shared" si="1"/>
        <v>1326</v>
      </c>
      <c r="O60" s="130"/>
    </row>
    <row r="61" spans="1:15" x14ac:dyDescent="0.25">
      <c r="A61" s="133"/>
      <c r="B61" s="123"/>
      <c r="C61" s="138"/>
      <c r="D61" s="139"/>
      <c r="E61" s="128"/>
      <c r="F61" s="128"/>
      <c r="G61" s="147"/>
      <c r="H61" s="140"/>
      <c r="I61" s="133"/>
      <c r="J61" s="138"/>
      <c r="K61" s="139"/>
      <c r="L61" s="128"/>
      <c r="M61" s="128"/>
      <c r="N61" s="147"/>
      <c r="O61" s="140"/>
    </row>
    <row r="62" spans="1:15" x14ac:dyDescent="0.25">
      <c r="A62" s="133"/>
      <c r="B62" s="123"/>
      <c r="C62" s="169">
        <v>28</v>
      </c>
      <c r="D62" s="177" t="s">
        <v>142</v>
      </c>
      <c r="E62" s="128"/>
      <c r="F62" s="128"/>
      <c r="G62" s="129"/>
      <c r="H62" s="175" t="s">
        <v>143</v>
      </c>
      <c r="I62" s="133"/>
      <c r="J62" s="169">
        <v>28</v>
      </c>
      <c r="K62" s="177" t="s">
        <v>142</v>
      </c>
      <c r="L62" s="128"/>
      <c r="M62" s="128"/>
      <c r="N62" s="129"/>
      <c r="O62" s="175" t="s">
        <v>143</v>
      </c>
    </row>
    <row r="63" spans="1:15" x14ac:dyDescent="0.25">
      <c r="A63" s="133"/>
      <c r="B63" s="123"/>
      <c r="C63" s="171"/>
      <c r="D63" s="178"/>
      <c r="E63" s="128"/>
      <c r="F63" s="128"/>
      <c r="G63" s="129"/>
      <c r="H63" s="176"/>
      <c r="I63" s="133"/>
      <c r="J63" s="171"/>
      <c r="K63" s="178"/>
      <c r="L63" s="128"/>
      <c r="M63" s="128"/>
      <c r="N63" s="129"/>
      <c r="O63" s="176"/>
    </row>
    <row r="64" spans="1:15" x14ac:dyDescent="0.25">
      <c r="A64" s="133"/>
      <c r="B64" s="123"/>
      <c r="C64" s="179" t="s">
        <v>144</v>
      </c>
      <c r="D64" s="179"/>
      <c r="E64" s="179"/>
      <c r="F64" s="179"/>
      <c r="G64" s="148">
        <f>SUM(G2:G63)</f>
        <v>28925</v>
      </c>
      <c r="H64" s="149"/>
      <c r="I64" s="133"/>
      <c r="J64" s="179" t="s">
        <v>144</v>
      </c>
      <c r="K64" s="179"/>
      <c r="L64" s="179"/>
      <c r="M64" s="179"/>
      <c r="N64" s="148">
        <f>SUM(N2:N63)</f>
        <v>-202363</v>
      </c>
      <c r="O64" s="149"/>
    </row>
    <row r="68" spans="1:15" ht="15.75" thickBot="1" x14ac:dyDescent="0.3">
      <c r="A68" s="150"/>
      <c r="B68" s="150"/>
      <c r="C68" s="150"/>
      <c r="D68" s="151" t="s">
        <v>13</v>
      </c>
      <c r="E68" s="150"/>
      <c r="F68" s="150"/>
      <c r="G68" s="150"/>
      <c r="H68" s="150"/>
    </row>
    <row r="69" spans="1:15" ht="15.75" thickBot="1" x14ac:dyDescent="0.3">
      <c r="A69" s="152"/>
      <c r="B69" s="180">
        <v>44409</v>
      </c>
      <c r="C69" s="181"/>
      <c r="D69" s="181"/>
      <c r="E69" s="182"/>
      <c r="F69" s="152"/>
      <c r="G69" s="180">
        <v>44470</v>
      </c>
      <c r="H69" s="181"/>
      <c r="I69" s="181"/>
      <c r="J69" s="182"/>
      <c r="K69" s="152"/>
      <c r="L69" s="183" t="s">
        <v>55</v>
      </c>
      <c r="M69" s="184"/>
      <c r="N69" s="184"/>
      <c r="O69" s="185"/>
    </row>
    <row r="70" spans="1:15" ht="15.75" thickBot="1" x14ac:dyDescent="0.3">
      <c r="A70" s="150"/>
      <c r="B70" s="153" t="s">
        <v>145</v>
      </c>
      <c r="C70" s="153">
        <v>30</v>
      </c>
      <c r="D70" s="153" t="s">
        <v>146</v>
      </c>
      <c r="E70" s="153" t="s">
        <v>147</v>
      </c>
      <c r="F70" s="150"/>
      <c r="G70" s="153" t="s">
        <v>145</v>
      </c>
      <c r="H70" s="153">
        <v>30</v>
      </c>
      <c r="I70" s="153" t="s">
        <v>146</v>
      </c>
      <c r="J70" s="153" t="s">
        <v>147</v>
      </c>
      <c r="K70" s="150"/>
      <c r="L70" s="154" t="s">
        <v>129</v>
      </c>
      <c r="M70" s="154">
        <v>30</v>
      </c>
      <c r="N70" s="154" t="s">
        <v>146</v>
      </c>
      <c r="O70" s="154" t="s">
        <v>147</v>
      </c>
    </row>
    <row r="71" spans="1:15" ht="15.75" thickBot="1" x14ac:dyDescent="0.3">
      <c r="A71" s="150"/>
      <c r="B71" s="155">
        <v>6</v>
      </c>
      <c r="C71" s="156">
        <v>92813</v>
      </c>
      <c r="D71" s="157">
        <v>56584</v>
      </c>
      <c r="E71" s="158">
        <v>78901</v>
      </c>
      <c r="F71" s="150"/>
      <c r="G71" s="155">
        <v>6</v>
      </c>
      <c r="H71" s="156">
        <v>92813</v>
      </c>
      <c r="I71" s="157">
        <v>56584</v>
      </c>
      <c r="J71" s="158">
        <v>78901</v>
      </c>
      <c r="K71" s="150"/>
      <c r="L71" s="154">
        <v>6</v>
      </c>
      <c r="M71" s="159">
        <f>H71-C71</f>
        <v>0</v>
      </c>
      <c r="N71" s="159">
        <f>I71-D71</f>
        <v>0</v>
      </c>
      <c r="O71" s="159">
        <f>J71-E71</f>
        <v>0</v>
      </c>
    </row>
    <row r="72" spans="1:15" ht="15.75" thickBot="1" x14ac:dyDescent="0.3">
      <c r="A72" s="150"/>
      <c r="B72" s="155">
        <v>7</v>
      </c>
      <c r="C72" s="156">
        <v>97400</v>
      </c>
      <c r="D72" s="157">
        <v>104249</v>
      </c>
      <c r="E72" s="158">
        <v>64322</v>
      </c>
      <c r="F72" s="150"/>
      <c r="G72" s="155">
        <v>7</v>
      </c>
      <c r="H72" s="156">
        <v>97400</v>
      </c>
      <c r="I72" s="157">
        <v>104249</v>
      </c>
      <c r="J72" s="158">
        <v>64322</v>
      </c>
      <c r="K72" s="150"/>
      <c r="L72" s="154">
        <v>7</v>
      </c>
      <c r="M72" s="159">
        <f t="shared" ref="M72:O94" si="4">H72-C72</f>
        <v>0</v>
      </c>
      <c r="N72" s="159">
        <f t="shared" si="4"/>
        <v>0</v>
      </c>
      <c r="O72" s="159">
        <f t="shared" si="4"/>
        <v>0</v>
      </c>
    </row>
    <row r="73" spans="1:15" ht="15.75" thickBot="1" x14ac:dyDescent="0.3">
      <c r="A73" s="150"/>
      <c r="B73" s="155">
        <v>8</v>
      </c>
      <c r="C73" s="156">
        <v>113302</v>
      </c>
      <c r="D73" s="157">
        <v>251904</v>
      </c>
      <c r="E73" s="158">
        <v>109334</v>
      </c>
      <c r="F73" s="150"/>
      <c r="G73" s="155">
        <v>8</v>
      </c>
      <c r="H73" s="156">
        <v>113302</v>
      </c>
      <c r="I73" s="157">
        <v>251904</v>
      </c>
      <c r="J73" s="158">
        <v>109334</v>
      </c>
      <c r="K73" s="150"/>
      <c r="L73" s="154">
        <v>8</v>
      </c>
      <c r="M73" s="159">
        <f t="shared" si="4"/>
        <v>0</v>
      </c>
      <c r="N73" s="159">
        <f t="shared" si="4"/>
        <v>0</v>
      </c>
      <c r="O73" s="159">
        <f t="shared" si="4"/>
        <v>0</v>
      </c>
    </row>
    <row r="74" spans="1:15" ht="15.75" thickBot="1" x14ac:dyDescent="0.3">
      <c r="A74" s="150"/>
      <c r="B74" s="155">
        <v>9</v>
      </c>
      <c r="C74" s="156">
        <v>68757</v>
      </c>
      <c r="D74" s="157">
        <v>152765</v>
      </c>
      <c r="E74" s="158">
        <v>155974</v>
      </c>
      <c r="F74" s="150"/>
      <c r="G74" s="155">
        <v>9</v>
      </c>
      <c r="H74" s="156">
        <v>68757</v>
      </c>
      <c r="I74" s="157">
        <v>152765</v>
      </c>
      <c r="J74" s="158">
        <v>155974</v>
      </c>
      <c r="K74" s="150"/>
      <c r="L74" s="154">
        <v>9</v>
      </c>
      <c r="M74" s="159">
        <f t="shared" si="4"/>
        <v>0</v>
      </c>
      <c r="N74" s="159">
        <f t="shared" si="4"/>
        <v>0</v>
      </c>
      <c r="O74" s="159">
        <f t="shared" si="4"/>
        <v>0</v>
      </c>
    </row>
    <row r="75" spans="1:15" ht="15.75" thickBot="1" x14ac:dyDescent="0.3">
      <c r="A75" s="150"/>
      <c r="B75" s="155">
        <v>10</v>
      </c>
      <c r="C75" s="156">
        <v>72174</v>
      </c>
      <c r="D75" s="157">
        <v>113714</v>
      </c>
      <c r="E75" s="158">
        <v>147690</v>
      </c>
      <c r="F75" s="150"/>
      <c r="G75" s="155">
        <v>10</v>
      </c>
      <c r="H75" s="156">
        <v>72174</v>
      </c>
      <c r="I75" s="157">
        <v>113714</v>
      </c>
      <c r="J75" s="158">
        <v>147690</v>
      </c>
      <c r="K75" s="150"/>
      <c r="L75" s="154">
        <v>10</v>
      </c>
      <c r="M75" s="159">
        <f t="shared" si="4"/>
        <v>0</v>
      </c>
      <c r="N75" s="159">
        <f t="shared" si="4"/>
        <v>0</v>
      </c>
      <c r="O75" s="159">
        <f t="shared" si="4"/>
        <v>0</v>
      </c>
    </row>
    <row r="76" spans="1:15" ht="15.75" thickBot="1" x14ac:dyDescent="0.3">
      <c r="A76" s="150"/>
      <c r="B76" s="155">
        <v>11</v>
      </c>
      <c r="C76" s="156">
        <v>154783</v>
      </c>
      <c r="D76" s="157">
        <v>184017</v>
      </c>
      <c r="E76" s="158">
        <v>212196</v>
      </c>
      <c r="F76" s="150"/>
      <c r="G76" s="155">
        <v>11</v>
      </c>
      <c r="H76" s="156">
        <v>154783</v>
      </c>
      <c r="I76" s="157">
        <v>184017</v>
      </c>
      <c r="J76" s="158">
        <v>212196</v>
      </c>
      <c r="K76" s="150"/>
      <c r="L76" s="154">
        <v>11</v>
      </c>
      <c r="M76" s="159">
        <f t="shared" si="4"/>
        <v>0</v>
      </c>
      <c r="N76" s="159">
        <f t="shared" si="4"/>
        <v>0</v>
      </c>
      <c r="O76" s="159">
        <f t="shared" si="4"/>
        <v>0</v>
      </c>
    </row>
    <row r="77" spans="1:15" ht="15.75" thickBot="1" x14ac:dyDescent="0.3">
      <c r="A77" s="150"/>
      <c r="B77" s="155">
        <v>12</v>
      </c>
      <c r="C77" s="156">
        <v>149996</v>
      </c>
      <c r="D77" s="157">
        <v>96553</v>
      </c>
      <c r="E77" s="158">
        <v>100449</v>
      </c>
      <c r="F77" s="150"/>
      <c r="G77" s="155">
        <v>12</v>
      </c>
      <c r="H77" s="156">
        <v>149996</v>
      </c>
      <c r="I77" s="157">
        <v>96553</v>
      </c>
      <c r="J77" s="158">
        <v>100449</v>
      </c>
      <c r="K77" s="150"/>
      <c r="L77" s="154">
        <v>12</v>
      </c>
      <c r="M77" s="159">
        <f t="shared" si="4"/>
        <v>0</v>
      </c>
      <c r="N77" s="159">
        <f>I77-D77</f>
        <v>0</v>
      </c>
      <c r="O77" s="159">
        <f t="shared" si="4"/>
        <v>0</v>
      </c>
    </row>
    <row r="78" spans="1:15" ht="15.75" thickBot="1" x14ac:dyDescent="0.3">
      <c r="A78" s="150"/>
      <c r="B78" s="155">
        <v>14</v>
      </c>
      <c r="C78" s="156">
        <v>123669</v>
      </c>
      <c r="D78" s="157">
        <v>48259</v>
      </c>
      <c r="E78" s="158">
        <v>51167</v>
      </c>
      <c r="F78" s="150"/>
      <c r="G78" s="155">
        <v>14</v>
      </c>
      <c r="H78" s="156">
        <v>123669</v>
      </c>
      <c r="I78" s="157">
        <v>48259</v>
      </c>
      <c r="J78" s="158">
        <v>51167</v>
      </c>
      <c r="K78" s="150"/>
      <c r="L78" s="154">
        <v>14</v>
      </c>
      <c r="M78" s="159">
        <f t="shared" si="4"/>
        <v>0</v>
      </c>
      <c r="N78" s="159">
        <f t="shared" si="4"/>
        <v>0</v>
      </c>
      <c r="O78" s="159">
        <f t="shared" si="4"/>
        <v>0</v>
      </c>
    </row>
    <row r="79" spans="1:15" ht="15.75" thickBot="1" x14ac:dyDescent="0.3">
      <c r="A79" s="150"/>
      <c r="B79" s="155">
        <v>15</v>
      </c>
      <c r="C79" s="156">
        <v>169635</v>
      </c>
      <c r="D79" s="157">
        <v>148519</v>
      </c>
      <c r="E79" s="158">
        <v>158828</v>
      </c>
      <c r="F79" s="150"/>
      <c r="G79" s="155">
        <v>15</v>
      </c>
      <c r="H79" s="156">
        <v>169635</v>
      </c>
      <c r="I79" s="157">
        <v>148519</v>
      </c>
      <c r="J79" s="158">
        <v>158828</v>
      </c>
      <c r="K79" s="150"/>
      <c r="L79" s="154">
        <v>15</v>
      </c>
      <c r="M79" s="159">
        <f t="shared" si="4"/>
        <v>0</v>
      </c>
      <c r="N79" s="159">
        <f t="shared" si="4"/>
        <v>0</v>
      </c>
      <c r="O79" s="159">
        <f t="shared" si="4"/>
        <v>0</v>
      </c>
    </row>
    <row r="80" spans="1:15" ht="15.75" thickBot="1" x14ac:dyDescent="0.3">
      <c r="A80" s="150"/>
      <c r="B80" s="155">
        <v>16</v>
      </c>
      <c r="C80" s="156">
        <v>122562</v>
      </c>
      <c r="D80" s="157">
        <v>147878</v>
      </c>
      <c r="E80" s="158">
        <v>216460</v>
      </c>
      <c r="F80" s="150"/>
      <c r="G80" s="155">
        <v>16</v>
      </c>
      <c r="H80" s="156">
        <v>122562</v>
      </c>
      <c r="I80" s="157">
        <v>147878</v>
      </c>
      <c r="J80" s="158">
        <v>216460</v>
      </c>
      <c r="K80" s="150"/>
      <c r="L80" s="154">
        <v>16</v>
      </c>
      <c r="M80" s="159">
        <f t="shared" si="4"/>
        <v>0</v>
      </c>
      <c r="N80" s="159">
        <f t="shared" si="4"/>
        <v>0</v>
      </c>
      <c r="O80" s="159">
        <f t="shared" si="4"/>
        <v>0</v>
      </c>
    </row>
    <row r="81" spans="1:15" ht="15.75" thickBot="1" x14ac:dyDescent="0.3">
      <c r="A81" s="150"/>
      <c r="B81" s="155">
        <v>17</v>
      </c>
      <c r="C81" s="156">
        <v>38476</v>
      </c>
      <c r="D81" s="157">
        <v>86216</v>
      </c>
      <c r="E81" s="158">
        <v>202489</v>
      </c>
      <c r="F81" s="150"/>
      <c r="G81" s="155">
        <v>17</v>
      </c>
      <c r="H81" s="156">
        <v>38476</v>
      </c>
      <c r="I81" s="157">
        <v>86216</v>
      </c>
      <c r="J81" s="158">
        <v>202489</v>
      </c>
      <c r="K81" s="150"/>
      <c r="L81" s="154">
        <v>17</v>
      </c>
      <c r="M81" s="159">
        <f t="shared" si="4"/>
        <v>0</v>
      </c>
      <c r="N81" s="159">
        <f t="shared" si="4"/>
        <v>0</v>
      </c>
      <c r="O81" s="159">
        <f t="shared" si="4"/>
        <v>0</v>
      </c>
    </row>
    <row r="82" spans="1:15" ht="15.75" thickBot="1" x14ac:dyDescent="0.3">
      <c r="A82" s="150"/>
      <c r="B82" s="155">
        <v>18</v>
      </c>
      <c r="C82" s="156">
        <v>137474</v>
      </c>
      <c r="D82" s="157">
        <v>72899</v>
      </c>
      <c r="E82" s="158">
        <v>164019</v>
      </c>
      <c r="F82" s="150"/>
      <c r="G82" s="155">
        <v>18</v>
      </c>
      <c r="H82" s="156">
        <v>137474</v>
      </c>
      <c r="I82" s="157">
        <v>72899</v>
      </c>
      <c r="J82" s="158">
        <v>164019</v>
      </c>
      <c r="K82" s="150"/>
      <c r="L82" s="154">
        <v>18</v>
      </c>
      <c r="M82" s="159">
        <f t="shared" si="4"/>
        <v>0</v>
      </c>
      <c r="N82" s="159">
        <f t="shared" si="4"/>
        <v>0</v>
      </c>
      <c r="O82" s="159">
        <f t="shared" si="4"/>
        <v>0</v>
      </c>
    </row>
    <row r="83" spans="1:15" ht="15.75" thickBot="1" x14ac:dyDescent="0.3">
      <c r="A83" s="150"/>
      <c r="B83" s="155">
        <v>19</v>
      </c>
      <c r="C83" s="156">
        <v>76648</v>
      </c>
      <c r="D83" s="157">
        <v>171894</v>
      </c>
      <c r="E83" s="158">
        <v>123189</v>
      </c>
      <c r="F83" s="150"/>
      <c r="G83" s="155">
        <v>19</v>
      </c>
      <c r="H83" s="156">
        <v>76648</v>
      </c>
      <c r="I83" s="157">
        <v>171894</v>
      </c>
      <c r="J83" s="158">
        <v>123189</v>
      </c>
      <c r="K83" s="150"/>
      <c r="L83" s="154">
        <v>19</v>
      </c>
      <c r="M83" s="159">
        <f t="shared" si="4"/>
        <v>0</v>
      </c>
      <c r="N83" s="159">
        <f t="shared" si="4"/>
        <v>0</v>
      </c>
      <c r="O83" s="159">
        <f t="shared" si="4"/>
        <v>0</v>
      </c>
    </row>
    <row r="84" spans="1:15" ht="15.75" thickBot="1" x14ac:dyDescent="0.3">
      <c r="A84" s="150"/>
      <c r="B84" s="155">
        <v>20</v>
      </c>
      <c r="C84" s="156">
        <v>144145</v>
      </c>
      <c r="D84" s="157">
        <v>174846</v>
      </c>
      <c r="E84" s="158">
        <v>88296</v>
      </c>
      <c r="F84" s="150"/>
      <c r="G84" s="155">
        <v>20</v>
      </c>
      <c r="H84" s="156">
        <v>144145</v>
      </c>
      <c r="I84" s="157">
        <v>174846</v>
      </c>
      <c r="J84" s="158">
        <v>88296</v>
      </c>
      <c r="K84" s="150"/>
      <c r="L84" s="154">
        <v>20</v>
      </c>
      <c r="M84" s="159">
        <f>H84-C84</f>
        <v>0</v>
      </c>
      <c r="N84" s="159">
        <f t="shared" si="4"/>
        <v>0</v>
      </c>
      <c r="O84" s="159">
        <f t="shared" si="4"/>
        <v>0</v>
      </c>
    </row>
    <row r="85" spans="1:15" ht="15.75" thickBot="1" x14ac:dyDescent="0.3">
      <c r="A85" s="150"/>
      <c r="B85" s="155">
        <v>21</v>
      </c>
      <c r="C85" s="156">
        <v>192087</v>
      </c>
      <c r="D85" s="157">
        <v>89374</v>
      </c>
      <c r="E85" s="158">
        <v>113214</v>
      </c>
      <c r="F85" s="150"/>
      <c r="G85" s="155">
        <v>21</v>
      </c>
      <c r="H85" s="156">
        <v>192087</v>
      </c>
      <c r="I85" s="157">
        <v>89374</v>
      </c>
      <c r="J85" s="158">
        <v>113214</v>
      </c>
      <c r="K85" s="150"/>
      <c r="L85" s="154">
        <v>21</v>
      </c>
      <c r="M85" s="159">
        <f t="shared" si="4"/>
        <v>0</v>
      </c>
      <c r="N85" s="159">
        <f t="shared" si="4"/>
        <v>0</v>
      </c>
      <c r="O85" s="159">
        <f t="shared" si="4"/>
        <v>0</v>
      </c>
    </row>
    <row r="86" spans="1:15" ht="15.75" thickBot="1" x14ac:dyDescent="0.3">
      <c r="A86" s="150"/>
      <c r="B86" s="155">
        <v>22</v>
      </c>
      <c r="C86" s="156">
        <v>137553</v>
      </c>
      <c r="D86" s="157">
        <v>94869</v>
      </c>
      <c r="E86" s="158">
        <v>120503</v>
      </c>
      <c r="F86" s="150"/>
      <c r="G86" s="155">
        <v>22</v>
      </c>
      <c r="H86" s="156">
        <v>137553</v>
      </c>
      <c r="I86" s="157">
        <v>94869</v>
      </c>
      <c r="J86" s="158">
        <v>120503</v>
      </c>
      <c r="K86" s="150"/>
      <c r="L86" s="154">
        <v>22</v>
      </c>
      <c r="M86" s="159">
        <f t="shared" si="4"/>
        <v>0</v>
      </c>
      <c r="N86" s="159">
        <f t="shared" si="4"/>
        <v>0</v>
      </c>
      <c r="O86" s="159">
        <f t="shared" si="4"/>
        <v>0</v>
      </c>
    </row>
    <row r="87" spans="1:15" ht="15.75" thickBot="1" x14ac:dyDescent="0.3">
      <c r="A87" s="150"/>
      <c r="B87" s="155">
        <v>23</v>
      </c>
      <c r="C87" s="156">
        <v>127540</v>
      </c>
      <c r="D87" s="157">
        <v>154958</v>
      </c>
      <c r="E87" s="158">
        <v>290053</v>
      </c>
      <c r="F87" s="150"/>
      <c r="G87" s="155">
        <v>23</v>
      </c>
      <c r="H87" s="156">
        <v>127540</v>
      </c>
      <c r="I87" s="157">
        <v>154958</v>
      </c>
      <c r="J87" s="158">
        <v>290053</v>
      </c>
      <c r="K87" s="150"/>
      <c r="L87" s="154">
        <v>23</v>
      </c>
      <c r="M87" s="159">
        <f t="shared" si="4"/>
        <v>0</v>
      </c>
      <c r="N87" s="159">
        <f t="shared" si="4"/>
        <v>0</v>
      </c>
      <c r="O87" s="159">
        <f t="shared" si="4"/>
        <v>0</v>
      </c>
    </row>
    <row r="88" spans="1:15" ht="15.75" thickBot="1" x14ac:dyDescent="0.3">
      <c r="A88" s="150"/>
      <c r="B88" s="155">
        <v>24</v>
      </c>
      <c r="C88" s="156">
        <v>78785</v>
      </c>
      <c r="D88" s="157">
        <v>151027</v>
      </c>
      <c r="E88" s="158">
        <v>101545</v>
      </c>
      <c r="F88" s="150"/>
      <c r="G88" s="155">
        <v>24</v>
      </c>
      <c r="H88" s="156">
        <v>78785</v>
      </c>
      <c r="I88" s="157">
        <v>151027</v>
      </c>
      <c r="J88" s="158">
        <v>101545</v>
      </c>
      <c r="K88" s="150"/>
      <c r="L88" s="154">
        <v>24</v>
      </c>
      <c r="M88" s="159">
        <f t="shared" si="4"/>
        <v>0</v>
      </c>
      <c r="N88" s="159">
        <f t="shared" si="4"/>
        <v>0</v>
      </c>
      <c r="O88" s="159">
        <f>J88-E88</f>
        <v>0</v>
      </c>
    </row>
    <row r="89" spans="1:15" ht="15.75" thickBot="1" x14ac:dyDescent="0.3">
      <c r="A89" s="150"/>
      <c r="B89" s="155">
        <v>25</v>
      </c>
      <c r="C89" s="156">
        <v>120977</v>
      </c>
      <c r="D89" s="157">
        <v>179891</v>
      </c>
      <c r="E89" s="158">
        <v>162144</v>
      </c>
      <c r="F89" s="150"/>
      <c r="G89" s="155">
        <v>25</v>
      </c>
      <c r="H89" s="156">
        <v>120977</v>
      </c>
      <c r="I89" s="157">
        <v>179891</v>
      </c>
      <c r="J89" s="158">
        <v>162144</v>
      </c>
      <c r="K89" s="150"/>
      <c r="L89" s="154">
        <v>25</v>
      </c>
      <c r="M89" s="159">
        <f t="shared" si="4"/>
        <v>0</v>
      </c>
      <c r="N89" s="159">
        <f t="shared" si="4"/>
        <v>0</v>
      </c>
      <c r="O89" s="159">
        <f>J89-E89</f>
        <v>0</v>
      </c>
    </row>
    <row r="90" spans="1:15" ht="15.75" thickBot="1" x14ac:dyDescent="0.3">
      <c r="A90" s="150"/>
      <c r="B90" s="155">
        <v>26</v>
      </c>
      <c r="C90" s="156">
        <v>113853</v>
      </c>
      <c r="D90" s="157">
        <v>51611</v>
      </c>
      <c r="E90" s="158">
        <v>54175</v>
      </c>
      <c r="F90" s="150"/>
      <c r="G90" s="155">
        <v>26</v>
      </c>
      <c r="H90" s="156">
        <v>113853</v>
      </c>
      <c r="I90" s="157">
        <v>51611</v>
      </c>
      <c r="J90" s="158">
        <v>54175</v>
      </c>
      <c r="K90" s="150"/>
      <c r="L90" s="154">
        <v>26</v>
      </c>
      <c r="M90" s="159">
        <f t="shared" si="4"/>
        <v>0</v>
      </c>
      <c r="N90" s="159">
        <f t="shared" si="4"/>
        <v>0</v>
      </c>
      <c r="O90" s="159">
        <f t="shared" si="4"/>
        <v>0</v>
      </c>
    </row>
    <row r="91" spans="1:15" ht="15.75" thickBot="1" x14ac:dyDescent="0.3">
      <c r="A91" s="150"/>
      <c r="B91" s="155">
        <v>27</v>
      </c>
      <c r="C91" s="156">
        <v>102062</v>
      </c>
      <c r="D91" s="157">
        <v>108979</v>
      </c>
      <c r="E91" s="158">
        <v>120492</v>
      </c>
      <c r="F91" s="150"/>
      <c r="G91" s="155">
        <v>27</v>
      </c>
      <c r="H91" s="156">
        <v>102062</v>
      </c>
      <c r="I91" s="157">
        <v>108979</v>
      </c>
      <c r="J91" s="158">
        <v>120492</v>
      </c>
      <c r="K91" s="150"/>
      <c r="L91" s="154">
        <v>27</v>
      </c>
      <c r="M91" s="159">
        <f t="shared" si="4"/>
        <v>0</v>
      </c>
      <c r="N91" s="159">
        <f t="shared" si="4"/>
        <v>0</v>
      </c>
      <c r="O91" s="159">
        <f t="shared" si="4"/>
        <v>0</v>
      </c>
    </row>
    <row r="92" spans="1:15" ht="15.75" thickBot="1" x14ac:dyDescent="0.3">
      <c r="A92" s="150"/>
      <c r="B92" s="155">
        <v>28</v>
      </c>
      <c r="C92" s="156">
        <v>195314</v>
      </c>
      <c r="D92" s="157">
        <v>102314</v>
      </c>
      <c r="E92" s="158">
        <v>111385</v>
      </c>
      <c r="F92" s="150"/>
      <c r="G92" s="155">
        <v>28</v>
      </c>
      <c r="H92" s="156">
        <v>195314</v>
      </c>
      <c r="I92" s="157">
        <v>102314</v>
      </c>
      <c r="J92" s="158">
        <v>111385</v>
      </c>
      <c r="K92" s="150"/>
      <c r="L92" s="154">
        <v>28</v>
      </c>
      <c r="M92" s="159">
        <f t="shared" si="4"/>
        <v>0</v>
      </c>
      <c r="N92" s="159">
        <f t="shared" si="4"/>
        <v>0</v>
      </c>
      <c r="O92" s="159">
        <f t="shared" si="4"/>
        <v>0</v>
      </c>
    </row>
    <row r="93" spans="1:15" ht="15.75" thickBot="1" x14ac:dyDescent="0.3">
      <c r="A93" s="150"/>
      <c r="B93" s="155">
        <v>29</v>
      </c>
      <c r="C93" s="156"/>
      <c r="D93" s="157">
        <v>83853</v>
      </c>
      <c r="E93" s="158">
        <v>102313</v>
      </c>
      <c r="F93" s="150"/>
      <c r="G93" s="155">
        <v>29</v>
      </c>
      <c r="H93" s="156"/>
      <c r="I93" s="157">
        <v>83853</v>
      </c>
      <c r="J93" s="158">
        <v>102313</v>
      </c>
      <c r="K93" s="150"/>
      <c r="L93" s="154">
        <v>29</v>
      </c>
      <c r="M93" s="159">
        <f t="shared" si="4"/>
        <v>0</v>
      </c>
      <c r="N93" s="159">
        <f t="shared" si="4"/>
        <v>0</v>
      </c>
      <c r="O93" s="159"/>
    </row>
    <row r="94" spans="1:15" ht="15.75" thickBot="1" x14ac:dyDescent="0.3">
      <c r="A94" s="150"/>
      <c r="B94" s="155">
        <v>30</v>
      </c>
      <c r="C94" s="156"/>
      <c r="D94" s="157">
        <v>14818</v>
      </c>
      <c r="E94" s="158"/>
      <c r="F94" s="150"/>
      <c r="G94" s="155">
        <v>30</v>
      </c>
      <c r="H94" s="156"/>
      <c r="I94" s="157">
        <v>14818</v>
      </c>
      <c r="J94" s="158"/>
      <c r="K94" s="150"/>
      <c r="L94" s="154">
        <v>30</v>
      </c>
      <c r="M94" s="159">
        <f t="shared" si="4"/>
        <v>0</v>
      </c>
      <c r="N94" s="159">
        <f>I94-D94</f>
        <v>0</v>
      </c>
      <c r="O94" s="150"/>
    </row>
  </sheetData>
  <mergeCells count="53">
    <mergeCell ref="C64:F64"/>
    <mergeCell ref="J64:M64"/>
    <mergeCell ref="B69:E69"/>
    <mergeCell ref="G69:J69"/>
    <mergeCell ref="L69:O69"/>
    <mergeCell ref="O62:O63"/>
    <mergeCell ref="C55:C56"/>
    <mergeCell ref="J55:J56"/>
    <mergeCell ref="C57:C58"/>
    <mergeCell ref="J57:J58"/>
    <mergeCell ref="C59:C60"/>
    <mergeCell ref="J59:J60"/>
    <mergeCell ref="C62:C63"/>
    <mergeCell ref="D62:D63"/>
    <mergeCell ref="H62:H63"/>
    <mergeCell ref="J62:J63"/>
    <mergeCell ref="K62:K63"/>
    <mergeCell ref="C47:C48"/>
    <mergeCell ref="J47:J48"/>
    <mergeCell ref="C49:C50"/>
    <mergeCell ref="J49:J50"/>
    <mergeCell ref="C52:C54"/>
    <mergeCell ref="J52:J54"/>
    <mergeCell ref="C38:C40"/>
    <mergeCell ref="J38:J40"/>
    <mergeCell ref="C41:C43"/>
    <mergeCell ref="J41:J43"/>
    <mergeCell ref="C45:C46"/>
    <mergeCell ref="J45:J46"/>
    <mergeCell ref="C29:C31"/>
    <mergeCell ref="J29:J31"/>
    <mergeCell ref="C32:C34"/>
    <mergeCell ref="J32:J34"/>
    <mergeCell ref="C35:C37"/>
    <mergeCell ref="J35:J37"/>
    <mergeCell ref="C20:C22"/>
    <mergeCell ref="J20:J22"/>
    <mergeCell ref="C23:C25"/>
    <mergeCell ref="J23:J25"/>
    <mergeCell ref="C26:C28"/>
    <mergeCell ref="J26:J28"/>
    <mergeCell ref="C11:C13"/>
    <mergeCell ref="J11:J13"/>
    <mergeCell ref="C14:C16"/>
    <mergeCell ref="J14:J16"/>
    <mergeCell ref="C17:C19"/>
    <mergeCell ref="J17:J19"/>
    <mergeCell ref="C2:C4"/>
    <mergeCell ref="J2:J4"/>
    <mergeCell ref="C5:C7"/>
    <mergeCell ref="J5:J7"/>
    <mergeCell ref="C8:C10"/>
    <mergeCell ref="J8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2022-01-03T01:59:23Z</dcterms:modified>
</cp:coreProperties>
</file>