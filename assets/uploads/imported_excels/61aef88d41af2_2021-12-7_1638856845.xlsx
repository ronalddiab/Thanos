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S350" i="4"/>
  <c r="R350" i="4"/>
  <c r="O350" i="4"/>
  <c r="L350" i="4"/>
  <c r="M350" i="4" s="1"/>
  <c r="J350" i="4"/>
  <c r="K350" i="4" s="1"/>
  <c r="S349" i="4"/>
  <c r="R349" i="4"/>
  <c r="O349" i="4"/>
  <c r="M349" i="4"/>
  <c r="J349" i="4"/>
  <c r="K349" i="4" s="1"/>
  <c r="S348" i="4"/>
  <c r="R348" i="4"/>
  <c r="O348" i="4"/>
  <c r="M348" i="4"/>
  <c r="J348" i="4"/>
  <c r="K348" i="4" s="1"/>
  <c r="S347" i="4"/>
  <c r="R347" i="4"/>
  <c r="O347" i="4"/>
  <c r="M347" i="4"/>
  <c r="J347" i="4"/>
  <c r="K347" i="4" s="1"/>
  <c r="S346" i="4"/>
  <c r="R346" i="4"/>
  <c r="O346" i="4"/>
  <c r="M346" i="4"/>
  <c r="J346" i="4"/>
  <c r="K346" i="4" s="1"/>
  <c r="S345" i="4"/>
  <c r="R345" i="4"/>
  <c r="O345" i="4"/>
  <c r="M345" i="4"/>
  <c r="J345" i="4"/>
  <c r="K345" i="4" s="1"/>
  <c r="S344" i="4"/>
  <c r="R344" i="4"/>
  <c r="O344" i="4"/>
  <c r="M344" i="4"/>
  <c r="J344" i="4"/>
  <c r="K344" i="4" s="1"/>
  <c r="S343" i="4"/>
  <c r="R343" i="4"/>
  <c r="O343" i="4"/>
  <c r="M343" i="4"/>
  <c r="J343" i="4"/>
  <c r="K343" i="4" s="1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E339" i="1"/>
  <c r="E366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E341" i="1"/>
  <c r="E343" i="1"/>
  <c r="E345" i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E358" i="1"/>
  <c r="E363" i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E352" i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E308" i="1"/>
  <c r="E322" i="1"/>
  <c r="E327" i="1"/>
  <c r="E337" i="1"/>
  <c r="E342" i="1"/>
  <c r="E351" i="1"/>
  <c r="E355" i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E365" i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E10" i="1"/>
  <c r="E128" i="1"/>
  <c r="E359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Q346" i="3"/>
  <c r="Q349" i="3"/>
  <c r="Q352" i="3"/>
  <c r="I350" i="1"/>
  <c r="M363" i="3"/>
  <c r="G361" i="1" s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<sst xmlns="http://schemas.openxmlformats.org/spreadsheetml/2006/main" count="608" uniqueCount="78">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</sst>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30" workbookViewId="0">
      <selection activeCell="S345" sqref="S34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0.97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13.9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0.97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13.9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0.97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13.9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0.97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13.9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0.97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13.9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0.97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13.9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0.97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13.9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0.97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13.9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v>0.97</v>
      </c>
      <c r="G336" s="4">
        <f>'Gas Water'!M338</f>
        <v>2217</v>
      </c>
      <c r="H336" s="153">
        <v>3.85</v>
      </c>
      <c r="I336" s="2">
        <f>'Gas Water'!L338</f>
        <v>189</v>
      </c>
      <c r="J336" s="153">
        <v>13.9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>
        <f>'Electricity '!I338+'Electricity '!O338</f>
        <v>23366.160000000022</v>
      </c>
      <c r="F337" s="153">
        <v>0.97</v>
      </c>
      <c r="G337" s="4">
        <f>'Gas Water'!M339</f>
        <v>1907</v>
      </c>
      <c r="H337" s="153">
        <v>3.85</v>
      </c>
      <c r="I337" s="2">
        <f>'Gas Water'!L339</f>
        <v>166</v>
      </c>
      <c r="J337" s="153">
        <v>13.9</v>
      </c>
      <c r="K337" s="5">
        <v>111</v>
      </c>
      <c r="L337" s="5">
        <v>192</v>
      </c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>
        <f>'Electricity '!I339+'Electricity '!O339</f>
        <v>24152.759999999307</v>
      </c>
      <c r="F338" s="153">
        <v>0.97</v>
      </c>
      <c r="G338" s="4">
        <f>'Gas Water'!M340</f>
        <v>1777</v>
      </c>
      <c r="H338" s="153">
        <v>3.85</v>
      </c>
      <c r="I338" s="2">
        <f>'Gas Water'!L340</f>
        <v>168</v>
      </c>
      <c r="J338" s="153">
        <v>13.9</v>
      </c>
      <c r="K338" s="5">
        <v>129</v>
      </c>
      <c r="L338" s="5">
        <v>203</v>
      </c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>
        <f>'Electricity '!I340+'Electricity '!O340</f>
        <v>23175.720000000762</v>
      </c>
      <c r="F339" s="153">
        <v>0.97</v>
      </c>
      <c r="G339" s="4">
        <f>'Gas Water'!M341</f>
        <v>2070</v>
      </c>
      <c r="H339" s="153">
        <v>3.85</v>
      </c>
      <c r="I339" s="2">
        <f>'Gas Water'!L341</f>
        <v>163</v>
      </c>
      <c r="J339" s="153">
        <v>13.9</v>
      </c>
      <c r="K339" s="5">
        <v>113</v>
      </c>
      <c r="L339" s="5">
        <v>206</v>
      </c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>
        <f>'Electricity '!I341+'Electricity '!O341</f>
        <v>24181.739999999561</v>
      </c>
      <c r="F340" s="153">
        <v>0.97</v>
      </c>
      <c r="G340" s="4">
        <f>'Gas Water'!M342</f>
        <v>2060</v>
      </c>
      <c r="H340" s="153">
        <v>3.85</v>
      </c>
      <c r="I340" s="2">
        <f>'Gas Water'!L342</f>
        <v>178</v>
      </c>
      <c r="J340" s="153">
        <v>13.9</v>
      </c>
      <c r="K340" s="5">
        <v>91</v>
      </c>
      <c r="L340" s="5">
        <v>160</v>
      </c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>
        <f>'Electricity '!I342+'Electricity '!O342</f>
        <v>24223.139999999526</v>
      </c>
      <c r="F341" s="153">
        <v>0.97</v>
      </c>
      <c r="G341" s="4">
        <f>'Gas Water'!M343</f>
        <v>1894</v>
      </c>
      <c r="H341" s="153">
        <v>3.85</v>
      </c>
      <c r="I341" s="2">
        <f>'Gas Water'!L343</f>
        <v>196</v>
      </c>
      <c r="J341" s="153">
        <v>13.9</v>
      </c>
      <c r="K341" s="5">
        <v>127</v>
      </c>
      <c r="L341" s="5">
        <v>189</v>
      </c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>
        <v>0.97</v>
      </c>
      <c r="G342" s="4" t="str">
        <f>'Gas Water'!M344</f>
        <v/>
      </c>
      <c r="H342" s="153">
        <v>3.85</v>
      </c>
      <c r="I342" s="2" t="str">
        <f>'Gas Water'!L344</f>
        <v/>
      </c>
      <c r="J342" s="153">
        <v>13.9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>
        <v>0.97</v>
      </c>
      <c r="G343" s="4" t="str">
        <f>'Gas Water'!M345</f>
        <v/>
      </c>
      <c r="H343" s="153">
        <v>3.85</v>
      </c>
      <c r="I343" s="2" t="str">
        <f>'Gas Water'!L345</f>
        <v/>
      </c>
      <c r="J343" s="153">
        <v>13.9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>
        <v>0.97</v>
      </c>
      <c r="G344" s="4" t="str">
        <f>'Gas Water'!M346</f>
        <v/>
      </c>
      <c r="H344" s="153">
        <v>3.85</v>
      </c>
      <c r="I344" s="2" t="str">
        <f>'Gas Water'!L346</f>
        <v/>
      </c>
      <c r="J344" s="153">
        <v>13.9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>
        <v>0.97</v>
      </c>
      <c r="G345" s="4" t="str">
        <f>'Gas Water'!M347</f>
        <v/>
      </c>
      <c r="H345" s="153">
        <v>3.85</v>
      </c>
      <c r="I345" s="2" t="str">
        <f>'Gas Water'!L347</f>
        <v/>
      </c>
      <c r="J345" s="153">
        <v>13.9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>
        <v>0.97</v>
      </c>
      <c r="G346" s="4" t="str">
        <f>'Gas Water'!M348</f>
        <v/>
      </c>
      <c r="H346" s="153">
        <v>3.85</v>
      </c>
      <c r="I346" s="2" t="str">
        <f>'Gas Water'!L348</f>
        <v/>
      </c>
      <c r="J346" s="153">
        <v>13.9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>
        <v>0.97</v>
      </c>
      <c r="G347" s="4" t="str">
        <f>'Gas Water'!M349</f>
        <v/>
      </c>
      <c r="H347" s="153">
        <v>3.85</v>
      </c>
      <c r="I347" s="2" t="str">
        <f>'Gas Water'!L349</f>
        <v/>
      </c>
      <c r="J347" s="153">
        <v>13.9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>
        <v>0.97</v>
      </c>
      <c r="G348" s="4" t="str">
        <f>'Gas Water'!M350</f>
        <v/>
      </c>
      <c r="H348" s="153">
        <v>3.85</v>
      </c>
      <c r="I348" s="2" t="str">
        <f>'Gas Water'!L350</f>
        <v/>
      </c>
      <c r="J348" s="153">
        <v>13.9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>
        <v>0.97</v>
      </c>
      <c r="G349" s="4" t="str">
        <f>'Gas Water'!M351</f>
        <v/>
      </c>
      <c r="H349" s="153">
        <v>3.85</v>
      </c>
      <c r="I349" s="2" t="str">
        <f>'Gas Water'!L351</f>
        <v/>
      </c>
      <c r="J349" s="153">
        <v>13.9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>
        <v>0.97</v>
      </c>
      <c r="G350" s="4" t="str">
        <f>'Gas Water'!M352</f>
        <v/>
      </c>
      <c r="H350" s="153">
        <v>3.85</v>
      </c>
      <c r="I350" s="2" t="str">
        <f>'Gas Water'!L352</f>
        <v/>
      </c>
      <c r="J350" s="153">
        <v>13.9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>
        <v>0.97</v>
      </c>
      <c r="G351" s="4" t="str">
        <f>'Gas Water'!M353</f>
        <v/>
      </c>
      <c r="H351" s="153">
        <v>3.85</v>
      </c>
      <c r="I351" s="2" t="str">
        <f>'Gas Water'!L353</f>
        <v/>
      </c>
      <c r="J351" s="153">
        <v>13.9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>
        <v>0.97</v>
      </c>
      <c r="G352" s="4" t="str">
        <f>'Gas Water'!M354</f>
        <v/>
      </c>
      <c r="H352" s="153">
        <v>3.85</v>
      </c>
      <c r="I352" s="2" t="str">
        <f>'Gas Water'!L354</f>
        <v/>
      </c>
      <c r="J352" s="153">
        <v>13.9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>
        <v>0.97</v>
      </c>
      <c r="G353" s="4" t="str">
        <f>'Gas Water'!M355</f>
        <v/>
      </c>
      <c r="H353" s="153">
        <v>3.85</v>
      </c>
      <c r="I353" s="2" t="str">
        <f>'Gas Water'!L355</f>
        <v/>
      </c>
      <c r="J353" s="153">
        <v>13.9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>
        <v>0.97</v>
      </c>
      <c r="G354" s="4" t="str">
        <f>'Gas Water'!M356</f>
        <v/>
      </c>
      <c r="H354" s="153">
        <v>3.85</v>
      </c>
      <c r="I354" s="2" t="str">
        <f>'Gas Water'!L356</f>
        <v/>
      </c>
      <c r="J354" s="153">
        <v>13.9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>
        <v>0.97</v>
      </c>
      <c r="G355" s="4" t="str">
        <f>'Gas Water'!M357</f>
        <v/>
      </c>
      <c r="H355" s="153">
        <v>3.85</v>
      </c>
      <c r="I355" s="2" t="str">
        <f>'Gas Water'!L357</f>
        <v/>
      </c>
      <c r="J355" s="153">
        <v>13.9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>
        <v>0.97</v>
      </c>
      <c r="G356" s="4" t="str">
        <f>'Gas Water'!M358</f>
        <v/>
      </c>
      <c r="H356" s="153">
        <v>3.85</v>
      </c>
      <c r="I356" s="2" t="str">
        <f>'Gas Water'!L358</f>
        <v/>
      </c>
      <c r="J356" s="153">
        <v>13.9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>
        <v>0.97</v>
      </c>
      <c r="G357" s="4" t="str">
        <f>'Gas Water'!M359</f>
        <v/>
      </c>
      <c r="H357" s="153">
        <v>3.85</v>
      </c>
      <c r="I357" s="2" t="str">
        <f>'Gas Water'!L359</f>
        <v/>
      </c>
      <c r="J357" s="153">
        <v>13.9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>
        <v>0.97</v>
      </c>
      <c r="G358" s="4" t="str">
        <f>'Gas Water'!M360</f>
        <v/>
      </c>
      <c r="H358" s="153">
        <v>3.85</v>
      </c>
      <c r="I358" s="2" t="str">
        <f>'Gas Water'!L360</f>
        <v/>
      </c>
      <c r="J358" s="153">
        <v>13.9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>
        <v>0.97</v>
      </c>
      <c r="G359" s="4" t="str">
        <f>'Gas Water'!M361</f>
        <v/>
      </c>
      <c r="H359" s="153">
        <v>3.85</v>
      </c>
      <c r="I359" s="2" t="str">
        <f>'Gas Water'!L361</f>
        <v/>
      </c>
      <c r="J359" s="153">
        <v>13.9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>
        <v>0.97</v>
      </c>
      <c r="G360" s="4" t="str">
        <f>'Gas Water'!M362</f>
        <v/>
      </c>
      <c r="H360" s="153">
        <v>3.85</v>
      </c>
      <c r="I360" s="2" t="str">
        <f>'Gas Water'!L362</f>
        <v/>
      </c>
      <c r="J360" s="153">
        <v>13.9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>
        <v>0.97</v>
      </c>
      <c r="G361" s="4" t="str">
        <f>'Gas Water'!M363</f>
        <v/>
      </c>
      <c r="H361" s="153">
        <v>3.85</v>
      </c>
      <c r="I361" s="2" t="str">
        <f>'Gas Water'!L363</f>
        <v/>
      </c>
      <c r="J361" s="153">
        <v>13.9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>
        <v>0.97</v>
      </c>
      <c r="G362" s="4" t="str">
        <f>'Gas Water'!M364</f>
        <v/>
      </c>
      <c r="H362" s="153">
        <v>3.85</v>
      </c>
      <c r="I362" s="2" t="str">
        <f>'Gas Water'!L364</f>
        <v/>
      </c>
      <c r="J362" s="153">
        <v>13.9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>
        <v>0.97</v>
      </c>
      <c r="G363" s="4" t="str">
        <f>'Gas Water'!M365</f>
        <v/>
      </c>
      <c r="H363" s="153">
        <v>3.85</v>
      </c>
      <c r="I363" s="2" t="str">
        <f>'Gas Water'!L365</f>
        <v/>
      </c>
      <c r="J363" s="153">
        <v>13.9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>
        <v>0.97</v>
      </c>
      <c r="G364" s="4" t="str">
        <f>'Gas Water'!M366</f>
        <v/>
      </c>
      <c r="H364" s="153">
        <v>3.85</v>
      </c>
      <c r="I364" s="2" t="str">
        <f>'Gas Water'!L366</f>
        <v/>
      </c>
      <c r="J364" s="153">
        <v>13.9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>
        <v>0.97</v>
      </c>
      <c r="G365" s="4" t="str">
        <f>'Gas Water'!M367</f>
        <v/>
      </c>
      <c r="H365" s="153">
        <v>3.85</v>
      </c>
      <c r="I365" s="2" t="str">
        <f>'Gas Water'!L367</f>
        <v/>
      </c>
      <c r="J365" s="153">
        <v>13.9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>
        <v>0.97</v>
      </c>
      <c r="G366" s="4" t="str">
        <f>'Gas Water'!M368</f>
        <v/>
      </c>
      <c r="H366" s="153">
        <v>3.85</v>
      </c>
      <c r="I366" s="2" t="str">
        <f>'Gas Water'!L368</f>
        <v/>
      </c>
      <c r="J366" s="153">
        <v>13.9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307" workbookViewId="0">
      <selection activeCell="P345" sqref="P345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>
        <v>16228335</v>
      </c>
      <c r="D339" s="24">
        <v>5034906</v>
      </c>
      <c r="E339" s="25">
        <v>238333</v>
      </c>
      <c r="F339" s="26">
        <v>633345</v>
      </c>
      <c r="G339" s="27">
        <v>288843</v>
      </c>
      <c r="H339" s="28">
        <f t="shared" si="26"/>
        <v>0</v>
      </c>
      <c r="I339" s="28">
        <f t="shared" si="26"/>
        <v>1513</v>
      </c>
      <c r="J339" s="28">
        <f t="shared" si="26"/>
        <v>226</v>
      </c>
      <c r="K339" s="28">
        <f t="shared" si="26"/>
        <v>168</v>
      </c>
      <c r="L339" s="29">
        <f t="shared" si="26"/>
        <v>166</v>
      </c>
      <c r="M339" s="30">
        <f t="shared" si="27"/>
        <v>1907</v>
      </c>
      <c r="Q339" s="20">
        <f t="shared" si="25"/>
        <v>0</v>
      </c>
    </row>
    <row r="340" spans="2:17" ht="12.95" customHeight="1" x14ac:dyDescent="0.2">
      <c r="B340" s="22">
        <v>44533</v>
      </c>
      <c r="C340" s="41">
        <v>16228335</v>
      </c>
      <c r="D340" s="24">
        <v>5036298</v>
      </c>
      <c r="E340" s="25">
        <v>238541</v>
      </c>
      <c r="F340" s="26">
        <v>633522</v>
      </c>
      <c r="G340" s="27">
        <v>289011</v>
      </c>
      <c r="H340" s="28">
        <f t="shared" si="26"/>
        <v>0</v>
      </c>
      <c r="I340" s="28">
        <f t="shared" si="26"/>
        <v>1392</v>
      </c>
      <c r="J340" s="28">
        <f t="shared" si="26"/>
        <v>208</v>
      </c>
      <c r="K340" s="28">
        <f t="shared" si="26"/>
        <v>177</v>
      </c>
      <c r="L340" s="29">
        <f t="shared" si="26"/>
        <v>168</v>
      </c>
      <c r="M340" s="30">
        <f t="shared" si="27"/>
        <v>1777</v>
      </c>
      <c r="Q340" s="20">
        <f t="shared" si="25"/>
        <v>0</v>
      </c>
    </row>
    <row r="341" spans="2:17" ht="12.95" customHeight="1" x14ac:dyDescent="0.2">
      <c r="B341" s="22">
        <v>44534</v>
      </c>
      <c r="C341" s="41">
        <v>16228335</v>
      </c>
      <c r="D341" s="24">
        <v>5038011</v>
      </c>
      <c r="E341" s="25">
        <v>238711</v>
      </c>
      <c r="F341" s="26">
        <v>633709</v>
      </c>
      <c r="G341" s="27">
        <v>289174</v>
      </c>
      <c r="H341" s="28">
        <f t="shared" si="26"/>
        <v>0</v>
      </c>
      <c r="I341" s="28">
        <f t="shared" si="26"/>
        <v>1713</v>
      </c>
      <c r="J341" s="28">
        <f t="shared" si="26"/>
        <v>170</v>
      </c>
      <c r="K341" s="28">
        <f t="shared" si="26"/>
        <v>187</v>
      </c>
      <c r="L341" s="29">
        <f t="shared" si="26"/>
        <v>163</v>
      </c>
      <c r="M341" s="30">
        <f t="shared" si="27"/>
        <v>2070</v>
      </c>
      <c r="Q341" s="20">
        <f t="shared" si="25"/>
        <v>0</v>
      </c>
    </row>
    <row r="342" spans="2:17" ht="12.95" customHeight="1" x14ac:dyDescent="0.2">
      <c r="B342" s="22">
        <v>44535</v>
      </c>
      <c r="C342" s="41">
        <v>16228335</v>
      </c>
      <c r="D342" s="24">
        <v>5039691</v>
      </c>
      <c r="E342" s="25">
        <v>238912</v>
      </c>
      <c r="F342" s="26">
        <v>633888</v>
      </c>
      <c r="G342" s="27">
        <v>289352</v>
      </c>
      <c r="H342" s="28">
        <f t="shared" si="26"/>
        <v>0</v>
      </c>
      <c r="I342" s="28">
        <f t="shared" si="26"/>
        <v>1680</v>
      </c>
      <c r="J342" s="28">
        <f t="shared" si="26"/>
        <v>201</v>
      </c>
      <c r="K342" s="28">
        <f t="shared" si="26"/>
        <v>179</v>
      </c>
      <c r="L342" s="29">
        <f t="shared" si="26"/>
        <v>178</v>
      </c>
      <c r="M342" s="30">
        <f t="shared" si="27"/>
        <v>2060</v>
      </c>
      <c r="Q342" s="20">
        <f t="shared" si="25"/>
        <v>0</v>
      </c>
    </row>
    <row r="343" spans="2:17" ht="12.95" customHeight="1" x14ac:dyDescent="0.2">
      <c r="B343" s="22">
        <v>44536</v>
      </c>
      <c r="C343" s="41">
        <v>16228335</v>
      </c>
      <c r="D343" s="24">
        <v>5041198</v>
      </c>
      <c r="E343" s="25">
        <v>239111</v>
      </c>
      <c r="F343" s="26">
        <v>634076</v>
      </c>
      <c r="G343" s="27">
        <v>289548</v>
      </c>
      <c r="H343" s="28">
        <f t="shared" si="26"/>
        <v>0</v>
      </c>
      <c r="I343" s="28">
        <f t="shared" si="26"/>
        <v>1507</v>
      </c>
      <c r="J343" s="28">
        <f t="shared" si="26"/>
        <v>199</v>
      </c>
      <c r="K343" s="28">
        <f t="shared" si="26"/>
        <v>188</v>
      </c>
      <c r="L343" s="29">
        <f t="shared" si="26"/>
        <v>196</v>
      </c>
      <c r="M343" s="30">
        <f t="shared" si="27"/>
        <v>1894</v>
      </c>
      <c r="Q343" s="20">
        <f t="shared" si="25"/>
        <v>0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871</v>
      </c>
      <c r="O362" s="32">
        <f>SUM(M339:M369)</f>
        <v>9708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>
        <f>AVERAGE(L339:L369)</f>
        <v>174.2</v>
      </c>
      <c r="O365" s="32">
        <f>AVERAGE(M339:M369)</f>
        <v>1941.6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600636</v>
      </c>
      <c r="J371" s="40">
        <f t="shared" si="30"/>
        <v>62829</v>
      </c>
      <c r="K371" s="40">
        <f t="shared" si="30"/>
        <v>58286</v>
      </c>
      <c r="L371" s="40">
        <f t="shared" si="30"/>
        <v>63990</v>
      </c>
      <c r="M371" s="40">
        <f t="shared" si="30"/>
        <v>721751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17" workbookViewId="0">
      <selection activeCell="K347" sqref="K347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4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>
        <v>0.14199999999999999</v>
      </c>
      <c r="E338" s="57">
        <v>1710.5440000000001</v>
      </c>
      <c r="F338" s="58">
        <v>58.009</v>
      </c>
      <c r="G338" s="59"/>
      <c r="H338" s="59">
        <v>4140</v>
      </c>
      <c r="I338" s="59">
        <f t="shared" si="42"/>
        <v>23366.160000000022</v>
      </c>
      <c r="J338" s="59">
        <f t="shared" si="43"/>
        <v>596.15999999999315</v>
      </c>
      <c r="K338" s="60">
        <f t="shared" ref="K338:K368" si="51">IF(J338="","",+(J338/I338))</f>
        <v>2.5513819985825338E-2</v>
      </c>
      <c r="L338" s="59">
        <f t="shared" si="46"/>
        <v>596.15999999999315</v>
      </c>
      <c r="M338" s="60">
        <f t="shared" si="50"/>
        <v>2.5513819985825338E-2</v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>
        <v>0.14199999999999999</v>
      </c>
      <c r="E339" s="57">
        <v>1716.3779999999999</v>
      </c>
      <c r="F339" s="58">
        <v>58.185000000000002</v>
      </c>
      <c r="G339" s="59"/>
      <c r="H339" s="59">
        <v>4140</v>
      </c>
      <c r="I339" s="59">
        <f t="shared" si="42"/>
        <v>24152.759999999307</v>
      </c>
      <c r="J339" s="59">
        <f t="shared" si="43"/>
        <v>728.64000000000806</v>
      </c>
      <c r="K339" s="60">
        <f t="shared" si="51"/>
        <v>3.0167980802195234E-2</v>
      </c>
      <c r="L339" s="59">
        <f t="shared" si="46"/>
        <v>728.64000000000806</v>
      </c>
      <c r="M339" s="60">
        <f t="shared" si="50"/>
        <v>3.0167980802195234E-2</v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>
        <v>0.14199999999999999</v>
      </c>
      <c r="E340" s="57">
        <v>1721.9760000000001</v>
      </c>
      <c r="F340" s="58">
        <v>58.350999999999999</v>
      </c>
      <c r="G340" s="59"/>
      <c r="H340" s="59">
        <v>4140</v>
      </c>
      <c r="I340" s="59">
        <f t="shared" si="42"/>
        <v>23175.720000000762</v>
      </c>
      <c r="J340" s="59">
        <f t="shared" si="43"/>
        <v>687.23999999998682</v>
      </c>
      <c r="K340" s="60">
        <f t="shared" si="51"/>
        <v>2.9653447659876986E-2</v>
      </c>
      <c r="L340" s="59">
        <f t="shared" si="46"/>
        <v>687.23999999998682</v>
      </c>
      <c r="M340" s="60">
        <f t="shared" si="50"/>
        <v>2.9653447659876986E-2</v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>
        <v>0.14199999999999999</v>
      </c>
      <c r="E341" s="57">
        <v>1727.817</v>
      </c>
      <c r="F341" s="58">
        <v>58.515999999999998</v>
      </c>
      <c r="G341" s="59"/>
      <c r="H341" s="59">
        <v>4140</v>
      </c>
      <c r="I341" s="59">
        <f t="shared" si="42"/>
        <v>24181.739999999561</v>
      </c>
      <c r="J341" s="59">
        <f t="shared" si="43"/>
        <v>683.0999999999965</v>
      </c>
      <c r="K341" s="60">
        <f t="shared" si="51"/>
        <v>2.8248587570621837E-2</v>
      </c>
      <c r="L341" s="59">
        <f t="shared" si="46"/>
        <v>683.0999999999965</v>
      </c>
      <c r="M341" s="60">
        <f t="shared" si="50"/>
        <v>2.8248587570621837E-2</v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>
        <v>0.14199999999999999</v>
      </c>
      <c r="E342" s="57">
        <v>1733.6679999999999</v>
      </c>
      <c r="F342" s="58">
        <v>58.686999999999998</v>
      </c>
      <c r="G342" s="59"/>
      <c r="H342" s="59">
        <v>4140</v>
      </c>
      <c r="I342" s="59">
        <f t="shared" si="42"/>
        <v>24223.139999999526</v>
      </c>
      <c r="J342" s="59">
        <f t="shared" si="43"/>
        <v>707.93999999999744</v>
      </c>
      <c r="K342" s="60">
        <f t="shared" si="51"/>
        <v>2.9225773372073615E-2</v>
      </c>
      <c r="L342" s="59">
        <f t="shared" si="46"/>
        <v>707.93999999999744</v>
      </c>
      <c r="M342" s="60">
        <f t="shared" si="50"/>
        <v>2.9225773372073615E-2</v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2"/>
        <v/>
      </c>
      <c r="J343" s="59" t="str">
        <f t="shared" ref="I343:J368" si="52">IF(E343="","",+(E343-E342)*4140)</f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2"/>
        <v/>
      </c>
      <c r="J344" s="59" t="str">
        <f t="shared" si="52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2"/>
        <v/>
      </c>
      <c r="J345" s="59" t="str">
        <f t="shared" si="52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2"/>
        <v/>
      </c>
      <c r="J346" s="59" t="str">
        <f t="shared" si="52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2"/>
        <v/>
      </c>
      <c r="J347" s="59" t="str">
        <f t="shared" si="52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2"/>
        <v/>
      </c>
      <c r="J348" s="59" t="str">
        <f t="shared" si="52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2"/>
        <v/>
      </c>
      <c r="J349" s="59" t="str">
        <f t="shared" si="52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2"/>
        <v/>
      </c>
      <c r="J350" s="59" t="str">
        <f t="shared" si="52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52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52"/>
        <v/>
      </c>
      <c r="J352" s="59" t="str">
        <f t="shared" si="52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2.8573414905450546E-2</v>
      </c>
      <c r="Q359" s="70">
        <f>IF(L338="",0,+SUM(L338:L368)/SUM(I338:I368))</f>
        <v>2.8573414905450546E-2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 t="e">
        <f>IF(J338="",0,+(+(LOOKUP(9.99999999999999E+307,E338:E368)-E337))/(+(LOOKUP(9.99999999999999E+307,D338:D368)-D337)))</f>
        <v>#DIV/0!</v>
      </c>
      <c r="Q360" s="71" t="e">
        <f>IF(L338="",0,+(+(LOOKUP(9.99999999999999E+307,F338:F368)-F337))/(+(LOOKUP(9.99999999999999E+307,D338:D368)-D337)))</f>
        <v>#DIV/0!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8766002.4000000004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2021-12-07T06:00:22Z</dcterms:modified>
  <cp:category/>
  <cp:contentStatus/>
</cp:coreProperties>
</file>