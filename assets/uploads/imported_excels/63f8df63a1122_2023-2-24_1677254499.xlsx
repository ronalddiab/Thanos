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8125"/>
  <workbookPr autoCompressPictures="0"/>
  <bookViews>
    <workbookView xWindow="0" yWindow="0" windowWidth="19740" windowHeight="16060" tabRatio="620" activeTab="1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32" i="117" l="1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I38" i="119"/>
  <c r="G38" i="119"/>
  <c r="E38" i="119"/>
  <c r="C38" i="119"/>
  <c r="K38" i="119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I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B32" i="117"/>
  <c r="L16" i="117"/>
  <c r="L5" i="117"/>
  <c r="L13" i="117"/>
  <c r="L26" i="117"/>
  <c r="L9" i="117"/>
  <c r="L28" i="117"/>
  <c r="L17" i="117"/>
  <c r="L31" i="117"/>
  <c r="L23" i="117"/>
  <c r="L20" i="117"/>
  <c r="L4" i="117"/>
  <c r="L29" i="117"/>
  <c r="L32" i="117"/>
  <c r="L14" i="117"/>
  <c r="L25" i="117"/>
  <c r="L3" i="117"/>
  <c r="L22" i="117"/>
  <c r="L11" i="117"/>
  <c r="L8" i="117"/>
  <c r="L7" i="117"/>
  <c r="L15" i="117"/>
  <c r="L6" i="117"/>
  <c r="L21" i="117"/>
  <c r="L18" i="117"/>
  <c r="L12" i="117"/>
  <c r="L27" i="117"/>
  <c r="L19" i="117"/>
  <c r="L24" i="117"/>
  <c r="L2" i="117"/>
  <c r="L10" i="117"/>
  <c r="L30" i="117"/>
  <c r="J21" i="117"/>
  <c r="J25" i="117"/>
  <c r="J11" i="117"/>
  <c r="J5" i="117"/>
  <c r="J19" i="117"/>
  <c r="J10" i="117"/>
  <c r="J12" i="117"/>
  <c r="J18" i="117"/>
  <c r="J3" i="117"/>
  <c r="J30" i="117"/>
  <c r="J20" i="117"/>
  <c r="J9" i="117"/>
  <c r="J22" i="117"/>
  <c r="J7" i="117"/>
  <c r="J24" i="117"/>
  <c r="J32" i="117"/>
  <c r="J27" i="117"/>
  <c r="J4" i="117"/>
  <c r="J23" i="117"/>
  <c r="J29" i="117"/>
  <c r="J8" i="117"/>
  <c r="J2" i="117"/>
  <c r="J14" i="117"/>
  <c r="J17" i="117"/>
  <c r="J16" i="117"/>
  <c r="J13" i="117"/>
  <c r="J6" i="117"/>
  <c r="J26" i="117"/>
  <c r="J15" i="117"/>
  <c r="J28" i="117"/>
  <c r="J31" i="117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<sst xmlns="http://schemas.openxmlformats.org/spreadsheetml/2006/main" count="66" uniqueCount="32">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</sst>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8" x14ac:knownFonts="1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  <font>
      <u/>
      <sz val="10"/>
      <color theme="10"/>
      <name val="Arial"/>
    </font>
    <font>
      <u/>
      <sz val="10"/>
      <color theme="11"/>
      <name val="Arial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9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9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  <cellStyle name="パーセント" xfId="14" builtinId="5"/>
    <cellStyle name="ハイパーリンク" xfId="15" builtinId="8" hidden="1"/>
    <cellStyle name="ハイパーリンク" xfId="17" builtinId="8" hidden="1"/>
    <cellStyle name="標準" xfId="0" builtinId="0"/>
    <cellStyle name="表示済みのハイパーリンク" xfId="16" builtinId="9" hidden="1"/>
    <cellStyle name="表示済みのハイパーリンク" xfId="18" builtinId="9" hidde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4" Type="http://schemas.openxmlformats.org/officeDocument/2006/relationships/externalLink" Target="externalLinks/externalLink2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2&#12456;&#12493;&#12523;&#12462;&#12540;&#20351;&#29992;&#3732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0-2022_FS%20Tokyo%20at%20Otemachi_HEP_Monthl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エネルギー (SPA)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>
        <row r="205">
          <cell r="AL205">
            <v>507778.6</v>
          </cell>
        </row>
      </sheetData>
      <sheetData sheetId="3"/>
      <sheetData sheetId="4">
        <row r="387">
          <cell r="G387">
            <v>44</v>
          </cell>
        </row>
      </sheetData>
      <sheetData sheetId="5"/>
      <sheetData sheetId="6"/>
      <sheetData sheetId="7"/>
      <sheetData sheetId="8">
        <row r="23">
          <cell r="G23">
            <v>188</v>
          </cell>
        </row>
      </sheetData>
      <sheetData sheetId="9">
        <row r="3">
          <cell r="G3">
            <v>27.2</v>
          </cell>
        </row>
        <row r="23">
          <cell r="M23">
            <v>137.41899614825451</v>
          </cell>
        </row>
      </sheetData>
      <sheetData sheetId="10"/>
      <sheetData sheetId="11"/>
      <sheetData sheetId="12">
        <row r="29">
          <cell r="C29">
            <v>413.3664</v>
          </cell>
        </row>
      </sheetData>
      <sheetData sheetId="13">
        <row r="29">
          <cell r="C29">
            <v>412.81079999999997</v>
          </cell>
        </row>
      </sheetData>
      <sheetData sheetId="14">
        <row r="29">
          <cell r="C29">
            <v>413.3664</v>
          </cell>
        </row>
      </sheetData>
      <sheetData sheetId="15">
        <row r="29">
          <cell r="C29">
            <v>413.08859999999999</v>
          </cell>
        </row>
      </sheetData>
      <sheetData sheetId="16">
        <row r="29">
          <cell r="C29">
            <v>413.3664</v>
          </cell>
        </row>
      </sheetData>
      <sheetData sheetId="17">
        <row r="29">
          <cell r="C29">
            <v>413.64420000000001</v>
          </cell>
        </row>
      </sheetData>
      <sheetData sheetId="18">
        <row r="29">
          <cell r="C29">
            <v>413.3664</v>
          </cell>
        </row>
      </sheetData>
      <sheetData sheetId="19">
        <row r="29">
          <cell r="C29">
            <v>413.08859999999999</v>
          </cell>
        </row>
      </sheetData>
      <sheetData sheetId="20">
        <row r="29">
          <cell r="C29">
            <v>413.64420000000001</v>
          </cell>
        </row>
      </sheetData>
      <sheetData sheetId="21">
        <row r="29">
          <cell r="C29">
            <v>410.86619999999999</v>
          </cell>
        </row>
      </sheetData>
      <sheetData sheetId="22">
        <row r="29">
          <cell r="C29">
            <v>413.92199999999997</v>
          </cell>
        </row>
      </sheetData>
      <sheetData sheetId="23">
        <row r="29">
          <cell r="C29">
            <v>413.08859999999999</v>
          </cell>
        </row>
      </sheetData>
      <sheetData sheetId="24">
        <row r="29">
          <cell r="C29">
            <v>413.64420000000001</v>
          </cell>
        </row>
      </sheetData>
      <sheetData sheetId="25">
        <row r="29">
          <cell r="C29">
            <v>413.3664</v>
          </cell>
        </row>
      </sheetData>
      <sheetData sheetId="26">
        <row r="29">
          <cell r="C29">
            <v>413.3664</v>
          </cell>
        </row>
      </sheetData>
      <sheetData sheetId="27">
        <row r="29">
          <cell r="C29">
            <v>413.08859999999999</v>
          </cell>
        </row>
      </sheetData>
      <sheetData sheetId="28">
        <row r="29">
          <cell r="C29">
            <v>413.3664</v>
          </cell>
        </row>
      </sheetData>
      <sheetData sheetId="29">
        <row r="29">
          <cell r="C29">
            <v>413.92199999999997</v>
          </cell>
        </row>
      </sheetData>
      <sheetData sheetId="30">
        <row r="29">
          <cell r="C29">
            <v>413.3664</v>
          </cell>
        </row>
      </sheetData>
      <sheetData sheetId="31">
        <row r="29">
          <cell r="C29">
            <v>413.3664</v>
          </cell>
        </row>
      </sheetData>
      <sheetData sheetId="32">
        <row r="29">
          <cell r="C29">
            <v>413.3664</v>
          </cell>
        </row>
      </sheetData>
      <sheetData sheetId="33">
        <row r="29">
          <cell r="C29">
            <v>413.3664</v>
          </cell>
        </row>
      </sheetData>
      <sheetData sheetId="34">
        <row r="29">
          <cell r="C29">
            <v>413.08859999999999</v>
          </cell>
        </row>
      </sheetData>
      <sheetData sheetId="35">
        <row r="29">
          <cell r="C29">
            <v>412.81079999999997</v>
          </cell>
        </row>
      </sheetData>
      <sheetData sheetId="36">
        <row r="29">
          <cell r="C29">
            <v>413.64420000000001</v>
          </cell>
        </row>
      </sheetData>
      <sheetData sheetId="37">
        <row r="29">
          <cell r="C29">
            <v>413.08859999999999</v>
          </cell>
        </row>
      </sheetData>
      <sheetData sheetId="38">
        <row r="29">
          <cell r="C29">
            <v>413.64420000000001</v>
          </cell>
        </row>
      </sheetData>
      <sheetData sheetId="39">
        <row r="29">
          <cell r="C29">
            <v>413.3664</v>
          </cell>
        </row>
      </sheetData>
      <sheetData sheetId="40">
        <row r="29">
          <cell r="C29">
            <v>0</v>
          </cell>
        </row>
      </sheetData>
      <sheetData sheetId="41">
        <row r="29">
          <cell r="C29">
            <v>0</v>
          </cell>
        </row>
      </sheetData>
      <sheetData sheetId="42">
        <row r="29">
          <cell r="C29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5">
          <cell r="V25">
            <v>40.644983157212508</v>
          </cell>
          <cell r="AE25">
            <v>22.403689275418866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workbookViewId="0">
      <selection activeCell="F16" sqref="F16"/>
    </sheetView>
  </sheetViews>
  <sheetFormatPr baseColWidth="12" defaultColWidth="8.83203125" defaultRowHeight="12" x14ac:dyDescent="0"/>
  <cols>
    <col min="1" max="1" width="19.6640625" bestFit="1" customWidth="1"/>
    <col min="5" max="5" width="10.6640625" customWidth="1"/>
    <col min="6" max="6" width="12.1640625" customWidth="1"/>
    <col min="13" max="13" width="10.83203125" customWidth="1"/>
    <col min="14" max="14" width="11.33203125" customWidth="1"/>
  </cols>
  <sheetData>
    <row r="1" spans="1:16" ht="53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7">
      <c r="A2" s="6" t="s">
        <v>22</v>
      </c>
      <c r="B2" s="7">
        <v>1</v>
      </c>
      <c r="C2" s="8">
        <v>2</v>
      </c>
      <c r="D2" s="7">
        <v>2022</v>
      </c>
      <c r="E2" s="9">
        <f>'Otemachi Daily'!D5</f>
        <v>13664</v>
      </c>
      <c r="F2" s="34">
        <f>[1]見込!$G$3</f>
        <v>27.2</v>
      </c>
      <c r="G2" s="9">
        <f>'Otemachi Daily'!F5</f>
        <v>188</v>
      </c>
      <c r="H2" s="34">
        <f>[1]見込!$M$23</f>
        <v>137.41899614825451</v>
      </c>
      <c r="I2" s="9">
        <f>'Otemachi Daily'!H5</f>
        <v>1224.2646</v>
      </c>
      <c r="J2" s="34">
        <f>[2]Sheet1!$V$25</f>
        <v>40.644983157212508</v>
      </c>
      <c r="K2" s="9">
        <f>'Otemachi Daily'!J5</f>
        <v>23698.812420000002</v>
      </c>
      <c r="L2" s="34">
        <f>[2]Sheet1!$AE$25</f>
        <v>22.403689275418866</v>
      </c>
      <c r="M2" s="9">
        <f>'Otemachi Daily'!L5</f>
        <v>132</v>
      </c>
      <c r="N2" s="34">
        <v>741</v>
      </c>
      <c r="O2" s="9">
        <f>'Otemachi Daily'!M5</f>
        <v>44</v>
      </c>
      <c r="P2" s="9">
        <f>'Otemachi Daily'!N5</f>
        <v>82</v>
      </c>
    </row>
    <row r="3" spans="1:16" ht="17">
      <c r="A3" s="6" t="s">
        <v>22</v>
      </c>
      <c r="B3" s="7">
        <f>B2+1</f>
        <v>2</v>
      </c>
      <c r="C3" s="8">
        <v>2</v>
      </c>
      <c r="D3" s="7">
        <v>2022</v>
      </c>
      <c r="E3" s="9">
        <f>'Otemachi Daily'!D6</f>
        <v>13924</v>
      </c>
      <c r="F3" s="34">
        <f>[1]見込!$G$3</f>
        <v>27.2</v>
      </c>
      <c r="G3" s="9">
        <f>'Otemachi Daily'!F6</f>
        <v>153.1</v>
      </c>
      <c r="H3" s="34">
        <f>[1]見込!$M$23</f>
        <v>137.41899614825451</v>
      </c>
      <c r="I3" s="9">
        <f>'Otemachi Daily'!H6</f>
        <v>1225.098</v>
      </c>
      <c r="J3" s="34">
        <f>[2]Sheet1!$V$25</f>
        <v>40.644983157212508</v>
      </c>
      <c r="K3" s="9">
        <f>'Otemachi Daily'!J6</f>
        <v>24483.014040000002</v>
      </c>
      <c r="L3" s="34">
        <f>[2]Sheet1!$AE$25</f>
        <v>22.403689275418866</v>
      </c>
      <c r="M3" s="9">
        <f>'Otemachi Daily'!L6</f>
        <v>120</v>
      </c>
      <c r="N3" s="34">
        <v>741</v>
      </c>
      <c r="O3" s="9">
        <f>'Otemachi Daily'!M6</f>
        <v>58</v>
      </c>
      <c r="P3" s="9">
        <f>'Otemachi Daily'!N6</f>
        <v>99</v>
      </c>
    </row>
    <row r="4" spans="1:16" ht="17">
      <c r="A4" s="6" t="s">
        <v>22</v>
      </c>
      <c r="B4" s="7">
        <f t="shared" ref="B4:B32" si="0">B3+1</f>
        <v>3</v>
      </c>
      <c r="C4" s="8">
        <v>2</v>
      </c>
      <c r="D4" s="7">
        <v>2022</v>
      </c>
      <c r="E4" s="9">
        <f>'Otemachi Daily'!D7</f>
        <v>13902</v>
      </c>
      <c r="F4" s="34">
        <f>[1]見込!$G$3</f>
        <v>27.2</v>
      </c>
      <c r="G4" s="9">
        <f>'Otemachi Daily'!F7</f>
        <v>180.3</v>
      </c>
      <c r="H4" s="34">
        <f>[1]見込!$M$23</f>
        <v>137.41899614825451</v>
      </c>
      <c r="I4" s="9">
        <f>'Otemachi Daily'!H7</f>
        <v>1451.2271999999998</v>
      </c>
      <c r="J4" s="34">
        <f>[2]Sheet1!$V$25</f>
        <v>40.644983157212508</v>
      </c>
      <c r="K4" s="9">
        <f>'Otemachi Daily'!J7</f>
        <v>24115.429080000002</v>
      </c>
      <c r="L4" s="34">
        <f>[2]Sheet1!$AE$25</f>
        <v>22.403689275418866</v>
      </c>
      <c r="M4" s="9">
        <f>'Otemachi Daily'!L7</f>
        <v>155</v>
      </c>
      <c r="N4" s="34">
        <v>741</v>
      </c>
      <c r="O4" s="9">
        <f>'Otemachi Daily'!M7</f>
        <v>62</v>
      </c>
      <c r="P4" s="9">
        <f>'Otemachi Daily'!N7</f>
        <v>103</v>
      </c>
    </row>
    <row r="5" spans="1:16" ht="17">
      <c r="A5" s="6" t="s">
        <v>22</v>
      </c>
      <c r="B5" s="7">
        <f t="shared" si="0"/>
        <v>4</v>
      </c>
      <c r="C5" s="8">
        <v>2</v>
      </c>
      <c r="D5" s="7">
        <v>2022</v>
      </c>
      <c r="E5" s="9">
        <f>'Otemachi Daily'!D8</f>
        <v>14645</v>
      </c>
      <c r="F5" s="34">
        <f>[1]見込!$G$3</f>
        <v>27.2</v>
      </c>
      <c r="G5" s="9">
        <f>'Otemachi Daily'!F8</f>
        <v>193</v>
      </c>
      <c r="H5" s="34">
        <f>[1]見込!$M$23</f>
        <v>137.41899614825451</v>
      </c>
      <c r="I5" s="9">
        <f>'Otemachi Daily'!H8</f>
        <v>1001.7467999999999</v>
      </c>
      <c r="J5" s="34">
        <f>[2]Sheet1!$V$25</f>
        <v>40.644983157212508</v>
      </c>
      <c r="K5" s="9">
        <f>'Otemachi Daily'!J8</f>
        <v>26353.385880000002</v>
      </c>
      <c r="L5" s="34">
        <f>[2]Sheet1!$AE$25</f>
        <v>22.403689275418866</v>
      </c>
      <c r="M5" s="9">
        <f>'Otemachi Daily'!L8</f>
        <v>141</v>
      </c>
      <c r="N5" s="34">
        <v>741</v>
      </c>
      <c r="O5" s="9">
        <f>'Otemachi Daily'!M8</f>
        <v>70</v>
      </c>
      <c r="P5" s="9">
        <f>'Otemachi Daily'!N8</f>
        <v>127</v>
      </c>
    </row>
    <row r="6" spans="1:16" ht="17">
      <c r="A6" s="6" t="s">
        <v>22</v>
      </c>
      <c r="B6" s="7">
        <f t="shared" si="0"/>
        <v>5</v>
      </c>
      <c r="C6" s="8">
        <v>2</v>
      </c>
      <c r="D6" s="7">
        <v>2022</v>
      </c>
      <c r="E6" s="9">
        <f>'Otemachi Daily'!D9</f>
        <v>15264</v>
      </c>
      <c r="F6" s="34">
        <f>[1]見込!$G$3</f>
        <v>27.2</v>
      </c>
      <c r="G6" s="9">
        <f>'Otemachi Daily'!F9</f>
        <v>201.9</v>
      </c>
      <c r="H6" s="34">
        <f>[1]見込!$M$23</f>
        <v>137.41899614825451</v>
      </c>
      <c r="I6" s="9">
        <f>'Otemachi Daily'!H9</f>
        <v>941.46420000000001</v>
      </c>
      <c r="J6" s="34">
        <f>[2]Sheet1!$V$25</f>
        <v>40.644983157212508</v>
      </c>
      <c r="K6" s="9">
        <f>'Otemachi Daily'!J9</f>
        <v>33184.626779999999</v>
      </c>
      <c r="L6" s="34">
        <f>[2]Sheet1!$AE$25</f>
        <v>22.403689275418866</v>
      </c>
      <c r="M6" s="9">
        <f>'Otemachi Daily'!L9</f>
        <v>193</v>
      </c>
      <c r="N6" s="34">
        <v>741</v>
      </c>
      <c r="O6" s="9">
        <f>'Otemachi Daily'!M9</f>
        <v>118</v>
      </c>
      <c r="P6" s="9">
        <f>'Otemachi Daily'!N9</f>
        <v>223</v>
      </c>
    </row>
    <row r="7" spans="1:16" ht="17">
      <c r="A7" s="6" t="s">
        <v>22</v>
      </c>
      <c r="B7" s="7">
        <f t="shared" si="0"/>
        <v>6</v>
      </c>
      <c r="C7" s="8">
        <v>2</v>
      </c>
      <c r="D7" s="7">
        <v>2022</v>
      </c>
      <c r="E7" s="9">
        <f>'Otemachi Daily'!D10</f>
        <v>15524</v>
      </c>
      <c r="F7" s="34">
        <f>[1]見込!$G$3</f>
        <v>27.2</v>
      </c>
      <c r="G7" s="9">
        <f>'Otemachi Daily'!F10</f>
        <v>189</v>
      </c>
      <c r="H7" s="34">
        <f>[1]見込!$M$23</f>
        <v>137.41899614825451</v>
      </c>
      <c r="I7" s="9">
        <f>'Otemachi Daily'!H10</f>
        <v>635.88419999999996</v>
      </c>
      <c r="J7" s="34">
        <f>[2]Sheet1!$V$25</f>
        <v>40.644983157212508</v>
      </c>
      <c r="K7" s="9">
        <f>'Otemachi Daily'!J10</f>
        <v>34552.736219999999</v>
      </c>
      <c r="L7" s="34">
        <f>[2]Sheet1!$AE$25</f>
        <v>22.403689275418866</v>
      </c>
      <c r="M7" s="9">
        <f>'Otemachi Daily'!L10</f>
        <v>193</v>
      </c>
      <c r="N7" s="34">
        <v>741</v>
      </c>
      <c r="O7" s="9">
        <f>'Otemachi Daily'!M10</f>
        <v>66</v>
      </c>
      <c r="P7" s="9">
        <f>'Otemachi Daily'!N10</f>
        <v>127</v>
      </c>
    </row>
    <row r="8" spans="1:16" ht="17">
      <c r="A8" s="6" t="s">
        <v>22</v>
      </c>
      <c r="B8" s="7">
        <f t="shared" si="0"/>
        <v>7</v>
      </c>
      <c r="C8" s="8">
        <v>2</v>
      </c>
      <c r="D8" s="7">
        <v>2022</v>
      </c>
      <c r="E8" s="9">
        <f>'Otemachi Daily'!D11</f>
        <v>14413</v>
      </c>
      <c r="F8" s="34">
        <f>[1]見込!$G$3</f>
        <v>27.2</v>
      </c>
      <c r="G8" s="9">
        <f>'Otemachi Daily'!F11</f>
        <v>183</v>
      </c>
      <c r="H8" s="34">
        <f>[1]見込!$M$23</f>
        <v>137.41899614825451</v>
      </c>
      <c r="I8" s="9">
        <f>'Otemachi Daily'!H11</f>
        <v>1164.5376000000001</v>
      </c>
      <c r="J8" s="34">
        <f>[2]Sheet1!$V$25</f>
        <v>40.644983157212508</v>
      </c>
      <c r="K8" s="9">
        <f>'Otemachi Daily'!J11</f>
        <v>30640.978860000003</v>
      </c>
      <c r="L8" s="34">
        <f>[2]Sheet1!$AE$25</f>
        <v>22.403689275418866</v>
      </c>
      <c r="M8" s="9">
        <f>'Otemachi Daily'!L11</f>
        <v>253</v>
      </c>
      <c r="N8" s="34">
        <v>741</v>
      </c>
      <c r="O8" s="9">
        <f>'Otemachi Daily'!M11</f>
        <v>45</v>
      </c>
      <c r="P8" s="9">
        <f>'Otemachi Daily'!N11</f>
        <v>76</v>
      </c>
    </row>
    <row r="9" spans="1:16" ht="17">
      <c r="A9" s="6" t="s">
        <v>22</v>
      </c>
      <c r="B9" s="7">
        <f t="shared" si="0"/>
        <v>8</v>
      </c>
      <c r="C9" s="8">
        <v>2</v>
      </c>
      <c r="D9" s="7">
        <v>2022</v>
      </c>
      <c r="E9" s="9">
        <f>'Otemachi Daily'!D12</f>
        <v>14292</v>
      </c>
      <c r="F9" s="34">
        <f>[1]見込!$G$3</f>
        <v>27.2</v>
      </c>
      <c r="G9" s="9">
        <f>'Otemachi Daily'!F12</f>
        <v>171</v>
      </c>
      <c r="H9" s="34">
        <f>[1]見込!$M$23</f>
        <v>137.41899614825451</v>
      </c>
      <c r="I9" s="9">
        <f>'Otemachi Daily'!H12</f>
        <v>726.72479999999996</v>
      </c>
      <c r="J9" s="34">
        <f>[2]Sheet1!$V$25</f>
        <v>40.644983157212508</v>
      </c>
      <c r="K9" s="9">
        <f>'Otemachi Daily'!J12</f>
        <v>28940.2317</v>
      </c>
      <c r="L9" s="34">
        <f>[2]Sheet1!$AE$25</f>
        <v>22.403689275418866</v>
      </c>
      <c r="M9" s="9">
        <f>'Otemachi Daily'!L12</f>
        <v>138</v>
      </c>
      <c r="N9" s="34">
        <v>741</v>
      </c>
      <c r="O9" s="9">
        <f>'Otemachi Daily'!M12</f>
        <v>52</v>
      </c>
      <c r="P9" s="9">
        <f>'Otemachi Daily'!N12</f>
        <v>91</v>
      </c>
    </row>
    <row r="10" spans="1:16" ht="17">
      <c r="A10" s="6" t="s">
        <v>22</v>
      </c>
      <c r="B10" s="7">
        <f t="shared" si="0"/>
        <v>9</v>
      </c>
      <c r="C10" s="8">
        <v>2</v>
      </c>
      <c r="D10" s="7">
        <v>2022</v>
      </c>
      <c r="E10" s="9">
        <f>'Otemachi Daily'!D13</f>
        <v>14063</v>
      </c>
      <c r="F10" s="34">
        <f>[1]見込!$G$3</f>
        <v>27.2</v>
      </c>
      <c r="G10" s="9">
        <f>'Otemachi Daily'!F13</f>
        <v>173</v>
      </c>
      <c r="H10" s="34">
        <f>[1]見込!$M$23</f>
        <v>137.41899614825451</v>
      </c>
      <c r="I10" s="9">
        <f>'Otemachi Daily'!H13</f>
        <v>1083.1422</v>
      </c>
      <c r="J10" s="34">
        <f>[2]Sheet1!$V$25</f>
        <v>40.644983157212508</v>
      </c>
      <c r="K10" s="9">
        <f>'Otemachi Daily'!J13</f>
        <v>27749.164199999999</v>
      </c>
      <c r="L10" s="34">
        <f>[2]Sheet1!$AE$25</f>
        <v>22.403689275418866</v>
      </c>
      <c r="M10" s="9">
        <f>'Otemachi Daily'!L13</f>
        <v>147</v>
      </c>
      <c r="N10" s="34">
        <v>741</v>
      </c>
      <c r="O10" s="9">
        <f>'Otemachi Daily'!M13</f>
        <v>61</v>
      </c>
      <c r="P10" s="9">
        <f>'Otemachi Daily'!N13</f>
        <v>108</v>
      </c>
    </row>
    <row r="11" spans="1:16" ht="17">
      <c r="A11" s="6" t="s">
        <v>22</v>
      </c>
      <c r="B11" s="7">
        <f t="shared" si="0"/>
        <v>10</v>
      </c>
      <c r="C11" s="8">
        <v>2</v>
      </c>
      <c r="D11" s="7">
        <v>2022</v>
      </c>
      <c r="E11" s="9">
        <f>'Otemachi Daily'!D14</f>
        <v>15284</v>
      </c>
      <c r="F11" s="34">
        <f>[1]見込!$G$3</f>
        <v>27.2</v>
      </c>
      <c r="G11" s="9">
        <f>'Otemachi Daily'!F14</f>
        <v>183.3</v>
      </c>
      <c r="H11" s="34">
        <f>[1]見込!$M$23</f>
        <v>137.41899614825451</v>
      </c>
      <c r="I11" s="9">
        <f>'Otemachi Daily'!H14</f>
        <v>605.32619999999997</v>
      </c>
      <c r="J11" s="34">
        <f>[2]Sheet1!$V$25</f>
        <v>40.644983157212508</v>
      </c>
      <c r="K11" s="9">
        <f>'Otemachi Daily'!J14</f>
        <v>36076.330320000001</v>
      </c>
      <c r="L11" s="34">
        <f>[2]Sheet1!$AE$25</f>
        <v>22.403689275418866</v>
      </c>
      <c r="M11" s="9">
        <f>'Otemachi Daily'!L14</f>
        <v>177</v>
      </c>
      <c r="N11" s="34">
        <v>741</v>
      </c>
      <c r="O11" s="9">
        <f>'Otemachi Daily'!M14</f>
        <v>117</v>
      </c>
      <c r="P11" s="9">
        <f>'Otemachi Daily'!N14</f>
        <v>217</v>
      </c>
    </row>
    <row r="12" spans="1:16" ht="17">
      <c r="A12" s="6" t="s">
        <v>22</v>
      </c>
      <c r="B12" s="7">
        <f t="shared" si="0"/>
        <v>11</v>
      </c>
      <c r="C12" s="8">
        <v>2</v>
      </c>
      <c r="D12" s="7">
        <v>2022</v>
      </c>
      <c r="E12" s="9">
        <f>'Otemachi Daily'!D15</f>
        <v>15724</v>
      </c>
      <c r="F12" s="34">
        <f>[1]見込!$G$3</f>
        <v>27.2</v>
      </c>
      <c r="G12" s="9">
        <f>'Otemachi Daily'!F15</f>
        <v>196.2</v>
      </c>
      <c r="H12" s="34">
        <f>[1]見込!$M$23</f>
        <v>137.41899614825451</v>
      </c>
      <c r="I12" s="9">
        <f>'Otemachi Daily'!H15</f>
        <v>858.95759999999996</v>
      </c>
      <c r="J12" s="34">
        <f>[2]Sheet1!$V$25</f>
        <v>40.644983157212508</v>
      </c>
      <c r="K12" s="9">
        <f>'Otemachi Daily'!J15</f>
        <v>32111.957640000001</v>
      </c>
      <c r="L12" s="34">
        <f>[2]Sheet1!$AE$25</f>
        <v>22.403689275418866</v>
      </c>
      <c r="M12" s="9">
        <f>'Otemachi Daily'!L15</f>
        <v>212</v>
      </c>
      <c r="N12" s="34">
        <v>741</v>
      </c>
      <c r="O12" s="9">
        <f>'Otemachi Daily'!M15</f>
        <v>136</v>
      </c>
      <c r="P12" s="9">
        <f>'Otemachi Daily'!N15</f>
        <v>224</v>
      </c>
    </row>
    <row r="13" spans="1:16" ht="17">
      <c r="A13" s="6" t="s">
        <v>22</v>
      </c>
      <c r="B13" s="7">
        <f t="shared" si="0"/>
        <v>12</v>
      </c>
      <c r="C13" s="8">
        <v>2</v>
      </c>
      <c r="D13" s="7">
        <v>2022</v>
      </c>
      <c r="E13" s="9">
        <f>'Otemachi Daily'!D16</f>
        <v>15565</v>
      </c>
      <c r="F13" s="34">
        <f>[1]見込!$G$3</f>
        <v>27.2</v>
      </c>
      <c r="G13" s="9">
        <f>'Otemachi Daily'!F16</f>
        <v>200.1</v>
      </c>
      <c r="H13" s="34">
        <f>[1]見込!$M$23</f>
        <v>137.41899614825451</v>
      </c>
      <c r="I13" s="9">
        <f>'Otemachi Daily'!H16</f>
        <v>1472.8956000000001</v>
      </c>
      <c r="J13" s="34">
        <f>[2]Sheet1!$V$25</f>
        <v>40.644983157212508</v>
      </c>
      <c r="K13" s="9">
        <f>'Otemachi Daily'!J16</f>
        <v>31892.801220000001</v>
      </c>
      <c r="L13" s="34">
        <f>[2]Sheet1!$AE$25</f>
        <v>22.403689275418866</v>
      </c>
      <c r="M13" s="9">
        <f>'Otemachi Daily'!L16</f>
        <v>229</v>
      </c>
      <c r="N13" s="34">
        <v>741</v>
      </c>
      <c r="O13" s="9">
        <f>'Otemachi Daily'!M16</f>
        <v>121</v>
      </c>
      <c r="P13" s="9">
        <f>'Otemachi Daily'!N16</f>
        <v>131</v>
      </c>
    </row>
    <row r="14" spans="1:16" ht="17">
      <c r="A14" s="6" t="s">
        <v>22</v>
      </c>
      <c r="B14" s="7">
        <f t="shared" si="0"/>
        <v>13</v>
      </c>
      <c r="C14" s="8">
        <v>2</v>
      </c>
      <c r="D14" s="7">
        <v>2022</v>
      </c>
      <c r="E14" s="9">
        <f>'Otemachi Daily'!D17</f>
        <v>15686</v>
      </c>
      <c r="F14" s="34">
        <f>[1]見込!$G$3</f>
        <v>27.2</v>
      </c>
      <c r="G14" s="9">
        <f>'Otemachi Daily'!F17</f>
        <v>197.1</v>
      </c>
      <c r="H14" s="34">
        <f>[1]見込!$M$23</f>
        <v>137.41899614825451</v>
      </c>
      <c r="I14" s="9">
        <f>'Otemachi Daily'!H17</f>
        <v>635.88419999999996</v>
      </c>
      <c r="J14" s="34">
        <f>[2]Sheet1!$V$25</f>
        <v>40.644983157212508</v>
      </c>
      <c r="K14" s="9">
        <f>'Otemachi Daily'!J17</f>
        <v>32446.956660000003</v>
      </c>
      <c r="L14" s="34">
        <f>[2]Sheet1!$AE$25</f>
        <v>22.403689275418866</v>
      </c>
      <c r="M14" s="9">
        <f>'Otemachi Daily'!L17</f>
        <v>214</v>
      </c>
      <c r="N14" s="34">
        <v>741</v>
      </c>
      <c r="O14" s="9">
        <f>'Otemachi Daily'!M17</f>
        <v>75</v>
      </c>
      <c r="P14" s="9">
        <f>'Otemachi Daily'!N17</f>
        <v>139</v>
      </c>
    </row>
    <row r="15" spans="1:16" ht="17">
      <c r="A15" s="6" t="s">
        <v>22</v>
      </c>
      <c r="B15" s="7">
        <f t="shared" si="0"/>
        <v>14</v>
      </c>
      <c r="C15" s="8">
        <v>2</v>
      </c>
      <c r="D15" s="7">
        <v>2022</v>
      </c>
      <c r="E15" s="9">
        <f>'Otemachi Daily'!D18</f>
        <v>14751</v>
      </c>
      <c r="F15" s="34">
        <f>[1]見込!$G$3</f>
        <v>27.2</v>
      </c>
      <c r="G15" s="9">
        <f>'Otemachi Daily'!F18</f>
        <v>192</v>
      </c>
      <c r="H15" s="34">
        <f>[1]見込!$M$23</f>
        <v>137.41899614825451</v>
      </c>
      <c r="I15" s="9">
        <f>'Otemachi Daily'!H18</f>
        <v>504.20699999999999</v>
      </c>
      <c r="J15" s="34">
        <f>[2]Sheet1!$V$25</f>
        <v>40.644983157212508</v>
      </c>
      <c r="K15" s="9">
        <f>'Otemachi Daily'!J18</f>
        <v>30597.142019999999</v>
      </c>
      <c r="L15" s="34">
        <f>[2]Sheet1!$AE$25</f>
        <v>22.403689275418866</v>
      </c>
      <c r="M15" s="9">
        <f>'Otemachi Daily'!L18</f>
        <v>169</v>
      </c>
      <c r="N15" s="34">
        <v>741</v>
      </c>
      <c r="O15" s="9">
        <f>'Otemachi Daily'!M18</f>
        <v>64</v>
      </c>
      <c r="P15" s="9">
        <f>'Otemachi Daily'!N18</f>
        <v>121</v>
      </c>
    </row>
    <row r="16" spans="1:16" ht="17">
      <c r="A16" s="6" t="s">
        <v>22</v>
      </c>
      <c r="B16" s="7">
        <f t="shared" si="0"/>
        <v>15</v>
      </c>
      <c r="C16" s="8">
        <v>2</v>
      </c>
      <c r="D16" s="7">
        <v>2022</v>
      </c>
      <c r="E16" s="9">
        <f>'Otemachi Daily'!D19</f>
        <v>14366</v>
      </c>
      <c r="F16" s="34">
        <f>[1]見込!$G$3</f>
        <v>27.2</v>
      </c>
      <c r="G16" s="9">
        <f>'Otemachi Daily'!F19</f>
        <v>187.2</v>
      </c>
      <c r="H16" s="34">
        <f>[1]見込!$M$23</f>
        <v>137.41899614825451</v>
      </c>
      <c r="I16" s="9">
        <f>'Otemachi Daily'!H19</f>
        <v>1195.6512</v>
      </c>
      <c r="J16" s="34">
        <f>[2]Sheet1!$V$25</f>
        <v>40.644983157212508</v>
      </c>
      <c r="K16" s="9">
        <f>'Otemachi Daily'!J19</f>
        <v>26364.136740000002</v>
      </c>
      <c r="L16" s="34">
        <f>[2]Sheet1!$AE$25</f>
        <v>22.403689275418866</v>
      </c>
      <c r="M16" s="9">
        <f>'Otemachi Daily'!L19</f>
        <v>151</v>
      </c>
      <c r="N16" s="34">
        <v>741</v>
      </c>
      <c r="O16" s="9">
        <f>'Otemachi Daily'!M19</f>
        <v>75</v>
      </c>
      <c r="P16" s="9">
        <f>'Otemachi Daily'!N19</f>
        <v>137</v>
      </c>
    </row>
    <row r="17" spans="1:16" ht="17">
      <c r="A17" s="6" t="s">
        <v>22</v>
      </c>
      <c r="B17" s="7">
        <f t="shared" si="0"/>
        <v>16</v>
      </c>
      <c r="C17" s="8">
        <v>2</v>
      </c>
      <c r="D17" s="7">
        <v>2022</v>
      </c>
      <c r="E17" s="9">
        <f>'Otemachi Daily'!D20</f>
        <v>14732</v>
      </c>
      <c r="F17" s="34">
        <f>[1]見込!$G$3</f>
        <v>27.2</v>
      </c>
      <c r="G17" s="9">
        <f>'Otemachi Daily'!F20</f>
        <v>168.1</v>
      </c>
      <c r="H17" s="34">
        <f>[1]見込!$M$23</f>
        <v>137.41899614825451</v>
      </c>
      <c r="I17" s="9">
        <f>'Otemachi Daily'!H20</f>
        <v>1222.0421999999999</v>
      </c>
      <c r="J17" s="34">
        <f>[2]Sheet1!$V$25</f>
        <v>40.644983157212508</v>
      </c>
      <c r="K17" s="9">
        <f>'Otemachi Daily'!J20</f>
        <v>26614.60122</v>
      </c>
      <c r="L17" s="34">
        <f>[2]Sheet1!$AE$25</f>
        <v>22.403689275418866</v>
      </c>
      <c r="M17" s="9">
        <f>'Otemachi Daily'!L20</f>
        <v>150</v>
      </c>
      <c r="N17" s="34">
        <v>741</v>
      </c>
      <c r="O17" s="9">
        <f>'Otemachi Daily'!M20</f>
        <v>66</v>
      </c>
      <c r="P17" s="9">
        <f>'Otemachi Daily'!N20</f>
        <v>122</v>
      </c>
    </row>
    <row r="18" spans="1:16" ht="17">
      <c r="A18" s="6" t="s">
        <v>22</v>
      </c>
      <c r="B18" s="7">
        <f t="shared" si="0"/>
        <v>17</v>
      </c>
      <c r="C18" s="8">
        <v>2</v>
      </c>
      <c r="D18" s="7">
        <v>2022</v>
      </c>
      <c r="E18" s="9">
        <f>'Otemachi Daily'!D21</f>
        <v>14942</v>
      </c>
      <c r="F18" s="34">
        <f>[1]見込!$G$3</f>
        <v>27.2</v>
      </c>
      <c r="G18" s="9">
        <f>'Otemachi Daily'!F21</f>
        <v>182.3</v>
      </c>
      <c r="H18" s="34">
        <f>[1]見込!$M$23</f>
        <v>137.41899614825451</v>
      </c>
      <c r="I18" s="9">
        <f>'Otemachi Daily'!H21</f>
        <v>943.6866</v>
      </c>
      <c r="J18" s="34">
        <f>[2]Sheet1!$V$25</f>
        <v>40.644983157212508</v>
      </c>
      <c r="K18" s="9">
        <f>'Otemachi Daily'!J21</f>
        <v>30964.671419999999</v>
      </c>
      <c r="L18" s="34">
        <f>[2]Sheet1!$AE$25</f>
        <v>22.403689275418866</v>
      </c>
      <c r="M18" s="9">
        <f>'Otemachi Daily'!L21</f>
        <v>160</v>
      </c>
      <c r="N18" s="34">
        <v>741</v>
      </c>
      <c r="O18" s="9">
        <f>'Otemachi Daily'!M21</f>
        <v>73</v>
      </c>
      <c r="P18" s="9">
        <f>'Otemachi Daily'!N21</f>
        <v>133</v>
      </c>
    </row>
    <row r="19" spans="1:16" ht="17">
      <c r="A19" s="6" t="s">
        <v>22</v>
      </c>
      <c r="B19" s="7">
        <f t="shared" si="0"/>
        <v>18</v>
      </c>
      <c r="C19" s="8">
        <v>2</v>
      </c>
      <c r="D19" s="7">
        <v>2022</v>
      </c>
      <c r="E19" s="9">
        <f>'Otemachi Daily'!D22</f>
        <v>14746</v>
      </c>
      <c r="F19" s="34">
        <f>[1]見込!$G$3</f>
        <v>27.2</v>
      </c>
      <c r="G19" s="9">
        <f>'Otemachi Daily'!F22</f>
        <v>195.9</v>
      </c>
      <c r="H19" s="34">
        <f>[1]見込!$M$23</f>
        <v>137.41899614825451</v>
      </c>
      <c r="I19" s="9">
        <f>'Otemachi Daily'!H22</f>
        <v>1248.9887999999999</v>
      </c>
      <c r="J19" s="34">
        <f>[2]Sheet1!$V$25</f>
        <v>40.644983157212508</v>
      </c>
      <c r="K19" s="9">
        <f>'Otemachi Daily'!J22</f>
        <v>28627.262219999997</v>
      </c>
      <c r="L19" s="34">
        <f>[2]Sheet1!$AE$25</f>
        <v>22.403689275418866</v>
      </c>
      <c r="M19" s="9">
        <f>'Otemachi Daily'!L22</f>
        <v>170</v>
      </c>
      <c r="N19" s="34">
        <v>741</v>
      </c>
      <c r="O19" s="9">
        <f>'Otemachi Daily'!M22</f>
        <v>81</v>
      </c>
      <c r="P19" s="9">
        <f>'Otemachi Daily'!N22</f>
        <v>148</v>
      </c>
    </row>
    <row r="20" spans="1:16" ht="17">
      <c r="A20" s="6" t="s">
        <v>22</v>
      </c>
      <c r="B20" s="7">
        <f t="shared" si="0"/>
        <v>19</v>
      </c>
      <c r="C20" s="8">
        <v>2</v>
      </c>
      <c r="D20" s="7">
        <v>2022</v>
      </c>
      <c r="E20" s="9">
        <f>'Otemachi Daily'!D23</f>
        <v>15293</v>
      </c>
      <c r="F20" s="34">
        <f>[1]見込!$G$3</f>
        <v>27.2</v>
      </c>
      <c r="G20" s="9">
        <f>'Otemachi Daily'!F23</f>
        <v>180.2</v>
      </c>
      <c r="H20" s="34">
        <f>[1]見込!$M$23</f>
        <v>137.41899614825451</v>
      </c>
      <c r="I20" s="9">
        <f>'Otemachi Daily'!H23</f>
        <v>998.69100000000003</v>
      </c>
      <c r="J20" s="34">
        <f>[2]Sheet1!$V$25</f>
        <v>40.644983157212508</v>
      </c>
      <c r="K20" s="9">
        <f>'Otemachi Daily'!J23</f>
        <v>29610.0075</v>
      </c>
      <c r="L20" s="34">
        <f>[2]Sheet1!$AE$25</f>
        <v>22.403689275418866</v>
      </c>
      <c r="M20" s="9">
        <f>'Otemachi Daily'!L23</f>
        <v>186</v>
      </c>
      <c r="N20" s="34">
        <v>741</v>
      </c>
      <c r="O20" s="9">
        <f>'Otemachi Daily'!M23</f>
        <v>125</v>
      </c>
      <c r="P20" s="9">
        <f>'Otemachi Daily'!N23</f>
        <v>243</v>
      </c>
    </row>
    <row r="21" spans="1:16" ht="17">
      <c r="A21" s="6" t="s">
        <v>22</v>
      </c>
      <c r="B21" s="7">
        <f t="shared" si="0"/>
        <v>20</v>
      </c>
      <c r="C21" s="8">
        <v>2</v>
      </c>
      <c r="D21" s="7">
        <v>2022</v>
      </c>
      <c r="E21" s="9">
        <f>'Otemachi Daily'!D24</f>
        <v>15313</v>
      </c>
      <c r="F21" s="34">
        <f>[1]見込!$G$3</f>
        <v>27.2</v>
      </c>
      <c r="G21" s="9">
        <f>'Otemachi Daily'!F24</f>
        <v>194.2</v>
      </c>
      <c r="H21" s="34">
        <f>[1]見込!$M$23</f>
        <v>137.41899614825451</v>
      </c>
      <c r="I21" s="9">
        <f>'Otemachi Daily'!H24</f>
        <v>1115.9225999999999</v>
      </c>
      <c r="J21" s="34">
        <f>[2]Sheet1!$V$25</f>
        <v>40.644983157212508</v>
      </c>
      <c r="K21" s="9">
        <f>'Otemachi Daily'!J24</f>
        <v>29885.585099999997</v>
      </c>
      <c r="L21" s="34">
        <f>[2]Sheet1!$AE$25</f>
        <v>22.403689275418866</v>
      </c>
      <c r="M21" s="9">
        <f>'Otemachi Daily'!L24</f>
        <v>221</v>
      </c>
      <c r="N21" s="34">
        <v>741</v>
      </c>
      <c r="O21" s="9">
        <f>'Otemachi Daily'!M24</f>
        <v>83</v>
      </c>
      <c r="P21" s="9">
        <f>'Otemachi Daily'!N24</f>
        <v>151</v>
      </c>
    </row>
    <row r="22" spans="1:16" ht="17">
      <c r="A22" s="6" t="s">
        <v>22</v>
      </c>
      <c r="B22" s="7">
        <f t="shared" si="0"/>
        <v>21</v>
      </c>
      <c r="C22" s="8">
        <v>2</v>
      </c>
      <c r="D22" s="7">
        <v>2022</v>
      </c>
      <c r="E22" s="9">
        <f>'Otemachi Daily'!D25</f>
        <v>14935</v>
      </c>
      <c r="F22" s="34">
        <f>[1]見込!$G$3</f>
        <v>27.2</v>
      </c>
      <c r="G22" s="9">
        <f>'Otemachi Daily'!F25</f>
        <v>194</v>
      </c>
      <c r="H22" s="34">
        <f>[1]見込!$M$23</f>
        <v>137.41899614825451</v>
      </c>
      <c r="I22" s="9">
        <f>'Otemachi Daily'!H25</f>
        <v>950.35379999999998</v>
      </c>
      <c r="J22" s="34">
        <f>[2]Sheet1!$V$25</f>
        <v>40.644983157212508</v>
      </c>
      <c r="K22" s="9">
        <f>'Otemachi Daily'!J25</f>
        <v>32104.151460000001</v>
      </c>
      <c r="L22" s="34">
        <f>[2]Sheet1!$AE$25</f>
        <v>22.403689275418866</v>
      </c>
      <c r="M22" s="9">
        <f>'Otemachi Daily'!L25</f>
        <v>176</v>
      </c>
      <c r="N22" s="34">
        <v>741</v>
      </c>
      <c r="O22" s="9">
        <f>'Otemachi Daily'!M25</f>
        <v>84</v>
      </c>
      <c r="P22" s="9">
        <f>'Otemachi Daily'!N25</f>
        <v>146</v>
      </c>
    </row>
    <row r="23" spans="1:16" ht="17">
      <c r="A23" s="6" t="s">
        <v>22</v>
      </c>
      <c r="B23" s="7">
        <f t="shared" si="0"/>
        <v>22</v>
      </c>
      <c r="C23" s="8">
        <v>2</v>
      </c>
      <c r="D23" s="7">
        <v>2022</v>
      </c>
      <c r="E23" s="9">
        <f>'Otemachi Daily'!D26</f>
        <v>15273</v>
      </c>
      <c r="F23" s="34">
        <f>[1]見込!$G$3</f>
        <v>27.2</v>
      </c>
      <c r="G23" s="9">
        <f>'Otemachi Daily'!F26</f>
        <v>193.2</v>
      </c>
      <c r="H23" s="34">
        <f>[1]見込!$M$23</f>
        <v>137.41899614825451</v>
      </c>
      <c r="I23" s="9">
        <f>'Otemachi Daily'!H26</f>
        <v>1166.2044000000001</v>
      </c>
      <c r="J23" s="34">
        <f>[2]Sheet1!$V$25</f>
        <v>40.644983157212508</v>
      </c>
      <c r="K23" s="9">
        <f>'Otemachi Daily'!J26</f>
        <v>31774.152840000002</v>
      </c>
      <c r="L23" s="34">
        <f>[2]Sheet1!$AE$25</f>
        <v>22.403689275418866</v>
      </c>
      <c r="M23" s="9">
        <f>'Otemachi Daily'!L26</f>
        <v>194</v>
      </c>
      <c r="N23" s="34">
        <v>741</v>
      </c>
      <c r="O23" s="9">
        <f>'Otemachi Daily'!M26</f>
        <v>112</v>
      </c>
      <c r="P23" s="9">
        <f>'Otemachi Daily'!N26</f>
        <v>186</v>
      </c>
    </row>
    <row r="24" spans="1:16" ht="17">
      <c r="A24" s="6" t="s">
        <v>22</v>
      </c>
      <c r="B24" s="7">
        <f t="shared" si="0"/>
        <v>23</v>
      </c>
      <c r="C24" s="8">
        <v>2</v>
      </c>
      <c r="D24" s="7">
        <v>2022</v>
      </c>
      <c r="E24" s="9">
        <f>'Otemachi Daily'!D27</f>
        <v>15432</v>
      </c>
      <c r="F24" s="34">
        <f>[1]見込!$G$3</f>
        <v>27.2</v>
      </c>
      <c r="G24" s="9">
        <f>'Otemachi Daily'!F27</f>
        <v>185.2</v>
      </c>
      <c r="H24" s="34">
        <f>[1]見込!$M$23</f>
        <v>137.41899614825451</v>
      </c>
      <c r="I24" s="9">
        <f>'Otemachi Daily'!H27</f>
        <v>1191.7619999999999</v>
      </c>
      <c r="J24" s="34">
        <f>[2]Sheet1!$V$25</f>
        <v>40.644983157212508</v>
      </c>
      <c r="K24" s="9">
        <f>'Otemachi Daily'!J27</f>
        <v>33603.882539999999</v>
      </c>
      <c r="L24" s="34">
        <f>[2]Sheet1!$AE$25</f>
        <v>22.403689275418866</v>
      </c>
      <c r="M24" s="9">
        <f>'Otemachi Daily'!L27</f>
        <v>214</v>
      </c>
      <c r="N24" s="34">
        <v>741</v>
      </c>
      <c r="O24" s="9">
        <f>'Otemachi Daily'!M27</f>
        <v>73</v>
      </c>
      <c r="P24" s="9">
        <f>'Otemachi Daily'!N27</f>
        <v>134</v>
      </c>
    </row>
    <row r="25" spans="1:16" ht="17">
      <c r="A25" s="6" t="s">
        <v>22</v>
      </c>
      <c r="B25" s="7">
        <f t="shared" si="0"/>
        <v>24</v>
      </c>
      <c r="C25" s="8">
        <v>2</v>
      </c>
      <c r="D25" s="7">
        <v>2022</v>
      </c>
      <c r="E25" s="9">
        <f>'Otemachi Daily'!D28</f>
        <v>15175</v>
      </c>
      <c r="F25" s="34">
        <f>[1]見込!$G$3</f>
        <v>27.2</v>
      </c>
      <c r="G25" s="9">
        <f>'Otemachi Daily'!F28</f>
        <v>198.2</v>
      </c>
      <c r="H25" s="34">
        <f>[1]見込!$M$23</f>
        <v>137.41899614825451</v>
      </c>
      <c r="I25" s="9">
        <f>'Otemachi Daily'!H28</f>
        <v>1109.8109999999999</v>
      </c>
      <c r="J25" s="34">
        <f>[2]Sheet1!$V$25</f>
        <v>40.644983157212508</v>
      </c>
      <c r="K25" s="9">
        <f>'Otemachi Daily'!J28</f>
        <v>30213.250199999999</v>
      </c>
      <c r="L25" s="34">
        <f>[2]Sheet1!$AE$25</f>
        <v>22.403689275418866</v>
      </c>
      <c r="M25" s="9">
        <f>'Otemachi Daily'!L28</f>
        <v>184</v>
      </c>
      <c r="N25" s="34">
        <v>741</v>
      </c>
      <c r="O25" s="9">
        <f>'Otemachi Daily'!M28</f>
        <v>83</v>
      </c>
      <c r="P25" s="9">
        <f>'Otemachi Daily'!N28</f>
        <v>163</v>
      </c>
    </row>
    <row r="26" spans="1:16" ht="17">
      <c r="A26" s="6" t="s">
        <v>22</v>
      </c>
      <c r="B26" s="7">
        <f>B25+1</f>
        <v>25</v>
      </c>
      <c r="C26" s="8">
        <v>2</v>
      </c>
      <c r="D26" s="7">
        <v>2022</v>
      </c>
      <c r="E26" s="9">
        <f>'Otemachi Daily'!D29</f>
        <v>15354</v>
      </c>
      <c r="F26" s="34">
        <f>[1]見込!$G$3</f>
        <v>27.2</v>
      </c>
      <c r="G26" s="9">
        <f>'Otemachi Daily'!F29</f>
        <v>212.3</v>
      </c>
      <c r="H26" s="34">
        <f>[1]見込!$M$23</f>
        <v>137.41899614825451</v>
      </c>
      <c r="I26" s="9">
        <f>'Otemachi Daily'!H29</f>
        <v>1472.0621999999998</v>
      </c>
      <c r="J26" s="34">
        <f>[2]Sheet1!$V$25</f>
        <v>40.644983157212508</v>
      </c>
      <c r="K26" s="9">
        <f>'Otemachi Daily'!J29</f>
        <v>29869.27824</v>
      </c>
      <c r="L26" s="34">
        <f>[2]Sheet1!$AE$25</f>
        <v>22.403689275418866</v>
      </c>
      <c r="M26" s="9">
        <f>'Otemachi Daily'!L29</f>
        <v>186</v>
      </c>
      <c r="N26" s="34">
        <v>741</v>
      </c>
      <c r="O26" s="9">
        <f>'Otemachi Daily'!M29</f>
        <v>87</v>
      </c>
      <c r="P26" s="9">
        <f>'Otemachi Daily'!N29</f>
        <v>181</v>
      </c>
    </row>
    <row r="27" spans="1:16" ht="17">
      <c r="A27" s="6" t="s">
        <v>22</v>
      </c>
      <c r="B27" s="7">
        <f t="shared" si="0"/>
        <v>26</v>
      </c>
      <c r="C27" s="8">
        <v>2</v>
      </c>
      <c r="D27" s="7">
        <v>2022</v>
      </c>
      <c r="E27" s="9">
        <f>'Otemachi Daily'!D30</f>
        <v>15325</v>
      </c>
      <c r="F27" s="34">
        <f>[1]見込!$G$3</f>
        <v>27.2</v>
      </c>
      <c r="G27" s="9">
        <f>'Otemachi Daily'!F30</f>
        <v>191.5</v>
      </c>
      <c r="H27" s="34">
        <f>[1]見込!$M$23</f>
        <v>137.41899614825451</v>
      </c>
      <c r="I27" s="9">
        <f>'Otemachi Daily'!H30</f>
        <v>2342.6873999999998</v>
      </c>
      <c r="J27" s="34">
        <f>[2]Sheet1!$V$25</f>
        <v>40.644983157212508</v>
      </c>
      <c r="K27" s="9">
        <f>'Otemachi Daily'!J30</f>
        <v>26678.661899999999</v>
      </c>
      <c r="L27" s="34">
        <f>[2]Sheet1!$AE$25</f>
        <v>22.403689275418866</v>
      </c>
      <c r="M27" s="9">
        <f>'Otemachi Daily'!L30</f>
        <v>224</v>
      </c>
      <c r="N27" s="34">
        <v>741</v>
      </c>
      <c r="O27" s="9">
        <f>'Otemachi Daily'!M30</f>
        <v>121</v>
      </c>
      <c r="P27" s="9">
        <f>'Otemachi Daily'!N30</f>
        <v>267</v>
      </c>
    </row>
    <row r="28" spans="1:16" ht="17">
      <c r="A28" s="6" t="s">
        <v>22</v>
      </c>
      <c r="B28" s="7">
        <f t="shared" si="0"/>
        <v>27</v>
      </c>
      <c r="C28" s="8">
        <v>2</v>
      </c>
      <c r="D28" s="7">
        <v>2022</v>
      </c>
      <c r="E28" s="9">
        <f>'Otemachi Daily'!D31</f>
        <v>15098</v>
      </c>
      <c r="F28" s="34">
        <f>[1]見込!$G$3</f>
        <v>27.2</v>
      </c>
      <c r="G28" s="9">
        <f>'Otemachi Daily'!F31</f>
        <v>194.3</v>
      </c>
      <c r="H28" s="34">
        <f>[1]見込!$M$23</f>
        <v>137.41899614825451</v>
      </c>
      <c r="I28" s="9">
        <f>'Otemachi Daily'!H31</f>
        <v>2473.8090000000002</v>
      </c>
      <c r="J28" s="34">
        <f>[2]Sheet1!$V$25</f>
        <v>40.644983157212508</v>
      </c>
      <c r="K28" s="9">
        <f>'Otemachi Daily'!J31</f>
        <v>26912.625059999998</v>
      </c>
      <c r="L28" s="34">
        <f>[2]Sheet1!$AE$25</f>
        <v>22.403689275418866</v>
      </c>
      <c r="M28" s="9">
        <f>'Otemachi Daily'!L31</f>
        <v>214</v>
      </c>
      <c r="N28" s="34">
        <v>741</v>
      </c>
      <c r="O28" s="9">
        <f>'Otemachi Daily'!M31</f>
        <v>95</v>
      </c>
      <c r="P28" s="9">
        <f>'Otemachi Daily'!N31</f>
        <v>187</v>
      </c>
    </row>
    <row r="29" spans="1:16" ht="17">
      <c r="A29" s="6" t="s">
        <v>22</v>
      </c>
      <c r="B29" s="7">
        <f t="shared" si="0"/>
        <v>28</v>
      </c>
      <c r="C29" s="8">
        <v>2</v>
      </c>
      <c r="D29" s="7">
        <v>2022</v>
      </c>
      <c r="E29" s="9">
        <f>'Otemachi Daily'!D32</f>
        <v>13758</v>
      </c>
      <c r="F29" s="34">
        <f>[1]見込!$G$3</f>
        <v>27.2</v>
      </c>
      <c r="G29" s="9">
        <f>'Otemachi Daily'!F32</f>
        <v>218.7</v>
      </c>
      <c r="H29" s="34">
        <f>[1]見込!$M$23</f>
        <v>137.41899614825451</v>
      </c>
      <c r="I29" s="9">
        <f>'Otemachi Daily'!H32</f>
        <v>1825.4238</v>
      </c>
      <c r="J29" s="34">
        <f>[2]Sheet1!$V$25</f>
        <v>40.644983157212508</v>
      </c>
      <c r="K29" s="9">
        <f>'Otemachi Daily'!J32</f>
        <v>22657.951379999999</v>
      </c>
      <c r="L29" s="34">
        <f>[2]Sheet1!$AE$25</f>
        <v>22.403689275418866</v>
      </c>
      <c r="M29" s="9">
        <f>'Otemachi Daily'!L32</f>
        <v>188</v>
      </c>
      <c r="N29" s="34">
        <v>741</v>
      </c>
      <c r="O29" s="9">
        <f>'Otemachi Daily'!M32</f>
        <v>63</v>
      </c>
      <c r="P29" s="9">
        <f>'Otemachi Daily'!N32</f>
        <v>115</v>
      </c>
    </row>
    <row r="30" spans="1:16" ht="17">
      <c r="A30" s="6" t="s">
        <v>22</v>
      </c>
      <c r="B30" s="7">
        <f t="shared" si="0"/>
        <v>29</v>
      </c>
      <c r="C30" s="8">
        <v>2</v>
      </c>
      <c r="D30" s="7">
        <v>2022</v>
      </c>
      <c r="E30" s="9">
        <f>'Otemachi Daily'!D33</f>
        <v>0</v>
      </c>
      <c r="F30" s="34">
        <f>[1]見込!$G$3</f>
        <v>27.2</v>
      </c>
      <c r="G30" s="9">
        <f>'Otemachi Daily'!F33</f>
        <v>0</v>
      </c>
      <c r="H30" s="34">
        <f>[1]見込!$M$23</f>
        <v>137.41899614825451</v>
      </c>
      <c r="I30" s="9">
        <f>'Otemachi Daily'!H33</f>
        <v>0</v>
      </c>
      <c r="J30" s="34">
        <f>[2]Sheet1!$V$25</f>
        <v>40.644983157212508</v>
      </c>
      <c r="K30" s="9">
        <f>'Otemachi Daily'!J33</f>
        <v>0</v>
      </c>
      <c r="L30" s="34">
        <f>[2]Sheet1!$AE$25</f>
        <v>22.403689275418866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7">
      <c r="A31" s="6" t="s">
        <v>22</v>
      </c>
      <c r="B31" s="7">
        <f t="shared" si="0"/>
        <v>30</v>
      </c>
      <c r="C31" s="8">
        <v>2</v>
      </c>
      <c r="D31" s="7">
        <v>2022</v>
      </c>
      <c r="E31" s="9">
        <f>'Otemachi Daily'!D34</f>
        <v>0</v>
      </c>
      <c r="F31" s="34">
        <f>[1]見込!$G$3</f>
        <v>27.2</v>
      </c>
      <c r="G31" s="9">
        <f>'Otemachi Daily'!F34</f>
        <v>0</v>
      </c>
      <c r="H31" s="34">
        <f>[1]見込!$M$23</f>
        <v>137.41899614825451</v>
      </c>
      <c r="I31" s="9">
        <f>'Otemachi Daily'!H34</f>
        <v>0</v>
      </c>
      <c r="J31" s="34">
        <f>[2]Sheet1!$V$25</f>
        <v>40.644983157212508</v>
      </c>
      <c r="K31" s="9">
        <f>'Otemachi Daily'!J34</f>
        <v>0</v>
      </c>
      <c r="L31" s="34">
        <f>[2]Sheet1!$AE$25</f>
        <v>22.403689275418866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7">
      <c r="A32" s="6" t="s">
        <v>22</v>
      </c>
      <c r="B32" s="7">
        <f t="shared" si="0"/>
        <v>31</v>
      </c>
      <c r="C32" s="8">
        <v>2</v>
      </c>
      <c r="D32" s="7">
        <v>2022</v>
      </c>
      <c r="E32" s="9">
        <f>'Otemachi Daily'!D35</f>
        <v>0</v>
      </c>
      <c r="F32" s="34">
        <f>[1]見込!$G$3</f>
        <v>27.2</v>
      </c>
      <c r="G32" s="9">
        <f>'Otemachi Daily'!F35</f>
        <v>0</v>
      </c>
      <c r="H32" s="34">
        <f>[1]見込!$M$23</f>
        <v>137.41899614825451</v>
      </c>
      <c r="I32" s="9">
        <f>'Otemachi Daily'!H35</f>
        <v>0</v>
      </c>
      <c r="J32" s="34">
        <f>[2]Sheet1!$V$25</f>
        <v>40.644983157212508</v>
      </c>
      <c r="K32" s="9">
        <f>'Otemachi Daily'!J35</f>
        <v>0</v>
      </c>
      <c r="L32" s="34">
        <f>[2]Sheet1!$AE$25</f>
        <v>22.403689275418866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Z38"/>
  <sheetViews>
    <sheetView tabSelected="1" topLeftCell="A24" zoomScale="80" zoomScaleNormal="80" zoomScalePageLayoutView="80" workbookViewId="0">
      <pane xSplit="1" topLeftCell="B1" activePane="topRight" state="frozen"/>
      <selection pane="topRight" activeCell="S8" sqref="S8"/>
    </sheetView>
  </sheetViews>
  <sheetFormatPr baseColWidth="12" defaultColWidth="8.83203125" defaultRowHeight="17" x14ac:dyDescent="0"/>
  <cols>
    <col min="1" max="1" width="15" style="13" customWidth="1"/>
    <col min="2" max="2" width="2" style="13" customWidth="1"/>
    <col min="3" max="3" width="11.83203125" style="29" customWidth="1"/>
    <col min="4" max="4" width="13.5" style="30" customWidth="1"/>
    <col min="5" max="5" width="14.83203125" style="13" customWidth="1"/>
    <col min="6" max="10" width="14.83203125" style="29" customWidth="1"/>
    <col min="11" max="11" width="12.1640625" style="13" customWidth="1"/>
    <col min="12" max="12" width="12.5" style="13" customWidth="1"/>
    <col min="13" max="14" width="13" style="31" customWidth="1"/>
    <col min="15" max="258" width="8.83203125" style="13"/>
    <col min="259" max="259" width="14" style="13" customWidth="1"/>
    <col min="260" max="260" width="2" style="13" customWidth="1"/>
    <col min="261" max="261" width="11.83203125" style="13" customWidth="1"/>
    <col min="262" max="262" width="13.5" style="13" customWidth="1"/>
    <col min="263" max="264" width="13.83203125" style="13" customWidth="1"/>
    <col min="265" max="266" width="14.83203125" style="13" customWidth="1"/>
    <col min="267" max="267" width="8.83203125" style="13" customWidth="1"/>
    <col min="268" max="268" width="12.5" style="13" customWidth="1"/>
    <col min="269" max="270" width="13" style="13" customWidth="1"/>
    <col min="271" max="514" width="8.83203125" style="13"/>
    <col min="515" max="515" width="14" style="13" customWidth="1"/>
    <col min="516" max="516" width="2" style="13" customWidth="1"/>
    <col min="517" max="517" width="11.83203125" style="13" customWidth="1"/>
    <col min="518" max="518" width="13.5" style="13" customWidth="1"/>
    <col min="519" max="520" width="13.83203125" style="13" customWidth="1"/>
    <col min="521" max="522" width="14.83203125" style="13" customWidth="1"/>
    <col min="523" max="523" width="8.83203125" style="13" customWidth="1"/>
    <col min="524" max="524" width="12.5" style="13" customWidth="1"/>
    <col min="525" max="526" width="13" style="13" customWidth="1"/>
    <col min="527" max="770" width="8.83203125" style="13"/>
    <col min="771" max="771" width="14" style="13" customWidth="1"/>
    <col min="772" max="772" width="2" style="13" customWidth="1"/>
    <col min="773" max="773" width="11.83203125" style="13" customWidth="1"/>
    <col min="774" max="774" width="13.5" style="13" customWidth="1"/>
    <col min="775" max="776" width="13.83203125" style="13" customWidth="1"/>
    <col min="777" max="778" width="14.83203125" style="13" customWidth="1"/>
    <col min="779" max="779" width="8.83203125" style="13" customWidth="1"/>
    <col min="780" max="780" width="12.5" style="13" customWidth="1"/>
    <col min="781" max="782" width="13" style="13" customWidth="1"/>
    <col min="783" max="1026" width="8.83203125" style="13"/>
    <col min="1027" max="1027" width="14" style="13" customWidth="1"/>
    <col min="1028" max="1028" width="2" style="13" customWidth="1"/>
    <col min="1029" max="1029" width="11.83203125" style="13" customWidth="1"/>
    <col min="1030" max="1030" width="13.5" style="13" customWidth="1"/>
    <col min="1031" max="1032" width="13.83203125" style="13" customWidth="1"/>
    <col min="1033" max="1034" width="14.83203125" style="13" customWidth="1"/>
    <col min="1035" max="1035" width="8.83203125" style="13" customWidth="1"/>
    <col min="1036" max="1036" width="12.5" style="13" customWidth="1"/>
    <col min="1037" max="1038" width="13" style="13" customWidth="1"/>
    <col min="1039" max="1282" width="8.83203125" style="13"/>
    <col min="1283" max="1283" width="14" style="13" customWidth="1"/>
    <col min="1284" max="1284" width="2" style="13" customWidth="1"/>
    <col min="1285" max="1285" width="11.83203125" style="13" customWidth="1"/>
    <col min="1286" max="1286" width="13.5" style="13" customWidth="1"/>
    <col min="1287" max="1288" width="13.83203125" style="13" customWidth="1"/>
    <col min="1289" max="1290" width="14.83203125" style="13" customWidth="1"/>
    <col min="1291" max="1291" width="8.83203125" style="13" customWidth="1"/>
    <col min="1292" max="1292" width="12.5" style="13" customWidth="1"/>
    <col min="1293" max="1294" width="13" style="13" customWidth="1"/>
    <col min="1295" max="1538" width="8.83203125" style="13"/>
    <col min="1539" max="1539" width="14" style="13" customWidth="1"/>
    <col min="1540" max="1540" width="2" style="13" customWidth="1"/>
    <col min="1541" max="1541" width="11.83203125" style="13" customWidth="1"/>
    <col min="1542" max="1542" width="13.5" style="13" customWidth="1"/>
    <col min="1543" max="1544" width="13.83203125" style="13" customWidth="1"/>
    <col min="1545" max="1546" width="14.83203125" style="13" customWidth="1"/>
    <col min="1547" max="1547" width="8.83203125" style="13" customWidth="1"/>
    <col min="1548" max="1548" width="12.5" style="13" customWidth="1"/>
    <col min="1549" max="1550" width="13" style="13" customWidth="1"/>
    <col min="1551" max="1794" width="8.83203125" style="13"/>
    <col min="1795" max="1795" width="14" style="13" customWidth="1"/>
    <col min="1796" max="1796" width="2" style="13" customWidth="1"/>
    <col min="1797" max="1797" width="11.83203125" style="13" customWidth="1"/>
    <col min="1798" max="1798" width="13.5" style="13" customWidth="1"/>
    <col min="1799" max="1800" width="13.83203125" style="13" customWidth="1"/>
    <col min="1801" max="1802" width="14.83203125" style="13" customWidth="1"/>
    <col min="1803" max="1803" width="8.83203125" style="13" customWidth="1"/>
    <col min="1804" max="1804" width="12.5" style="13" customWidth="1"/>
    <col min="1805" max="1806" width="13" style="13" customWidth="1"/>
    <col min="1807" max="2050" width="8.83203125" style="13"/>
    <col min="2051" max="2051" width="14" style="13" customWidth="1"/>
    <col min="2052" max="2052" width="2" style="13" customWidth="1"/>
    <col min="2053" max="2053" width="11.83203125" style="13" customWidth="1"/>
    <col min="2054" max="2054" width="13.5" style="13" customWidth="1"/>
    <col min="2055" max="2056" width="13.83203125" style="13" customWidth="1"/>
    <col min="2057" max="2058" width="14.83203125" style="13" customWidth="1"/>
    <col min="2059" max="2059" width="8.83203125" style="13" customWidth="1"/>
    <col min="2060" max="2060" width="12.5" style="13" customWidth="1"/>
    <col min="2061" max="2062" width="13" style="13" customWidth="1"/>
    <col min="2063" max="2306" width="8.83203125" style="13"/>
    <col min="2307" max="2307" width="14" style="13" customWidth="1"/>
    <col min="2308" max="2308" width="2" style="13" customWidth="1"/>
    <col min="2309" max="2309" width="11.83203125" style="13" customWidth="1"/>
    <col min="2310" max="2310" width="13.5" style="13" customWidth="1"/>
    <col min="2311" max="2312" width="13.83203125" style="13" customWidth="1"/>
    <col min="2313" max="2314" width="14.83203125" style="13" customWidth="1"/>
    <col min="2315" max="2315" width="8.83203125" style="13" customWidth="1"/>
    <col min="2316" max="2316" width="12.5" style="13" customWidth="1"/>
    <col min="2317" max="2318" width="13" style="13" customWidth="1"/>
    <col min="2319" max="2562" width="8.83203125" style="13"/>
    <col min="2563" max="2563" width="14" style="13" customWidth="1"/>
    <col min="2564" max="2564" width="2" style="13" customWidth="1"/>
    <col min="2565" max="2565" width="11.83203125" style="13" customWidth="1"/>
    <col min="2566" max="2566" width="13.5" style="13" customWidth="1"/>
    <col min="2567" max="2568" width="13.83203125" style="13" customWidth="1"/>
    <col min="2569" max="2570" width="14.83203125" style="13" customWidth="1"/>
    <col min="2571" max="2571" width="8.83203125" style="13" customWidth="1"/>
    <col min="2572" max="2572" width="12.5" style="13" customWidth="1"/>
    <col min="2573" max="2574" width="13" style="13" customWidth="1"/>
    <col min="2575" max="2818" width="8.83203125" style="13"/>
    <col min="2819" max="2819" width="14" style="13" customWidth="1"/>
    <col min="2820" max="2820" width="2" style="13" customWidth="1"/>
    <col min="2821" max="2821" width="11.83203125" style="13" customWidth="1"/>
    <col min="2822" max="2822" width="13.5" style="13" customWidth="1"/>
    <col min="2823" max="2824" width="13.83203125" style="13" customWidth="1"/>
    <col min="2825" max="2826" width="14.83203125" style="13" customWidth="1"/>
    <col min="2827" max="2827" width="8.83203125" style="13" customWidth="1"/>
    <col min="2828" max="2828" width="12.5" style="13" customWidth="1"/>
    <col min="2829" max="2830" width="13" style="13" customWidth="1"/>
    <col min="2831" max="3074" width="8.83203125" style="13"/>
    <col min="3075" max="3075" width="14" style="13" customWidth="1"/>
    <col min="3076" max="3076" width="2" style="13" customWidth="1"/>
    <col min="3077" max="3077" width="11.83203125" style="13" customWidth="1"/>
    <col min="3078" max="3078" width="13.5" style="13" customWidth="1"/>
    <col min="3079" max="3080" width="13.83203125" style="13" customWidth="1"/>
    <col min="3081" max="3082" width="14.83203125" style="13" customWidth="1"/>
    <col min="3083" max="3083" width="8.83203125" style="13" customWidth="1"/>
    <col min="3084" max="3084" width="12.5" style="13" customWidth="1"/>
    <col min="3085" max="3086" width="13" style="13" customWidth="1"/>
    <col min="3087" max="3330" width="8.83203125" style="13"/>
    <col min="3331" max="3331" width="14" style="13" customWidth="1"/>
    <col min="3332" max="3332" width="2" style="13" customWidth="1"/>
    <col min="3333" max="3333" width="11.83203125" style="13" customWidth="1"/>
    <col min="3334" max="3334" width="13.5" style="13" customWidth="1"/>
    <col min="3335" max="3336" width="13.83203125" style="13" customWidth="1"/>
    <col min="3337" max="3338" width="14.83203125" style="13" customWidth="1"/>
    <col min="3339" max="3339" width="8.83203125" style="13" customWidth="1"/>
    <col min="3340" max="3340" width="12.5" style="13" customWidth="1"/>
    <col min="3341" max="3342" width="13" style="13" customWidth="1"/>
    <col min="3343" max="3586" width="8.83203125" style="13"/>
    <col min="3587" max="3587" width="14" style="13" customWidth="1"/>
    <col min="3588" max="3588" width="2" style="13" customWidth="1"/>
    <col min="3589" max="3589" width="11.83203125" style="13" customWidth="1"/>
    <col min="3590" max="3590" width="13.5" style="13" customWidth="1"/>
    <col min="3591" max="3592" width="13.83203125" style="13" customWidth="1"/>
    <col min="3593" max="3594" width="14.83203125" style="13" customWidth="1"/>
    <col min="3595" max="3595" width="8.83203125" style="13" customWidth="1"/>
    <col min="3596" max="3596" width="12.5" style="13" customWidth="1"/>
    <col min="3597" max="3598" width="13" style="13" customWidth="1"/>
    <col min="3599" max="3842" width="8.83203125" style="13"/>
    <col min="3843" max="3843" width="14" style="13" customWidth="1"/>
    <col min="3844" max="3844" width="2" style="13" customWidth="1"/>
    <col min="3845" max="3845" width="11.83203125" style="13" customWidth="1"/>
    <col min="3846" max="3846" width="13.5" style="13" customWidth="1"/>
    <col min="3847" max="3848" width="13.83203125" style="13" customWidth="1"/>
    <col min="3849" max="3850" width="14.83203125" style="13" customWidth="1"/>
    <col min="3851" max="3851" width="8.83203125" style="13" customWidth="1"/>
    <col min="3852" max="3852" width="12.5" style="13" customWidth="1"/>
    <col min="3853" max="3854" width="13" style="13" customWidth="1"/>
    <col min="3855" max="4098" width="8.83203125" style="13"/>
    <col min="4099" max="4099" width="14" style="13" customWidth="1"/>
    <col min="4100" max="4100" width="2" style="13" customWidth="1"/>
    <col min="4101" max="4101" width="11.83203125" style="13" customWidth="1"/>
    <col min="4102" max="4102" width="13.5" style="13" customWidth="1"/>
    <col min="4103" max="4104" width="13.83203125" style="13" customWidth="1"/>
    <col min="4105" max="4106" width="14.83203125" style="13" customWidth="1"/>
    <col min="4107" max="4107" width="8.83203125" style="13" customWidth="1"/>
    <col min="4108" max="4108" width="12.5" style="13" customWidth="1"/>
    <col min="4109" max="4110" width="13" style="13" customWidth="1"/>
    <col min="4111" max="4354" width="8.83203125" style="13"/>
    <col min="4355" max="4355" width="14" style="13" customWidth="1"/>
    <col min="4356" max="4356" width="2" style="13" customWidth="1"/>
    <col min="4357" max="4357" width="11.83203125" style="13" customWidth="1"/>
    <col min="4358" max="4358" width="13.5" style="13" customWidth="1"/>
    <col min="4359" max="4360" width="13.83203125" style="13" customWidth="1"/>
    <col min="4361" max="4362" width="14.83203125" style="13" customWidth="1"/>
    <col min="4363" max="4363" width="8.83203125" style="13" customWidth="1"/>
    <col min="4364" max="4364" width="12.5" style="13" customWidth="1"/>
    <col min="4365" max="4366" width="13" style="13" customWidth="1"/>
    <col min="4367" max="4610" width="8.83203125" style="13"/>
    <col min="4611" max="4611" width="14" style="13" customWidth="1"/>
    <col min="4612" max="4612" width="2" style="13" customWidth="1"/>
    <col min="4613" max="4613" width="11.83203125" style="13" customWidth="1"/>
    <col min="4614" max="4614" width="13.5" style="13" customWidth="1"/>
    <col min="4615" max="4616" width="13.83203125" style="13" customWidth="1"/>
    <col min="4617" max="4618" width="14.83203125" style="13" customWidth="1"/>
    <col min="4619" max="4619" width="8.83203125" style="13" customWidth="1"/>
    <col min="4620" max="4620" width="12.5" style="13" customWidth="1"/>
    <col min="4621" max="4622" width="13" style="13" customWidth="1"/>
    <col min="4623" max="4866" width="8.83203125" style="13"/>
    <col min="4867" max="4867" width="14" style="13" customWidth="1"/>
    <col min="4868" max="4868" width="2" style="13" customWidth="1"/>
    <col min="4869" max="4869" width="11.83203125" style="13" customWidth="1"/>
    <col min="4870" max="4870" width="13.5" style="13" customWidth="1"/>
    <col min="4871" max="4872" width="13.83203125" style="13" customWidth="1"/>
    <col min="4873" max="4874" width="14.83203125" style="13" customWidth="1"/>
    <col min="4875" max="4875" width="8.83203125" style="13" customWidth="1"/>
    <col min="4876" max="4876" width="12.5" style="13" customWidth="1"/>
    <col min="4877" max="4878" width="13" style="13" customWidth="1"/>
    <col min="4879" max="5122" width="8.83203125" style="13"/>
    <col min="5123" max="5123" width="14" style="13" customWidth="1"/>
    <col min="5124" max="5124" width="2" style="13" customWidth="1"/>
    <col min="5125" max="5125" width="11.83203125" style="13" customWidth="1"/>
    <col min="5126" max="5126" width="13.5" style="13" customWidth="1"/>
    <col min="5127" max="5128" width="13.83203125" style="13" customWidth="1"/>
    <col min="5129" max="5130" width="14.83203125" style="13" customWidth="1"/>
    <col min="5131" max="5131" width="8.83203125" style="13" customWidth="1"/>
    <col min="5132" max="5132" width="12.5" style="13" customWidth="1"/>
    <col min="5133" max="5134" width="13" style="13" customWidth="1"/>
    <col min="5135" max="5378" width="8.83203125" style="13"/>
    <col min="5379" max="5379" width="14" style="13" customWidth="1"/>
    <col min="5380" max="5380" width="2" style="13" customWidth="1"/>
    <col min="5381" max="5381" width="11.83203125" style="13" customWidth="1"/>
    <col min="5382" max="5382" width="13.5" style="13" customWidth="1"/>
    <col min="5383" max="5384" width="13.83203125" style="13" customWidth="1"/>
    <col min="5385" max="5386" width="14.83203125" style="13" customWidth="1"/>
    <col min="5387" max="5387" width="8.83203125" style="13" customWidth="1"/>
    <col min="5388" max="5388" width="12.5" style="13" customWidth="1"/>
    <col min="5389" max="5390" width="13" style="13" customWidth="1"/>
    <col min="5391" max="5634" width="8.83203125" style="13"/>
    <col min="5635" max="5635" width="14" style="13" customWidth="1"/>
    <col min="5636" max="5636" width="2" style="13" customWidth="1"/>
    <col min="5637" max="5637" width="11.83203125" style="13" customWidth="1"/>
    <col min="5638" max="5638" width="13.5" style="13" customWidth="1"/>
    <col min="5639" max="5640" width="13.83203125" style="13" customWidth="1"/>
    <col min="5641" max="5642" width="14.83203125" style="13" customWidth="1"/>
    <col min="5643" max="5643" width="8.83203125" style="13" customWidth="1"/>
    <col min="5644" max="5644" width="12.5" style="13" customWidth="1"/>
    <col min="5645" max="5646" width="13" style="13" customWidth="1"/>
    <col min="5647" max="5890" width="8.83203125" style="13"/>
    <col min="5891" max="5891" width="14" style="13" customWidth="1"/>
    <col min="5892" max="5892" width="2" style="13" customWidth="1"/>
    <col min="5893" max="5893" width="11.83203125" style="13" customWidth="1"/>
    <col min="5894" max="5894" width="13.5" style="13" customWidth="1"/>
    <col min="5895" max="5896" width="13.83203125" style="13" customWidth="1"/>
    <col min="5897" max="5898" width="14.83203125" style="13" customWidth="1"/>
    <col min="5899" max="5899" width="8.83203125" style="13" customWidth="1"/>
    <col min="5900" max="5900" width="12.5" style="13" customWidth="1"/>
    <col min="5901" max="5902" width="13" style="13" customWidth="1"/>
    <col min="5903" max="6146" width="8.83203125" style="13"/>
    <col min="6147" max="6147" width="14" style="13" customWidth="1"/>
    <col min="6148" max="6148" width="2" style="13" customWidth="1"/>
    <col min="6149" max="6149" width="11.83203125" style="13" customWidth="1"/>
    <col min="6150" max="6150" width="13.5" style="13" customWidth="1"/>
    <col min="6151" max="6152" width="13.83203125" style="13" customWidth="1"/>
    <col min="6153" max="6154" width="14.83203125" style="13" customWidth="1"/>
    <col min="6155" max="6155" width="8.83203125" style="13" customWidth="1"/>
    <col min="6156" max="6156" width="12.5" style="13" customWidth="1"/>
    <col min="6157" max="6158" width="13" style="13" customWidth="1"/>
    <col min="6159" max="6402" width="8.83203125" style="13"/>
    <col min="6403" max="6403" width="14" style="13" customWidth="1"/>
    <col min="6404" max="6404" width="2" style="13" customWidth="1"/>
    <col min="6405" max="6405" width="11.83203125" style="13" customWidth="1"/>
    <col min="6406" max="6406" width="13.5" style="13" customWidth="1"/>
    <col min="6407" max="6408" width="13.83203125" style="13" customWidth="1"/>
    <col min="6409" max="6410" width="14.83203125" style="13" customWidth="1"/>
    <col min="6411" max="6411" width="8.83203125" style="13" customWidth="1"/>
    <col min="6412" max="6412" width="12.5" style="13" customWidth="1"/>
    <col min="6413" max="6414" width="13" style="13" customWidth="1"/>
    <col min="6415" max="6658" width="8.83203125" style="13"/>
    <col min="6659" max="6659" width="14" style="13" customWidth="1"/>
    <col min="6660" max="6660" width="2" style="13" customWidth="1"/>
    <col min="6661" max="6661" width="11.83203125" style="13" customWidth="1"/>
    <col min="6662" max="6662" width="13.5" style="13" customWidth="1"/>
    <col min="6663" max="6664" width="13.83203125" style="13" customWidth="1"/>
    <col min="6665" max="6666" width="14.83203125" style="13" customWidth="1"/>
    <col min="6667" max="6667" width="8.83203125" style="13" customWidth="1"/>
    <col min="6668" max="6668" width="12.5" style="13" customWidth="1"/>
    <col min="6669" max="6670" width="13" style="13" customWidth="1"/>
    <col min="6671" max="6914" width="8.83203125" style="13"/>
    <col min="6915" max="6915" width="14" style="13" customWidth="1"/>
    <col min="6916" max="6916" width="2" style="13" customWidth="1"/>
    <col min="6917" max="6917" width="11.83203125" style="13" customWidth="1"/>
    <col min="6918" max="6918" width="13.5" style="13" customWidth="1"/>
    <col min="6919" max="6920" width="13.83203125" style="13" customWidth="1"/>
    <col min="6921" max="6922" width="14.83203125" style="13" customWidth="1"/>
    <col min="6923" max="6923" width="8.83203125" style="13" customWidth="1"/>
    <col min="6924" max="6924" width="12.5" style="13" customWidth="1"/>
    <col min="6925" max="6926" width="13" style="13" customWidth="1"/>
    <col min="6927" max="7170" width="8.83203125" style="13"/>
    <col min="7171" max="7171" width="14" style="13" customWidth="1"/>
    <col min="7172" max="7172" width="2" style="13" customWidth="1"/>
    <col min="7173" max="7173" width="11.83203125" style="13" customWidth="1"/>
    <col min="7174" max="7174" width="13.5" style="13" customWidth="1"/>
    <col min="7175" max="7176" width="13.83203125" style="13" customWidth="1"/>
    <col min="7177" max="7178" width="14.83203125" style="13" customWidth="1"/>
    <col min="7179" max="7179" width="8.83203125" style="13" customWidth="1"/>
    <col min="7180" max="7180" width="12.5" style="13" customWidth="1"/>
    <col min="7181" max="7182" width="13" style="13" customWidth="1"/>
    <col min="7183" max="7426" width="8.83203125" style="13"/>
    <col min="7427" max="7427" width="14" style="13" customWidth="1"/>
    <col min="7428" max="7428" width="2" style="13" customWidth="1"/>
    <col min="7429" max="7429" width="11.83203125" style="13" customWidth="1"/>
    <col min="7430" max="7430" width="13.5" style="13" customWidth="1"/>
    <col min="7431" max="7432" width="13.83203125" style="13" customWidth="1"/>
    <col min="7433" max="7434" width="14.83203125" style="13" customWidth="1"/>
    <col min="7435" max="7435" width="8.83203125" style="13" customWidth="1"/>
    <col min="7436" max="7436" width="12.5" style="13" customWidth="1"/>
    <col min="7437" max="7438" width="13" style="13" customWidth="1"/>
    <col min="7439" max="7682" width="8.83203125" style="13"/>
    <col min="7683" max="7683" width="14" style="13" customWidth="1"/>
    <col min="7684" max="7684" width="2" style="13" customWidth="1"/>
    <col min="7685" max="7685" width="11.83203125" style="13" customWidth="1"/>
    <col min="7686" max="7686" width="13.5" style="13" customWidth="1"/>
    <col min="7687" max="7688" width="13.83203125" style="13" customWidth="1"/>
    <col min="7689" max="7690" width="14.83203125" style="13" customWidth="1"/>
    <col min="7691" max="7691" width="8.83203125" style="13" customWidth="1"/>
    <col min="7692" max="7692" width="12.5" style="13" customWidth="1"/>
    <col min="7693" max="7694" width="13" style="13" customWidth="1"/>
    <col min="7695" max="7938" width="8.83203125" style="13"/>
    <col min="7939" max="7939" width="14" style="13" customWidth="1"/>
    <col min="7940" max="7940" width="2" style="13" customWidth="1"/>
    <col min="7941" max="7941" width="11.83203125" style="13" customWidth="1"/>
    <col min="7942" max="7942" width="13.5" style="13" customWidth="1"/>
    <col min="7943" max="7944" width="13.83203125" style="13" customWidth="1"/>
    <col min="7945" max="7946" width="14.83203125" style="13" customWidth="1"/>
    <col min="7947" max="7947" width="8.83203125" style="13" customWidth="1"/>
    <col min="7948" max="7948" width="12.5" style="13" customWidth="1"/>
    <col min="7949" max="7950" width="13" style="13" customWidth="1"/>
    <col min="7951" max="8194" width="8.83203125" style="13"/>
    <col min="8195" max="8195" width="14" style="13" customWidth="1"/>
    <col min="8196" max="8196" width="2" style="13" customWidth="1"/>
    <col min="8197" max="8197" width="11.83203125" style="13" customWidth="1"/>
    <col min="8198" max="8198" width="13.5" style="13" customWidth="1"/>
    <col min="8199" max="8200" width="13.83203125" style="13" customWidth="1"/>
    <col min="8201" max="8202" width="14.83203125" style="13" customWidth="1"/>
    <col min="8203" max="8203" width="8.83203125" style="13" customWidth="1"/>
    <col min="8204" max="8204" width="12.5" style="13" customWidth="1"/>
    <col min="8205" max="8206" width="13" style="13" customWidth="1"/>
    <col min="8207" max="8450" width="8.83203125" style="13"/>
    <col min="8451" max="8451" width="14" style="13" customWidth="1"/>
    <col min="8452" max="8452" width="2" style="13" customWidth="1"/>
    <col min="8453" max="8453" width="11.83203125" style="13" customWidth="1"/>
    <col min="8454" max="8454" width="13.5" style="13" customWidth="1"/>
    <col min="8455" max="8456" width="13.83203125" style="13" customWidth="1"/>
    <col min="8457" max="8458" width="14.83203125" style="13" customWidth="1"/>
    <col min="8459" max="8459" width="8.83203125" style="13" customWidth="1"/>
    <col min="8460" max="8460" width="12.5" style="13" customWidth="1"/>
    <col min="8461" max="8462" width="13" style="13" customWidth="1"/>
    <col min="8463" max="8706" width="8.83203125" style="13"/>
    <col min="8707" max="8707" width="14" style="13" customWidth="1"/>
    <col min="8708" max="8708" width="2" style="13" customWidth="1"/>
    <col min="8709" max="8709" width="11.83203125" style="13" customWidth="1"/>
    <col min="8710" max="8710" width="13.5" style="13" customWidth="1"/>
    <col min="8711" max="8712" width="13.83203125" style="13" customWidth="1"/>
    <col min="8713" max="8714" width="14.83203125" style="13" customWidth="1"/>
    <col min="8715" max="8715" width="8.83203125" style="13" customWidth="1"/>
    <col min="8716" max="8716" width="12.5" style="13" customWidth="1"/>
    <col min="8717" max="8718" width="13" style="13" customWidth="1"/>
    <col min="8719" max="8962" width="8.83203125" style="13"/>
    <col min="8963" max="8963" width="14" style="13" customWidth="1"/>
    <col min="8964" max="8964" width="2" style="13" customWidth="1"/>
    <col min="8965" max="8965" width="11.83203125" style="13" customWidth="1"/>
    <col min="8966" max="8966" width="13.5" style="13" customWidth="1"/>
    <col min="8967" max="8968" width="13.83203125" style="13" customWidth="1"/>
    <col min="8969" max="8970" width="14.83203125" style="13" customWidth="1"/>
    <col min="8971" max="8971" width="8.83203125" style="13" customWidth="1"/>
    <col min="8972" max="8972" width="12.5" style="13" customWidth="1"/>
    <col min="8973" max="8974" width="13" style="13" customWidth="1"/>
    <col min="8975" max="9218" width="8.83203125" style="13"/>
    <col min="9219" max="9219" width="14" style="13" customWidth="1"/>
    <col min="9220" max="9220" width="2" style="13" customWidth="1"/>
    <col min="9221" max="9221" width="11.83203125" style="13" customWidth="1"/>
    <col min="9222" max="9222" width="13.5" style="13" customWidth="1"/>
    <col min="9223" max="9224" width="13.83203125" style="13" customWidth="1"/>
    <col min="9225" max="9226" width="14.83203125" style="13" customWidth="1"/>
    <col min="9227" max="9227" width="8.83203125" style="13" customWidth="1"/>
    <col min="9228" max="9228" width="12.5" style="13" customWidth="1"/>
    <col min="9229" max="9230" width="13" style="13" customWidth="1"/>
    <col min="9231" max="9474" width="8.83203125" style="13"/>
    <col min="9475" max="9475" width="14" style="13" customWidth="1"/>
    <col min="9476" max="9476" width="2" style="13" customWidth="1"/>
    <col min="9477" max="9477" width="11.83203125" style="13" customWidth="1"/>
    <col min="9478" max="9478" width="13.5" style="13" customWidth="1"/>
    <col min="9479" max="9480" width="13.83203125" style="13" customWidth="1"/>
    <col min="9481" max="9482" width="14.83203125" style="13" customWidth="1"/>
    <col min="9483" max="9483" width="8.83203125" style="13" customWidth="1"/>
    <col min="9484" max="9484" width="12.5" style="13" customWidth="1"/>
    <col min="9485" max="9486" width="13" style="13" customWidth="1"/>
    <col min="9487" max="9730" width="8.83203125" style="13"/>
    <col min="9731" max="9731" width="14" style="13" customWidth="1"/>
    <col min="9732" max="9732" width="2" style="13" customWidth="1"/>
    <col min="9733" max="9733" width="11.83203125" style="13" customWidth="1"/>
    <col min="9734" max="9734" width="13.5" style="13" customWidth="1"/>
    <col min="9735" max="9736" width="13.83203125" style="13" customWidth="1"/>
    <col min="9737" max="9738" width="14.83203125" style="13" customWidth="1"/>
    <col min="9739" max="9739" width="8.83203125" style="13" customWidth="1"/>
    <col min="9740" max="9740" width="12.5" style="13" customWidth="1"/>
    <col min="9741" max="9742" width="13" style="13" customWidth="1"/>
    <col min="9743" max="9986" width="8.83203125" style="13"/>
    <col min="9987" max="9987" width="14" style="13" customWidth="1"/>
    <col min="9988" max="9988" width="2" style="13" customWidth="1"/>
    <col min="9989" max="9989" width="11.83203125" style="13" customWidth="1"/>
    <col min="9990" max="9990" width="13.5" style="13" customWidth="1"/>
    <col min="9991" max="9992" width="13.83203125" style="13" customWidth="1"/>
    <col min="9993" max="9994" width="14.83203125" style="13" customWidth="1"/>
    <col min="9995" max="9995" width="8.83203125" style="13" customWidth="1"/>
    <col min="9996" max="9996" width="12.5" style="13" customWidth="1"/>
    <col min="9997" max="9998" width="13" style="13" customWidth="1"/>
    <col min="9999" max="10242" width="8.83203125" style="13"/>
    <col min="10243" max="10243" width="14" style="13" customWidth="1"/>
    <col min="10244" max="10244" width="2" style="13" customWidth="1"/>
    <col min="10245" max="10245" width="11.83203125" style="13" customWidth="1"/>
    <col min="10246" max="10246" width="13.5" style="13" customWidth="1"/>
    <col min="10247" max="10248" width="13.83203125" style="13" customWidth="1"/>
    <col min="10249" max="10250" width="14.83203125" style="13" customWidth="1"/>
    <col min="10251" max="10251" width="8.83203125" style="13" customWidth="1"/>
    <col min="10252" max="10252" width="12.5" style="13" customWidth="1"/>
    <col min="10253" max="10254" width="13" style="13" customWidth="1"/>
    <col min="10255" max="10498" width="8.83203125" style="13"/>
    <col min="10499" max="10499" width="14" style="13" customWidth="1"/>
    <col min="10500" max="10500" width="2" style="13" customWidth="1"/>
    <col min="10501" max="10501" width="11.83203125" style="13" customWidth="1"/>
    <col min="10502" max="10502" width="13.5" style="13" customWidth="1"/>
    <col min="10503" max="10504" width="13.83203125" style="13" customWidth="1"/>
    <col min="10505" max="10506" width="14.83203125" style="13" customWidth="1"/>
    <col min="10507" max="10507" width="8.83203125" style="13" customWidth="1"/>
    <col min="10508" max="10508" width="12.5" style="13" customWidth="1"/>
    <col min="10509" max="10510" width="13" style="13" customWidth="1"/>
    <col min="10511" max="10754" width="8.83203125" style="13"/>
    <col min="10755" max="10755" width="14" style="13" customWidth="1"/>
    <col min="10756" max="10756" width="2" style="13" customWidth="1"/>
    <col min="10757" max="10757" width="11.83203125" style="13" customWidth="1"/>
    <col min="10758" max="10758" width="13.5" style="13" customWidth="1"/>
    <col min="10759" max="10760" width="13.83203125" style="13" customWidth="1"/>
    <col min="10761" max="10762" width="14.83203125" style="13" customWidth="1"/>
    <col min="10763" max="10763" width="8.83203125" style="13" customWidth="1"/>
    <col min="10764" max="10764" width="12.5" style="13" customWidth="1"/>
    <col min="10765" max="10766" width="13" style="13" customWidth="1"/>
    <col min="10767" max="11010" width="8.83203125" style="13"/>
    <col min="11011" max="11011" width="14" style="13" customWidth="1"/>
    <col min="11012" max="11012" width="2" style="13" customWidth="1"/>
    <col min="11013" max="11013" width="11.83203125" style="13" customWidth="1"/>
    <col min="11014" max="11014" width="13.5" style="13" customWidth="1"/>
    <col min="11015" max="11016" width="13.83203125" style="13" customWidth="1"/>
    <col min="11017" max="11018" width="14.83203125" style="13" customWidth="1"/>
    <col min="11019" max="11019" width="8.83203125" style="13" customWidth="1"/>
    <col min="11020" max="11020" width="12.5" style="13" customWidth="1"/>
    <col min="11021" max="11022" width="13" style="13" customWidth="1"/>
    <col min="11023" max="11266" width="8.83203125" style="13"/>
    <col min="11267" max="11267" width="14" style="13" customWidth="1"/>
    <col min="11268" max="11268" width="2" style="13" customWidth="1"/>
    <col min="11269" max="11269" width="11.83203125" style="13" customWidth="1"/>
    <col min="11270" max="11270" width="13.5" style="13" customWidth="1"/>
    <col min="11271" max="11272" width="13.83203125" style="13" customWidth="1"/>
    <col min="11273" max="11274" width="14.83203125" style="13" customWidth="1"/>
    <col min="11275" max="11275" width="8.83203125" style="13" customWidth="1"/>
    <col min="11276" max="11276" width="12.5" style="13" customWidth="1"/>
    <col min="11277" max="11278" width="13" style="13" customWidth="1"/>
    <col min="11279" max="11522" width="8.83203125" style="13"/>
    <col min="11523" max="11523" width="14" style="13" customWidth="1"/>
    <col min="11524" max="11524" width="2" style="13" customWidth="1"/>
    <col min="11525" max="11525" width="11.83203125" style="13" customWidth="1"/>
    <col min="11526" max="11526" width="13.5" style="13" customWidth="1"/>
    <col min="11527" max="11528" width="13.83203125" style="13" customWidth="1"/>
    <col min="11529" max="11530" width="14.83203125" style="13" customWidth="1"/>
    <col min="11531" max="11531" width="8.83203125" style="13" customWidth="1"/>
    <col min="11532" max="11532" width="12.5" style="13" customWidth="1"/>
    <col min="11533" max="11534" width="13" style="13" customWidth="1"/>
    <col min="11535" max="11778" width="8.83203125" style="13"/>
    <col min="11779" max="11779" width="14" style="13" customWidth="1"/>
    <col min="11780" max="11780" width="2" style="13" customWidth="1"/>
    <col min="11781" max="11781" width="11.83203125" style="13" customWidth="1"/>
    <col min="11782" max="11782" width="13.5" style="13" customWidth="1"/>
    <col min="11783" max="11784" width="13.83203125" style="13" customWidth="1"/>
    <col min="11785" max="11786" width="14.83203125" style="13" customWidth="1"/>
    <col min="11787" max="11787" width="8.83203125" style="13" customWidth="1"/>
    <col min="11788" max="11788" width="12.5" style="13" customWidth="1"/>
    <col min="11789" max="11790" width="13" style="13" customWidth="1"/>
    <col min="11791" max="12034" width="8.83203125" style="13"/>
    <col min="12035" max="12035" width="14" style="13" customWidth="1"/>
    <col min="12036" max="12036" width="2" style="13" customWidth="1"/>
    <col min="12037" max="12037" width="11.83203125" style="13" customWidth="1"/>
    <col min="12038" max="12038" width="13.5" style="13" customWidth="1"/>
    <col min="12039" max="12040" width="13.83203125" style="13" customWidth="1"/>
    <col min="12041" max="12042" width="14.83203125" style="13" customWidth="1"/>
    <col min="12043" max="12043" width="8.83203125" style="13" customWidth="1"/>
    <col min="12044" max="12044" width="12.5" style="13" customWidth="1"/>
    <col min="12045" max="12046" width="13" style="13" customWidth="1"/>
    <col min="12047" max="12290" width="8.83203125" style="13"/>
    <col min="12291" max="12291" width="14" style="13" customWidth="1"/>
    <col min="12292" max="12292" width="2" style="13" customWidth="1"/>
    <col min="12293" max="12293" width="11.83203125" style="13" customWidth="1"/>
    <col min="12294" max="12294" width="13.5" style="13" customWidth="1"/>
    <col min="12295" max="12296" width="13.83203125" style="13" customWidth="1"/>
    <col min="12297" max="12298" width="14.83203125" style="13" customWidth="1"/>
    <col min="12299" max="12299" width="8.83203125" style="13" customWidth="1"/>
    <col min="12300" max="12300" width="12.5" style="13" customWidth="1"/>
    <col min="12301" max="12302" width="13" style="13" customWidth="1"/>
    <col min="12303" max="12546" width="8.83203125" style="13"/>
    <col min="12547" max="12547" width="14" style="13" customWidth="1"/>
    <col min="12548" max="12548" width="2" style="13" customWidth="1"/>
    <col min="12549" max="12549" width="11.83203125" style="13" customWidth="1"/>
    <col min="12550" max="12550" width="13.5" style="13" customWidth="1"/>
    <col min="12551" max="12552" width="13.83203125" style="13" customWidth="1"/>
    <col min="12553" max="12554" width="14.83203125" style="13" customWidth="1"/>
    <col min="12555" max="12555" width="8.83203125" style="13" customWidth="1"/>
    <col min="12556" max="12556" width="12.5" style="13" customWidth="1"/>
    <col min="12557" max="12558" width="13" style="13" customWidth="1"/>
    <col min="12559" max="12802" width="8.83203125" style="13"/>
    <col min="12803" max="12803" width="14" style="13" customWidth="1"/>
    <col min="12804" max="12804" width="2" style="13" customWidth="1"/>
    <col min="12805" max="12805" width="11.83203125" style="13" customWidth="1"/>
    <col min="12806" max="12806" width="13.5" style="13" customWidth="1"/>
    <col min="12807" max="12808" width="13.83203125" style="13" customWidth="1"/>
    <col min="12809" max="12810" width="14.83203125" style="13" customWidth="1"/>
    <col min="12811" max="12811" width="8.83203125" style="13" customWidth="1"/>
    <col min="12812" max="12812" width="12.5" style="13" customWidth="1"/>
    <col min="12813" max="12814" width="13" style="13" customWidth="1"/>
    <col min="12815" max="13058" width="8.83203125" style="13"/>
    <col min="13059" max="13059" width="14" style="13" customWidth="1"/>
    <col min="13060" max="13060" width="2" style="13" customWidth="1"/>
    <col min="13061" max="13061" width="11.83203125" style="13" customWidth="1"/>
    <col min="13062" max="13062" width="13.5" style="13" customWidth="1"/>
    <col min="13063" max="13064" width="13.83203125" style="13" customWidth="1"/>
    <col min="13065" max="13066" width="14.83203125" style="13" customWidth="1"/>
    <col min="13067" max="13067" width="8.83203125" style="13" customWidth="1"/>
    <col min="13068" max="13068" width="12.5" style="13" customWidth="1"/>
    <col min="13069" max="13070" width="13" style="13" customWidth="1"/>
    <col min="13071" max="13314" width="8.83203125" style="13"/>
    <col min="13315" max="13315" width="14" style="13" customWidth="1"/>
    <col min="13316" max="13316" width="2" style="13" customWidth="1"/>
    <col min="13317" max="13317" width="11.83203125" style="13" customWidth="1"/>
    <col min="13318" max="13318" width="13.5" style="13" customWidth="1"/>
    <col min="13319" max="13320" width="13.83203125" style="13" customWidth="1"/>
    <col min="13321" max="13322" width="14.83203125" style="13" customWidth="1"/>
    <col min="13323" max="13323" width="8.83203125" style="13" customWidth="1"/>
    <col min="13324" max="13324" width="12.5" style="13" customWidth="1"/>
    <col min="13325" max="13326" width="13" style="13" customWidth="1"/>
    <col min="13327" max="13570" width="8.83203125" style="13"/>
    <col min="13571" max="13571" width="14" style="13" customWidth="1"/>
    <col min="13572" max="13572" width="2" style="13" customWidth="1"/>
    <col min="13573" max="13573" width="11.83203125" style="13" customWidth="1"/>
    <col min="13574" max="13574" width="13.5" style="13" customWidth="1"/>
    <col min="13575" max="13576" width="13.83203125" style="13" customWidth="1"/>
    <col min="13577" max="13578" width="14.83203125" style="13" customWidth="1"/>
    <col min="13579" max="13579" width="8.83203125" style="13" customWidth="1"/>
    <col min="13580" max="13580" width="12.5" style="13" customWidth="1"/>
    <col min="13581" max="13582" width="13" style="13" customWidth="1"/>
    <col min="13583" max="13826" width="8.83203125" style="13"/>
    <col min="13827" max="13827" width="14" style="13" customWidth="1"/>
    <col min="13828" max="13828" width="2" style="13" customWidth="1"/>
    <col min="13829" max="13829" width="11.83203125" style="13" customWidth="1"/>
    <col min="13830" max="13830" width="13.5" style="13" customWidth="1"/>
    <col min="13831" max="13832" width="13.83203125" style="13" customWidth="1"/>
    <col min="13833" max="13834" width="14.83203125" style="13" customWidth="1"/>
    <col min="13835" max="13835" width="8.83203125" style="13" customWidth="1"/>
    <col min="13836" max="13836" width="12.5" style="13" customWidth="1"/>
    <col min="13837" max="13838" width="13" style="13" customWidth="1"/>
    <col min="13839" max="14082" width="8.83203125" style="13"/>
    <col min="14083" max="14083" width="14" style="13" customWidth="1"/>
    <col min="14084" max="14084" width="2" style="13" customWidth="1"/>
    <col min="14085" max="14085" width="11.83203125" style="13" customWidth="1"/>
    <col min="14086" max="14086" width="13.5" style="13" customWidth="1"/>
    <col min="14087" max="14088" width="13.83203125" style="13" customWidth="1"/>
    <col min="14089" max="14090" width="14.83203125" style="13" customWidth="1"/>
    <col min="14091" max="14091" width="8.83203125" style="13" customWidth="1"/>
    <col min="14092" max="14092" width="12.5" style="13" customWidth="1"/>
    <col min="14093" max="14094" width="13" style="13" customWidth="1"/>
    <col min="14095" max="14338" width="8.83203125" style="13"/>
    <col min="14339" max="14339" width="14" style="13" customWidth="1"/>
    <col min="14340" max="14340" width="2" style="13" customWidth="1"/>
    <col min="14341" max="14341" width="11.83203125" style="13" customWidth="1"/>
    <col min="14342" max="14342" width="13.5" style="13" customWidth="1"/>
    <col min="14343" max="14344" width="13.83203125" style="13" customWidth="1"/>
    <col min="14345" max="14346" width="14.83203125" style="13" customWidth="1"/>
    <col min="14347" max="14347" width="8.83203125" style="13" customWidth="1"/>
    <col min="14348" max="14348" width="12.5" style="13" customWidth="1"/>
    <col min="14349" max="14350" width="13" style="13" customWidth="1"/>
    <col min="14351" max="14594" width="8.83203125" style="13"/>
    <col min="14595" max="14595" width="14" style="13" customWidth="1"/>
    <col min="14596" max="14596" width="2" style="13" customWidth="1"/>
    <col min="14597" max="14597" width="11.83203125" style="13" customWidth="1"/>
    <col min="14598" max="14598" width="13.5" style="13" customWidth="1"/>
    <col min="14599" max="14600" width="13.83203125" style="13" customWidth="1"/>
    <col min="14601" max="14602" width="14.83203125" style="13" customWidth="1"/>
    <col min="14603" max="14603" width="8.83203125" style="13" customWidth="1"/>
    <col min="14604" max="14604" width="12.5" style="13" customWidth="1"/>
    <col min="14605" max="14606" width="13" style="13" customWidth="1"/>
    <col min="14607" max="14850" width="8.83203125" style="13"/>
    <col min="14851" max="14851" width="14" style="13" customWidth="1"/>
    <col min="14852" max="14852" width="2" style="13" customWidth="1"/>
    <col min="14853" max="14853" width="11.83203125" style="13" customWidth="1"/>
    <col min="14854" max="14854" width="13.5" style="13" customWidth="1"/>
    <col min="14855" max="14856" width="13.83203125" style="13" customWidth="1"/>
    <col min="14857" max="14858" width="14.83203125" style="13" customWidth="1"/>
    <col min="14859" max="14859" width="8.83203125" style="13" customWidth="1"/>
    <col min="14860" max="14860" width="12.5" style="13" customWidth="1"/>
    <col min="14861" max="14862" width="13" style="13" customWidth="1"/>
    <col min="14863" max="15106" width="8.83203125" style="13"/>
    <col min="15107" max="15107" width="14" style="13" customWidth="1"/>
    <col min="15108" max="15108" width="2" style="13" customWidth="1"/>
    <col min="15109" max="15109" width="11.83203125" style="13" customWidth="1"/>
    <col min="15110" max="15110" width="13.5" style="13" customWidth="1"/>
    <col min="15111" max="15112" width="13.83203125" style="13" customWidth="1"/>
    <col min="15113" max="15114" width="14.83203125" style="13" customWidth="1"/>
    <col min="15115" max="15115" width="8.83203125" style="13" customWidth="1"/>
    <col min="15116" max="15116" width="12.5" style="13" customWidth="1"/>
    <col min="15117" max="15118" width="13" style="13" customWidth="1"/>
    <col min="15119" max="15362" width="8.83203125" style="13"/>
    <col min="15363" max="15363" width="14" style="13" customWidth="1"/>
    <col min="15364" max="15364" width="2" style="13" customWidth="1"/>
    <col min="15365" max="15365" width="11.83203125" style="13" customWidth="1"/>
    <col min="15366" max="15366" width="13.5" style="13" customWidth="1"/>
    <col min="15367" max="15368" width="13.83203125" style="13" customWidth="1"/>
    <col min="15369" max="15370" width="14.83203125" style="13" customWidth="1"/>
    <col min="15371" max="15371" width="8.83203125" style="13" customWidth="1"/>
    <col min="15372" max="15372" width="12.5" style="13" customWidth="1"/>
    <col min="15373" max="15374" width="13" style="13" customWidth="1"/>
    <col min="15375" max="15618" width="8.83203125" style="13"/>
    <col min="15619" max="15619" width="14" style="13" customWidth="1"/>
    <col min="15620" max="15620" width="2" style="13" customWidth="1"/>
    <col min="15621" max="15621" width="11.83203125" style="13" customWidth="1"/>
    <col min="15622" max="15622" width="13.5" style="13" customWidth="1"/>
    <col min="15623" max="15624" width="13.83203125" style="13" customWidth="1"/>
    <col min="15625" max="15626" width="14.83203125" style="13" customWidth="1"/>
    <col min="15627" max="15627" width="8.83203125" style="13" customWidth="1"/>
    <col min="15628" max="15628" width="12.5" style="13" customWidth="1"/>
    <col min="15629" max="15630" width="13" style="13" customWidth="1"/>
    <col min="15631" max="15874" width="8.83203125" style="13"/>
    <col min="15875" max="15875" width="14" style="13" customWidth="1"/>
    <col min="15876" max="15876" width="2" style="13" customWidth="1"/>
    <col min="15877" max="15877" width="11.83203125" style="13" customWidth="1"/>
    <col min="15878" max="15878" width="13.5" style="13" customWidth="1"/>
    <col min="15879" max="15880" width="13.83203125" style="13" customWidth="1"/>
    <col min="15881" max="15882" width="14.83203125" style="13" customWidth="1"/>
    <col min="15883" max="15883" width="8.83203125" style="13" customWidth="1"/>
    <col min="15884" max="15884" width="12.5" style="13" customWidth="1"/>
    <col min="15885" max="15886" width="13" style="13" customWidth="1"/>
    <col min="15887" max="16130" width="8.83203125" style="13"/>
    <col min="16131" max="16131" width="14" style="13" customWidth="1"/>
    <col min="16132" max="16132" width="2" style="13" customWidth="1"/>
    <col min="16133" max="16133" width="11.83203125" style="13" customWidth="1"/>
    <col min="16134" max="16134" width="13.5" style="13" customWidth="1"/>
    <col min="16135" max="16136" width="13.83203125" style="13" customWidth="1"/>
    <col min="16137" max="16138" width="14.83203125" style="13" customWidth="1"/>
    <col min="16139" max="16139" width="8.83203125" style="13" customWidth="1"/>
    <col min="16140" max="16140" width="12.5" style="13" customWidth="1"/>
    <col min="16141" max="16142" width="13" style="13" customWidth="1"/>
    <col min="16143" max="16384" width="8.832031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44593</v>
      </c>
      <c r="B5" s="39"/>
      <c r="C5" s="35"/>
      <c r="D5" s="35">
        <v>13664</v>
      </c>
      <c r="E5" s="35"/>
      <c r="F5" s="35">
        <v>188</v>
      </c>
      <c r="G5" s="35"/>
      <c r="H5" s="35">
        <v>1224.2646</v>
      </c>
      <c r="I5" s="35"/>
      <c r="J5" s="35">
        <v>23698.812420000002</v>
      </c>
      <c r="K5" s="35"/>
      <c r="L5" s="35">
        <v>132</v>
      </c>
      <c r="M5" s="35">
        <v>44</v>
      </c>
      <c r="N5" s="35">
        <v>82</v>
      </c>
      <c r="O5" s="26"/>
      <c r="P5" s="37"/>
      <c r="Q5" s="37"/>
    </row>
    <row r="6" spans="1:17" ht="45" customHeight="1">
      <c r="A6" s="28">
        <v>44594</v>
      </c>
      <c r="B6" s="39"/>
      <c r="C6" s="35"/>
      <c r="D6" s="35">
        <v>13924</v>
      </c>
      <c r="E6" s="35"/>
      <c r="F6" s="35">
        <v>153.1</v>
      </c>
      <c r="G6" s="35"/>
      <c r="H6" s="35">
        <v>1225.098</v>
      </c>
      <c r="I6" s="35"/>
      <c r="J6" s="35">
        <v>24483.014040000002</v>
      </c>
      <c r="K6" s="35"/>
      <c r="L6" s="35">
        <v>120</v>
      </c>
      <c r="M6" s="35">
        <v>58</v>
      </c>
      <c r="N6" s="35">
        <v>99</v>
      </c>
      <c r="O6" s="26"/>
      <c r="P6" s="37"/>
      <c r="Q6" s="37"/>
    </row>
    <row r="7" spans="1:17" ht="45" customHeight="1">
      <c r="A7" s="28">
        <v>44595</v>
      </c>
      <c r="B7" s="39"/>
      <c r="C7" s="35"/>
      <c r="D7" s="35">
        <v>13902</v>
      </c>
      <c r="E7" s="35"/>
      <c r="F7" s="35">
        <v>180.3</v>
      </c>
      <c r="G7" s="35"/>
      <c r="H7" s="35">
        <v>1451.2271999999998</v>
      </c>
      <c r="I7" s="35"/>
      <c r="J7" s="35">
        <v>24115.429080000002</v>
      </c>
      <c r="K7" s="35"/>
      <c r="L7" s="35">
        <v>155</v>
      </c>
      <c r="M7" s="35">
        <v>62</v>
      </c>
      <c r="N7" s="35">
        <v>103</v>
      </c>
      <c r="P7" s="37"/>
      <c r="Q7" s="37"/>
    </row>
    <row r="8" spans="1:17" ht="45" customHeight="1">
      <c r="A8" s="28">
        <v>44596</v>
      </c>
      <c r="B8" s="39"/>
      <c r="C8" s="35"/>
      <c r="D8" s="35">
        <v>14645</v>
      </c>
      <c r="E8" s="35"/>
      <c r="F8" s="35">
        <v>193</v>
      </c>
      <c r="G8" s="35"/>
      <c r="H8" s="35">
        <v>1001.7467999999999</v>
      </c>
      <c r="I8" s="35"/>
      <c r="J8" s="35">
        <v>26353.385880000002</v>
      </c>
      <c r="K8" s="35"/>
      <c r="L8" s="35">
        <v>141</v>
      </c>
      <c r="M8" s="35">
        <v>70</v>
      </c>
      <c r="N8" s="35">
        <v>127</v>
      </c>
      <c r="P8" s="37"/>
      <c r="Q8" s="37"/>
    </row>
    <row r="9" spans="1:17" ht="45" customHeight="1">
      <c r="A9" s="28">
        <v>44597</v>
      </c>
      <c r="B9" s="39"/>
      <c r="C9" s="35"/>
      <c r="D9" s="35">
        <v>15264</v>
      </c>
      <c r="E9" s="35"/>
      <c r="F9" s="35">
        <v>201.9</v>
      </c>
      <c r="G9" s="35"/>
      <c r="H9" s="35">
        <v>941.46420000000001</v>
      </c>
      <c r="I9" s="35"/>
      <c r="J9" s="35">
        <v>33184.626779999999</v>
      </c>
      <c r="K9" s="35"/>
      <c r="L9" s="35">
        <v>193</v>
      </c>
      <c r="M9" s="35">
        <v>118</v>
      </c>
      <c r="N9" s="35">
        <v>223</v>
      </c>
      <c r="P9" s="37"/>
      <c r="Q9" s="37"/>
    </row>
    <row r="10" spans="1:17" ht="45" customHeight="1">
      <c r="A10" s="28">
        <v>44598</v>
      </c>
      <c r="B10" s="39"/>
      <c r="C10" s="35"/>
      <c r="D10" s="35">
        <v>15524</v>
      </c>
      <c r="E10" s="35"/>
      <c r="F10" s="35">
        <v>189</v>
      </c>
      <c r="G10" s="35"/>
      <c r="H10" s="35">
        <v>635.88419999999996</v>
      </c>
      <c r="I10" s="35"/>
      <c r="J10" s="35">
        <v>34552.736219999999</v>
      </c>
      <c r="K10" s="35"/>
      <c r="L10" s="35">
        <v>193</v>
      </c>
      <c r="M10" s="35">
        <v>66</v>
      </c>
      <c r="N10" s="35">
        <v>127</v>
      </c>
      <c r="P10" s="37"/>
      <c r="Q10" s="37"/>
    </row>
    <row r="11" spans="1:17" ht="45" customHeight="1">
      <c r="A11" s="28">
        <v>44599</v>
      </c>
      <c r="B11" s="39"/>
      <c r="C11" s="35"/>
      <c r="D11" s="35">
        <v>14413</v>
      </c>
      <c r="E11" s="35"/>
      <c r="F11" s="35">
        <v>183</v>
      </c>
      <c r="G11" s="35"/>
      <c r="H11" s="35">
        <v>1164.5376000000001</v>
      </c>
      <c r="I11" s="35"/>
      <c r="J11" s="35">
        <v>30640.978860000003</v>
      </c>
      <c r="K11" s="35"/>
      <c r="L11" s="35">
        <v>253</v>
      </c>
      <c r="M11" s="35">
        <v>45</v>
      </c>
      <c r="N11" s="35">
        <v>76</v>
      </c>
      <c r="P11" s="37"/>
      <c r="Q11" s="37"/>
    </row>
    <row r="12" spans="1:17" ht="45" customHeight="1">
      <c r="A12" s="28">
        <v>44600</v>
      </c>
      <c r="B12" s="39"/>
      <c r="C12" s="35"/>
      <c r="D12" s="35">
        <v>14292</v>
      </c>
      <c r="E12" s="35"/>
      <c r="F12" s="35">
        <v>171</v>
      </c>
      <c r="G12" s="35"/>
      <c r="H12" s="35">
        <v>726.72479999999996</v>
      </c>
      <c r="I12" s="35"/>
      <c r="J12" s="35">
        <v>28940.2317</v>
      </c>
      <c r="K12" s="35"/>
      <c r="L12" s="35">
        <v>138</v>
      </c>
      <c r="M12" s="35">
        <v>52</v>
      </c>
      <c r="N12" s="35">
        <v>91</v>
      </c>
      <c r="P12" s="37"/>
      <c r="Q12" s="37"/>
    </row>
    <row r="13" spans="1:17" ht="45" customHeight="1">
      <c r="A13" s="28">
        <v>44601</v>
      </c>
      <c r="B13" s="39"/>
      <c r="C13" s="35"/>
      <c r="D13" s="35">
        <v>14063</v>
      </c>
      <c r="E13" s="35"/>
      <c r="F13" s="35">
        <v>173</v>
      </c>
      <c r="G13" s="35"/>
      <c r="H13" s="35">
        <v>1083.1422</v>
      </c>
      <c r="I13" s="35"/>
      <c r="J13" s="35">
        <v>27749.164199999999</v>
      </c>
      <c r="K13" s="35"/>
      <c r="L13" s="35">
        <v>147</v>
      </c>
      <c r="M13" s="35">
        <v>61</v>
      </c>
      <c r="N13" s="35">
        <v>108</v>
      </c>
      <c r="P13" s="37"/>
      <c r="Q13" s="37"/>
    </row>
    <row r="14" spans="1:17" ht="45" customHeight="1">
      <c r="A14" s="28">
        <v>44602</v>
      </c>
      <c r="B14" s="39"/>
      <c r="C14" s="35"/>
      <c r="D14" s="35">
        <v>15284</v>
      </c>
      <c r="E14" s="35"/>
      <c r="F14" s="35">
        <v>183.3</v>
      </c>
      <c r="G14" s="35"/>
      <c r="H14" s="35">
        <v>605.32619999999997</v>
      </c>
      <c r="I14" s="35"/>
      <c r="J14" s="35">
        <v>36076.330320000001</v>
      </c>
      <c r="K14" s="35"/>
      <c r="L14" s="35">
        <v>177</v>
      </c>
      <c r="M14" s="35">
        <v>117</v>
      </c>
      <c r="N14" s="35">
        <v>217</v>
      </c>
      <c r="P14" s="37"/>
      <c r="Q14" s="37"/>
    </row>
    <row r="15" spans="1:17" ht="45" customHeight="1">
      <c r="A15" s="28">
        <v>44603</v>
      </c>
      <c r="B15" s="39"/>
      <c r="C15" s="35"/>
      <c r="D15" s="35">
        <v>15724</v>
      </c>
      <c r="E15" s="35"/>
      <c r="F15" s="35">
        <v>196.2</v>
      </c>
      <c r="G15" s="35"/>
      <c r="H15" s="35">
        <v>858.95759999999996</v>
      </c>
      <c r="I15" s="35"/>
      <c r="J15" s="35">
        <v>32111.957640000001</v>
      </c>
      <c r="K15" s="35"/>
      <c r="L15" s="35">
        <v>212</v>
      </c>
      <c r="M15" s="35">
        <v>136</v>
      </c>
      <c r="N15" s="35">
        <v>224</v>
      </c>
      <c r="P15" s="37"/>
      <c r="Q15" s="37"/>
    </row>
    <row r="16" spans="1:17" ht="45" customHeight="1">
      <c r="A16" s="28">
        <v>44604</v>
      </c>
      <c r="B16" s="39"/>
      <c r="C16" s="35"/>
      <c r="D16" s="35">
        <v>15565</v>
      </c>
      <c r="E16" s="35"/>
      <c r="F16" s="35">
        <v>200.1</v>
      </c>
      <c r="G16" s="35"/>
      <c r="H16" s="35">
        <v>1472.8956000000001</v>
      </c>
      <c r="I16" s="35"/>
      <c r="J16" s="35">
        <v>31892.801220000001</v>
      </c>
      <c r="K16" s="35"/>
      <c r="L16" s="35">
        <v>229</v>
      </c>
      <c r="M16" s="35">
        <v>121</v>
      </c>
      <c r="N16" s="35">
        <v>131</v>
      </c>
      <c r="P16" s="37"/>
      <c r="Q16" s="37"/>
    </row>
    <row r="17" spans="1:26" ht="45" customHeight="1">
      <c r="A17" s="28">
        <v>44605</v>
      </c>
      <c r="B17" s="39"/>
      <c r="C17" s="35"/>
      <c r="D17" s="35">
        <v>15686</v>
      </c>
      <c r="E17" s="35"/>
      <c r="F17" s="35">
        <v>197.1</v>
      </c>
      <c r="G17" s="35"/>
      <c r="H17" s="35">
        <v>635.88419999999996</v>
      </c>
      <c r="I17" s="35"/>
      <c r="J17" s="35">
        <v>32446.956660000003</v>
      </c>
      <c r="K17" s="35"/>
      <c r="L17" s="35">
        <v>214</v>
      </c>
      <c r="M17" s="35">
        <v>75</v>
      </c>
      <c r="N17" s="35">
        <v>139</v>
      </c>
      <c r="P17" s="37"/>
      <c r="Q17" s="37"/>
    </row>
    <row r="18" spans="1:26" ht="45" customHeight="1">
      <c r="A18" s="28">
        <v>44606</v>
      </c>
      <c r="B18" s="39"/>
      <c r="C18" s="35"/>
      <c r="D18" s="35">
        <v>14751</v>
      </c>
      <c r="E18" s="35"/>
      <c r="F18" s="35">
        <v>192</v>
      </c>
      <c r="G18" s="35"/>
      <c r="H18" s="35">
        <v>504.20699999999999</v>
      </c>
      <c r="I18" s="35"/>
      <c r="J18" s="35">
        <v>30597.142019999999</v>
      </c>
      <c r="K18" s="35"/>
      <c r="L18" s="35">
        <v>169</v>
      </c>
      <c r="M18" s="35">
        <v>64</v>
      </c>
      <c r="N18" s="35">
        <v>121</v>
      </c>
      <c r="P18" s="37"/>
      <c r="Q18" s="37"/>
      <c r="Z18" s="36"/>
    </row>
    <row r="19" spans="1:26" ht="45" customHeight="1">
      <c r="A19" s="28">
        <v>44607</v>
      </c>
      <c r="B19" s="39"/>
      <c r="C19" s="35"/>
      <c r="D19" s="35">
        <v>14366</v>
      </c>
      <c r="E19" s="35"/>
      <c r="F19" s="35">
        <v>187.2</v>
      </c>
      <c r="G19" s="35"/>
      <c r="H19" s="35">
        <v>1195.6512</v>
      </c>
      <c r="I19" s="35"/>
      <c r="J19" s="35">
        <v>26364.136740000002</v>
      </c>
      <c r="K19" s="35"/>
      <c r="L19" s="35">
        <v>151</v>
      </c>
      <c r="M19" s="35">
        <v>75</v>
      </c>
      <c r="N19" s="35">
        <v>137</v>
      </c>
      <c r="P19" s="37"/>
      <c r="Q19" s="37"/>
    </row>
    <row r="20" spans="1:26" ht="45" customHeight="1">
      <c r="A20" s="28">
        <v>44608</v>
      </c>
      <c r="B20" s="39"/>
      <c r="C20" s="35"/>
      <c r="D20" s="35">
        <v>14732</v>
      </c>
      <c r="E20" s="35"/>
      <c r="F20" s="35">
        <v>168.1</v>
      </c>
      <c r="G20" s="35"/>
      <c r="H20" s="35">
        <v>1222.0421999999999</v>
      </c>
      <c r="I20" s="35"/>
      <c r="J20" s="35">
        <v>26614.60122</v>
      </c>
      <c r="K20" s="35"/>
      <c r="L20" s="35">
        <v>150</v>
      </c>
      <c r="M20" s="35">
        <v>66</v>
      </c>
      <c r="N20" s="35">
        <v>122</v>
      </c>
      <c r="P20" s="37"/>
      <c r="Q20" s="37"/>
    </row>
    <row r="21" spans="1:26" ht="45" customHeight="1">
      <c r="A21" s="28">
        <v>44609</v>
      </c>
      <c r="B21" s="39"/>
      <c r="C21" s="35"/>
      <c r="D21" s="35">
        <v>14942</v>
      </c>
      <c r="E21" s="35"/>
      <c r="F21" s="35">
        <v>182.3</v>
      </c>
      <c r="G21" s="35"/>
      <c r="H21" s="35">
        <v>943.6866</v>
      </c>
      <c r="I21" s="35"/>
      <c r="J21" s="35">
        <v>30964.671419999999</v>
      </c>
      <c r="K21" s="35"/>
      <c r="L21" s="35">
        <v>160</v>
      </c>
      <c r="M21" s="35">
        <v>73</v>
      </c>
      <c r="N21" s="35">
        <v>133</v>
      </c>
      <c r="P21" s="37"/>
      <c r="Q21" s="37"/>
    </row>
    <row r="22" spans="1:26" ht="45" customHeight="1">
      <c r="A22" s="28">
        <v>44610</v>
      </c>
      <c r="B22" s="39"/>
      <c r="C22" s="35"/>
      <c r="D22" s="35">
        <v>14746</v>
      </c>
      <c r="E22" s="35"/>
      <c r="F22" s="35">
        <v>195.9</v>
      </c>
      <c r="G22" s="35"/>
      <c r="H22" s="35">
        <v>1248.9887999999999</v>
      </c>
      <c r="I22" s="35"/>
      <c r="J22" s="35">
        <v>28627.262219999997</v>
      </c>
      <c r="K22" s="35"/>
      <c r="L22" s="35">
        <v>170</v>
      </c>
      <c r="M22" s="35">
        <v>81</v>
      </c>
      <c r="N22" s="35">
        <v>148</v>
      </c>
      <c r="P22" s="37"/>
      <c r="Q22" s="37"/>
    </row>
    <row r="23" spans="1:26" ht="45" customHeight="1">
      <c r="A23" s="28">
        <v>44611</v>
      </c>
      <c r="B23" s="39"/>
      <c r="C23" s="35"/>
      <c r="D23" s="35">
        <v>15293</v>
      </c>
      <c r="E23" s="35"/>
      <c r="F23" s="35">
        <v>180.2</v>
      </c>
      <c r="G23" s="35"/>
      <c r="H23" s="35">
        <v>998.69100000000003</v>
      </c>
      <c r="I23" s="35"/>
      <c r="J23" s="35">
        <v>29610.0075</v>
      </c>
      <c r="K23" s="35"/>
      <c r="L23" s="35">
        <v>186</v>
      </c>
      <c r="M23" s="35">
        <v>125</v>
      </c>
      <c r="N23" s="35">
        <v>243</v>
      </c>
      <c r="P23" s="37"/>
      <c r="Q23" s="37"/>
    </row>
    <row r="24" spans="1:26" ht="45" customHeight="1">
      <c r="A24" s="28">
        <v>44612</v>
      </c>
      <c r="B24" s="39"/>
      <c r="C24" s="35"/>
      <c r="D24" s="35">
        <v>15313</v>
      </c>
      <c r="E24" s="35"/>
      <c r="F24" s="35">
        <v>194.2</v>
      </c>
      <c r="G24" s="35"/>
      <c r="H24" s="35">
        <v>1115.9225999999999</v>
      </c>
      <c r="I24" s="35"/>
      <c r="J24" s="35">
        <v>29885.585099999997</v>
      </c>
      <c r="K24" s="35"/>
      <c r="L24" s="35">
        <v>221</v>
      </c>
      <c r="M24" s="35">
        <v>83</v>
      </c>
      <c r="N24" s="35">
        <v>151</v>
      </c>
      <c r="P24" s="37"/>
      <c r="Q24" s="37"/>
    </row>
    <row r="25" spans="1:26" ht="45" customHeight="1">
      <c r="A25" s="28">
        <v>44613</v>
      </c>
      <c r="B25" s="39"/>
      <c r="C25" s="35"/>
      <c r="D25" s="35">
        <v>14935</v>
      </c>
      <c r="E25" s="35"/>
      <c r="F25" s="35">
        <v>194</v>
      </c>
      <c r="G25" s="35"/>
      <c r="H25" s="35">
        <v>950.35379999999998</v>
      </c>
      <c r="I25" s="35"/>
      <c r="J25" s="35">
        <v>32104.151460000001</v>
      </c>
      <c r="K25" s="35"/>
      <c r="L25" s="35">
        <v>176</v>
      </c>
      <c r="M25" s="35">
        <v>84</v>
      </c>
      <c r="N25" s="35">
        <v>146</v>
      </c>
      <c r="P25" s="37"/>
      <c r="Q25" s="37"/>
    </row>
    <row r="26" spans="1:26" ht="45" customHeight="1">
      <c r="A26" s="28">
        <v>44614</v>
      </c>
      <c r="B26" s="39"/>
      <c r="C26" s="35"/>
      <c r="D26" s="35">
        <v>15273</v>
      </c>
      <c r="E26" s="35"/>
      <c r="F26" s="35">
        <v>193.2</v>
      </c>
      <c r="G26" s="35"/>
      <c r="H26" s="35">
        <v>1166.2044000000001</v>
      </c>
      <c r="I26" s="35"/>
      <c r="J26" s="35">
        <v>31774.152840000002</v>
      </c>
      <c r="K26" s="35"/>
      <c r="L26" s="35">
        <v>194</v>
      </c>
      <c r="M26" s="35">
        <v>112</v>
      </c>
      <c r="N26" s="35">
        <v>186</v>
      </c>
      <c r="P26" s="37"/>
      <c r="Q26" s="37"/>
    </row>
    <row r="27" spans="1:26" ht="45" customHeight="1">
      <c r="A27" s="28">
        <v>44615</v>
      </c>
      <c r="B27" s="39"/>
      <c r="C27" s="35"/>
      <c r="D27" s="35">
        <v>15432</v>
      </c>
      <c r="E27" s="35"/>
      <c r="F27" s="35">
        <v>185.2</v>
      </c>
      <c r="G27" s="35"/>
      <c r="H27" s="35">
        <v>1191.7619999999999</v>
      </c>
      <c r="I27" s="35"/>
      <c r="J27" s="35">
        <v>33603.882539999999</v>
      </c>
      <c r="K27" s="35"/>
      <c r="L27" s="35">
        <v>214</v>
      </c>
      <c r="M27" s="35">
        <v>73</v>
      </c>
      <c r="N27" s="35">
        <v>134</v>
      </c>
      <c r="P27" s="37"/>
      <c r="Q27" s="37"/>
    </row>
    <row r="28" spans="1:26" ht="45" customHeight="1">
      <c r="A28" s="28">
        <v>44616</v>
      </c>
      <c r="B28" s="39"/>
      <c r="C28" s="35"/>
      <c r="D28" s="35">
        <v>15175</v>
      </c>
      <c r="E28" s="35"/>
      <c r="F28" s="35">
        <v>198.2</v>
      </c>
      <c r="G28" s="35"/>
      <c r="H28" s="35">
        <v>1109.8109999999999</v>
      </c>
      <c r="I28" s="35"/>
      <c r="J28" s="35">
        <v>30213.250199999999</v>
      </c>
      <c r="K28" s="35"/>
      <c r="L28" s="35">
        <v>184</v>
      </c>
      <c r="M28" s="35">
        <v>83</v>
      </c>
      <c r="N28" s="35">
        <v>163</v>
      </c>
      <c r="P28" s="37"/>
      <c r="Q28" s="37"/>
    </row>
    <row r="29" spans="1:26" ht="45" customHeight="1">
      <c r="A29" s="28">
        <v>44617</v>
      </c>
      <c r="B29" s="39"/>
      <c r="C29" s="35"/>
      <c r="D29" s="35">
        <v>15354</v>
      </c>
      <c r="E29" s="35"/>
      <c r="F29" s="35">
        <v>212.3</v>
      </c>
      <c r="G29" s="35"/>
      <c r="H29" s="35">
        <v>1472.0621999999998</v>
      </c>
      <c r="I29" s="35"/>
      <c r="J29" s="35">
        <v>29869.27824</v>
      </c>
      <c r="K29" s="35"/>
      <c r="L29" s="35">
        <v>186</v>
      </c>
      <c r="M29" s="35">
        <v>87</v>
      </c>
      <c r="N29" s="35">
        <v>181</v>
      </c>
      <c r="P29" s="37"/>
      <c r="Q29" s="37"/>
    </row>
    <row r="30" spans="1:26" ht="45" customHeight="1">
      <c r="A30" s="28">
        <v>44618</v>
      </c>
      <c r="B30" s="39"/>
      <c r="C30" s="35"/>
      <c r="D30" s="35">
        <v>15325</v>
      </c>
      <c r="E30" s="35"/>
      <c r="F30" s="35">
        <v>191.5</v>
      </c>
      <c r="G30" s="35"/>
      <c r="H30" s="35">
        <v>2342.6873999999998</v>
      </c>
      <c r="I30" s="35"/>
      <c r="J30" s="35">
        <v>26678.661899999999</v>
      </c>
      <c r="K30" s="35"/>
      <c r="L30" s="35">
        <v>224</v>
      </c>
      <c r="M30" s="35">
        <v>121</v>
      </c>
      <c r="N30" s="35">
        <v>267</v>
      </c>
      <c r="P30" s="37"/>
      <c r="Q30" s="37"/>
    </row>
    <row r="31" spans="1:26" ht="45" customHeight="1">
      <c r="A31" s="28">
        <v>44619</v>
      </c>
      <c r="B31" s="39"/>
      <c r="C31" s="35"/>
      <c r="D31" s="35">
        <v>15098</v>
      </c>
      <c r="E31" s="35"/>
      <c r="F31" s="35">
        <v>194.3</v>
      </c>
      <c r="G31" s="35"/>
      <c r="H31" s="35">
        <v>2473.8090000000002</v>
      </c>
      <c r="I31" s="35"/>
      <c r="J31" s="35">
        <v>26912.625059999998</v>
      </c>
      <c r="K31" s="35"/>
      <c r="L31" s="35">
        <v>214</v>
      </c>
      <c r="M31" s="35">
        <v>95</v>
      </c>
      <c r="N31" s="35">
        <v>187</v>
      </c>
      <c r="P31" s="37"/>
      <c r="Q31" s="37"/>
    </row>
    <row r="32" spans="1:26" ht="45" customHeight="1">
      <c r="A32" s="28">
        <v>44620</v>
      </c>
      <c r="B32" s="39"/>
      <c r="C32" s="35"/>
      <c r="D32" s="35">
        <v>13758</v>
      </c>
      <c r="E32" s="35"/>
      <c r="F32" s="35">
        <v>218.7</v>
      </c>
      <c r="G32" s="35"/>
      <c r="H32" s="35">
        <v>1825.4238</v>
      </c>
      <c r="I32" s="35"/>
      <c r="J32" s="35">
        <v>22657.951379999999</v>
      </c>
      <c r="K32" s="35"/>
      <c r="L32" s="35">
        <v>188</v>
      </c>
      <c r="M32" s="35">
        <v>63</v>
      </c>
      <c r="N32" s="35">
        <v>115</v>
      </c>
      <c r="P32" s="37"/>
      <c r="Q32" s="37"/>
    </row>
    <row r="33" spans="1:17" ht="36" customHeight="1">
      <c r="A33" s="28">
        <v>44621</v>
      </c>
      <c r="C33" s="35"/>
      <c r="D33" s="35">
        <v>0</v>
      </c>
      <c r="E33" s="35"/>
      <c r="F33" s="35">
        <v>0</v>
      </c>
      <c r="G33" s="35"/>
      <c r="H33" s="35">
        <v>0</v>
      </c>
      <c r="I33" s="35"/>
      <c r="J33" s="35">
        <v>0</v>
      </c>
      <c r="K33" s="35"/>
      <c r="L33" s="35">
        <v>0</v>
      </c>
      <c r="M33" s="35">
        <v>0</v>
      </c>
      <c r="N33" s="35">
        <v>0</v>
      </c>
      <c r="P33" s="37"/>
      <c r="Q33" s="37"/>
    </row>
    <row r="34" spans="1:17" ht="45.5" customHeight="1">
      <c r="A34" s="28">
        <v>44622</v>
      </c>
      <c r="C34" s="35"/>
      <c r="D34" s="35">
        <v>0</v>
      </c>
      <c r="E34" s="35"/>
      <c r="F34" s="35">
        <v>0</v>
      </c>
      <c r="G34" s="35"/>
      <c r="H34" s="35">
        <v>0</v>
      </c>
      <c r="I34" s="35"/>
      <c r="J34" s="35">
        <v>0</v>
      </c>
      <c r="K34" s="35"/>
      <c r="L34" s="35">
        <v>0</v>
      </c>
      <c r="M34" s="35">
        <v>0</v>
      </c>
      <c r="N34" s="35">
        <v>0</v>
      </c>
      <c r="P34" s="37"/>
      <c r="Q34" s="37"/>
    </row>
    <row r="35" spans="1:17" ht="47.5" customHeight="1">
      <c r="A35" s="28">
        <v>44623</v>
      </c>
      <c r="C35" s="35"/>
      <c r="D35" s="35">
        <v>0</v>
      </c>
      <c r="E35" s="35"/>
      <c r="F35" s="35">
        <v>0</v>
      </c>
      <c r="G35" s="35"/>
      <c r="H35" s="35">
        <v>0</v>
      </c>
      <c r="I35" s="35"/>
      <c r="J35" s="35">
        <v>0</v>
      </c>
      <c r="K35" s="35"/>
      <c r="L35" s="35">
        <v>0</v>
      </c>
      <c r="M35" s="35">
        <v>0</v>
      </c>
      <c r="N35" s="35">
        <v>0</v>
      </c>
      <c r="P35" s="37"/>
      <c r="Q35" s="37"/>
    </row>
    <row r="36" spans="1:17">
      <c r="D36" s="29"/>
    </row>
    <row r="37" spans="1:17">
      <c r="D37" s="29"/>
    </row>
    <row r="38" spans="1:17">
      <c r="C38" s="38">
        <f>SUM(C5:C37)</f>
        <v>0</v>
      </c>
      <c r="E38" s="38">
        <f>SUM(E5:E37)</f>
        <v>0</v>
      </c>
      <c r="G38" s="38">
        <f>SUM(G5:G37)</f>
        <v>0</v>
      </c>
      <c r="H38" s="38"/>
      <c r="I38" s="38">
        <f>SUM(I5:I37)</f>
        <v>0</v>
      </c>
      <c r="K38" s="38">
        <f>SUM(K5:K37)</f>
        <v>0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光義 謝</cp:lastModifiedBy>
  <cp:lastPrinted>2020-10-01T03:34:29Z</cp:lastPrinted>
  <dcterms:created xsi:type="dcterms:W3CDTF">2009-02-11T09:03:59Z</dcterms:created>
  <dcterms:modified xsi:type="dcterms:W3CDTF">2023-02-24T15:52:16Z</dcterms:modified>
</cp:coreProperties>
</file>