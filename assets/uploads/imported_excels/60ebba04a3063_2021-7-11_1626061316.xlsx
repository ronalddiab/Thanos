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I34" i="10" s="1"/>
  <c r="H33" i="10"/>
  <c r="H32" i="10"/>
  <c r="I33" i="10" s="1"/>
  <c r="H31" i="10"/>
  <c r="H30" i="10"/>
  <c r="H29" i="10"/>
  <c r="H28" i="10"/>
  <c r="H27" i="10"/>
  <c r="H26" i="10"/>
  <c r="I27" i="10" s="1"/>
  <c r="H25" i="10"/>
  <c r="I25" i="10" s="1"/>
  <c r="H24" i="10"/>
  <c r="H23" i="10"/>
  <c r="I23" i="10" s="1"/>
  <c r="H22" i="10"/>
  <c r="I22" i="10" s="1"/>
  <c r="H21" i="10"/>
  <c r="H20" i="10"/>
  <c r="H19" i="10"/>
  <c r="I19" i="10" s="1"/>
  <c r="H18" i="10"/>
  <c r="H17" i="10"/>
  <c r="I17" i="10" s="1"/>
  <c r="H16" i="10"/>
  <c r="H15" i="10"/>
  <c r="H14" i="10"/>
  <c r="H13" i="10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I34" i="9"/>
  <c r="G34" i="9"/>
  <c r="G33" i="9"/>
  <c r="I33" i="9" s="1"/>
  <c r="J33" i="9" s="1"/>
  <c r="G32" i="9"/>
  <c r="I32" i="9" s="1"/>
  <c r="G31" i="9"/>
  <c r="I31" i="9" s="1"/>
  <c r="I30" i="9"/>
  <c r="G30" i="9"/>
  <c r="G29" i="9"/>
  <c r="I29" i="9" s="1"/>
  <c r="G28" i="9"/>
  <c r="I28" i="9" s="1"/>
  <c r="G27" i="9"/>
  <c r="I27" i="9" s="1"/>
  <c r="I26" i="9"/>
  <c r="G26" i="9"/>
  <c r="G25" i="9"/>
  <c r="I25" i="9" s="1"/>
  <c r="J25" i="9" s="1"/>
  <c r="G24" i="9"/>
  <c r="I24" i="9" s="1"/>
  <c r="G23" i="9"/>
  <c r="I23" i="9" s="1"/>
  <c r="I22" i="9"/>
  <c r="G22" i="9"/>
  <c r="G21" i="9"/>
  <c r="I21" i="9" s="1"/>
  <c r="G20" i="9"/>
  <c r="I20" i="9" s="1"/>
  <c r="G19" i="9"/>
  <c r="I19" i="9" s="1"/>
  <c r="I18" i="9"/>
  <c r="G18" i="9"/>
  <c r="G17" i="9"/>
  <c r="I17" i="9" s="1"/>
  <c r="J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H32" i="8" s="1"/>
  <c r="I30" i="5" s="1"/>
  <c r="G31" i="8"/>
  <c r="G30" i="8"/>
  <c r="H30" i="8" s="1"/>
  <c r="I28" i="5" s="1"/>
  <c r="G29" i="8"/>
  <c r="G28" i="8"/>
  <c r="G27" i="8"/>
  <c r="G26" i="8"/>
  <c r="H26" i="8" s="1"/>
  <c r="I24" i="5" s="1"/>
  <c r="G25" i="8"/>
  <c r="G24" i="8"/>
  <c r="H24" i="8" s="1"/>
  <c r="I22" i="5" s="1"/>
  <c r="G23" i="8"/>
  <c r="G22" i="8"/>
  <c r="G21" i="8"/>
  <c r="G20" i="8"/>
  <c r="H20" i="8" s="1"/>
  <c r="I18" i="5" s="1"/>
  <c r="G19" i="8"/>
  <c r="G18" i="8"/>
  <c r="H18" i="8" s="1"/>
  <c r="I16" i="5" s="1"/>
  <c r="G17" i="8"/>
  <c r="G16" i="8"/>
  <c r="G15" i="8"/>
  <c r="G14" i="8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I16" i="10" l="1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<sst xmlns="http://schemas.openxmlformats.org/spreadsheetml/2006/main" count="76" uniqueCount="41">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</sst>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1072"/>
        <c:axId val="164984208"/>
      </c:lineChart>
      <c:dateAx>
        <c:axId val="1649810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4208"/>
        <c:crosses val="autoZero"/>
        <c:auto val="0"/>
        <c:lblOffset val="100"/>
        <c:baseTimeUnit val="days"/>
      </c:dateAx>
      <c:valAx>
        <c:axId val="16498420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10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33">
          <cell r="G33">
            <v>10902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2" zoomScale="110" zoomScaleNormal="110" workbookViewId="0">
      <selection activeCell="F2" sqref="F2:F3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0.8</v>
      </c>
      <c r="G2" s="13">
        <f>Gas!J4</f>
        <v>0</v>
      </c>
      <c r="H2" s="3">
        <v>1.66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0.8</v>
      </c>
      <c r="G3" s="13">
        <f>Gas!J5</f>
        <v>0</v>
      </c>
      <c r="H3" s="3">
        <v>1.66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0.8</v>
      </c>
      <c r="G4" s="13">
        <f>Gas!J6</f>
        <v>0</v>
      </c>
      <c r="H4" s="3">
        <v>1.66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0.8</v>
      </c>
      <c r="G5" s="13">
        <f>Gas!J7</f>
        <v>0</v>
      </c>
      <c r="H5" s="3">
        <v>1.66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0.8</v>
      </c>
      <c r="G6" s="13">
        <f>Gas!J8</f>
        <v>0</v>
      </c>
      <c r="H6" s="3">
        <v>1.66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0.8</v>
      </c>
      <c r="G7" s="13">
        <f>Gas!J9</f>
        <v>0</v>
      </c>
      <c r="H7" s="3">
        <v>1.66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0.8</v>
      </c>
      <c r="G8" s="13">
        <f>Gas!J10</f>
        <v>0</v>
      </c>
      <c r="H8" s="3">
        <v>1.66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0.8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1253.0399999991059</v>
      </c>
      <c r="F10" s="3">
        <v>0.8</v>
      </c>
      <c r="G10" s="13">
        <f>Gas!J12</f>
        <v>0</v>
      </c>
      <c r="H10" s="3">
        <v>1.66</v>
      </c>
      <c r="I10" s="13">
        <f>Water!H12</f>
        <v>2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1239.2400000002235</v>
      </c>
      <c r="F11" s="3">
        <v>0.8</v>
      </c>
      <c r="G11" s="13">
        <f>Gas!J13</f>
        <v>0</v>
      </c>
      <c r="H11" s="3">
        <v>1.66</v>
      </c>
      <c r="I11" s="13">
        <f>Water!H13</f>
        <v>1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1230.9600000008941</v>
      </c>
      <c r="F12" s="3">
        <v>0.8</v>
      </c>
      <c r="G12" s="13">
        <f>Gas!J14</f>
        <v>0</v>
      </c>
      <c r="H12" s="3">
        <v>1.66</v>
      </c>
      <c r="I12" s="13">
        <f>Water!H14</f>
        <v>27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1142.6399999987334</v>
      </c>
      <c r="F13" s="3">
        <v>0.8</v>
      </c>
      <c r="G13" s="13">
        <f>Gas!J15</f>
        <v>0</v>
      </c>
      <c r="H13" s="3">
        <v>1.66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-12974920.08</v>
      </c>
      <c r="F14" s="3">
        <v>0.8</v>
      </c>
      <c r="G14" s="13">
        <f>Gas!J16</f>
        <v>-1192410.140344</v>
      </c>
      <c r="H14" s="3">
        <v>1.66</v>
      </c>
      <c r="I14" s="13">
        <f>Water!H16</f>
        <v>-9967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0</v>
      </c>
      <c r="F15" s="3">
        <v>0.8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0</v>
      </c>
      <c r="F16" s="3">
        <v>0.8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0</v>
      </c>
      <c r="F17" s="3">
        <v>0.8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16" sqref="E1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>
        <v>9932</v>
      </c>
      <c r="F12" s="23">
        <v>1065</v>
      </c>
      <c r="G12" s="23">
        <f t="shared" si="0"/>
        <v>10997</v>
      </c>
      <c r="H12" s="65">
        <f t="shared" si="1"/>
        <v>2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>
        <v>9933</v>
      </c>
      <c r="F13" s="23">
        <v>1065</v>
      </c>
      <c r="G13" s="23">
        <f t="shared" si="0"/>
        <v>10998</v>
      </c>
      <c r="H13" s="65">
        <f t="shared" si="1"/>
        <v>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>
        <v>9960</v>
      </c>
      <c r="F14" s="23">
        <v>1065</v>
      </c>
      <c r="G14" s="23">
        <f t="shared" si="0"/>
        <v>11025</v>
      </c>
      <c r="H14" s="65">
        <f t="shared" si="1"/>
        <v>27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>
        <v>9967</v>
      </c>
      <c r="F15" s="23">
        <v>1065</v>
      </c>
      <c r="G15" s="23">
        <f t="shared" si="0"/>
        <v>11032</v>
      </c>
      <c r="H15" s="65">
        <f t="shared" si="1"/>
        <v>7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/>
      <c r="F16" s="23">
        <v>1065</v>
      </c>
      <c r="G16" s="23">
        <f t="shared" si="0"/>
        <v>1065</v>
      </c>
      <c r="H16" s="65">
        <f t="shared" si="1"/>
        <v>-9967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/>
      <c r="F17" s="23">
        <v>1065</v>
      </c>
      <c r="G17" s="23">
        <f t="shared" si="0"/>
        <v>1065</v>
      </c>
      <c r="H17" s="65">
        <f t="shared" si="1"/>
        <v>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/>
      <c r="F18" s="23">
        <v>1065</v>
      </c>
      <c r="G18" s="23">
        <f t="shared" si="0"/>
        <v>1065</v>
      </c>
      <c r="H18" s="65">
        <f t="shared" si="1"/>
        <v>0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/>
      <c r="F19" s="23">
        <v>1065</v>
      </c>
      <c r="G19" s="23">
        <f t="shared" si="0"/>
        <v>1065</v>
      </c>
      <c r="H19" s="65">
        <f t="shared" si="1"/>
        <v>0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/>
      <c r="F20" s="23">
        <v>1065</v>
      </c>
      <c r="G20" s="23">
        <f t="shared" si="0"/>
        <v>1065</v>
      </c>
      <c r="H20" s="65">
        <f t="shared" si="1"/>
        <v>0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/>
      <c r="F21" s="23">
        <v>1065</v>
      </c>
      <c r="G21" s="23">
        <f t="shared" si="0"/>
        <v>1065</v>
      </c>
      <c r="H21" s="65">
        <f t="shared" si="1"/>
        <v>0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/>
      <c r="F22" s="23">
        <v>1065</v>
      </c>
      <c r="G22" s="23">
        <f t="shared" si="0"/>
        <v>1065</v>
      </c>
      <c r="H22" s="65">
        <f t="shared" si="1"/>
        <v>0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/>
      <c r="F23" s="23">
        <v>1065</v>
      </c>
      <c r="G23" s="23">
        <f t="shared" si="0"/>
        <v>1065</v>
      </c>
      <c r="H23" s="65">
        <f t="shared" si="1"/>
        <v>0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/>
      <c r="F24" s="23">
        <v>1065</v>
      </c>
      <c r="G24" s="23">
        <f t="shared" si="0"/>
        <v>1065</v>
      </c>
      <c r="H24" s="65">
        <f t="shared" si="1"/>
        <v>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/>
      <c r="F25" s="23">
        <v>1065</v>
      </c>
      <c r="G25" s="23">
        <f t="shared" si="0"/>
        <v>1065</v>
      </c>
      <c r="H25" s="65">
        <f t="shared" si="1"/>
        <v>0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/>
      <c r="F26" s="23">
        <v>1065</v>
      </c>
      <c r="G26" s="23">
        <f t="shared" si="0"/>
        <v>1065</v>
      </c>
      <c r="H26" s="65">
        <f t="shared" si="1"/>
        <v>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-9837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6" sqref="F1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 t="shared" si="2"/>
        <v>0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>
        <v>760788</v>
      </c>
      <c r="F13" s="23">
        <v>172141</v>
      </c>
      <c r="G13" s="23">
        <f t="shared" si="0"/>
        <v>932929</v>
      </c>
      <c r="H13" s="18">
        <v>1.2781359999999999</v>
      </c>
      <c r="I13" s="23">
        <f t="shared" si="1"/>
        <v>1192410.140344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 t="shared" si="1"/>
        <v>1192410.140344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/>
      <c r="F16" s="23"/>
      <c r="G16" s="23">
        <f>E16+F16</f>
        <v>0</v>
      </c>
      <c r="H16" s="18">
        <v>1.2781359999999999</v>
      </c>
      <c r="I16" s="23">
        <f>H16*G16</f>
        <v>0</v>
      </c>
      <c r="J16" s="24">
        <f t="shared" si="2"/>
        <v>-1192410.140344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/>
      <c r="F17" s="23"/>
      <c r="G17" s="23">
        <f>E17+F17</f>
        <v>0</v>
      </c>
      <c r="H17" s="18">
        <v>1.2781359999999999</v>
      </c>
      <c r="I17" s="23">
        <f>H17*G17</f>
        <v>0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/>
      <c r="F18" s="23"/>
      <c r="G18" s="23">
        <f>E18+F18</f>
        <v>0</v>
      </c>
      <c r="H18" s="18">
        <v>1.2781359999999999</v>
      </c>
      <c r="I18" s="23">
        <f>H18*G18</f>
        <v>0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/>
      <c r="F19" s="23"/>
      <c r="G19" s="23">
        <f>E19+F19</f>
        <v>0</v>
      </c>
      <c r="H19" s="18">
        <v>1.2781359999999999</v>
      </c>
      <c r="I19" s="23">
        <f>H19*G19</f>
        <v>0</v>
      </c>
      <c r="J19" s="24">
        <f t="shared" si="2"/>
        <v>0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/>
      <c r="F20" s="23"/>
      <c r="G20" s="23">
        <f>E20+F20</f>
        <v>0</v>
      </c>
      <c r="H20" s="18">
        <v>1.2781359999999999</v>
      </c>
      <c r="I20" s="23">
        <f>H20*G20</f>
        <v>0</v>
      </c>
      <c r="J20" s="24">
        <f t="shared" si="2"/>
        <v>0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/>
      <c r="F21" s="23"/>
      <c r="G21" s="23">
        <f t="shared" ref="G21:G34" si="3">E21+F21</f>
        <v>0</v>
      </c>
      <c r="H21" s="18">
        <v>1.2781359999999999</v>
      </c>
      <c r="I21" s="23">
        <f t="shared" ref="I21:I34" si="4">H21*G21</f>
        <v>0</v>
      </c>
      <c r="J21" s="24">
        <f t="shared" si="2"/>
        <v>0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/>
      <c r="F22" s="23"/>
      <c r="G22" s="23">
        <f t="shared" si="3"/>
        <v>0</v>
      </c>
      <c r="H22" s="18">
        <v>1.2781359999999999</v>
      </c>
      <c r="I22" s="23">
        <f t="shared" si="4"/>
        <v>0</v>
      </c>
      <c r="J22" s="24">
        <f t="shared" si="2"/>
        <v>0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/>
      <c r="F23" s="23"/>
      <c r="G23" s="23">
        <f t="shared" si="3"/>
        <v>0</v>
      </c>
      <c r="H23" s="18">
        <v>1.2781359999999999</v>
      </c>
      <c r="I23" s="23">
        <f t="shared" si="4"/>
        <v>0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/>
      <c r="F24" s="23"/>
      <c r="G24" s="23">
        <f t="shared" si="3"/>
        <v>0</v>
      </c>
      <c r="H24" s="18">
        <v>1.2781359999999999</v>
      </c>
      <c r="I24" s="23">
        <f>H24*G24</f>
        <v>0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/>
      <c r="F25" s="23"/>
      <c r="G25" s="23">
        <f t="shared" si="3"/>
        <v>0</v>
      </c>
      <c r="H25" s="18">
        <v>1.2781359999999999</v>
      </c>
      <c r="I25" s="23">
        <f t="shared" si="4"/>
        <v>0</v>
      </c>
      <c r="J25" s="22">
        <f t="shared" si="2"/>
        <v>0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/>
      <c r="F26" s="23"/>
      <c r="G26" s="23">
        <f>E26+F26</f>
        <v>0</v>
      </c>
      <c r="H26" s="18">
        <v>1.2781359999999999</v>
      </c>
      <c r="I26" s="23">
        <f t="shared" si="4"/>
        <v>0</v>
      </c>
      <c r="J26" s="22">
        <f>I26-I25</f>
        <v>0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/>
      <c r="F27" s="23"/>
      <c r="G27" s="23">
        <f>E27+F27</f>
        <v>0</v>
      </c>
      <c r="H27" s="18">
        <v>1.2781359999999999</v>
      </c>
      <c r="I27" s="23">
        <f>H27*G27</f>
        <v>0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/>
      <c r="F28" s="23"/>
      <c r="G28" s="23">
        <f>E28+F28</f>
        <v>0</v>
      </c>
      <c r="H28" s="18">
        <v>1.2781359999999999</v>
      </c>
      <c r="I28" s="23">
        <f t="shared" si="4"/>
        <v>0</v>
      </c>
      <c r="J28" s="22">
        <f>I28-I27</f>
        <v>0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/>
      <c r="F29" s="23"/>
      <c r="G29" s="23">
        <f t="shared" si="3"/>
        <v>0</v>
      </c>
      <c r="H29" s="18">
        <v>1.2781359999999999</v>
      </c>
      <c r="I29" s="23">
        <f t="shared" si="4"/>
        <v>0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/>
      <c r="F30" s="23"/>
      <c r="G30" s="23">
        <f t="shared" si="3"/>
        <v>0</v>
      </c>
      <c r="H30" s="18">
        <v>1.2781359999999999</v>
      </c>
      <c r="I30" s="23">
        <f>H30*G30</f>
        <v>0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/>
      <c r="F31" s="23"/>
      <c r="G31" s="23">
        <f t="shared" si="3"/>
        <v>0</v>
      </c>
      <c r="H31" s="18">
        <v>1.2781359999999999</v>
      </c>
      <c r="I31" s="23">
        <f t="shared" si="4"/>
        <v>0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/>
      <c r="F32" s="23"/>
      <c r="G32" s="23">
        <f t="shared" si="3"/>
        <v>0</v>
      </c>
      <c r="H32" s="18">
        <v>1.2781359999999999</v>
      </c>
      <c r="I32" s="23">
        <f t="shared" si="4"/>
        <v>0</v>
      </c>
      <c r="J32" s="22">
        <f t="shared" si="2"/>
        <v>0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/>
      <c r="F33" s="23"/>
      <c r="G33" s="23">
        <f t="shared" si="3"/>
        <v>0</v>
      </c>
      <c r="H33" s="18">
        <v>1.2781359999999999</v>
      </c>
      <c r="I33" s="23">
        <f t="shared" si="4"/>
        <v>0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67"/>
      <c r="F34" s="67"/>
      <c r="G34" s="67">
        <f t="shared" si="3"/>
        <v>0</v>
      </c>
      <c r="H34" s="18">
        <v>1.2781359999999999</v>
      </c>
      <c r="I34" s="67">
        <f t="shared" si="4"/>
        <v>0</v>
      </c>
      <c r="J34" s="85">
        <f>I34-I33</f>
        <v>0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-1192410.140344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abSelected="1" workbookViewId="0">
      <selection activeCell="F16" sqref="F16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>
        <v>4699.7489999999998</v>
      </c>
      <c r="G12" s="22">
        <v>2760</v>
      </c>
      <c r="H12" s="23">
        <f t="shared" si="0"/>
        <v>12971307.24</v>
      </c>
      <c r="I12" s="24">
        <f t="shared" si="1"/>
        <v>1253.0399999991059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>
        <v>4700.1980000000003</v>
      </c>
      <c r="G13" s="22">
        <v>2760</v>
      </c>
      <c r="H13" s="23">
        <f t="shared" si="0"/>
        <v>12972546.48</v>
      </c>
      <c r="I13" s="24">
        <f t="shared" si="1"/>
        <v>1239.2400000002235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>
        <v>4700.6440000000002</v>
      </c>
      <c r="G14" s="22">
        <v>2760</v>
      </c>
      <c r="H14" s="23">
        <f t="shared" si="0"/>
        <v>12973777.440000001</v>
      </c>
      <c r="I14" s="24">
        <f t="shared" si="1"/>
        <v>1230.9600000008941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>
        <v>4701.058</v>
      </c>
      <c r="G15" s="22">
        <v>2760</v>
      </c>
      <c r="H15" s="23">
        <f t="shared" si="0"/>
        <v>12974920.08</v>
      </c>
      <c r="I15" s="24">
        <f t="shared" si="1"/>
        <v>1142.6399999987334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/>
      <c r="G16" s="22">
        <v>2760</v>
      </c>
      <c r="H16" s="23">
        <f t="shared" si="0"/>
        <v>0</v>
      </c>
      <c r="I16" s="24">
        <f t="shared" si="1"/>
        <v>-12974920.08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/>
      <c r="G17" s="22">
        <v>2760</v>
      </c>
      <c r="H17" s="23">
        <f t="shared" si="0"/>
        <v>0</v>
      </c>
      <c r="I17" s="24">
        <f t="shared" si="1"/>
        <v>0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/>
      <c r="G18" s="22">
        <v>2760</v>
      </c>
      <c r="H18" s="23">
        <f t="shared" si="0"/>
        <v>0</v>
      </c>
      <c r="I18" s="24">
        <f t="shared" si="1"/>
        <v>0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/>
      <c r="G19" s="22">
        <v>2760</v>
      </c>
      <c r="H19" s="23">
        <f t="shared" si="0"/>
        <v>0</v>
      </c>
      <c r="I19" s="24">
        <f t="shared" si="1"/>
        <v>0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/>
      <c r="G20" s="22">
        <v>2760</v>
      </c>
      <c r="H20" s="23">
        <f t="shared" si="0"/>
        <v>0</v>
      </c>
      <c r="I20" s="24">
        <f t="shared" si="1"/>
        <v>0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/>
      <c r="G21" s="22">
        <v>2760</v>
      </c>
      <c r="H21" s="23">
        <f t="shared" si="0"/>
        <v>0</v>
      </c>
      <c r="I21" s="24">
        <f t="shared" si="1"/>
        <v>0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/>
      <c r="G22" s="22">
        <v>2760</v>
      </c>
      <c r="H22" s="23">
        <f t="shared" si="0"/>
        <v>0</v>
      </c>
      <c r="I22" s="24">
        <f t="shared" si="1"/>
        <v>0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/>
      <c r="G23" s="22">
        <v>2760</v>
      </c>
      <c r="H23" s="23">
        <f t="shared" si="0"/>
        <v>0</v>
      </c>
      <c r="I23" s="24">
        <f t="shared" si="1"/>
        <v>0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/>
      <c r="G24" s="22">
        <v>2760</v>
      </c>
      <c r="H24" s="23">
        <f t="shared" si="0"/>
        <v>0</v>
      </c>
      <c r="I24" s="24">
        <f t="shared" si="1"/>
        <v>0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/>
      <c r="G25" s="22">
        <v>2760</v>
      </c>
      <c r="H25" s="23">
        <f t="shared" si="0"/>
        <v>0</v>
      </c>
      <c r="I25" s="24">
        <f t="shared" si="1"/>
        <v>0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/>
      <c r="G26" s="26">
        <v>2760</v>
      </c>
      <c r="H26" s="27">
        <f t="shared" si="0"/>
        <v>0</v>
      </c>
      <c r="I26" s="24">
        <f t="shared" si="1"/>
        <v>0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-12961575.48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2021-07-12T03:41:44Z</dcterms:modified>
</cp:coreProperties>
</file>