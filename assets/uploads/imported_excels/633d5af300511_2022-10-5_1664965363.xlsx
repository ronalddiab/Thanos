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EIFP1\ENGShare\Engineering Management\Daily Reports (utility)\HE Portal utilities management\2022\October 2022\"/>
    </mc:Choice>
  </mc:AlternateContent>
  <bookViews>
    <workbookView xWindow="180" yWindow="-90" windowWidth="14330" windowHeight="11460" tabRatio="579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M10" i="1" l="1"/>
  <c r="M11" i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9" i="1"/>
  <c r="B10" i="1"/>
  <c r="B11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9" i="1"/>
  <c r="P9" i="2"/>
  <c r="P10" i="2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8" i="2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8" i="2"/>
  <c r="J9" i="2"/>
  <c r="J10" i="2"/>
  <c r="J11" i="2"/>
  <c r="J12" i="2"/>
  <c r="J13" i="2"/>
  <c r="J14" i="2"/>
  <c r="J15" i="2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8" i="2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8" i="2"/>
  <c r="F10" i="2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9" i="2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T2" i="3"/>
  <c r="R2" i="3"/>
  <c r="J7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6" i="3"/>
  <c r="L2" i="3"/>
  <c r="J2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" i="3"/>
  <c r="E2" i="3"/>
  <c r="D2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5" i="5"/>
  <c r="A5" i="5"/>
  <c r="AE4" i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5" i="1"/>
  <c r="B6" i="7" s="1"/>
  <c r="AN4" i="1"/>
  <c r="AC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8" i="2" l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26" i="73" l="1"/>
  <c r="D25" i="73"/>
  <c r="D24" i="73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F5" i="1"/>
  <c r="F7" i="1" s="1"/>
  <c r="H5" i="1"/>
  <c r="K5" i="1"/>
  <c r="K6" i="1" s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X5" i="1"/>
  <c r="Z5" i="1"/>
  <c r="Z7" i="1" s="1"/>
  <c r="Z8" i="1" s="1"/>
  <c r="Z9" i="1" s="1"/>
  <c r="AC5" i="1"/>
  <c r="AE5" i="1"/>
  <c r="AX4" i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BA25" i="7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l="1"/>
  <c r="AC22" i="3" s="1"/>
  <c r="AH22" i="3" s="1"/>
  <c r="F22" i="3"/>
  <c r="AB22" i="3" s="1"/>
  <c r="D23" i="3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AA26" i="3"/>
  <c r="AC26" i="3" s="1"/>
  <c r="AH26" i="3" s="1"/>
  <c r="F26" i="3"/>
  <c r="AB26" i="3" s="1"/>
  <c r="D27" i="3" l="1"/>
  <c r="E27" i="3" s="1"/>
  <c r="AA27" i="3" s="1"/>
  <c r="AC27" i="3" s="1"/>
  <c r="AH27" i="3" s="1"/>
  <c r="F27" i="3" l="1"/>
  <c r="AB27" i="3" s="1"/>
  <c r="D28" i="3"/>
  <c r="E28" i="3" s="1"/>
  <c r="AA28" i="3" s="1"/>
  <c r="AC28" i="3" s="1"/>
  <c r="AH28" i="3" s="1"/>
  <c r="F28" i="3" l="1"/>
  <c r="AB28" i="3" s="1"/>
  <c r="D29" i="3"/>
  <c r="E29" i="3" s="1"/>
  <c r="AA29" i="3" s="1"/>
  <c r="AC29" i="3" s="1"/>
  <c r="AH29" i="3" s="1"/>
  <c r="F29" i="3"/>
  <c r="AB29" i="3" s="1"/>
  <c r="D30" i="3" l="1"/>
  <c r="E30" i="3" s="1"/>
  <c r="F30" i="3" s="1"/>
  <c r="AB30" i="3" s="1"/>
  <c r="AA30" i="3" l="1"/>
  <c r="AC30" i="3" s="1"/>
  <c r="AH30" i="3" s="1"/>
  <c r="D31" i="3"/>
  <c r="E31" i="3" s="1"/>
  <c r="F31" i="3" s="1"/>
  <c r="AB31" i="3" s="1"/>
  <c r="AA31" i="3" l="1"/>
  <c r="AC31" i="3" s="1"/>
  <c r="AH31" i="3" s="1"/>
  <c r="D32" i="3"/>
  <c r="E32" i="3" s="1"/>
  <c r="AA32" i="3" s="1"/>
  <c r="AC32" i="3" s="1"/>
  <c r="AH32" i="3" s="1"/>
  <c r="P3" i="3"/>
  <c r="D33" i="3" l="1"/>
  <c r="E33" i="3" s="1"/>
  <c r="AA33" i="3" s="1"/>
  <c r="AC33" i="3" s="1"/>
  <c r="AH33" i="3" s="1"/>
  <c r="P4" i="3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<sst xmlns="http://schemas.openxmlformats.org/spreadsheetml/2006/main" count="666" uniqueCount="418">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</sst>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7936"/>
        <c:axId val="257544464"/>
      </c:lineChart>
      <c:catAx>
        <c:axId val="25753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4464"/>
        <c:crosses val="autoZero"/>
        <c:auto val="1"/>
        <c:lblAlgn val="ctr"/>
        <c:lblOffset val="100"/>
        <c:noMultiLvlLbl val="0"/>
      </c:catAx>
      <c:valAx>
        <c:axId val="257544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3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45552"/>
        <c:axId val="257536848"/>
      </c:lineChart>
      <c:catAx>
        <c:axId val="25754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36848"/>
        <c:crosses val="autoZero"/>
        <c:auto val="1"/>
        <c:lblAlgn val="ctr"/>
        <c:lblOffset val="100"/>
        <c:noMultiLvlLbl val="0"/>
      </c:catAx>
      <c:valAx>
        <c:axId val="25753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48272"/>
        <c:axId val="257541200"/>
      </c:lineChart>
      <c:catAx>
        <c:axId val="25754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1200"/>
        <c:crosses val="autoZero"/>
        <c:auto val="1"/>
        <c:lblAlgn val="ctr"/>
        <c:lblOffset val="100"/>
        <c:noMultiLvlLbl val="0"/>
      </c:catAx>
      <c:valAx>
        <c:axId val="2575412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50992"/>
        <c:axId val="257549904"/>
      </c:lineChart>
      <c:catAx>
        <c:axId val="25755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9904"/>
        <c:crosses val="autoZero"/>
        <c:auto val="1"/>
        <c:lblAlgn val="ctr"/>
        <c:lblOffset val="100"/>
        <c:noMultiLvlLbl val="0"/>
      </c:catAx>
      <c:valAx>
        <c:axId val="2575499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5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43376"/>
        <c:axId val="257546096"/>
      </c:lineChart>
      <c:catAx>
        <c:axId val="25754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6096"/>
        <c:crosses val="autoZero"/>
        <c:auto val="1"/>
        <c:lblAlgn val="ctr"/>
        <c:lblOffset val="100"/>
        <c:noMultiLvlLbl val="0"/>
      </c:catAx>
      <c:valAx>
        <c:axId val="257546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4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51536"/>
        <c:axId val="257552080"/>
      </c:lineChart>
      <c:catAx>
        <c:axId val="25755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52080"/>
        <c:crosses val="autoZero"/>
        <c:auto val="1"/>
        <c:lblAlgn val="ctr"/>
        <c:lblOffset val="100"/>
        <c:noMultiLvlLbl val="0"/>
      </c:catAx>
      <c:valAx>
        <c:axId val="25755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5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8480"/>
        <c:axId val="257539024"/>
      </c:lineChart>
      <c:catAx>
        <c:axId val="2575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39024"/>
        <c:crosses val="autoZero"/>
        <c:auto val="1"/>
        <c:lblAlgn val="ctr"/>
        <c:lblOffset val="100"/>
        <c:noMultiLvlLbl val="0"/>
      </c:catAx>
      <c:valAx>
        <c:axId val="257539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5753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88960"/>
        <c:axId val="189796032"/>
      </c:lineChart>
      <c:catAx>
        <c:axId val="18978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9796032"/>
        <c:crosses val="autoZero"/>
        <c:auto val="1"/>
        <c:lblAlgn val="ctr"/>
        <c:lblOffset val="100"/>
        <c:noMultiLvlLbl val="0"/>
      </c:catAx>
      <c:valAx>
        <c:axId val="18979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97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98208"/>
        <c:axId val="189798752"/>
      </c:lineChart>
      <c:catAx>
        <c:axId val="18979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9798752"/>
        <c:crosses val="autoZero"/>
        <c:auto val="1"/>
        <c:lblAlgn val="ctr"/>
        <c:lblOffset val="100"/>
        <c:noMultiLvlLbl val="0"/>
      </c:catAx>
      <c:valAx>
        <c:axId val="1897987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979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93312"/>
        <c:axId val="2140267680"/>
      </c:lineChart>
      <c:catAx>
        <c:axId val="18979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140267680"/>
        <c:crosses val="autoZero"/>
        <c:auto val="1"/>
        <c:lblAlgn val="ctr"/>
        <c:lblOffset val="100"/>
        <c:noMultiLvlLbl val="0"/>
      </c:catAx>
      <c:valAx>
        <c:axId val="2140267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979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262784"/>
        <c:axId val="2140257888"/>
      </c:lineChart>
      <c:catAx>
        <c:axId val="214026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140257888"/>
        <c:crosses val="autoZero"/>
        <c:auto val="1"/>
        <c:lblAlgn val="ctr"/>
        <c:lblOffset val="100"/>
        <c:noMultiLvlLbl val="0"/>
      </c:catAx>
      <c:valAx>
        <c:axId val="21402578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1402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6432"/>
        <c:axId val="383712416"/>
      </c:lineChart>
      <c:catAx>
        <c:axId val="38370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2416"/>
        <c:crosses val="autoZero"/>
        <c:auto val="1"/>
        <c:lblAlgn val="ctr"/>
        <c:lblOffset val="100"/>
        <c:noMultiLvlLbl val="0"/>
      </c:catAx>
      <c:valAx>
        <c:axId val="38371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0</c:v>
                </c:pt>
                <c:pt idx="6">
                  <c:v>0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2960"/>
        <c:axId val="383708064"/>
      </c:lineChart>
      <c:catAx>
        <c:axId val="3837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8064"/>
        <c:crosses val="autoZero"/>
        <c:auto val="1"/>
        <c:lblAlgn val="ctr"/>
        <c:lblOffset val="100"/>
        <c:noMultiLvlLbl val="0"/>
      </c:catAx>
      <c:valAx>
        <c:axId val="38370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0240"/>
        <c:axId val="383713504"/>
      </c:lineChart>
      <c:catAx>
        <c:axId val="38371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3504"/>
        <c:crosses val="autoZero"/>
        <c:auto val="1"/>
        <c:lblAlgn val="ctr"/>
        <c:lblOffset val="100"/>
        <c:noMultiLvlLbl val="0"/>
      </c:catAx>
      <c:valAx>
        <c:axId val="383713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0784"/>
        <c:axId val="383706976"/>
      </c:lineChart>
      <c:catAx>
        <c:axId val="38371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6976"/>
        <c:crosses val="autoZero"/>
        <c:auto val="1"/>
        <c:lblAlgn val="ctr"/>
        <c:lblOffset val="100"/>
        <c:noMultiLvlLbl val="0"/>
      </c:catAx>
      <c:valAx>
        <c:axId val="383706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7520"/>
        <c:axId val="383708608"/>
      </c:lineChart>
      <c:catAx>
        <c:axId val="38370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8608"/>
        <c:crosses val="autoZero"/>
        <c:auto val="1"/>
        <c:lblAlgn val="ctr"/>
        <c:lblOffset val="100"/>
        <c:noMultiLvlLbl val="0"/>
      </c:catAx>
      <c:valAx>
        <c:axId val="38370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9152"/>
        <c:axId val="383711328"/>
      </c:lineChart>
      <c:catAx>
        <c:axId val="38370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1328"/>
        <c:crosses val="autoZero"/>
        <c:auto val="1"/>
        <c:lblAlgn val="ctr"/>
        <c:lblOffset val="100"/>
        <c:noMultiLvlLbl val="0"/>
      </c:catAx>
      <c:valAx>
        <c:axId val="3837113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9696"/>
        <c:axId val="383711872"/>
      </c:lineChart>
      <c:catAx>
        <c:axId val="38370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11872"/>
        <c:crosses val="autoZero"/>
        <c:auto val="1"/>
        <c:lblAlgn val="ctr"/>
        <c:lblOffset val="100"/>
        <c:noMultiLvlLbl val="0"/>
      </c:catAx>
      <c:valAx>
        <c:axId val="3837118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37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2480"/>
        <c:axId val="382267584"/>
      </c:lineChart>
      <c:catAx>
        <c:axId val="3822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67584"/>
        <c:crosses val="autoZero"/>
        <c:auto val="1"/>
        <c:lblAlgn val="ctr"/>
        <c:lblOffset val="100"/>
        <c:noMultiLvlLbl val="0"/>
      </c:catAx>
      <c:valAx>
        <c:axId val="38226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4656"/>
        <c:axId val="382268128"/>
      </c:lineChart>
      <c:catAx>
        <c:axId val="38227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68128"/>
        <c:crosses val="autoZero"/>
        <c:auto val="1"/>
        <c:lblAlgn val="ctr"/>
        <c:lblOffset val="100"/>
        <c:noMultiLvlLbl val="0"/>
      </c:catAx>
      <c:valAx>
        <c:axId val="3822681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68672"/>
        <c:axId val="382269216"/>
      </c:lineChart>
      <c:catAx>
        <c:axId val="38226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69216"/>
        <c:crosses val="autoZero"/>
        <c:auto val="1"/>
        <c:lblAlgn val="ctr"/>
        <c:lblOffset val="100"/>
        <c:noMultiLvlLbl val="0"/>
      </c:catAx>
      <c:valAx>
        <c:axId val="3822692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3568"/>
        <c:axId val="382270304"/>
      </c:lineChart>
      <c:catAx>
        <c:axId val="3822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0304"/>
        <c:crosses val="autoZero"/>
        <c:auto val="1"/>
        <c:lblAlgn val="ctr"/>
        <c:lblOffset val="100"/>
        <c:noMultiLvlLbl val="0"/>
      </c:catAx>
      <c:valAx>
        <c:axId val="38227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69760"/>
        <c:axId val="382271936"/>
      </c:lineChart>
      <c:catAx>
        <c:axId val="3822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1936"/>
        <c:crosses val="autoZero"/>
        <c:auto val="1"/>
        <c:lblAlgn val="ctr"/>
        <c:lblOffset val="100"/>
        <c:noMultiLvlLbl val="0"/>
      </c:catAx>
      <c:valAx>
        <c:axId val="38227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0848"/>
        <c:axId val="382271392"/>
      </c:lineChart>
      <c:catAx>
        <c:axId val="3822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1392"/>
        <c:crosses val="autoZero"/>
        <c:auto val="1"/>
        <c:lblAlgn val="ctr"/>
        <c:lblOffset val="100"/>
        <c:noMultiLvlLbl val="0"/>
      </c:catAx>
      <c:valAx>
        <c:axId val="38227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3024"/>
        <c:axId val="382274112"/>
      </c:lineChart>
      <c:catAx>
        <c:axId val="382273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4112"/>
        <c:crosses val="autoZero"/>
        <c:auto val="1"/>
        <c:lblAlgn val="ctr"/>
        <c:lblOffset val="100"/>
        <c:noMultiLvlLbl val="0"/>
      </c:catAx>
      <c:valAx>
        <c:axId val="3822741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2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512848"/>
        <c:axId val="382505232"/>
      </c:lineChart>
      <c:catAx>
        <c:axId val="38251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05232"/>
        <c:crosses val="autoZero"/>
        <c:auto val="1"/>
        <c:lblAlgn val="ctr"/>
        <c:lblOffset val="100"/>
        <c:noMultiLvlLbl val="0"/>
      </c:catAx>
      <c:valAx>
        <c:axId val="3825052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1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514480"/>
        <c:axId val="382520464"/>
      </c:lineChart>
      <c:catAx>
        <c:axId val="38251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20464"/>
        <c:crosses val="autoZero"/>
        <c:auto val="1"/>
        <c:lblAlgn val="ctr"/>
        <c:lblOffset val="100"/>
        <c:noMultiLvlLbl val="0"/>
      </c:catAx>
      <c:valAx>
        <c:axId val="38252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1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519920"/>
        <c:axId val="382516112"/>
      </c:lineChart>
      <c:catAx>
        <c:axId val="382519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16112"/>
        <c:crosses val="autoZero"/>
        <c:auto val="1"/>
        <c:lblAlgn val="ctr"/>
        <c:lblOffset val="100"/>
        <c:noMultiLvlLbl val="0"/>
      </c:catAx>
      <c:valAx>
        <c:axId val="3825161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8251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uzi/Desktop/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>
            <v>0</v>
          </cell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>
            <v>0</v>
          </cell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>
            <v>0</v>
          </cell>
          <cell r="AU36">
            <v>0</v>
          </cell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7353389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219</v>
          </cell>
          <cell r="X32">
            <v>54.75</v>
          </cell>
          <cell r="Y32">
            <v>54.75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>
            <v>0</v>
          </cell>
          <cell r="AB34">
            <v>8162261.79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4877.8699834162517</v>
          </cell>
          <cell r="AC36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1" t="s">
        <v>338</v>
      </c>
      <c r="B1" s="571" t="s">
        <v>198</v>
      </c>
      <c r="C1" s="571" t="s">
        <v>339</v>
      </c>
      <c r="D1" s="571" t="s">
        <v>340</v>
      </c>
      <c r="E1" s="572" t="s">
        <v>350</v>
      </c>
      <c r="F1" s="572" t="s">
        <v>351</v>
      </c>
      <c r="G1" s="572" t="s">
        <v>411</v>
      </c>
      <c r="H1" s="572" t="s">
        <v>352</v>
      </c>
      <c r="I1" s="572" t="s">
        <v>353</v>
      </c>
      <c r="J1" s="572" t="s">
        <v>354</v>
      </c>
      <c r="K1" s="572" t="s">
        <v>355</v>
      </c>
      <c r="L1" s="572" t="s">
        <v>356</v>
      </c>
      <c r="M1" s="573" t="s">
        <v>397</v>
      </c>
      <c r="N1" s="468" t="s">
        <v>398</v>
      </c>
      <c r="O1" s="572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0</v>
      </c>
      <c r="I2" s="10">
        <f>('B5'!AU5)*0.51</f>
        <v>-45.9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5">
        <f>SUM('EDl log'!T5)</f>
        <v>5.8350184157779088E-2</v>
      </c>
      <c r="G3" s="203">
        <f>-tanks!AW7</f>
        <v>294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199</v>
      </c>
      <c r="L3" s="316">
        <f>SUM(WATER!J7)</f>
        <v>1.2157562003566218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5">
        <f>SUM('EDl log'!T6)</f>
        <v>5.63534905608256E-2</v>
      </c>
      <c r="G4" s="203">
        <f>-tanks!AW8</f>
        <v>47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5">
        <f>SUM('EDl log'!T7)</f>
        <v>5.7419524692354569E-2</v>
      </c>
      <c r="G5" s="203">
        <f>-tanks!AW9</f>
        <v>144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-12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P8" sqref="P8:P34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22.1796875" style="444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44834</v>
      </c>
      <c r="D3" s="585">
        <f>[2]ELEC!$D$34</f>
        <v>376630</v>
      </c>
      <c r="E3" s="585">
        <f>[3]ELEC!E34</f>
        <v>920</v>
      </c>
      <c r="F3" s="585">
        <f>[2]ELEC!$F$34</f>
        <v>4168766</v>
      </c>
      <c r="G3" s="585">
        <f>[3]ELEC!G34</f>
        <v>602.79999999981374</v>
      </c>
      <c r="H3" s="585">
        <f>[2]ELEC!$H$34</f>
        <v>18082090</v>
      </c>
      <c r="I3" s="585">
        <f>[3]ELEC!I34</f>
        <v>568</v>
      </c>
      <c r="J3" s="585">
        <f>[2]ELEC!$J$34</f>
        <v>29857148</v>
      </c>
      <c r="K3" s="585">
        <f>[3]ELEC!K34</f>
        <v>878</v>
      </c>
      <c r="L3" s="585">
        <f>[2]ELEC!$L$34</f>
        <v>24671166</v>
      </c>
      <c r="M3" s="585">
        <f>[3]ELEC!M34</f>
        <v>1110</v>
      </c>
      <c r="N3" s="585">
        <f>M3+K3+I3+G3+E3</f>
        <v>4078.7999999998137</v>
      </c>
      <c r="O3" s="585">
        <f>[3]ELEC!O34</f>
        <v>0</v>
      </c>
      <c r="P3" s="585">
        <f>[2]ELEC!$P$34</f>
        <v>19535.339</v>
      </c>
      <c r="Q3" s="585">
        <f>[3]ELEC!Q34</f>
        <v>4102.999999999156</v>
      </c>
      <c r="R3" s="585">
        <f>[3]ELEC!R34</f>
        <v>-24.199999999342253</v>
      </c>
      <c r="S3" s="585">
        <v>10175</v>
      </c>
      <c r="T3" s="585">
        <f>[3]ELEC!T34</f>
        <v>0</v>
      </c>
      <c r="U3" s="585">
        <f>[3]ELEC!U34</f>
        <v>429166</v>
      </c>
      <c r="V3" s="585">
        <f>[3]ELEC!V34</f>
        <v>0</v>
      </c>
      <c r="W3" s="585">
        <f>[2]ELEC!$W$34</f>
        <v>33498</v>
      </c>
      <c r="X3" s="585">
        <f>[3]ELEC!X34</f>
        <v>0</v>
      </c>
      <c r="Y3" s="585">
        <f>[2]ELEC!$Y$34</f>
        <v>999659</v>
      </c>
      <c r="Z3" s="585">
        <f>[3]ELEC!Z34</f>
        <v>0</v>
      </c>
      <c r="AA3" s="585">
        <f>[2]ELEC!$AA$34</f>
        <v>36801</v>
      </c>
      <c r="AB3" s="585">
        <f>[3]ELEC!AB34</f>
        <v>0</v>
      </c>
      <c r="AC3" s="585">
        <f>[2]ELEC!$AC$34</f>
        <v>1171535</v>
      </c>
      <c r="AD3" s="585">
        <f>[3]ELEC!AD34</f>
        <v>0</v>
      </c>
      <c r="AE3" s="585">
        <f>[3]ELEC!AE34</f>
        <v>0</v>
      </c>
      <c r="AF3" s="585">
        <f>[3]ELEC!AF34</f>
        <v>0</v>
      </c>
      <c r="AG3" s="585">
        <f>[3]ELEC!AG34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44835</v>
      </c>
      <c r="D4" s="585">
        <f>[2]ELEC!$D$34</f>
        <v>376630</v>
      </c>
      <c r="E4" s="574">
        <f>D4-D3</f>
        <v>0</v>
      </c>
      <c r="F4" s="585">
        <f>[2]ELEC!$F$34</f>
        <v>4168766</v>
      </c>
      <c r="G4" s="575">
        <f>F4-F3</f>
        <v>0</v>
      </c>
      <c r="H4" s="585">
        <f>[2]ELEC!$H$34</f>
        <v>18082090</v>
      </c>
      <c r="I4" s="575">
        <f>H4-H3</f>
        <v>0</v>
      </c>
      <c r="J4" s="585">
        <f>[2]ELEC!$J$34</f>
        <v>29857148</v>
      </c>
      <c r="K4" s="575">
        <f>J4-J3</f>
        <v>0</v>
      </c>
      <c r="L4" s="585">
        <f>[2]ELEC!$L$34</f>
        <v>24671166</v>
      </c>
      <c r="M4" s="575">
        <f>L4-L3</f>
        <v>0</v>
      </c>
      <c r="N4" s="427">
        <f>M4+K4+I4+G4+E4</f>
        <v>0</v>
      </c>
      <c r="O4" s="438">
        <f t="shared" ref="O4:O10" si="0">IF(B4&gt;0,N4/B4,0)</f>
        <v>0</v>
      </c>
      <c r="P4" s="585">
        <f>[2]ELEC!$P$34</f>
        <v>19535.339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585">
        <f>[2]ELEC!$W$34</f>
        <v>33498</v>
      </c>
      <c r="X4" s="439">
        <f t="shared" ref="X4:X9" si="3">W4-W3</f>
        <v>0</v>
      </c>
      <c r="Y4" s="585">
        <f>[2]ELEC!$Y$34</f>
        <v>999659</v>
      </c>
      <c r="Z4" s="439">
        <f>Y4-Y3</f>
        <v>0</v>
      </c>
      <c r="AA4" s="585">
        <f>[2]ELEC!$AA$34</f>
        <v>36801</v>
      </c>
      <c r="AB4" s="439">
        <f>AA4-AA3</f>
        <v>0</v>
      </c>
      <c r="AC4" s="585">
        <f>[2]ELEC!$AC$34</f>
        <v>1171535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44836</v>
      </c>
      <c r="D5" s="585">
        <v>377400</v>
      </c>
      <c r="E5" s="574">
        <f t="shared" ref="E5:E34" si="7">D5-D4</f>
        <v>770</v>
      </c>
      <c r="F5" s="566">
        <v>4169133</v>
      </c>
      <c r="G5" s="449">
        <f>F5-F4</f>
        <v>367</v>
      </c>
      <c r="H5" s="426">
        <v>18082500</v>
      </c>
      <c r="I5" s="449">
        <f>H5-H4</f>
        <v>410</v>
      </c>
      <c r="J5" s="426">
        <v>29857514</v>
      </c>
      <c r="K5" s="449">
        <f>J5-J4</f>
        <v>366</v>
      </c>
      <c r="L5" s="426">
        <v>24671906</v>
      </c>
      <c r="M5" s="449">
        <f>L5-L4</f>
        <v>740</v>
      </c>
      <c r="N5" s="297">
        <f>M5+K5+I5+G5+E5</f>
        <v>2653</v>
      </c>
      <c r="O5" s="445">
        <f t="shared" si="0"/>
        <v>0</v>
      </c>
      <c r="P5" s="560">
        <v>19537.923999999999</v>
      </c>
      <c r="Q5" s="446">
        <f t="shared" si="1"/>
        <v>2584.9999999991269</v>
      </c>
      <c r="R5" s="428">
        <f>N5-Q5</f>
        <v>68.000000000873115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585">
        <v>33498</v>
      </c>
      <c r="X5" s="428">
        <f t="shared" si="3"/>
        <v>0</v>
      </c>
      <c r="Y5" s="585">
        <f>[2]ELEC!$Y$34</f>
        <v>999659</v>
      </c>
      <c r="Z5" s="428">
        <f>Y5-Y4</f>
        <v>0</v>
      </c>
      <c r="AA5" s="585">
        <f>[2]ELEC!$AA$34</f>
        <v>36801</v>
      </c>
      <c r="AB5" s="448">
        <f>AA5-AA4</f>
        <v>0</v>
      </c>
      <c r="AC5" s="585">
        <f>[2]ELEC!$AC$34</f>
        <v>1171535</v>
      </c>
      <c r="AD5" s="449">
        <f>AC5-AC4</f>
        <v>0</v>
      </c>
      <c r="AE5" s="450">
        <f t="shared" ref="AE5:AE31" si="1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44837</v>
      </c>
      <c r="D6" s="586">
        <v>378120</v>
      </c>
      <c r="E6" s="574">
        <f t="shared" ref="E6:E7" si="11">D6-D5</f>
        <v>720</v>
      </c>
      <c r="F6" s="566">
        <v>4169494</v>
      </c>
      <c r="G6" s="449">
        <f t="shared" ref="G6:G7" si="12">F6-F5</f>
        <v>361</v>
      </c>
      <c r="H6" s="426">
        <v>18082908</v>
      </c>
      <c r="I6" s="449">
        <f t="shared" ref="I6:I7" si="13">H6-H5</f>
        <v>408</v>
      </c>
      <c r="J6" s="426">
        <v>29858020</v>
      </c>
      <c r="K6" s="449">
        <f t="shared" ref="K6:K7" si="14">J6-J5</f>
        <v>506</v>
      </c>
      <c r="L6" s="426">
        <v>24672658</v>
      </c>
      <c r="M6" s="449">
        <f t="shared" ref="M6:M7" si="15">L6-L5</f>
        <v>752</v>
      </c>
      <c r="N6" s="297">
        <f t="shared" ref="N6:N7" si="16">M6+K6+I6+G6+E6</f>
        <v>2747</v>
      </c>
      <c r="O6" s="445">
        <f t="shared" ref="O6:O7" si="17">IF(B6&gt;0,N6/B6,0)</f>
        <v>0</v>
      </c>
      <c r="P6" s="560">
        <v>19540.732</v>
      </c>
      <c r="Q6" s="446">
        <f t="shared" ref="Q6:Q7" si="18">(P6-P5)*1000</f>
        <v>2808.0000000009022</v>
      </c>
      <c r="R6" s="428">
        <f>N6-Q6</f>
        <v>-61.000000000902219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19">U6-U5</f>
        <v>0</v>
      </c>
      <c r="W6" s="585">
        <f>[2]ELEC!$W$34</f>
        <v>33498</v>
      </c>
      <c r="X6" s="428">
        <f t="shared" si="3"/>
        <v>0</v>
      </c>
      <c r="Y6" s="585">
        <f>[2]ELEC!$Y$34</f>
        <v>999659</v>
      </c>
      <c r="Z6" s="428">
        <f>Y6-Y5</f>
        <v>0</v>
      </c>
      <c r="AA6" s="585">
        <f>[2]ELEC!$AA$34</f>
        <v>36801</v>
      </c>
      <c r="AB6" s="428">
        <f t="shared" ref="AB6:AB31" si="20">AA6-AA5</f>
        <v>0</v>
      </c>
      <c r="AC6" s="585">
        <f>[2]ELEC!$AC$34</f>
        <v>1171535</v>
      </c>
      <c r="AD6" s="428">
        <f t="shared" ref="AD6:AD17" si="21">AC6-AC5</f>
        <v>0</v>
      </c>
      <c r="AE6" s="450">
        <f t="shared" si="1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44838</v>
      </c>
      <c r="D7" s="586">
        <v>378790</v>
      </c>
      <c r="E7" s="574">
        <f t="shared" si="11"/>
        <v>670</v>
      </c>
      <c r="F7" s="566">
        <v>4169830</v>
      </c>
      <c r="G7" s="449">
        <f t="shared" si="12"/>
        <v>336</v>
      </c>
      <c r="H7" s="426">
        <v>18083294</v>
      </c>
      <c r="I7" s="449">
        <f t="shared" si="13"/>
        <v>386</v>
      </c>
      <c r="J7" s="426">
        <v>29858600</v>
      </c>
      <c r="K7" s="449">
        <f t="shared" si="14"/>
        <v>580</v>
      </c>
      <c r="L7" s="426">
        <v>24673382</v>
      </c>
      <c r="M7" s="449">
        <f t="shared" si="15"/>
        <v>724</v>
      </c>
      <c r="N7" s="297">
        <f t="shared" si="16"/>
        <v>2696</v>
      </c>
      <c r="O7" s="445">
        <f t="shared" si="17"/>
        <v>0</v>
      </c>
      <c r="P7" s="560">
        <v>19543.491000000002</v>
      </c>
      <c r="Q7" s="446">
        <f t="shared" si="18"/>
        <v>2759.0000000018335</v>
      </c>
      <c r="R7" s="428">
        <f t="shared" ref="R7:R18" si="22">N7-Q7</f>
        <v>-63.000000001833541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19"/>
        <v>0</v>
      </c>
      <c r="W7" s="585">
        <f>[2]ELEC!$W$34</f>
        <v>33498</v>
      </c>
      <c r="X7" s="428">
        <f t="shared" si="3"/>
        <v>0</v>
      </c>
      <c r="Y7" s="585">
        <f>[2]ELEC!$Y$34</f>
        <v>999659</v>
      </c>
      <c r="Z7" s="428">
        <f t="shared" ref="Z7:Z31" si="23">Y7-Y6</f>
        <v>0</v>
      </c>
      <c r="AA7" s="585">
        <f>[2]ELEC!$AA$34</f>
        <v>36801</v>
      </c>
      <c r="AB7" s="428">
        <f t="shared" si="20"/>
        <v>0</v>
      </c>
      <c r="AC7" s="585">
        <f>[2]ELEC!$AC$34</f>
        <v>1171535</v>
      </c>
      <c r="AD7" s="428">
        <f t="shared" si="21"/>
        <v>0</v>
      </c>
      <c r="AE7" s="450">
        <f t="shared" si="1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44839</v>
      </c>
      <c r="D8" s="586">
        <f t="shared" ref="D8:D34" si="24">D7</f>
        <v>378790</v>
      </c>
      <c r="E8" s="574">
        <f t="shared" si="7"/>
        <v>0</v>
      </c>
      <c r="F8" s="566">
        <v>4169830</v>
      </c>
      <c r="G8" s="449">
        <f t="shared" ref="G8:G34" si="25">F8-F7</f>
        <v>0</v>
      </c>
      <c r="H8" s="426">
        <f>H7</f>
        <v>18083294</v>
      </c>
      <c r="I8" s="449">
        <f t="shared" ref="I8:I34" si="26">H8-H7</f>
        <v>0</v>
      </c>
      <c r="J8" s="426">
        <f>J7</f>
        <v>29858600</v>
      </c>
      <c r="K8" s="449">
        <f t="shared" ref="K8:K34" si="27">J8-J7</f>
        <v>0</v>
      </c>
      <c r="L8" s="426">
        <f>L7</f>
        <v>24673382</v>
      </c>
      <c r="M8" s="449">
        <f t="shared" ref="M8:M31" si="28">L8-L7</f>
        <v>0</v>
      </c>
      <c r="N8" s="297">
        <f t="shared" ref="N8:N31" si="29">M8+K8+I8+G8+E8</f>
        <v>0</v>
      </c>
      <c r="O8" s="445">
        <f t="shared" si="0"/>
        <v>0</v>
      </c>
      <c r="P8" s="560">
        <f>P7</f>
        <v>19543.491000000002</v>
      </c>
      <c r="Q8" s="446">
        <f t="shared" si="1"/>
        <v>0</v>
      </c>
      <c r="R8" s="428">
        <f t="shared" si="2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19"/>
        <v>0</v>
      </c>
      <c r="W8" s="585">
        <f>[2]ELEC!$W$34</f>
        <v>33498</v>
      </c>
      <c r="X8" s="428">
        <f t="shared" si="3"/>
        <v>0</v>
      </c>
      <c r="Y8" s="585">
        <f>[2]ELEC!$Y$34</f>
        <v>999659</v>
      </c>
      <c r="Z8" s="428">
        <f t="shared" si="23"/>
        <v>0</v>
      </c>
      <c r="AA8" s="585">
        <f>[2]ELEC!$AA$34</f>
        <v>36801</v>
      </c>
      <c r="AB8" s="428">
        <f t="shared" si="20"/>
        <v>0</v>
      </c>
      <c r="AC8" s="585">
        <f>[2]ELEC!$AC$34</f>
        <v>1171535</v>
      </c>
      <c r="AD8" s="428">
        <f t="shared" si="21"/>
        <v>0</v>
      </c>
      <c r="AE8" s="450">
        <f t="shared" si="1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44840</v>
      </c>
      <c r="D9" s="586">
        <f t="shared" si="24"/>
        <v>378790</v>
      </c>
      <c r="E9" s="574">
        <f t="shared" si="7"/>
        <v>0</v>
      </c>
      <c r="F9" s="566">
        <f>F8</f>
        <v>4169830</v>
      </c>
      <c r="G9" s="449">
        <f t="shared" si="25"/>
        <v>0</v>
      </c>
      <c r="H9" s="426">
        <f t="shared" ref="H9:H34" si="30">H8</f>
        <v>18083294</v>
      </c>
      <c r="I9" s="449">
        <f t="shared" si="26"/>
        <v>0</v>
      </c>
      <c r="J9" s="426">
        <f t="shared" ref="J9:J34" si="31">J8</f>
        <v>29858600</v>
      </c>
      <c r="K9" s="449">
        <f t="shared" si="27"/>
        <v>0</v>
      </c>
      <c r="L9" s="426">
        <f t="shared" ref="L9:L34" si="32">L8</f>
        <v>24673382</v>
      </c>
      <c r="M9" s="449">
        <f t="shared" si="28"/>
        <v>0</v>
      </c>
      <c r="N9" s="297">
        <f t="shared" si="29"/>
        <v>0</v>
      </c>
      <c r="O9" s="445">
        <f t="shared" si="0"/>
        <v>0</v>
      </c>
      <c r="P9" s="560">
        <f t="shared" ref="P9:P34" si="33">P8</f>
        <v>19543.491000000002</v>
      </c>
      <c r="Q9" s="446">
        <f t="shared" si="1"/>
        <v>0</v>
      </c>
      <c r="R9" s="428">
        <f t="shared" si="2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19"/>
        <v>0</v>
      </c>
      <c r="W9" s="585">
        <f>[2]ELEC!$W$34</f>
        <v>33498</v>
      </c>
      <c r="X9" s="428">
        <f t="shared" si="3"/>
        <v>0</v>
      </c>
      <c r="Y9" s="585">
        <f>[2]ELEC!$Y$34</f>
        <v>999659</v>
      </c>
      <c r="Z9" s="428">
        <f t="shared" si="23"/>
        <v>0</v>
      </c>
      <c r="AA9" s="585">
        <f>[2]ELEC!$AA$34</f>
        <v>36801</v>
      </c>
      <c r="AB9" s="428">
        <f t="shared" si="20"/>
        <v>0</v>
      </c>
      <c r="AC9" s="585">
        <f>[2]ELEC!$AC$34</f>
        <v>1171535</v>
      </c>
      <c r="AD9" s="428">
        <f t="shared" si="21"/>
        <v>0</v>
      </c>
      <c r="AE9" s="450">
        <f t="shared" si="1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44841</v>
      </c>
      <c r="D10" s="586">
        <f t="shared" si="24"/>
        <v>378790</v>
      </c>
      <c r="E10" s="574">
        <f t="shared" si="7"/>
        <v>0</v>
      </c>
      <c r="F10" s="566">
        <f t="shared" ref="F10:F34" si="34">F9</f>
        <v>4169830</v>
      </c>
      <c r="G10" s="449">
        <f t="shared" si="25"/>
        <v>0</v>
      </c>
      <c r="H10" s="426">
        <f t="shared" si="30"/>
        <v>18083294</v>
      </c>
      <c r="I10" s="449">
        <f t="shared" si="26"/>
        <v>0</v>
      </c>
      <c r="J10" s="426">
        <f t="shared" si="31"/>
        <v>29858600</v>
      </c>
      <c r="K10" s="449">
        <f t="shared" si="27"/>
        <v>0</v>
      </c>
      <c r="L10" s="426">
        <f t="shared" si="32"/>
        <v>24673382</v>
      </c>
      <c r="M10" s="449">
        <f t="shared" si="28"/>
        <v>0</v>
      </c>
      <c r="N10" s="297">
        <f t="shared" si="29"/>
        <v>0</v>
      </c>
      <c r="O10" s="445">
        <f t="shared" si="0"/>
        <v>0</v>
      </c>
      <c r="P10" s="560">
        <f t="shared" si="33"/>
        <v>19543.491000000002</v>
      </c>
      <c r="Q10" s="446">
        <f t="shared" si="1"/>
        <v>0</v>
      </c>
      <c r="R10" s="428">
        <f t="shared" si="22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19"/>
        <v>0</v>
      </c>
      <c r="W10" s="585">
        <f>[2]ELEC!$W$34</f>
        <v>33498</v>
      </c>
      <c r="X10" s="428">
        <f t="shared" ref="X10:X31" si="35">W10-W9</f>
        <v>0</v>
      </c>
      <c r="Y10" s="585">
        <f>[2]ELEC!$Y$34</f>
        <v>999659</v>
      </c>
      <c r="Z10" s="428">
        <f t="shared" si="23"/>
        <v>0</v>
      </c>
      <c r="AA10" s="585">
        <f>[2]ELEC!$AA$34</f>
        <v>36801</v>
      </c>
      <c r="AB10" s="428">
        <f t="shared" si="20"/>
        <v>0</v>
      </c>
      <c r="AC10" s="585">
        <f>[2]ELEC!$AC$34</f>
        <v>1171535</v>
      </c>
      <c r="AD10" s="428">
        <f t="shared" si="21"/>
        <v>0</v>
      </c>
      <c r="AE10" s="450">
        <f t="shared" si="1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44842</v>
      </c>
      <c r="D11" s="586">
        <f t="shared" si="24"/>
        <v>378790</v>
      </c>
      <c r="E11" s="574">
        <f t="shared" si="7"/>
        <v>0</v>
      </c>
      <c r="F11" s="566">
        <f t="shared" si="34"/>
        <v>4169830</v>
      </c>
      <c r="G11" s="449">
        <f t="shared" si="25"/>
        <v>0</v>
      </c>
      <c r="H11" s="426">
        <f t="shared" si="30"/>
        <v>18083294</v>
      </c>
      <c r="I11" s="449">
        <f t="shared" si="26"/>
        <v>0</v>
      </c>
      <c r="J11" s="426">
        <f t="shared" si="31"/>
        <v>29858600</v>
      </c>
      <c r="K11" s="449">
        <f t="shared" si="27"/>
        <v>0</v>
      </c>
      <c r="L11" s="426">
        <f t="shared" si="32"/>
        <v>24673382</v>
      </c>
      <c r="M11" s="449">
        <f t="shared" si="28"/>
        <v>0</v>
      </c>
      <c r="N11" s="297">
        <f t="shared" si="29"/>
        <v>0</v>
      </c>
      <c r="O11" s="445">
        <f t="shared" ref="O11:O31" si="36">IF(B11&gt;0,N11/B11,0)</f>
        <v>0</v>
      </c>
      <c r="P11" s="560">
        <f t="shared" si="33"/>
        <v>19543.491000000002</v>
      </c>
      <c r="Q11" s="446">
        <f t="shared" si="1"/>
        <v>0</v>
      </c>
      <c r="R11" s="428">
        <f t="shared" si="2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19"/>
        <v>0</v>
      </c>
      <c r="W11" s="585">
        <f>[2]ELEC!$W$34</f>
        <v>33498</v>
      </c>
      <c r="X11" s="428">
        <f t="shared" si="35"/>
        <v>0</v>
      </c>
      <c r="Y11" s="585">
        <f>[2]ELEC!$Y$34</f>
        <v>999659</v>
      </c>
      <c r="Z11" s="428">
        <f t="shared" si="23"/>
        <v>0</v>
      </c>
      <c r="AA11" s="585">
        <f>[2]ELEC!$AA$34</f>
        <v>36801</v>
      </c>
      <c r="AB11" s="428">
        <f t="shared" si="20"/>
        <v>0</v>
      </c>
      <c r="AC11" s="585">
        <f>[2]ELEC!$AC$34</f>
        <v>1171535</v>
      </c>
      <c r="AD11" s="428">
        <f t="shared" si="21"/>
        <v>0</v>
      </c>
      <c r="AE11" s="450">
        <f t="shared" si="10"/>
        <v>0</v>
      </c>
      <c r="AF11" s="451">
        <f t="shared" si="4"/>
        <v>0</v>
      </c>
      <c r="AG11" s="443">
        <f t="shared" ref="AG11:AG32" si="37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44843</v>
      </c>
      <c r="D12" s="586">
        <f t="shared" si="24"/>
        <v>378790</v>
      </c>
      <c r="E12" s="574">
        <f>D12-D11</f>
        <v>0</v>
      </c>
      <c r="F12" s="566">
        <f t="shared" si="34"/>
        <v>4169830</v>
      </c>
      <c r="G12" s="449">
        <f t="shared" si="25"/>
        <v>0</v>
      </c>
      <c r="H12" s="426">
        <f t="shared" si="30"/>
        <v>18083294</v>
      </c>
      <c r="I12" s="449">
        <f t="shared" si="26"/>
        <v>0</v>
      </c>
      <c r="J12" s="426">
        <f t="shared" si="31"/>
        <v>29858600</v>
      </c>
      <c r="K12" s="449">
        <f t="shared" si="27"/>
        <v>0</v>
      </c>
      <c r="L12" s="426">
        <f t="shared" si="32"/>
        <v>24673382</v>
      </c>
      <c r="M12" s="449">
        <f t="shared" si="28"/>
        <v>0</v>
      </c>
      <c r="N12" s="297">
        <f>M12+K12+I12+G12+E12</f>
        <v>0</v>
      </c>
      <c r="O12" s="445">
        <f t="shared" si="36"/>
        <v>0</v>
      </c>
      <c r="P12" s="560">
        <f t="shared" si="33"/>
        <v>19543.491000000002</v>
      </c>
      <c r="Q12" s="446">
        <f t="shared" si="1"/>
        <v>0</v>
      </c>
      <c r="R12" s="587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19"/>
        <v>0</v>
      </c>
      <c r="W12" s="585">
        <f>[2]ELEC!$W$34</f>
        <v>33498</v>
      </c>
      <c r="X12" s="428">
        <f t="shared" si="35"/>
        <v>0</v>
      </c>
      <c r="Y12" s="585">
        <f>[2]ELEC!$Y$34</f>
        <v>999659</v>
      </c>
      <c r="Z12" s="428">
        <f t="shared" si="23"/>
        <v>0</v>
      </c>
      <c r="AA12" s="585">
        <f>[2]ELEC!$AA$34</f>
        <v>36801</v>
      </c>
      <c r="AB12" s="428">
        <f t="shared" si="20"/>
        <v>0</v>
      </c>
      <c r="AC12" s="585">
        <f>[2]ELEC!$AC$34</f>
        <v>1171535</v>
      </c>
      <c r="AD12" s="428">
        <f t="shared" si="21"/>
        <v>0</v>
      </c>
      <c r="AE12" s="450">
        <f t="shared" si="10"/>
        <v>0</v>
      </c>
      <c r="AF12" s="451">
        <f t="shared" si="4"/>
        <v>0</v>
      </c>
      <c r="AG12" s="443">
        <f t="shared" si="37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44844</v>
      </c>
      <c r="D13" s="586">
        <f t="shared" si="24"/>
        <v>378790</v>
      </c>
      <c r="E13" s="574">
        <f t="shared" si="7"/>
        <v>0</v>
      </c>
      <c r="F13" s="566">
        <f t="shared" si="34"/>
        <v>4169830</v>
      </c>
      <c r="G13" s="449">
        <f t="shared" si="25"/>
        <v>0</v>
      </c>
      <c r="H13" s="426">
        <f t="shared" si="30"/>
        <v>18083294</v>
      </c>
      <c r="I13" s="449">
        <f t="shared" si="26"/>
        <v>0</v>
      </c>
      <c r="J13" s="426">
        <f t="shared" si="31"/>
        <v>29858600</v>
      </c>
      <c r="K13" s="449">
        <f t="shared" si="27"/>
        <v>0</v>
      </c>
      <c r="L13" s="426">
        <f t="shared" si="32"/>
        <v>24673382</v>
      </c>
      <c r="M13" s="449">
        <f t="shared" si="28"/>
        <v>0</v>
      </c>
      <c r="N13" s="297">
        <f>M13+K13+I13+G13+E13</f>
        <v>0</v>
      </c>
      <c r="O13" s="445">
        <f t="shared" si="36"/>
        <v>0</v>
      </c>
      <c r="P13" s="560">
        <f t="shared" si="33"/>
        <v>19543.491000000002</v>
      </c>
      <c r="Q13" s="446">
        <f t="shared" si="1"/>
        <v>0</v>
      </c>
      <c r="R13" s="428">
        <f t="shared" si="2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19"/>
        <v>0</v>
      </c>
      <c r="W13" s="585">
        <f>[2]ELEC!$W$34</f>
        <v>33498</v>
      </c>
      <c r="X13" s="428">
        <f t="shared" si="35"/>
        <v>0</v>
      </c>
      <c r="Y13" s="585">
        <f>[2]ELEC!$Y$34</f>
        <v>999659</v>
      </c>
      <c r="Z13" s="428">
        <f t="shared" si="23"/>
        <v>0</v>
      </c>
      <c r="AA13" s="585">
        <f>[2]ELEC!$AA$34</f>
        <v>36801</v>
      </c>
      <c r="AB13" s="428">
        <f t="shared" si="20"/>
        <v>0</v>
      </c>
      <c r="AC13" s="585">
        <f>[2]ELEC!$AC$34</f>
        <v>1171535</v>
      </c>
      <c r="AD13" s="428">
        <f t="shared" si="21"/>
        <v>0</v>
      </c>
      <c r="AE13" s="450">
        <f t="shared" si="10"/>
        <v>0</v>
      </c>
      <c r="AF13" s="451">
        <f t="shared" si="4"/>
        <v>0</v>
      </c>
      <c r="AG13" s="443">
        <f t="shared" si="37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44845</v>
      </c>
      <c r="D14" s="586">
        <f t="shared" si="24"/>
        <v>378790</v>
      </c>
      <c r="E14" s="574">
        <f t="shared" si="7"/>
        <v>0</v>
      </c>
      <c r="F14" s="566">
        <f t="shared" si="34"/>
        <v>4169830</v>
      </c>
      <c r="G14" s="449">
        <f t="shared" si="25"/>
        <v>0</v>
      </c>
      <c r="H14" s="426">
        <f t="shared" si="30"/>
        <v>18083294</v>
      </c>
      <c r="I14" s="449">
        <f t="shared" si="26"/>
        <v>0</v>
      </c>
      <c r="J14" s="426">
        <f t="shared" si="31"/>
        <v>29858600</v>
      </c>
      <c r="K14" s="449">
        <f t="shared" si="27"/>
        <v>0</v>
      </c>
      <c r="L14" s="426">
        <f t="shared" si="32"/>
        <v>24673382</v>
      </c>
      <c r="M14" s="449">
        <f t="shared" si="28"/>
        <v>0</v>
      </c>
      <c r="N14" s="297">
        <f>M14+K14+I14+G14+E14</f>
        <v>0</v>
      </c>
      <c r="O14" s="445">
        <f t="shared" si="36"/>
        <v>0</v>
      </c>
      <c r="P14" s="560">
        <f t="shared" si="33"/>
        <v>19543.491000000002</v>
      </c>
      <c r="Q14" s="446">
        <f t="shared" si="1"/>
        <v>0</v>
      </c>
      <c r="R14" s="428">
        <f t="shared" si="2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19"/>
        <v>0</v>
      </c>
      <c r="W14" s="585">
        <f>[2]ELEC!$W$34</f>
        <v>33498</v>
      </c>
      <c r="X14" s="428">
        <f t="shared" si="35"/>
        <v>0</v>
      </c>
      <c r="Y14" s="585">
        <f>[2]ELEC!$Y$34</f>
        <v>999659</v>
      </c>
      <c r="Z14" s="428">
        <f t="shared" si="23"/>
        <v>0</v>
      </c>
      <c r="AA14" s="585">
        <f>[2]ELEC!$AA$34</f>
        <v>36801</v>
      </c>
      <c r="AB14" s="428">
        <f t="shared" si="20"/>
        <v>0</v>
      </c>
      <c r="AC14" s="585">
        <f>[2]ELEC!$AC$34</f>
        <v>1171535</v>
      </c>
      <c r="AD14" s="428">
        <f t="shared" si="21"/>
        <v>0</v>
      </c>
      <c r="AE14" s="450">
        <f t="shared" si="10"/>
        <v>0</v>
      </c>
      <c r="AF14" s="451">
        <f t="shared" si="4"/>
        <v>0</v>
      </c>
      <c r="AG14" s="443">
        <f t="shared" si="37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44846</v>
      </c>
      <c r="D15" s="586">
        <f t="shared" si="24"/>
        <v>378790</v>
      </c>
      <c r="E15" s="574">
        <f t="shared" si="7"/>
        <v>0</v>
      </c>
      <c r="F15" s="566">
        <f t="shared" si="34"/>
        <v>4169830</v>
      </c>
      <c r="G15" s="449">
        <f t="shared" si="25"/>
        <v>0</v>
      </c>
      <c r="H15" s="426">
        <f t="shared" si="30"/>
        <v>18083294</v>
      </c>
      <c r="I15" s="449">
        <f t="shared" si="26"/>
        <v>0</v>
      </c>
      <c r="J15" s="426">
        <f t="shared" si="31"/>
        <v>29858600</v>
      </c>
      <c r="K15" s="449">
        <f t="shared" si="27"/>
        <v>0</v>
      </c>
      <c r="L15" s="426">
        <f t="shared" si="32"/>
        <v>24673382</v>
      </c>
      <c r="M15" s="449">
        <f t="shared" si="28"/>
        <v>0</v>
      </c>
      <c r="N15" s="297">
        <f t="shared" si="29"/>
        <v>0</v>
      </c>
      <c r="O15" s="445">
        <f t="shared" si="36"/>
        <v>0</v>
      </c>
      <c r="P15" s="560">
        <f t="shared" si="33"/>
        <v>19543.491000000002</v>
      </c>
      <c r="Q15" s="446">
        <f t="shared" si="1"/>
        <v>0</v>
      </c>
      <c r="R15" s="587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19"/>
        <v>0</v>
      </c>
      <c r="W15" s="585">
        <f>[2]ELEC!$W$34</f>
        <v>33498</v>
      </c>
      <c r="X15" s="428">
        <f t="shared" si="35"/>
        <v>0</v>
      </c>
      <c r="Y15" s="585">
        <f>[2]ELEC!$Y$34</f>
        <v>999659</v>
      </c>
      <c r="Z15" s="428">
        <f t="shared" si="23"/>
        <v>0</v>
      </c>
      <c r="AA15" s="585">
        <f>[2]ELEC!$AA$34</f>
        <v>36801</v>
      </c>
      <c r="AB15" s="428">
        <f t="shared" si="20"/>
        <v>0</v>
      </c>
      <c r="AC15" s="585">
        <f>[2]ELEC!$AC$34</f>
        <v>1171535</v>
      </c>
      <c r="AD15" s="428">
        <f t="shared" si="21"/>
        <v>0</v>
      </c>
      <c r="AE15" s="450">
        <f t="shared" si="10"/>
        <v>0</v>
      </c>
      <c r="AF15" s="451">
        <f t="shared" si="4"/>
        <v>0</v>
      </c>
      <c r="AG15" s="443">
        <f t="shared" si="37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44847</v>
      </c>
      <c r="D16" s="586">
        <f t="shared" si="24"/>
        <v>378790</v>
      </c>
      <c r="E16" s="574">
        <f t="shared" si="7"/>
        <v>0</v>
      </c>
      <c r="F16" s="566">
        <f t="shared" si="34"/>
        <v>4169830</v>
      </c>
      <c r="G16" s="449">
        <f t="shared" si="25"/>
        <v>0</v>
      </c>
      <c r="H16" s="426">
        <f t="shared" si="30"/>
        <v>18083294</v>
      </c>
      <c r="I16" s="449">
        <f t="shared" si="26"/>
        <v>0</v>
      </c>
      <c r="J16" s="426">
        <f t="shared" si="31"/>
        <v>29858600</v>
      </c>
      <c r="K16" s="449">
        <f t="shared" si="27"/>
        <v>0</v>
      </c>
      <c r="L16" s="426">
        <f t="shared" si="32"/>
        <v>24673382</v>
      </c>
      <c r="M16" s="449">
        <f t="shared" si="28"/>
        <v>0</v>
      </c>
      <c r="N16" s="297">
        <f t="shared" si="29"/>
        <v>0</v>
      </c>
      <c r="O16" s="445">
        <f t="shared" si="36"/>
        <v>0</v>
      </c>
      <c r="P16" s="560">
        <f t="shared" si="33"/>
        <v>19543.491000000002</v>
      </c>
      <c r="Q16" s="446">
        <f t="shared" si="1"/>
        <v>0</v>
      </c>
      <c r="R16" s="428">
        <f t="shared" si="2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19"/>
        <v>0</v>
      </c>
      <c r="W16" s="585">
        <f>[2]ELEC!$W$34</f>
        <v>33498</v>
      </c>
      <c r="X16" s="428">
        <f t="shared" si="35"/>
        <v>0</v>
      </c>
      <c r="Y16" s="585">
        <f>[2]ELEC!$Y$34</f>
        <v>999659</v>
      </c>
      <c r="Z16" s="428">
        <f t="shared" si="23"/>
        <v>0</v>
      </c>
      <c r="AA16" s="585">
        <f>[2]ELEC!$AA$34</f>
        <v>36801</v>
      </c>
      <c r="AB16" s="428">
        <f t="shared" si="20"/>
        <v>0</v>
      </c>
      <c r="AC16" s="585">
        <f>[2]ELEC!$AC$34</f>
        <v>1171535</v>
      </c>
      <c r="AD16" s="428">
        <f t="shared" si="21"/>
        <v>0</v>
      </c>
      <c r="AE16" s="450">
        <f t="shared" si="10"/>
        <v>0</v>
      </c>
      <c r="AF16" s="451">
        <f t="shared" si="4"/>
        <v>0</v>
      </c>
      <c r="AG16" s="443">
        <f t="shared" si="37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44848</v>
      </c>
      <c r="D17" s="586">
        <f t="shared" si="24"/>
        <v>378790</v>
      </c>
      <c r="E17" s="574">
        <f t="shared" si="7"/>
        <v>0</v>
      </c>
      <c r="F17" s="566">
        <f t="shared" si="34"/>
        <v>4169830</v>
      </c>
      <c r="G17" s="449">
        <f t="shared" si="25"/>
        <v>0</v>
      </c>
      <c r="H17" s="426">
        <f t="shared" si="30"/>
        <v>18083294</v>
      </c>
      <c r="I17" s="449">
        <f t="shared" si="26"/>
        <v>0</v>
      </c>
      <c r="J17" s="426">
        <f t="shared" si="31"/>
        <v>29858600</v>
      </c>
      <c r="K17" s="449">
        <f t="shared" si="27"/>
        <v>0</v>
      </c>
      <c r="L17" s="426">
        <f t="shared" si="32"/>
        <v>24673382</v>
      </c>
      <c r="M17" s="449">
        <f t="shared" si="28"/>
        <v>0</v>
      </c>
      <c r="N17" s="297">
        <f t="shared" si="29"/>
        <v>0</v>
      </c>
      <c r="O17" s="445">
        <f t="shared" si="36"/>
        <v>0</v>
      </c>
      <c r="P17" s="560">
        <f t="shared" si="33"/>
        <v>19543.491000000002</v>
      </c>
      <c r="Q17" s="446">
        <f t="shared" si="1"/>
        <v>0</v>
      </c>
      <c r="R17" s="428">
        <f t="shared" si="2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19"/>
        <v>0</v>
      </c>
      <c r="W17" s="585">
        <f>[2]ELEC!$W$34</f>
        <v>33498</v>
      </c>
      <c r="X17" s="428">
        <f>W17-W16</f>
        <v>0</v>
      </c>
      <c r="Y17" s="585">
        <f>[2]ELEC!$Y$34</f>
        <v>999659</v>
      </c>
      <c r="Z17" s="428">
        <f>Y17-Y16</f>
        <v>0</v>
      </c>
      <c r="AA17" s="585">
        <f>[2]ELEC!$AA$34</f>
        <v>36801</v>
      </c>
      <c r="AB17" s="428">
        <f>AA17-AA16</f>
        <v>0</v>
      </c>
      <c r="AC17" s="585">
        <f>[2]ELEC!$AC$34</f>
        <v>1171535</v>
      </c>
      <c r="AD17" s="428">
        <f t="shared" si="21"/>
        <v>0</v>
      </c>
      <c r="AE17" s="450">
        <f t="shared" si="10"/>
        <v>0</v>
      </c>
      <c r="AF17" s="451">
        <f t="shared" si="4"/>
        <v>0</v>
      </c>
      <c r="AG17" s="443">
        <f t="shared" si="37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44849</v>
      </c>
      <c r="D18" s="586">
        <f t="shared" si="24"/>
        <v>378790</v>
      </c>
      <c r="E18" s="574">
        <f t="shared" si="7"/>
        <v>0</v>
      </c>
      <c r="F18" s="566">
        <f t="shared" si="34"/>
        <v>4169830</v>
      </c>
      <c r="G18" s="449">
        <f t="shared" si="25"/>
        <v>0</v>
      </c>
      <c r="H18" s="426">
        <f t="shared" si="30"/>
        <v>18083294</v>
      </c>
      <c r="I18" s="449">
        <f t="shared" si="26"/>
        <v>0</v>
      </c>
      <c r="J18" s="426">
        <f t="shared" si="31"/>
        <v>29858600</v>
      </c>
      <c r="K18" s="449">
        <f t="shared" si="27"/>
        <v>0</v>
      </c>
      <c r="L18" s="426">
        <f t="shared" si="32"/>
        <v>24673382</v>
      </c>
      <c r="M18" s="449">
        <f t="shared" si="28"/>
        <v>0</v>
      </c>
      <c r="N18" s="297">
        <f>M18+K18+I18+G18+E18</f>
        <v>0</v>
      </c>
      <c r="O18" s="445">
        <f t="shared" si="36"/>
        <v>0</v>
      </c>
      <c r="P18" s="560">
        <f t="shared" si="33"/>
        <v>19543.491000000002</v>
      </c>
      <c r="Q18" s="446">
        <f t="shared" si="1"/>
        <v>0</v>
      </c>
      <c r="R18" s="428">
        <f t="shared" si="2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19"/>
        <v>0</v>
      </c>
      <c r="W18" s="585">
        <f>[2]ELEC!$W$34</f>
        <v>33498</v>
      </c>
      <c r="X18" s="428">
        <f t="shared" si="35"/>
        <v>0</v>
      </c>
      <c r="Y18" s="585">
        <f>[2]ELEC!$Y$34</f>
        <v>999659</v>
      </c>
      <c r="Z18" s="428">
        <f t="shared" si="23"/>
        <v>0</v>
      </c>
      <c r="AA18" s="585">
        <f>[2]ELEC!$AA$34</f>
        <v>36801</v>
      </c>
      <c r="AB18" s="428">
        <f t="shared" si="20"/>
        <v>0</v>
      </c>
      <c r="AC18" s="585">
        <f>[2]ELEC!$AC$34</f>
        <v>1171535</v>
      </c>
      <c r="AD18" s="428">
        <f t="shared" ref="AD18:AD31" si="38">AC18-AC17</f>
        <v>0</v>
      </c>
      <c r="AE18" s="450">
        <f t="shared" si="10"/>
        <v>0</v>
      </c>
      <c r="AF18" s="451">
        <f t="shared" si="4"/>
        <v>0</v>
      </c>
      <c r="AG18" s="443">
        <f t="shared" si="37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44850</v>
      </c>
      <c r="D19" s="586">
        <f t="shared" si="24"/>
        <v>378790</v>
      </c>
      <c r="E19" s="574">
        <f t="shared" si="7"/>
        <v>0</v>
      </c>
      <c r="F19" s="566">
        <f t="shared" si="34"/>
        <v>4169830</v>
      </c>
      <c r="G19" s="449">
        <f t="shared" si="25"/>
        <v>0</v>
      </c>
      <c r="H19" s="426">
        <f t="shared" si="30"/>
        <v>18083294</v>
      </c>
      <c r="I19" s="449">
        <f t="shared" si="26"/>
        <v>0</v>
      </c>
      <c r="J19" s="426">
        <f t="shared" si="31"/>
        <v>29858600</v>
      </c>
      <c r="K19" s="449">
        <f t="shared" si="27"/>
        <v>0</v>
      </c>
      <c r="L19" s="426">
        <f t="shared" si="32"/>
        <v>24673382</v>
      </c>
      <c r="M19" s="449">
        <f t="shared" si="28"/>
        <v>0</v>
      </c>
      <c r="N19" s="297">
        <f t="shared" si="29"/>
        <v>0</v>
      </c>
      <c r="O19" s="445">
        <f t="shared" si="36"/>
        <v>0</v>
      </c>
      <c r="P19" s="560">
        <f t="shared" si="33"/>
        <v>19543.491000000002</v>
      </c>
      <c r="Q19" s="446">
        <f>(P19-P18)*1000</f>
        <v>0</v>
      </c>
      <c r="R19" s="587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19"/>
        <v>0</v>
      </c>
      <c r="W19" s="585">
        <f>[2]ELEC!$W$34</f>
        <v>33498</v>
      </c>
      <c r="X19" s="428">
        <f t="shared" si="35"/>
        <v>0</v>
      </c>
      <c r="Y19" s="585">
        <f>[2]ELEC!$Y$34</f>
        <v>999659</v>
      </c>
      <c r="Z19" s="428">
        <f t="shared" si="23"/>
        <v>0</v>
      </c>
      <c r="AA19" s="585">
        <f>[2]ELEC!$AA$34</f>
        <v>36801</v>
      </c>
      <c r="AB19" s="428">
        <f t="shared" si="20"/>
        <v>0</v>
      </c>
      <c r="AC19" s="585">
        <f>[2]ELEC!$AC$34</f>
        <v>1171535</v>
      </c>
      <c r="AD19" s="428">
        <f t="shared" si="38"/>
        <v>0</v>
      </c>
      <c r="AE19" s="450">
        <f t="shared" si="10"/>
        <v>0</v>
      </c>
      <c r="AF19" s="451">
        <f t="shared" si="4"/>
        <v>0</v>
      </c>
      <c r="AG19" s="443">
        <f t="shared" si="37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44851</v>
      </c>
      <c r="D20" s="586">
        <f t="shared" si="24"/>
        <v>378790</v>
      </c>
      <c r="E20" s="574">
        <f t="shared" si="7"/>
        <v>0</v>
      </c>
      <c r="F20" s="566">
        <f t="shared" si="34"/>
        <v>4169830</v>
      </c>
      <c r="G20" s="449">
        <f t="shared" si="25"/>
        <v>0</v>
      </c>
      <c r="H20" s="426">
        <f t="shared" si="30"/>
        <v>18083294</v>
      </c>
      <c r="I20" s="449">
        <f t="shared" si="26"/>
        <v>0</v>
      </c>
      <c r="J20" s="426">
        <f t="shared" si="31"/>
        <v>29858600</v>
      </c>
      <c r="K20" s="449">
        <f t="shared" si="27"/>
        <v>0</v>
      </c>
      <c r="L20" s="426">
        <f t="shared" si="32"/>
        <v>24673382</v>
      </c>
      <c r="M20" s="449">
        <f t="shared" si="28"/>
        <v>0</v>
      </c>
      <c r="N20" s="297">
        <f t="shared" si="29"/>
        <v>0</v>
      </c>
      <c r="O20" s="445">
        <f t="shared" si="36"/>
        <v>0</v>
      </c>
      <c r="P20" s="560">
        <f t="shared" si="33"/>
        <v>19543.491000000002</v>
      </c>
      <c r="Q20" s="446">
        <f>(P20-P19)*1000</f>
        <v>0</v>
      </c>
      <c r="R20" s="587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19"/>
        <v>0</v>
      </c>
      <c r="W20" s="585">
        <f>[2]ELEC!$W$34</f>
        <v>33498</v>
      </c>
      <c r="X20" s="428">
        <f t="shared" si="35"/>
        <v>0</v>
      </c>
      <c r="Y20" s="585">
        <f>[2]ELEC!$Y$34</f>
        <v>999659</v>
      </c>
      <c r="Z20" s="428">
        <f t="shared" si="23"/>
        <v>0</v>
      </c>
      <c r="AA20" s="585">
        <f>[2]ELEC!$AA$34</f>
        <v>36801</v>
      </c>
      <c r="AB20" s="428">
        <f t="shared" si="20"/>
        <v>0</v>
      </c>
      <c r="AC20" s="585">
        <f>[2]ELEC!$AC$34</f>
        <v>1171535</v>
      </c>
      <c r="AD20" s="428">
        <f t="shared" si="38"/>
        <v>0</v>
      </c>
      <c r="AE20" s="450">
        <f t="shared" si="10"/>
        <v>0</v>
      </c>
      <c r="AF20" s="451">
        <f t="shared" si="4"/>
        <v>0</v>
      </c>
      <c r="AG20" s="443">
        <f t="shared" si="37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44852</v>
      </c>
      <c r="D21" s="586">
        <f t="shared" si="24"/>
        <v>378790</v>
      </c>
      <c r="E21" s="574">
        <f t="shared" si="7"/>
        <v>0</v>
      </c>
      <c r="F21" s="566">
        <f t="shared" si="34"/>
        <v>4169830</v>
      </c>
      <c r="G21" s="449">
        <f t="shared" si="25"/>
        <v>0</v>
      </c>
      <c r="H21" s="426">
        <f t="shared" si="30"/>
        <v>18083294</v>
      </c>
      <c r="I21" s="449">
        <f t="shared" si="26"/>
        <v>0</v>
      </c>
      <c r="J21" s="426">
        <f t="shared" si="31"/>
        <v>29858600</v>
      </c>
      <c r="K21" s="449">
        <f t="shared" si="27"/>
        <v>0</v>
      </c>
      <c r="L21" s="426">
        <f t="shared" si="32"/>
        <v>24673382</v>
      </c>
      <c r="M21" s="449">
        <f t="shared" si="28"/>
        <v>0</v>
      </c>
      <c r="N21" s="297">
        <f t="shared" si="29"/>
        <v>0</v>
      </c>
      <c r="O21" s="445">
        <f t="shared" si="36"/>
        <v>0</v>
      </c>
      <c r="P21" s="560">
        <f t="shared" si="33"/>
        <v>19543.491000000002</v>
      </c>
      <c r="Q21" s="446">
        <f t="shared" si="1"/>
        <v>0</v>
      </c>
      <c r="R21" s="587">
        <f t="shared" ref="R21:R31" si="39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19"/>
        <v>0</v>
      </c>
      <c r="W21" s="585">
        <f>[2]ELEC!$W$34</f>
        <v>33498</v>
      </c>
      <c r="X21" s="428">
        <f t="shared" si="35"/>
        <v>0</v>
      </c>
      <c r="Y21" s="585">
        <f>[2]ELEC!$Y$34</f>
        <v>999659</v>
      </c>
      <c r="Z21" s="428">
        <f t="shared" si="23"/>
        <v>0</v>
      </c>
      <c r="AA21" s="585">
        <f>[2]ELEC!$AA$34</f>
        <v>36801</v>
      </c>
      <c r="AB21" s="428">
        <f t="shared" si="20"/>
        <v>0</v>
      </c>
      <c r="AC21" s="585">
        <f>[2]ELEC!$AC$34</f>
        <v>1171535</v>
      </c>
      <c r="AD21" s="428">
        <f t="shared" si="38"/>
        <v>0</v>
      </c>
      <c r="AE21" s="450">
        <f t="shared" si="10"/>
        <v>0</v>
      </c>
      <c r="AF21" s="451">
        <f t="shared" si="4"/>
        <v>0</v>
      </c>
      <c r="AG21" s="443">
        <f t="shared" si="37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44853</v>
      </c>
      <c r="D22" s="586">
        <f t="shared" si="24"/>
        <v>378790</v>
      </c>
      <c r="E22" s="574">
        <f t="shared" ref="E22" si="40">D22-D21</f>
        <v>0</v>
      </c>
      <c r="F22" s="566">
        <f t="shared" si="34"/>
        <v>4169830</v>
      </c>
      <c r="G22" s="449">
        <f t="shared" ref="G22" si="41">F22-F21</f>
        <v>0</v>
      </c>
      <c r="H22" s="426">
        <f t="shared" si="30"/>
        <v>18083294</v>
      </c>
      <c r="I22" s="449">
        <f t="shared" si="26"/>
        <v>0</v>
      </c>
      <c r="J22" s="426">
        <f t="shared" si="31"/>
        <v>29858600</v>
      </c>
      <c r="K22" s="449">
        <f t="shared" ref="K22" si="42">J22-J21</f>
        <v>0</v>
      </c>
      <c r="L22" s="426">
        <f t="shared" si="32"/>
        <v>24673382</v>
      </c>
      <c r="M22" s="449">
        <f t="shared" ref="M22" si="43">L22-L21</f>
        <v>0</v>
      </c>
      <c r="N22" s="297">
        <f t="shared" ref="N22" si="44">M22+K22+I22+G22+E22</f>
        <v>0</v>
      </c>
      <c r="O22" s="445">
        <f t="shared" ref="O22" si="45">IF(B22&gt;0,N22/B22,0)</f>
        <v>0</v>
      </c>
      <c r="P22" s="560">
        <f t="shared" si="33"/>
        <v>19543.491000000002</v>
      </c>
      <c r="Q22" s="446">
        <f t="shared" ref="Q22" si="46">(P22-P21)*1000</f>
        <v>0</v>
      </c>
      <c r="R22" s="587">
        <f t="shared" ref="R22" si="47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19"/>
        <v>0</v>
      </c>
      <c r="W22" s="585">
        <f>[2]ELEC!$W$34</f>
        <v>33498</v>
      </c>
      <c r="X22" s="428">
        <f t="shared" si="35"/>
        <v>0</v>
      </c>
      <c r="Y22" s="585">
        <f>[2]ELEC!$Y$34</f>
        <v>999659</v>
      </c>
      <c r="Z22" s="428">
        <f t="shared" si="23"/>
        <v>0</v>
      </c>
      <c r="AA22" s="585">
        <f>[2]ELEC!$AA$34</f>
        <v>36801</v>
      </c>
      <c r="AB22" s="428">
        <f t="shared" si="20"/>
        <v>0</v>
      </c>
      <c r="AC22" s="585">
        <f>[2]ELEC!$AC$34</f>
        <v>1171535</v>
      </c>
      <c r="AD22" s="449">
        <f>AC22-AC21</f>
        <v>0</v>
      </c>
      <c r="AE22" s="450">
        <f t="shared" si="10"/>
        <v>0</v>
      </c>
      <c r="AF22" s="451">
        <f t="shared" si="4"/>
        <v>0</v>
      </c>
      <c r="AG22" s="443">
        <f t="shared" si="37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44854</v>
      </c>
      <c r="D23" s="586">
        <f t="shared" si="24"/>
        <v>378790</v>
      </c>
      <c r="E23" s="574">
        <f t="shared" si="7"/>
        <v>0</v>
      </c>
      <c r="F23" s="566">
        <f t="shared" si="34"/>
        <v>4169830</v>
      </c>
      <c r="G23" s="449">
        <f t="shared" si="25"/>
        <v>0</v>
      </c>
      <c r="H23" s="426">
        <f t="shared" si="30"/>
        <v>18083294</v>
      </c>
      <c r="I23" s="449">
        <f t="shared" si="26"/>
        <v>0</v>
      </c>
      <c r="J23" s="426">
        <f t="shared" si="31"/>
        <v>29858600</v>
      </c>
      <c r="K23" s="449">
        <f t="shared" si="27"/>
        <v>0</v>
      </c>
      <c r="L23" s="426">
        <f t="shared" si="32"/>
        <v>24673382</v>
      </c>
      <c r="M23" s="449">
        <f t="shared" si="28"/>
        <v>0</v>
      </c>
      <c r="N23" s="297">
        <f t="shared" si="29"/>
        <v>0</v>
      </c>
      <c r="O23" s="445">
        <f t="shared" si="36"/>
        <v>0</v>
      </c>
      <c r="P23" s="560">
        <f t="shared" si="33"/>
        <v>19543.491000000002</v>
      </c>
      <c r="Q23" s="446">
        <f t="shared" si="1"/>
        <v>0</v>
      </c>
      <c r="R23" s="587">
        <f t="shared" si="39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19"/>
        <v>0</v>
      </c>
      <c r="W23" s="585">
        <f>[2]ELEC!$W$34</f>
        <v>33498</v>
      </c>
      <c r="X23" s="428">
        <f t="shared" si="35"/>
        <v>0</v>
      </c>
      <c r="Y23" s="585">
        <f>[2]ELEC!$Y$34</f>
        <v>999659</v>
      </c>
      <c r="Z23" s="428">
        <f t="shared" si="23"/>
        <v>0</v>
      </c>
      <c r="AA23" s="585">
        <f>[2]ELEC!$AA$34</f>
        <v>36801</v>
      </c>
      <c r="AB23" s="428">
        <f t="shared" si="20"/>
        <v>0</v>
      </c>
      <c r="AC23" s="585">
        <f>[2]ELEC!$AC$34</f>
        <v>1171535</v>
      </c>
      <c r="AD23" s="428">
        <f t="shared" si="38"/>
        <v>0</v>
      </c>
      <c r="AE23" s="450">
        <f t="shared" si="10"/>
        <v>0</v>
      </c>
      <c r="AF23" s="451">
        <f t="shared" si="4"/>
        <v>0</v>
      </c>
      <c r="AG23" s="443">
        <f t="shared" si="37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44855</v>
      </c>
      <c r="D24" s="586">
        <f t="shared" si="24"/>
        <v>378790</v>
      </c>
      <c r="E24" s="574">
        <f t="shared" si="7"/>
        <v>0</v>
      </c>
      <c r="F24" s="566">
        <f t="shared" si="34"/>
        <v>4169830</v>
      </c>
      <c r="G24" s="449">
        <f t="shared" si="25"/>
        <v>0</v>
      </c>
      <c r="H24" s="426">
        <f t="shared" si="30"/>
        <v>18083294</v>
      </c>
      <c r="I24" s="590">
        <f t="shared" si="26"/>
        <v>0</v>
      </c>
      <c r="J24" s="426">
        <f t="shared" si="31"/>
        <v>29858600</v>
      </c>
      <c r="K24" s="449">
        <f t="shared" si="27"/>
        <v>0</v>
      </c>
      <c r="L24" s="426">
        <f t="shared" si="32"/>
        <v>24673382</v>
      </c>
      <c r="M24" s="449">
        <f t="shared" si="28"/>
        <v>0</v>
      </c>
      <c r="N24" s="297">
        <f t="shared" si="29"/>
        <v>0</v>
      </c>
      <c r="O24" s="445">
        <f t="shared" si="36"/>
        <v>0</v>
      </c>
      <c r="P24" s="560">
        <f t="shared" si="33"/>
        <v>19543.491000000002</v>
      </c>
      <c r="Q24" s="446">
        <f t="shared" si="1"/>
        <v>0</v>
      </c>
      <c r="R24" s="587">
        <f t="shared" si="39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19"/>
        <v>0</v>
      </c>
      <c r="W24" s="585">
        <f>[2]ELEC!$W$34</f>
        <v>33498</v>
      </c>
      <c r="X24" s="428">
        <f t="shared" si="35"/>
        <v>0</v>
      </c>
      <c r="Y24" s="585">
        <f>[2]ELEC!$Y$34</f>
        <v>999659</v>
      </c>
      <c r="Z24" s="428">
        <f t="shared" si="23"/>
        <v>0</v>
      </c>
      <c r="AA24" s="585">
        <f>[2]ELEC!$AA$34</f>
        <v>36801</v>
      </c>
      <c r="AB24" s="428">
        <f t="shared" si="20"/>
        <v>0</v>
      </c>
      <c r="AC24" s="585">
        <f>[2]ELEC!$AC$34</f>
        <v>1171535</v>
      </c>
      <c r="AD24" s="428">
        <f t="shared" si="38"/>
        <v>0</v>
      </c>
      <c r="AE24" s="450">
        <f t="shared" si="10"/>
        <v>0</v>
      </c>
      <c r="AF24" s="451">
        <f t="shared" si="4"/>
        <v>0</v>
      </c>
      <c r="AG24" s="443">
        <f t="shared" si="37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44856</v>
      </c>
      <c r="D25" s="586">
        <f t="shared" si="24"/>
        <v>378790</v>
      </c>
      <c r="E25" s="574">
        <f t="shared" si="7"/>
        <v>0</v>
      </c>
      <c r="F25" s="566">
        <f t="shared" si="34"/>
        <v>4169830</v>
      </c>
      <c r="G25" s="449">
        <f t="shared" si="25"/>
        <v>0</v>
      </c>
      <c r="H25" s="426">
        <f t="shared" si="30"/>
        <v>18083294</v>
      </c>
      <c r="I25" s="449">
        <f t="shared" si="26"/>
        <v>0</v>
      </c>
      <c r="J25" s="426">
        <f t="shared" si="31"/>
        <v>29858600</v>
      </c>
      <c r="K25" s="449">
        <f t="shared" si="27"/>
        <v>0</v>
      </c>
      <c r="L25" s="426">
        <f t="shared" si="32"/>
        <v>24673382</v>
      </c>
      <c r="M25" s="449">
        <f t="shared" si="28"/>
        <v>0</v>
      </c>
      <c r="N25" s="297">
        <f t="shared" si="29"/>
        <v>0</v>
      </c>
      <c r="O25" s="445">
        <f t="shared" si="36"/>
        <v>0</v>
      </c>
      <c r="P25" s="560">
        <f t="shared" si="33"/>
        <v>19543.491000000002</v>
      </c>
      <c r="Q25" s="446">
        <f t="shared" si="1"/>
        <v>0</v>
      </c>
      <c r="R25" s="587">
        <f t="shared" si="39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19"/>
        <v>0</v>
      </c>
      <c r="W25" s="585">
        <f>[2]ELEC!$W$34</f>
        <v>33498</v>
      </c>
      <c r="X25" s="428">
        <f t="shared" si="35"/>
        <v>0</v>
      </c>
      <c r="Y25" s="585">
        <f>[2]ELEC!$Y$34</f>
        <v>999659</v>
      </c>
      <c r="Z25" s="428">
        <f t="shared" si="23"/>
        <v>0</v>
      </c>
      <c r="AA25" s="585">
        <f>[2]ELEC!$AA$34</f>
        <v>36801</v>
      </c>
      <c r="AB25" s="428">
        <f t="shared" si="20"/>
        <v>0</v>
      </c>
      <c r="AC25" s="585">
        <f>[2]ELEC!$AC$34</f>
        <v>1171535</v>
      </c>
      <c r="AD25" s="428">
        <f t="shared" si="38"/>
        <v>0</v>
      </c>
      <c r="AE25" s="450">
        <f t="shared" si="10"/>
        <v>0</v>
      </c>
      <c r="AF25" s="451">
        <f t="shared" si="4"/>
        <v>0</v>
      </c>
      <c r="AG25" s="443">
        <f t="shared" si="37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44857</v>
      </c>
      <c r="D26" s="586">
        <f t="shared" si="24"/>
        <v>378790</v>
      </c>
      <c r="E26" s="574">
        <f t="shared" si="7"/>
        <v>0</v>
      </c>
      <c r="F26" s="566">
        <f t="shared" si="34"/>
        <v>4169830</v>
      </c>
      <c r="G26" s="449">
        <f t="shared" si="25"/>
        <v>0</v>
      </c>
      <c r="H26" s="426">
        <f t="shared" si="30"/>
        <v>18083294</v>
      </c>
      <c r="I26" s="449">
        <f t="shared" si="26"/>
        <v>0</v>
      </c>
      <c r="J26" s="426">
        <f t="shared" si="31"/>
        <v>29858600</v>
      </c>
      <c r="K26" s="449">
        <f t="shared" si="27"/>
        <v>0</v>
      </c>
      <c r="L26" s="426">
        <f t="shared" si="32"/>
        <v>24673382</v>
      </c>
      <c r="M26" s="449">
        <f t="shared" si="28"/>
        <v>0</v>
      </c>
      <c r="N26" s="297">
        <f t="shared" si="29"/>
        <v>0</v>
      </c>
      <c r="O26" s="445">
        <f t="shared" si="36"/>
        <v>0</v>
      </c>
      <c r="P26" s="560">
        <f t="shared" si="33"/>
        <v>19543.491000000002</v>
      </c>
      <c r="Q26" s="446">
        <f t="shared" si="1"/>
        <v>0</v>
      </c>
      <c r="R26" s="587">
        <f t="shared" si="39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19"/>
        <v>0</v>
      </c>
      <c r="W26" s="585">
        <f>[2]ELEC!$W$34</f>
        <v>33498</v>
      </c>
      <c r="X26" s="428">
        <f t="shared" si="35"/>
        <v>0</v>
      </c>
      <c r="Y26" s="585">
        <f>[2]ELEC!$Y$34</f>
        <v>999659</v>
      </c>
      <c r="Z26" s="428">
        <f t="shared" si="23"/>
        <v>0</v>
      </c>
      <c r="AA26" s="585">
        <f>[2]ELEC!$AA$34</f>
        <v>36801</v>
      </c>
      <c r="AB26" s="428">
        <f t="shared" si="20"/>
        <v>0</v>
      </c>
      <c r="AC26" s="585">
        <f>[2]ELEC!$AC$34</f>
        <v>1171535</v>
      </c>
      <c r="AD26" s="428">
        <f t="shared" si="38"/>
        <v>0</v>
      </c>
      <c r="AE26" s="450">
        <f t="shared" si="10"/>
        <v>0</v>
      </c>
      <c r="AF26" s="451">
        <f t="shared" si="4"/>
        <v>0</v>
      </c>
      <c r="AG26" s="443">
        <f t="shared" si="37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44858</v>
      </c>
      <c r="D27" s="586">
        <f t="shared" si="24"/>
        <v>378790</v>
      </c>
      <c r="E27" s="574">
        <f t="shared" si="7"/>
        <v>0</v>
      </c>
      <c r="F27" s="566">
        <f t="shared" si="34"/>
        <v>4169830</v>
      </c>
      <c r="G27" s="449">
        <f t="shared" si="25"/>
        <v>0</v>
      </c>
      <c r="H27" s="426">
        <f t="shared" si="30"/>
        <v>18083294</v>
      </c>
      <c r="I27" s="449">
        <f t="shared" si="26"/>
        <v>0</v>
      </c>
      <c r="J27" s="426">
        <f t="shared" si="31"/>
        <v>29858600</v>
      </c>
      <c r="K27" s="449">
        <f t="shared" si="27"/>
        <v>0</v>
      </c>
      <c r="L27" s="426">
        <f t="shared" si="32"/>
        <v>24673382</v>
      </c>
      <c r="M27" s="449">
        <f t="shared" si="28"/>
        <v>0</v>
      </c>
      <c r="N27" s="297">
        <f t="shared" si="29"/>
        <v>0</v>
      </c>
      <c r="O27" s="445">
        <f t="shared" si="36"/>
        <v>0</v>
      </c>
      <c r="P27" s="560">
        <f t="shared" si="33"/>
        <v>19543.491000000002</v>
      </c>
      <c r="Q27" s="446">
        <f t="shared" si="1"/>
        <v>0</v>
      </c>
      <c r="R27" s="587">
        <f t="shared" si="39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19"/>
        <v>0</v>
      </c>
      <c r="W27" s="585">
        <f>[2]ELEC!$W$34</f>
        <v>33498</v>
      </c>
      <c r="X27" s="428">
        <f t="shared" si="35"/>
        <v>0</v>
      </c>
      <c r="Y27" s="585">
        <f>[2]ELEC!$Y$34</f>
        <v>999659</v>
      </c>
      <c r="Z27" s="428">
        <f t="shared" si="23"/>
        <v>0</v>
      </c>
      <c r="AA27" s="585">
        <f>[2]ELEC!$AA$34</f>
        <v>36801</v>
      </c>
      <c r="AB27" s="428">
        <f t="shared" si="20"/>
        <v>0</v>
      </c>
      <c r="AC27" s="585">
        <f>[2]ELEC!$AC$34</f>
        <v>1171535</v>
      </c>
      <c r="AD27" s="428">
        <f t="shared" si="38"/>
        <v>0</v>
      </c>
      <c r="AE27" s="450">
        <f t="shared" si="10"/>
        <v>0</v>
      </c>
      <c r="AF27" s="451">
        <f t="shared" si="4"/>
        <v>0</v>
      </c>
      <c r="AG27" s="443">
        <f t="shared" si="37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44859</v>
      </c>
      <c r="D28" s="586">
        <f t="shared" si="24"/>
        <v>378790</v>
      </c>
      <c r="E28" s="574">
        <f t="shared" si="7"/>
        <v>0</v>
      </c>
      <c r="F28" s="566">
        <f t="shared" si="34"/>
        <v>4169830</v>
      </c>
      <c r="G28" s="449">
        <f>F28-F27</f>
        <v>0</v>
      </c>
      <c r="H28" s="426">
        <f t="shared" si="30"/>
        <v>18083294</v>
      </c>
      <c r="I28" s="449">
        <f t="shared" si="26"/>
        <v>0</v>
      </c>
      <c r="J28" s="426">
        <f t="shared" si="31"/>
        <v>29858600</v>
      </c>
      <c r="K28" s="449">
        <f t="shared" si="27"/>
        <v>0</v>
      </c>
      <c r="L28" s="426">
        <f t="shared" si="32"/>
        <v>24673382</v>
      </c>
      <c r="M28" s="449">
        <f t="shared" si="28"/>
        <v>0</v>
      </c>
      <c r="N28" s="297">
        <f t="shared" si="29"/>
        <v>0</v>
      </c>
      <c r="O28" s="445">
        <f t="shared" si="36"/>
        <v>0</v>
      </c>
      <c r="P28" s="560">
        <f t="shared" si="33"/>
        <v>19543.491000000002</v>
      </c>
      <c r="Q28" s="446">
        <f t="shared" si="1"/>
        <v>0</v>
      </c>
      <c r="R28" s="587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19"/>
        <v>0</v>
      </c>
      <c r="W28" s="585">
        <f>[2]ELEC!$W$34</f>
        <v>33498</v>
      </c>
      <c r="X28" s="428">
        <f t="shared" si="35"/>
        <v>0</v>
      </c>
      <c r="Y28" s="585">
        <f>[2]ELEC!$Y$34</f>
        <v>999659</v>
      </c>
      <c r="Z28" s="428">
        <f t="shared" si="23"/>
        <v>0</v>
      </c>
      <c r="AA28" s="585">
        <f>[2]ELEC!$AA$34</f>
        <v>36801</v>
      </c>
      <c r="AB28" s="428">
        <f t="shared" si="20"/>
        <v>0</v>
      </c>
      <c r="AC28" s="585">
        <f>[2]ELEC!$AC$34</f>
        <v>1171535</v>
      </c>
      <c r="AD28" s="428">
        <f t="shared" si="38"/>
        <v>0</v>
      </c>
      <c r="AE28" s="450">
        <f t="shared" si="10"/>
        <v>0</v>
      </c>
      <c r="AF28" s="451">
        <f t="shared" si="4"/>
        <v>0</v>
      </c>
      <c r="AG28" s="443">
        <f t="shared" si="37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44860</v>
      </c>
      <c r="D29" s="586">
        <f t="shared" si="24"/>
        <v>378790</v>
      </c>
      <c r="E29" s="574">
        <f t="shared" si="7"/>
        <v>0</v>
      </c>
      <c r="F29" s="566">
        <f t="shared" si="34"/>
        <v>4169830</v>
      </c>
      <c r="G29" s="449">
        <f>F29-F28</f>
        <v>0</v>
      </c>
      <c r="H29" s="426">
        <f t="shared" si="30"/>
        <v>18083294</v>
      </c>
      <c r="I29" s="449">
        <f>H29-H28</f>
        <v>0</v>
      </c>
      <c r="J29" s="426">
        <f t="shared" si="31"/>
        <v>29858600</v>
      </c>
      <c r="K29" s="449">
        <f>J29-J28</f>
        <v>0</v>
      </c>
      <c r="L29" s="426">
        <f t="shared" si="32"/>
        <v>24673382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0">
        <f t="shared" si="33"/>
        <v>19543.491000000002</v>
      </c>
      <c r="Q29" s="446">
        <f>(P29-P28)*1000</f>
        <v>0</v>
      </c>
      <c r="R29" s="587">
        <f t="shared" si="39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585">
        <f>[2]ELEC!$W$34</f>
        <v>33498</v>
      </c>
      <c r="X29" s="428">
        <f>W29-W28</f>
        <v>0</v>
      </c>
      <c r="Y29" s="585">
        <f>[2]ELEC!$Y$34</f>
        <v>999659</v>
      </c>
      <c r="Z29" s="428">
        <f>Y29-Y28</f>
        <v>0</v>
      </c>
      <c r="AA29" s="585">
        <f>[2]ELEC!$AA$34</f>
        <v>36801</v>
      </c>
      <c r="AB29" s="428">
        <f>AA29-AA28</f>
        <v>0</v>
      </c>
      <c r="AC29" s="585">
        <f>[2]ELEC!$AC$34</f>
        <v>1171535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7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44861</v>
      </c>
      <c r="D30" s="586">
        <f t="shared" si="24"/>
        <v>378790</v>
      </c>
      <c r="E30" s="574">
        <f t="shared" si="7"/>
        <v>0</v>
      </c>
      <c r="F30" s="566">
        <f t="shared" si="34"/>
        <v>4169830</v>
      </c>
      <c r="G30" s="449">
        <f t="shared" si="25"/>
        <v>0</v>
      </c>
      <c r="H30" s="426">
        <f t="shared" si="30"/>
        <v>18083294</v>
      </c>
      <c r="I30" s="449">
        <f t="shared" si="26"/>
        <v>0</v>
      </c>
      <c r="J30" s="426">
        <f t="shared" si="31"/>
        <v>29858600</v>
      </c>
      <c r="K30" s="449">
        <f t="shared" si="27"/>
        <v>0</v>
      </c>
      <c r="L30" s="426">
        <f t="shared" si="32"/>
        <v>24673382</v>
      </c>
      <c r="M30" s="449">
        <f t="shared" si="28"/>
        <v>0</v>
      </c>
      <c r="N30" s="297">
        <f>M30+K30+I30+G30+E30</f>
        <v>0</v>
      </c>
      <c r="O30" s="445">
        <f t="shared" si="36"/>
        <v>0</v>
      </c>
      <c r="P30" s="560">
        <f t="shared" si="33"/>
        <v>19543.491000000002</v>
      </c>
      <c r="Q30" s="446">
        <f t="shared" si="1"/>
        <v>0</v>
      </c>
      <c r="R30" s="587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19"/>
        <v>0</v>
      </c>
      <c r="W30" s="585">
        <f>[2]ELEC!$W$34</f>
        <v>33498</v>
      </c>
      <c r="X30" s="428">
        <f t="shared" si="35"/>
        <v>0</v>
      </c>
      <c r="Y30" s="585">
        <f>[2]ELEC!$Y$34</f>
        <v>999659</v>
      </c>
      <c r="Z30" s="428">
        <f t="shared" si="23"/>
        <v>0</v>
      </c>
      <c r="AA30" s="585">
        <f>[2]ELEC!$AA$34</f>
        <v>36801</v>
      </c>
      <c r="AB30" s="428">
        <f t="shared" si="20"/>
        <v>0</v>
      </c>
      <c r="AC30" s="585">
        <f>[2]ELEC!$AC$34</f>
        <v>1171535</v>
      </c>
      <c r="AD30" s="428">
        <f t="shared" si="38"/>
        <v>0</v>
      </c>
      <c r="AE30" s="450">
        <f t="shared" si="10"/>
        <v>0</v>
      </c>
      <c r="AF30" s="451">
        <f t="shared" si="4"/>
        <v>0</v>
      </c>
      <c r="AG30" s="443">
        <f t="shared" si="37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44862</v>
      </c>
      <c r="D31" s="586">
        <f t="shared" si="24"/>
        <v>378790</v>
      </c>
      <c r="E31" s="574">
        <f t="shared" si="7"/>
        <v>0</v>
      </c>
      <c r="F31" s="566">
        <f t="shared" si="34"/>
        <v>4169830</v>
      </c>
      <c r="G31" s="449">
        <f t="shared" si="25"/>
        <v>0</v>
      </c>
      <c r="H31" s="426">
        <f t="shared" si="30"/>
        <v>18083294</v>
      </c>
      <c r="I31" s="449">
        <f t="shared" si="26"/>
        <v>0</v>
      </c>
      <c r="J31" s="426">
        <f t="shared" si="31"/>
        <v>29858600</v>
      </c>
      <c r="K31" s="449">
        <f t="shared" si="27"/>
        <v>0</v>
      </c>
      <c r="L31" s="426">
        <f t="shared" si="32"/>
        <v>24673382</v>
      </c>
      <c r="M31" s="449">
        <f t="shared" si="28"/>
        <v>0</v>
      </c>
      <c r="N31" s="297">
        <f t="shared" si="29"/>
        <v>0</v>
      </c>
      <c r="O31" s="445">
        <f t="shared" si="36"/>
        <v>0</v>
      </c>
      <c r="P31" s="560">
        <f t="shared" si="33"/>
        <v>19543.491000000002</v>
      </c>
      <c r="Q31" s="446">
        <f t="shared" si="1"/>
        <v>0</v>
      </c>
      <c r="R31" s="587">
        <f t="shared" si="39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585">
        <f>[2]ELEC!$W$34</f>
        <v>33498</v>
      </c>
      <c r="X31" s="448">
        <f t="shared" si="35"/>
        <v>0</v>
      </c>
      <c r="Y31" s="585">
        <f>[2]ELEC!$Y$34</f>
        <v>999659</v>
      </c>
      <c r="Z31" s="428">
        <f t="shared" si="23"/>
        <v>0</v>
      </c>
      <c r="AA31" s="585">
        <f>[2]ELEC!$AA$34</f>
        <v>36801</v>
      </c>
      <c r="AB31" s="428">
        <f t="shared" si="20"/>
        <v>0</v>
      </c>
      <c r="AC31" s="585">
        <f>[2]ELEC!$AC$34</f>
        <v>1171535</v>
      </c>
      <c r="AD31" s="428">
        <f t="shared" si="38"/>
        <v>0</v>
      </c>
      <c r="AE31" s="450">
        <f t="shared" si="10"/>
        <v>0</v>
      </c>
      <c r="AF31" s="451">
        <f t="shared" si="4"/>
        <v>0</v>
      </c>
      <c r="AG31" s="443">
        <f t="shared" si="37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48">SUM(230*A32)</f>
        <v>0</v>
      </c>
      <c r="C32" s="437">
        <v>44863</v>
      </c>
      <c r="D32" s="586">
        <f t="shared" si="24"/>
        <v>378790</v>
      </c>
      <c r="E32" s="574">
        <f t="shared" si="7"/>
        <v>0</v>
      </c>
      <c r="F32" s="566">
        <f t="shared" si="34"/>
        <v>4169830</v>
      </c>
      <c r="G32" s="449">
        <f t="shared" si="25"/>
        <v>0</v>
      </c>
      <c r="H32" s="426">
        <f t="shared" si="30"/>
        <v>18083294</v>
      </c>
      <c r="I32" s="449">
        <f t="shared" si="26"/>
        <v>0</v>
      </c>
      <c r="J32" s="426">
        <f t="shared" si="31"/>
        <v>29858600</v>
      </c>
      <c r="K32" s="449">
        <f t="shared" si="27"/>
        <v>0</v>
      </c>
      <c r="L32" s="426">
        <f t="shared" si="32"/>
        <v>24673382</v>
      </c>
      <c r="M32" s="449">
        <f t="shared" ref="M32:M34" si="49">L32-L31</f>
        <v>0</v>
      </c>
      <c r="N32" s="297">
        <f t="shared" ref="N32:N34" si="50">M32+K32+I32+G32+E32</f>
        <v>0</v>
      </c>
      <c r="O32" s="445">
        <f t="shared" ref="O32:O34" si="51">IF(B32&gt;0,N32/B32,0)</f>
        <v>0</v>
      </c>
      <c r="P32" s="560">
        <f t="shared" si="33"/>
        <v>19543.491000000002</v>
      </c>
      <c r="Q32" s="446">
        <f t="shared" ref="Q32:Q34" si="52">(P32-P31)*1000</f>
        <v>0</v>
      </c>
      <c r="R32" s="587">
        <f t="shared" ref="R32:R34" si="53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585">
        <f>[2]ELEC!$W$34</f>
        <v>33498</v>
      </c>
      <c r="X32" s="448">
        <f t="shared" ref="X32:X34" si="54">W32-W31</f>
        <v>0</v>
      </c>
      <c r="Y32" s="585">
        <f>[2]ELEC!$Y$34</f>
        <v>999659</v>
      </c>
      <c r="Z32" s="428">
        <f t="shared" ref="Z32:Z34" si="55">Y32-Y31</f>
        <v>0</v>
      </c>
      <c r="AA32" s="585">
        <f>[2]ELEC!$AA$34</f>
        <v>36801</v>
      </c>
      <c r="AB32" s="428">
        <f t="shared" ref="AB32:AB34" si="56">AA32-AA31</f>
        <v>0</v>
      </c>
      <c r="AC32" s="585">
        <f>[2]ELEC!$AC$34</f>
        <v>1171535</v>
      </c>
      <c r="AD32" s="428">
        <f t="shared" ref="AD32:AD34" si="57">AC32-AC31</f>
        <v>0</v>
      </c>
      <c r="AE32" s="450">
        <f t="shared" ref="AE32:AE34" si="58">AB32+X32+T32</f>
        <v>0</v>
      </c>
      <c r="AF32" s="451">
        <f t="shared" ref="AF32:AF34" si="59">V32+Z32+AD32</f>
        <v>0</v>
      </c>
      <c r="AG32" s="443">
        <f t="shared" si="37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48"/>
        <v>0</v>
      </c>
      <c r="C33" s="437">
        <v>44864</v>
      </c>
      <c r="D33" s="586">
        <f t="shared" si="24"/>
        <v>378790</v>
      </c>
      <c r="E33" s="574">
        <f t="shared" si="7"/>
        <v>0</v>
      </c>
      <c r="F33" s="566">
        <f t="shared" si="34"/>
        <v>4169830</v>
      </c>
      <c r="G33" s="449">
        <f t="shared" si="25"/>
        <v>0</v>
      </c>
      <c r="H33" s="426">
        <f t="shared" si="30"/>
        <v>18083294</v>
      </c>
      <c r="I33" s="449">
        <f t="shared" si="26"/>
        <v>0</v>
      </c>
      <c r="J33" s="426">
        <f t="shared" si="31"/>
        <v>29858600</v>
      </c>
      <c r="K33" s="449">
        <f t="shared" si="27"/>
        <v>0</v>
      </c>
      <c r="L33" s="426">
        <f t="shared" si="32"/>
        <v>24673382</v>
      </c>
      <c r="M33" s="449">
        <f t="shared" si="49"/>
        <v>0</v>
      </c>
      <c r="N33" s="297">
        <f t="shared" si="50"/>
        <v>0</v>
      </c>
      <c r="O33" s="445">
        <f t="shared" si="51"/>
        <v>0</v>
      </c>
      <c r="P33" s="560">
        <f t="shared" si="33"/>
        <v>19543.491000000002</v>
      </c>
      <c r="Q33" s="446">
        <f t="shared" si="52"/>
        <v>0</v>
      </c>
      <c r="R33" s="587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0">U33-U32</f>
        <v>0</v>
      </c>
      <c r="W33" s="585">
        <f>[2]ELEC!$W$34</f>
        <v>33498</v>
      </c>
      <c r="X33" s="448">
        <f t="shared" si="54"/>
        <v>0</v>
      </c>
      <c r="Y33" s="585">
        <f>[2]ELEC!$Y$34</f>
        <v>999659</v>
      </c>
      <c r="Z33" s="428">
        <f t="shared" si="55"/>
        <v>0</v>
      </c>
      <c r="AA33" s="585">
        <f>[2]ELEC!$AA$34</f>
        <v>36801</v>
      </c>
      <c r="AB33" s="428">
        <f t="shared" si="56"/>
        <v>0</v>
      </c>
      <c r="AC33" s="585">
        <f>[2]ELEC!$AC$34</f>
        <v>1171535</v>
      </c>
      <c r="AD33" s="428">
        <f t="shared" si="57"/>
        <v>0</v>
      </c>
      <c r="AE33" s="450">
        <f t="shared" si="58"/>
        <v>0</v>
      </c>
      <c r="AF33" s="451">
        <f t="shared" si="59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48"/>
        <v>0</v>
      </c>
      <c r="C34" s="437">
        <v>44865</v>
      </c>
      <c r="D34" s="586">
        <f t="shared" si="24"/>
        <v>378790</v>
      </c>
      <c r="E34" s="574">
        <f t="shared" si="7"/>
        <v>0</v>
      </c>
      <c r="F34" s="566">
        <f t="shared" si="34"/>
        <v>4169830</v>
      </c>
      <c r="G34" s="449">
        <f t="shared" si="25"/>
        <v>0</v>
      </c>
      <c r="H34" s="426">
        <f t="shared" si="30"/>
        <v>18083294</v>
      </c>
      <c r="I34" s="449">
        <f t="shared" si="26"/>
        <v>0</v>
      </c>
      <c r="J34" s="426">
        <f t="shared" si="31"/>
        <v>29858600</v>
      </c>
      <c r="K34" s="449">
        <f t="shared" si="27"/>
        <v>0</v>
      </c>
      <c r="L34" s="426">
        <f t="shared" si="32"/>
        <v>24673382</v>
      </c>
      <c r="M34" s="449">
        <f t="shared" si="49"/>
        <v>0</v>
      </c>
      <c r="N34" s="297">
        <f t="shared" si="50"/>
        <v>0</v>
      </c>
      <c r="O34" s="445">
        <f t="shared" si="51"/>
        <v>0</v>
      </c>
      <c r="P34" s="560">
        <f t="shared" si="33"/>
        <v>19543.491000000002</v>
      </c>
      <c r="Q34" s="446">
        <f t="shared" si="52"/>
        <v>0</v>
      </c>
      <c r="R34" s="587">
        <f t="shared" si="53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585">
        <f>[2]ELEC!$W$34</f>
        <v>33498</v>
      </c>
      <c r="X34" s="448">
        <f t="shared" si="54"/>
        <v>0</v>
      </c>
      <c r="Y34" s="585">
        <f>[2]ELEC!$Y$34</f>
        <v>999659</v>
      </c>
      <c r="Z34" s="428">
        <f t="shared" si="55"/>
        <v>0</v>
      </c>
      <c r="AA34" s="585">
        <f>[2]ELEC!$AA$34</f>
        <v>36801</v>
      </c>
      <c r="AB34" s="428">
        <f t="shared" si="56"/>
        <v>0</v>
      </c>
      <c r="AC34" s="585">
        <f>[2]ELEC!$AC$34</f>
        <v>1171535</v>
      </c>
      <c r="AD34" s="428">
        <f t="shared" si="57"/>
        <v>0</v>
      </c>
      <c r="AE34" s="450">
        <f t="shared" si="58"/>
        <v>0</v>
      </c>
      <c r="AF34" s="451">
        <f t="shared" si="59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59" customFormat="1">
      <c r="A35" s="549"/>
      <c r="B35" s="550"/>
      <c r="C35" s="551"/>
      <c r="D35" s="552"/>
      <c r="E35" s="552"/>
      <c r="F35" s="552"/>
      <c r="G35" s="553"/>
      <c r="H35" s="552"/>
      <c r="I35" s="553"/>
      <c r="J35" s="552"/>
      <c r="K35" s="553"/>
      <c r="L35" s="552"/>
      <c r="M35" s="553"/>
      <c r="N35" s="554"/>
      <c r="O35" s="555"/>
      <c r="P35" s="556"/>
      <c r="Q35" s="548"/>
      <c r="R35" s="548"/>
      <c r="S35" s="552"/>
      <c r="T35" s="557"/>
      <c r="U35" s="552"/>
      <c r="V35" s="548"/>
      <c r="W35" s="552"/>
      <c r="X35" s="548"/>
      <c r="Y35" s="552"/>
      <c r="Z35" s="548"/>
      <c r="AA35" s="552"/>
      <c r="AB35" s="548"/>
      <c r="AC35" s="552"/>
      <c r="AD35" s="548"/>
      <c r="AE35" s="548"/>
      <c r="AF35" s="548"/>
      <c r="AG35" s="558"/>
      <c r="AK35" s="548"/>
      <c r="AL35" s="548"/>
      <c r="AM35" s="548"/>
      <c r="AN35" s="54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P8" sqref="P8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3" width="18.453125" style="42" customWidth="1"/>
    <col min="14" max="14" width="8" style="42" customWidth="1"/>
    <col min="15" max="15" width="0.26953125" style="68" customWidth="1"/>
    <col min="16" max="16" width="8.26953125" style="42" bestFit="1" customWidth="1"/>
    <col min="17" max="17" width="13.81640625" style="42" customWidth="1"/>
    <col min="18" max="18" width="14.1796875" style="42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13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7" t="s">
        <v>2</v>
      </c>
      <c r="G1" s="618"/>
      <c r="H1" s="618"/>
      <c r="I1" s="619"/>
      <c r="J1" s="271">
        <f>J36</f>
        <v>30.833333333333332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1"/>
      <c r="V1" s="27" t="s">
        <v>104</v>
      </c>
      <c r="W1" s="382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v>44834</v>
      </c>
      <c r="B4" s="379">
        <f>[2]B5!$B$34</f>
        <v>226</v>
      </c>
      <c r="C4" s="379">
        <f>[2]B5!$C$34</f>
        <v>232</v>
      </c>
      <c r="D4" s="379">
        <f>[3]B5!D35</f>
        <v>5</v>
      </c>
      <c r="E4" s="379">
        <f>[3]B5!E35</f>
        <v>41.900000000000006</v>
      </c>
      <c r="F4" s="379">
        <f>[2]B5!$F$35</f>
        <v>2287</v>
      </c>
      <c r="G4" s="379">
        <f>[3]B5!G35</f>
        <v>0</v>
      </c>
      <c r="H4" s="379">
        <f>[2]B5!$H$35</f>
        <v>46848</v>
      </c>
      <c r="I4" s="379">
        <f>[3]B5!I35</f>
        <v>0</v>
      </c>
      <c r="J4" s="379">
        <f>[3]B5!J35</f>
        <v>0</v>
      </c>
      <c r="K4" s="379">
        <f>[2]B5!$K$35</f>
        <v>2459</v>
      </c>
      <c r="L4" s="379">
        <f>[3]B5!L35</f>
        <v>1</v>
      </c>
      <c r="M4" s="379">
        <f>[2]B5!$M$35</f>
        <v>182937</v>
      </c>
      <c r="N4" s="379">
        <f>[3]B5!N35</f>
        <v>79</v>
      </c>
      <c r="O4" s="379">
        <f>[3]B5!O35</f>
        <v>1869</v>
      </c>
      <c r="P4" s="379">
        <f>[2]B5!$P$35</f>
        <v>2231</v>
      </c>
      <c r="Q4" s="379">
        <f>[2]B5!$Q$35</f>
        <v>186441</v>
      </c>
      <c r="R4" s="379">
        <f>[3]B5!R35</f>
        <v>0</v>
      </c>
      <c r="S4" s="379">
        <f>[3]B5!S35</f>
        <v>0</v>
      </c>
      <c r="T4" s="379">
        <f>[3]B5!T35</f>
        <v>0</v>
      </c>
      <c r="U4" s="379">
        <f>[3]B5!U35</f>
        <v>1</v>
      </c>
      <c r="V4" s="379">
        <f>[3]B5!V35</f>
        <v>79</v>
      </c>
      <c r="W4" s="379">
        <f>[3]B5!W35</f>
        <v>0</v>
      </c>
      <c r="X4" s="379">
        <f>[2]B5!$X$35</f>
        <v>2494</v>
      </c>
      <c r="Y4" s="379">
        <f>[3]B5!Y35</f>
        <v>1</v>
      </c>
      <c r="Z4" s="379">
        <f>[2]B5!$Z$35</f>
        <v>141111</v>
      </c>
      <c r="AA4" s="379">
        <f>[3]B5!AA35</f>
        <v>65</v>
      </c>
      <c r="AB4" s="379">
        <f>[3]B5!AB35</f>
        <v>0</v>
      </c>
      <c r="AC4" s="379">
        <f>[2]B5!$AC$35</f>
        <v>1948</v>
      </c>
      <c r="AD4" s="379">
        <f>[3]B5!AD35</f>
        <v>0</v>
      </c>
      <c r="AE4" s="379">
        <f>[2]B5!$AE$35</f>
        <v>366639</v>
      </c>
      <c r="AF4" s="379">
        <f>[3]B5!AF35</f>
        <v>0</v>
      </c>
      <c r="AG4" s="379">
        <f>[3]B5!AG35</f>
        <v>0</v>
      </c>
      <c r="AH4" s="379">
        <f>[3]B5!AH35</f>
        <v>65</v>
      </c>
      <c r="AI4" s="379">
        <f>[3]B5!AI35</f>
        <v>144</v>
      </c>
      <c r="AJ4" s="379">
        <f>[3]B5!AJ35</f>
        <v>144</v>
      </c>
      <c r="AK4" s="379">
        <f>[3]B5!AK35</f>
        <v>0</v>
      </c>
      <c r="AL4" s="379">
        <f>[3]B5!AL35</f>
        <v>1</v>
      </c>
      <c r="AM4" s="379">
        <f>[3]B5!AM35</f>
        <v>1</v>
      </c>
      <c r="AN4" s="379">
        <f>[2]B5!$AN$35</f>
        <v>65</v>
      </c>
      <c r="AO4" s="379">
        <f>[3]B5!AO35</f>
        <v>1980</v>
      </c>
      <c r="AP4" s="379">
        <v>35</v>
      </c>
      <c r="AQ4" s="379">
        <f>[3]B5!AQ35</f>
        <v>930</v>
      </c>
      <c r="AR4" s="379">
        <f>[3]B5!AR35</f>
        <v>73</v>
      </c>
      <c r="AS4" s="379">
        <f>[3]B5!AS35</f>
        <v>2190</v>
      </c>
      <c r="AT4" s="379">
        <f>[3]B5!AT35</f>
        <v>5100</v>
      </c>
      <c r="AU4" s="379">
        <f>[3]B5!AU35</f>
        <v>0</v>
      </c>
      <c r="AV4" s="379">
        <f>[3]B5!AV35</f>
        <v>0</v>
      </c>
      <c r="AW4" s="379">
        <f>[3]B5!AW35</f>
        <v>0</v>
      </c>
      <c r="AX4" s="379">
        <f>[3]B5!AX35</f>
        <v>0.8</v>
      </c>
    </row>
    <row r="5" spans="1:52">
      <c r="A5" s="63">
        <f>ELEC!C4</f>
        <v>44835</v>
      </c>
      <c r="B5" s="379">
        <f>[2]B5!$B$34</f>
        <v>226</v>
      </c>
      <c r="C5" s="379">
        <v>232</v>
      </c>
      <c r="D5" s="45">
        <f>C4-C5</f>
        <v>0</v>
      </c>
      <c r="E5" s="45">
        <f>D5*8.38</f>
        <v>0</v>
      </c>
      <c r="F5" s="535">
        <f>F4</f>
        <v>2287</v>
      </c>
      <c r="G5" s="52">
        <f t="shared" ref="G5:G32" si="0">F5-F4</f>
        <v>0</v>
      </c>
      <c r="H5" s="535">
        <f>H4</f>
        <v>46848</v>
      </c>
      <c r="I5" s="380">
        <f t="shared" ref="I5:I32" si="1">SUM(H5-H4)</f>
        <v>0</v>
      </c>
      <c r="J5" s="66">
        <v>1</v>
      </c>
      <c r="K5" s="535">
        <f>K4</f>
        <v>2459</v>
      </c>
      <c r="L5" s="52">
        <f>K5-K4</f>
        <v>0</v>
      </c>
      <c r="M5" s="379">
        <f>[2]B5!$M$35</f>
        <v>182937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2231</v>
      </c>
      <c r="Q5" s="535">
        <f>Q4</f>
        <v>186441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2494</v>
      </c>
      <c r="Y5" s="52">
        <f>X5-X4</f>
        <v>0</v>
      </c>
      <c r="Z5" s="535">
        <f>Z4</f>
        <v>141111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366639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65</v>
      </c>
      <c r="AO5" s="305">
        <f>(AN5/100)*3000</f>
        <v>1950</v>
      </c>
      <c r="AP5" s="535">
        <f>AP4</f>
        <v>35</v>
      </c>
      <c r="AQ5" s="305">
        <f>(AP5/100)*3000</f>
        <v>1050</v>
      </c>
      <c r="AR5" s="535">
        <f>AR4</f>
        <v>73</v>
      </c>
      <c r="AS5" s="305">
        <f>(AR5/100)*3000</f>
        <v>2190</v>
      </c>
      <c r="AT5" s="305">
        <f>SUM(AO5+AQ5+AS5)</f>
        <v>5190</v>
      </c>
      <c r="AU5" s="305">
        <f>AT4-AT5+AV5</f>
        <v>-90</v>
      </c>
      <c r="AV5" s="259"/>
      <c r="AW5" s="259"/>
      <c r="AX5" s="298">
        <f>IF(AV5&gt;0,AW5,AX4)</f>
        <v>0.8</v>
      </c>
    </row>
    <row r="6" spans="1:52">
      <c r="A6" s="63">
        <f>ELEC!C5</f>
        <v>44836</v>
      </c>
      <c r="B6" s="535">
        <v>242</v>
      </c>
      <c r="C6" s="535">
        <v>248</v>
      </c>
      <c r="D6" s="45">
        <f>C5-C6</f>
        <v>-16</v>
      </c>
      <c r="E6" s="45">
        <f t="shared" ref="E6:E32" si="9">D6*8.38</f>
        <v>-134.08000000000001</v>
      </c>
      <c r="F6" s="535">
        <v>2290</v>
      </c>
      <c r="G6" s="52">
        <f t="shared" si="0"/>
        <v>3</v>
      </c>
      <c r="H6" s="535">
        <v>47030</v>
      </c>
      <c r="I6" s="380">
        <f t="shared" si="1"/>
        <v>182</v>
      </c>
      <c r="J6" s="66">
        <f t="shared" ref="J6:J32" si="10">IF(G6&gt;0,I6/G6,0)</f>
        <v>60.666666666666664</v>
      </c>
      <c r="K6" s="535">
        <f t="shared" ref="K6:K35" si="11">K5</f>
        <v>2459</v>
      </c>
      <c r="L6" s="52">
        <f t="shared" ref="L6:L32" si="12">K6-K5</f>
        <v>0</v>
      </c>
      <c r="M6" s="535">
        <v>182937</v>
      </c>
      <c r="N6" s="380">
        <f t="shared" si="2"/>
        <v>0</v>
      </c>
      <c r="O6" s="64">
        <f t="shared" si="3"/>
        <v>1869</v>
      </c>
      <c r="P6" s="535">
        <f t="shared" si="3"/>
        <v>2231</v>
      </c>
      <c r="Q6" s="535">
        <v>186461</v>
      </c>
      <c r="R6" s="379">
        <f t="shared" si="4"/>
        <v>20</v>
      </c>
      <c r="S6" s="52">
        <f t="shared" si="5"/>
        <v>0</v>
      </c>
      <c r="T6" s="67">
        <f>SUM(S6*$T$2)</f>
        <v>0</v>
      </c>
      <c r="U6" s="386">
        <f t="shared" ref="U6:U32" si="13">SUM(G6+L6+S6)</f>
        <v>3</v>
      </c>
      <c r="V6" s="62">
        <f t="shared" ref="V6:V32" si="14">R6+N6+I6:I6</f>
        <v>202</v>
      </c>
      <c r="W6" s="384">
        <f t="shared" ref="W6:W16" si="15">SUM(V6/U6)</f>
        <v>67.333333333333329</v>
      </c>
      <c r="X6" s="535">
        <v>2495</v>
      </c>
      <c r="Y6" s="52">
        <f t="shared" ref="Y6:Y32" si="16">X6-X5</f>
        <v>1</v>
      </c>
      <c r="Z6" s="535">
        <v>141191</v>
      </c>
      <c r="AA6" s="65">
        <f t="shared" si="6"/>
        <v>80</v>
      </c>
      <c r="AB6" s="273">
        <f>SUM(Y6*$AB$2)</f>
        <v>0</v>
      </c>
      <c r="AC6" s="535">
        <f t="shared" ref="AC6:AC35" si="17">AC5</f>
        <v>1948</v>
      </c>
      <c r="AD6" s="45">
        <f t="shared" si="7"/>
        <v>0</v>
      </c>
      <c r="AE6" s="535">
        <v>366651</v>
      </c>
      <c r="AF6" s="293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3">
        <f t="shared" ref="AI6:AI32" si="19">SUM(AH6+V6)</f>
        <v>294</v>
      </c>
      <c r="AJ6" s="303">
        <f>-tanks!AW7</f>
        <v>294</v>
      </c>
      <c r="AK6" s="303">
        <f t="shared" ref="AK6:AK32" si="20">SUM(AJ6-AI6)</f>
        <v>0</v>
      </c>
      <c r="AL6" s="303">
        <f t="shared" si="8"/>
        <v>3</v>
      </c>
      <c r="AM6" s="303">
        <f t="shared" ref="AM6:AM32" si="21">Y6+AD6</f>
        <v>1</v>
      </c>
      <c r="AN6" s="535">
        <f t="shared" ref="AN6:AN35" si="22">AN5</f>
        <v>65</v>
      </c>
      <c r="AO6" s="305">
        <f t="shared" ref="AO6:AO35" si="23">(AN6/100)*3000</f>
        <v>1950</v>
      </c>
      <c r="AP6" s="535">
        <f t="shared" ref="AP6:AP35" si="24">AP5</f>
        <v>35</v>
      </c>
      <c r="AQ6" s="305">
        <f t="shared" ref="AQ6:AQ24" si="25">(AP6/100)*3000</f>
        <v>1050</v>
      </c>
      <c r="AR6" s="535">
        <f t="shared" ref="AR6:AR35" si="26">AR5</f>
        <v>73</v>
      </c>
      <c r="AS6" s="305">
        <f>(AR6/100)*3000</f>
        <v>2190</v>
      </c>
      <c r="AT6" s="305">
        <f>SUM(AO6+AQ6+AS6)</f>
        <v>5190</v>
      </c>
      <c r="AU6" s="305">
        <f>AT5-AT6+AV6</f>
        <v>0</v>
      </c>
      <c r="AV6" s="259"/>
      <c r="AW6" s="259"/>
      <c r="AX6" s="298">
        <f t="shared" ref="AX6:AX32" si="27">IF(AV6&gt;0,AW6,AX5)</f>
        <v>0.8</v>
      </c>
    </row>
    <row r="7" spans="1:52">
      <c r="A7" s="63">
        <f>ELEC!C6</f>
        <v>44837</v>
      </c>
      <c r="B7" s="535">
        <v>238</v>
      </c>
      <c r="C7" s="535">
        <v>244</v>
      </c>
      <c r="D7" s="45">
        <f t="shared" ref="D7:D19" si="28">C6-C7</f>
        <v>4</v>
      </c>
      <c r="E7" s="45">
        <f t="shared" si="9"/>
        <v>33.520000000000003</v>
      </c>
      <c r="F7" s="535">
        <f t="shared" ref="F7:F35" si="29">F6</f>
        <v>2290</v>
      </c>
      <c r="G7" s="52">
        <f t="shared" si="0"/>
        <v>0</v>
      </c>
      <c r="H7" s="535">
        <v>47077</v>
      </c>
      <c r="I7" s="380">
        <f t="shared" si="1"/>
        <v>47</v>
      </c>
      <c r="J7" s="66">
        <f t="shared" si="10"/>
        <v>0</v>
      </c>
      <c r="K7" s="535">
        <f t="shared" si="11"/>
        <v>2459</v>
      </c>
      <c r="L7" s="52">
        <f t="shared" si="12"/>
        <v>0</v>
      </c>
      <c r="M7" s="535">
        <v>182937</v>
      </c>
      <c r="N7" s="380">
        <f t="shared" si="2"/>
        <v>0</v>
      </c>
      <c r="O7" s="64">
        <f t="shared" si="3"/>
        <v>1869</v>
      </c>
      <c r="P7" s="535">
        <f t="shared" si="3"/>
        <v>2231</v>
      </c>
      <c r="Q7" s="535">
        <f t="shared" si="3"/>
        <v>186461</v>
      </c>
      <c r="R7" s="379">
        <f t="shared" si="4"/>
        <v>0</v>
      </c>
      <c r="S7" s="52">
        <f t="shared" si="5"/>
        <v>0</v>
      </c>
      <c r="T7" s="67">
        <f t="shared" ref="T7:T32" si="30">SUM(S7*$T$2)</f>
        <v>0</v>
      </c>
      <c r="U7" s="386">
        <f t="shared" si="13"/>
        <v>0</v>
      </c>
      <c r="V7" s="62">
        <f>R7+N7+I7:I7</f>
        <v>47</v>
      </c>
      <c r="W7" s="384" t="e">
        <f t="shared" si="15"/>
        <v>#DIV/0!</v>
      </c>
      <c r="X7" s="535">
        <v>2495</v>
      </c>
      <c r="Y7" s="52">
        <f t="shared" si="16"/>
        <v>0</v>
      </c>
      <c r="Z7" s="535">
        <f t="shared" ref="Z7:Z35" si="31">Z6</f>
        <v>141191</v>
      </c>
      <c r="AA7" s="65">
        <f t="shared" si="6"/>
        <v>0</v>
      </c>
      <c r="AB7" s="273">
        <f t="shared" ref="AB7:AB17" si="32">SUM(Y7*$AB$2)</f>
        <v>0</v>
      </c>
      <c r="AC7" s="535">
        <f t="shared" si="17"/>
        <v>1948</v>
      </c>
      <c r="AD7" s="45">
        <f t="shared" si="7"/>
        <v>0</v>
      </c>
      <c r="AE7" s="535">
        <f t="shared" ref="AE7:AE10" si="33">AE6</f>
        <v>366651</v>
      </c>
      <c r="AF7" s="293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3">
        <f t="shared" si="19"/>
        <v>47</v>
      </c>
      <c r="AJ7" s="303">
        <f>-tanks!AW8</f>
        <v>47</v>
      </c>
      <c r="AK7" s="303">
        <f t="shared" si="20"/>
        <v>0</v>
      </c>
      <c r="AL7" s="303">
        <f t="shared" si="8"/>
        <v>0</v>
      </c>
      <c r="AM7" s="303">
        <f t="shared" si="21"/>
        <v>0</v>
      </c>
      <c r="AN7" s="535">
        <f t="shared" si="22"/>
        <v>65</v>
      </c>
      <c r="AO7" s="305">
        <f t="shared" si="23"/>
        <v>1950</v>
      </c>
      <c r="AP7" s="535">
        <f t="shared" si="24"/>
        <v>35</v>
      </c>
      <c r="AQ7" s="305">
        <f t="shared" si="25"/>
        <v>1050</v>
      </c>
      <c r="AR7" s="535">
        <f t="shared" si="26"/>
        <v>73</v>
      </c>
      <c r="AS7" s="305">
        <f t="shared" ref="AS7:AS35" si="36">(AR7/100)*3000</f>
        <v>2190</v>
      </c>
      <c r="AT7" s="305">
        <f t="shared" ref="AT7:AT23" si="37">SUM(AO7+AQ7+AS7)</f>
        <v>5190</v>
      </c>
      <c r="AU7" s="305">
        <f t="shared" ref="AU7:AU35" si="38">AT6-AT7+AV7</f>
        <v>0</v>
      </c>
      <c r="AV7" s="259"/>
      <c r="AW7" s="259"/>
      <c r="AX7" s="298">
        <f t="shared" si="27"/>
        <v>0.8</v>
      </c>
      <c r="AZ7" s="42" t="s">
        <v>407</v>
      </c>
    </row>
    <row r="8" spans="1:52">
      <c r="A8" s="63">
        <f>ELEC!C7</f>
        <v>44838</v>
      </c>
      <c r="B8" s="535">
        <v>234</v>
      </c>
      <c r="C8" s="535">
        <v>241</v>
      </c>
      <c r="D8" s="45">
        <f t="shared" si="28"/>
        <v>3</v>
      </c>
      <c r="E8" s="45">
        <f t="shared" si="9"/>
        <v>25.14</v>
      </c>
      <c r="F8" s="535">
        <f t="shared" si="29"/>
        <v>2290</v>
      </c>
      <c r="G8" s="52">
        <f t="shared" si="0"/>
        <v>0</v>
      </c>
      <c r="H8" s="535">
        <v>47085</v>
      </c>
      <c r="I8" s="380">
        <f t="shared" si="1"/>
        <v>8</v>
      </c>
      <c r="J8" s="66">
        <f t="shared" si="10"/>
        <v>0</v>
      </c>
      <c r="K8" s="535">
        <v>2460</v>
      </c>
      <c r="L8" s="52">
        <f t="shared" si="12"/>
        <v>1</v>
      </c>
      <c r="M8" s="535">
        <v>183073</v>
      </c>
      <c r="N8" s="380">
        <f t="shared" si="2"/>
        <v>136</v>
      </c>
      <c r="O8" s="64">
        <f t="shared" si="3"/>
        <v>1869</v>
      </c>
      <c r="P8" s="535">
        <f t="shared" si="3"/>
        <v>2231</v>
      </c>
      <c r="Q8" s="535">
        <f t="shared" si="3"/>
        <v>186461</v>
      </c>
      <c r="R8" s="379">
        <f t="shared" si="4"/>
        <v>0</v>
      </c>
      <c r="S8" s="52">
        <f t="shared" si="5"/>
        <v>0</v>
      </c>
      <c r="T8" s="67">
        <f t="shared" si="30"/>
        <v>0</v>
      </c>
      <c r="U8" s="386">
        <f t="shared" si="13"/>
        <v>1</v>
      </c>
      <c r="V8" s="62">
        <f>R8+N8+I8:I8</f>
        <v>144</v>
      </c>
      <c r="W8" s="384">
        <f t="shared" si="15"/>
        <v>144</v>
      </c>
      <c r="X8" s="535">
        <v>2495</v>
      </c>
      <c r="Y8" s="52">
        <f t="shared" si="16"/>
        <v>0</v>
      </c>
      <c r="Z8" s="535">
        <f t="shared" si="31"/>
        <v>141191</v>
      </c>
      <c r="AA8" s="65">
        <f t="shared" si="6"/>
        <v>0</v>
      </c>
      <c r="AB8" s="273">
        <f t="shared" si="32"/>
        <v>0</v>
      </c>
      <c r="AC8" s="535">
        <f t="shared" si="17"/>
        <v>1948</v>
      </c>
      <c r="AD8" s="45">
        <f t="shared" si="7"/>
        <v>0</v>
      </c>
      <c r="AE8" s="535">
        <f t="shared" si="33"/>
        <v>366651</v>
      </c>
      <c r="AF8" s="293">
        <f t="shared" si="18"/>
        <v>0</v>
      </c>
      <c r="AG8" s="209">
        <f t="shared" si="34"/>
        <v>0</v>
      </c>
      <c r="AH8" s="62">
        <f t="shared" si="35"/>
        <v>0</v>
      </c>
      <c r="AI8" s="303">
        <f t="shared" si="19"/>
        <v>144</v>
      </c>
      <c r="AJ8" s="303">
        <f>-tanks!AW9</f>
        <v>144</v>
      </c>
      <c r="AK8" s="303">
        <f t="shared" si="20"/>
        <v>0</v>
      </c>
      <c r="AL8" s="303">
        <f t="shared" si="8"/>
        <v>1</v>
      </c>
      <c r="AM8" s="303">
        <f t="shared" si="21"/>
        <v>0</v>
      </c>
      <c r="AN8" s="535">
        <f t="shared" si="22"/>
        <v>65</v>
      </c>
      <c r="AO8" s="305">
        <f t="shared" si="23"/>
        <v>1950</v>
      </c>
      <c r="AP8" s="535">
        <f t="shared" si="24"/>
        <v>35</v>
      </c>
      <c r="AQ8" s="305">
        <f t="shared" si="25"/>
        <v>1050</v>
      </c>
      <c r="AR8" s="535">
        <f t="shared" si="26"/>
        <v>73</v>
      </c>
      <c r="AS8" s="305">
        <f t="shared" si="36"/>
        <v>2190</v>
      </c>
      <c r="AT8" s="305">
        <f t="shared" si="37"/>
        <v>5190</v>
      </c>
      <c r="AU8" s="305">
        <f t="shared" si="38"/>
        <v>0</v>
      </c>
      <c r="AV8" s="259"/>
      <c r="AW8" s="259"/>
      <c r="AX8" s="298">
        <f t="shared" si="27"/>
        <v>0.8</v>
      </c>
    </row>
    <row r="9" spans="1:52" ht="15.75" customHeight="1">
      <c r="A9" s="63">
        <f>ELEC!C8</f>
        <v>44839</v>
      </c>
      <c r="B9" s="535">
        <f>B8</f>
        <v>234</v>
      </c>
      <c r="C9" s="535">
        <f>C8</f>
        <v>241</v>
      </c>
      <c r="D9" s="45">
        <f t="shared" si="28"/>
        <v>0</v>
      </c>
      <c r="E9" s="45">
        <f t="shared" si="9"/>
        <v>0</v>
      </c>
      <c r="F9" s="535">
        <f t="shared" si="29"/>
        <v>2290</v>
      </c>
      <c r="G9" s="52">
        <f t="shared" si="0"/>
        <v>0</v>
      </c>
      <c r="H9" s="535">
        <f t="shared" ref="H9:H35" si="39">H8</f>
        <v>47085</v>
      </c>
      <c r="I9" s="380">
        <f t="shared" si="1"/>
        <v>0</v>
      </c>
      <c r="J9" s="66">
        <f t="shared" si="10"/>
        <v>0</v>
      </c>
      <c r="K9" s="535">
        <f t="shared" si="11"/>
        <v>2460</v>
      </c>
      <c r="L9" s="52">
        <f t="shared" si="12"/>
        <v>0</v>
      </c>
      <c r="M9" s="535">
        <f>M8</f>
        <v>183073</v>
      </c>
      <c r="N9" s="380">
        <f t="shared" si="2"/>
        <v>0</v>
      </c>
      <c r="O9" s="64">
        <f t="shared" si="3"/>
        <v>1869</v>
      </c>
      <c r="P9" s="535">
        <f t="shared" si="3"/>
        <v>2231</v>
      </c>
      <c r="Q9" s="535">
        <f t="shared" si="3"/>
        <v>186461</v>
      </c>
      <c r="R9" s="379">
        <f t="shared" si="4"/>
        <v>0</v>
      </c>
      <c r="S9" s="52">
        <f t="shared" si="5"/>
        <v>0</v>
      </c>
      <c r="T9" s="67">
        <f t="shared" si="30"/>
        <v>0</v>
      </c>
      <c r="U9" s="386">
        <f t="shared" si="13"/>
        <v>0</v>
      </c>
      <c r="V9" s="62">
        <f t="shared" si="14"/>
        <v>0</v>
      </c>
      <c r="W9" s="384" t="e">
        <f t="shared" si="15"/>
        <v>#DIV/0!</v>
      </c>
      <c r="X9" s="535">
        <v>2495</v>
      </c>
      <c r="Y9" s="52">
        <f t="shared" si="16"/>
        <v>0</v>
      </c>
      <c r="Z9" s="535">
        <f t="shared" si="31"/>
        <v>141191</v>
      </c>
      <c r="AA9" s="65">
        <f t="shared" si="6"/>
        <v>0</v>
      </c>
      <c r="AB9" s="273">
        <f t="shared" si="32"/>
        <v>0</v>
      </c>
      <c r="AC9" s="535">
        <f t="shared" si="17"/>
        <v>1948</v>
      </c>
      <c r="AD9" s="45">
        <f t="shared" si="7"/>
        <v>0</v>
      </c>
      <c r="AE9" s="535">
        <f t="shared" si="33"/>
        <v>366651</v>
      </c>
      <c r="AF9" s="293">
        <f t="shared" si="18"/>
        <v>0</v>
      </c>
      <c r="AG9" s="209">
        <f t="shared" si="34"/>
        <v>0</v>
      </c>
      <c r="AH9" s="62">
        <f t="shared" si="35"/>
        <v>0</v>
      </c>
      <c r="AI9" s="303">
        <f t="shared" si="19"/>
        <v>0</v>
      </c>
      <c r="AJ9" s="303">
        <f>-tanks!AW10</f>
        <v>0</v>
      </c>
      <c r="AK9" s="303">
        <f t="shared" si="20"/>
        <v>0</v>
      </c>
      <c r="AL9" s="303">
        <f t="shared" si="8"/>
        <v>0</v>
      </c>
      <c r="AM9" s="303">
        <f t="shared" si="21"/>
        <v>0</v>
      </c>
      <c r="AN9" s="535">
        <f t="shared" si="22"/>
        <v>65</v>
      </c>
      <c r="AO9" s="305">
        <f t="shared" si="23"/>
        <v>1950</v>
      </c>
      <c r="AP9" s="535">
        <f t="shared" si="24"/>
        <v>35</v>
      </c>
      <c r="AQ9" s="305">
        <f t="shared" si="25"/>
        <v>1050</v>
      </c>
      <c r="AR9" s="535">
        <f t="shared" si="26"/>
        <v>73</v>
      </c>
      <c r="AS9" s="305">
        <f>(AR9/100)*3000</f>
        <v>2190</v>
      </c>
      <c r="AT9" s="305">
        <f t="shared" si="37"/>
        <v>5190</v>
      </c>
      <c r="AU9" s="305">
        <f t="shared" si="38"/>
        <v>0</v>
      </c>
      <c r="AV9" s="259"/>
      <c r="AW9" s="259"/>
      <c r="AX9" s="298">
        <f t="shared" si="27"/>
        <v>0.8</v>
      </c>
    </row>
    <row r="10" spans="1:52">
      <c r="A10" s="63">
        <f>ELEC!C9</f>
        <v>44840</v>
      </c>
      <c r="B10" s="535">
        <f t="shared" ref="B10:B35" si="40">B9</f>
        <v>234</v>
      </c>
      <c r="C10" s="535">
        <f t="shared" ref="C10:C35" si="41">C9</f>
        <v>241</v>
      </c>
      <c r="D10" s="45">
        <f t="shared" si="28"/>
        <v>0</v>
      </c>
      <c r="E10" s="45">
        <f t="shared" si="9"/>
        <v>0</v>
      </c>
      <c r="F10" s="535">
        <f t="shared" si="29"/>
        <v>2290</v>
      </c>
      <c r="G10" s="52">
        <f t="shared" si="0"/>
        <v>0</v>
      </c>
      <c r="H10" s="535">
        <f t="shared" si="39"/>
        <v>47085</v>
      </c>
      <c r="I10" s="380">
        <f t="shared" si="1"/>
        <v>0</v>
      </c>
      <c r="J10" s="66">
        <f t="shared" si="10"/>
        <v>0</v>
      </c>
      <c r="K10" s="535">
        <f t="shared" si="11"/>
        <v>2460</v>
      </c>
      <c r="L10" s="52">
        <f t="shared" si="12"/>
        <v>0</v>
      </c>
      <c r="M10" s="535">
        <f t="shared" ref="M10:M35" si="42">M9</f>
        <v>183073</v>
      </c>
      <c r="N10" s="380">
        <f t="shared" si="2"/>
        <v>0</v>
      </c>
      <c r="O10" s="64">
        <f t="shared" si="3"/>
        <v>1869</v>
      </c>
      <c r="P10" s="535">
        <f t="shared" si="3"/>
        <v>2231</v>
      </c>
      <c r="Q10" s="535">
        <f t="shared" si="3"/>
        <v>186461</v>
      </c>
      <c r="R10" s="379">
        <f t="shared" si="4"/>
        <v>0</v>
      </c>
      <c r="S10" s="52">
        <f t="shared" si="5"/>
        <v>0</v>
      </c>
      <c r="T10" s="67">
        <f t="shared" si="30"/>
        <v>0</v>
      </c>
      <c r="U10" s="386">
        <f t="shared" si="13"/>
        <v>0</v>
      </c>
      <c r="V10" s="62">
        <f t="shared" si="14"/>
        <v>0</v>
      </c>
      <c r="W10" s="384" t="e">
        <f t="shared" si="15"/>
        <v>#DIV/0!</v>
      </c>
      <c r="X10" s="535">
        <v>2495</v>
      </c>
      <c r="Y10" s="52">
        <f t="shared" si="16"/>
        <v>0</v>
      </c>
      <c r="Z10" s="535">
        <f t="shared" si="31"/>
        <v>141191</v>
      </c>
      <c r="AA10" s="65">
        <f t="shared" si="6"/>
        <v>0</v>
      </c>
      <c r="AB10" s="273">
        <f t="shared" si="32"/>
        <v>0</v>
      </c>
      <c r="AC10" s="535">
        <f t="shared" si="17"/>
        <v>1948</v>
      </c>
      <c r="AD10" s="45">
        <f t="shared" si="7"/>
        <v>0</v>
      </c>
      <c r="AE10" s="535">
        <f t="shared" si="33"/>
        <v>366651</v>
      </c>
      <c r="AF10" s="293">
        <f t="shared" si="18"/>
        <v>0</v>
      </c>
      <c r="AG10" s="209">
        <f t="shared" si="34"/>
        <v>0</v>
      </c>
      <c r="AH10" s="62">
        <f t="shared" si="35"/>
        <v>0</v>
      </c>
      <c r="AI10" s="303">
        <f>SUM(AH10+V10)</f>
        <v>0</v>
      </c>
      <c r="AJ10" s="303">
        <f>-tanks!AW11</f>
        <v>0</v>
      </c>
      <c r="AK10" s="303">
        <f t="shared" si="20"/>
        <v>0</v>
      </c>
      <c r="AL10" s="303">
        <f t="shared" si="8"/>
        <v>0</v>
      </c>
      <c r="AM10" s="303">
        <f t="shared" si="21"/>
        <v>0</v>
      </c>
      <c r="AN10" s="535">
        <f t="shared" si="22"/>
        <v>65</v>
      </c>
      <c r="AO10" s="305">
        <f t="shared" si="23"/>
        <v>1950</v>
      </c>
      <c r="AP10" s="535">
        <f t="shared" si="24"/>
        <v>35</v>
      </c>
      <c r="AQ10" s="305">
        <f t="shared" si="25"/>
        <v>1050</v>
      </c>
      <c r="AR10" s="535">
        <f t="shared" si="26"/>
        <v>73</v>
      </c>
      <c r="AS10" s="305">
        <f t="shared" si="36"/>
        <v>2190</v>
      </c>
      <c r="AT10" s="305">
        <f t="shared" si="37"/>
        <v>5190</v>
      </c>
      <c r="AU10" s="305">
        <f t="shared" si="38"/>
        <v>0</v>
      </c>
      <c r="AV10" s="259"/>
      <c r="AW10" s="259"/>
      <c r="AX10" s="298">
        <f t="shared" si="27"/>
        <v>0.8</v>
      </c>
    </row>
    <row r="11" spans="1:52">
      <c r="A11" s="63">
        <f>ELEC!C10</f>
        <v>44841</v>
      </c>
      <c r="B11" s="535">
        <f t="shared" si="40"/>
        <v>234</v>
      </c>
      <c r="C11" s="535">
        <f t="shared" si="41"/>
        <v>241</v>
      </c>
      <c r="D11" s="45">
        <f t="shared" si="28"/>
        <v>0</v>
      </c>
      <c r="E11" s="45">
        <f t="shared" si="9"/>
        <v>0</v>
      </c>
      <c r="F11" s="535">
        <f t="shared" si="29"/>
        <v>2290</v>
      </c>
      <c r="G11" s="52">
        <f t="shared" si="0"/>
        <v>0</v>
      </c>
      <c r="H11" s="535">
        <f t="shared" si="39"/>
        <v>47085</v>
      </c>
      <c r="I11" s="380">
        <f t="shared" si="1"/>
        <v>0</v>
      </c>
      <c r="J11" s="66">
        <f t="shared" si="10"/>
        <v>0</v>
      </c>
      <c r="K11" s="535">
        <f t="shared" si="11"/>
        <v>2460</v>
      </c>
      <c r="L11" s="52">
        <f t="shared" si="12"/>
        <v>0</v>
      </c>
      <c r="M11" s="535">
        <f t="shared" si="42"/>
        <v>183073</v>
      </c>
      <c r="N11" s="380">
        <f t="shared" si="2"/>
        <v>0</v>
      </c>
      <c r="O11" s="64">
        <f t="shared" si="3"/>
        <v>1869</v>
      </c>
      <c r="P11" s="535">
        <f t="shared" si="3"/>
        <v>2231</v>
      </c>
      <c r="Q11" s="535">
        <f t="shared" si="3"/>
        <v>186461</v>
      </c>
      <c r="R11" s="379">
        <f t="shared" ref="R11:R32" si="43">Q11-Q10</f>
        <v>0</v>
      </c>
      <c r="S11" s="52">
        <f t="shared" si="5"/>
        <v>0</v>
      </c>
      <c r="T11" s="67">
        <f t="shared" si="30"/>
        <v>0</v>
      </c>
      <c r="U11" s="386">
        <f t="shared" si="13"/>
        <v>0</v>
      </c>
      <c r="V11" s="62">
        <f t="shared" si="14"/>
        <v>0</v>
      </c>
      <c r="W11" s="384" t="e">
        <f t="shared" si="15"/>
        <v>#DIV/0!</v>
      </c>
      <c r="X11" s="535">
        <v>2495</v>
      </c>
      <c r="Y11" s="52">
        <f t="shared" si="16"/>
        <v>0</v>
      </c>
      <c r="Z11" s="535">
        <f t="shared" si="31"/>
        <v>141191</v>
      </c>
      <c r="AA11" s="65">
        <f t="shared" si="6"/>
        <v>0</v>
      </c>
      <c r="AB11" s="273">
        <f t="shared" si="32"/>
        <v>0</v>
      </c>
      <c r="AC11" s="535">
        <f t="shared" si="17"/>
        <v>1948</v>
      </c>
      <c r="AD11" s="45">
        <f t="shared" si="7"/>
        <v>0</v>
      </c>
      <c r="AE11" s="535">
        <v>366639</v>
      </c>
      <c r="AF11" s="293">
        <f t="shared" si="18"/>
        <v>-12</v>
      </c>
      <c r="AG11" s="209">
        <f t="shared" si="34"/>
        <v>0</v>
      </c>
      <c r="AH11" s="62">
        <f>AF11+AA11</f>
        <v>-12</v>
      </c>
      <c r="AI11" s="303">
        <f>SUM(AH11+V11)</f>
        <v>-12</v>
      </c>
      <c r="AJ11" s="303">
        <f>-tanks!AW12</f>
        <v>-12</v>
      </c>
      <c r="AK11" s="303">
        <f t="shared" si="20"/>
        <v>0</v>
      </c>
      <c r="AL11" s="303">
        <f t="shared" si="8"/>
        <v>0</v>
      </c>
      <c r="AM11" s="303">
        <f t="shared" si="21"/>
        <v>0</v>
      </c>
      <c r="AN11" s="535">
        <v>65</v>
      </c>
      <c r="AO11" s="305">
        <f t="shared" si="23"/>
        <v>1950</v>
      </c>
      <c r="AP11" s="535">
        <v>35</v>
      </c>
      <c r="AQ11" s="305">
        <f t="shared" si="25"/>
        <v>1050</v>
      </c>
      <c r="AR11" s="535">
        <f t="shared" si="26"/>
        <v>73</v>
      </c>
      <c r="AS11" s="305">
        <f t="shared" si="36"/>
        <v>2190</v>
      </c>
      <c r="AT11" s="305">
        <f t="shared" si="37"/>
        <v>5190</v>
      </c>
      <c r="AU11" s="305">
        <f t="shared" si="38"/>
        <v>0</v>
      </c>
      <c r="AV11" s="259"/>
      <c r="AW11" s="259"/>
      <c r="AX11" s="298">
        <f t="shared" si="27"/>
        <v>0.8</v>
      </c>
    </row>
    <row r="12" spans="1:52">
      <c r="A12" s="63">
        <f>ELEC!C11</f>
        <v>44842</v>
      </c>
      <c r="B12" s="535">
        <f t="shared" si="40"/>
        <v>234</v>
      </c>
      <c r="C12" s="535">
        <f t="shared" si="41"/>
        <v>241</v>
      </c>
      <c r="D12" s="45">
        <f t="shared" si="28"/>
        <v>0</v>
      </c>
      <c r="E12" s="45">
        <f t="shared" si="9"/>
        <v>0</v>
      </c>
      <c r="F12" s="535">
        <f t="shared" si="29"/>
        <v>2290</v>
      </c>
      <c r="G12" s="52">
        <f t="shared" si="0"/>
        <v>0</v>
      </c>
      <c r="H12" s="535">
        <f t="shared" si="39"/>
        <v>47085</v>
      </c>
      <c r="I12" s="380">
        <f t="shared" si="1"/>
        <v>0</v>
      </c>
      <c r="J12" s="66">
        <f t="shared" si="10"/>
        <v>0</v>
      </c>
      <c r="K12" s="535">
        <f t="shared" si="11"/>
        <v>2460</v>
      </c>
      <c r="L12" s="52">
        <f t="shared" si="12"/>
        <v>0</v>
      </c>
      <c r="M12" s="535">
        <f t="shared" si="42"/>
        <v>183073</v>
      </c>
      <c r="N12" s="380">
        <f t="shared" si="2"/>
        <v>0</v>
      </c>
      <c r="O12" s="64">
        <f t="shared" si="3"/>
        <v>1869</v>
      </c>
      <c r="P12" s="535">
        <f t="shared" si="3"/>
        <v>2231</v>
      </c>
      <c r="Q12" s="535">
        <f t="shared" si="3"/>
        <v>186461</v>
      </c>
      <c r="R12" s="379">
        <f t="shared" si="43"/>
        <v>0</v>
      </c>
      <c r="S12" s="52">
        <f t="shared" si="5"/>
        <v>0</v>
      </c>
      <c r="T12" s="67">
        <f t="shared" si="30"/>
        <v>0</v>
      </c>
      <c r="U12" s="386">
        <f t="shared" si="13"/>
        <v>0</v>
      </c>
      <c r="V12" s="62">
        <f t="shared" si="14"/>
        <v>0</v>
      </c>
      <c r="W12" s="384" t="e">
        <f t="shared" si="15"/>
        <v>#DIV/0!</v>
      </c>
      <c r="X12" s="535">
        <v>2495</v>
      </c>
      <c r="Y12" s="52">
        <f t="shared" si="16"/>
        <v>0</v>
      </c>
      <c r="Z12" s="535">
        <f t="shared" si="31"/>
        <v>141191</v>
      </c>
      <c r="AA12" s="65">
        <f t="shared" si="6"/>
        <v>0</v>
      </c>
      <c r="AB12" s="273">
        <f t="shared" si="32"/>
        <v>0</v>
      </c>
      <c r="AC12" s="535">
        <f t="shared" si="17"/>
        <v>1948</v>
      </c>
      <c r="AD12" s="45">
        <f t="shared" si="7"/>
        <v>0</v>
      </c>
      <c r="AE12" s="535">
        <v>366639</v>
      </c>
      <c r="AF12" s="293">
        <f t="shared" si="18"/>
        <v>0</v>
      </c>
      <c r="AG12" s="209">
        <f t="shared" si="34"/>
        <v>0</v>
      </c>
      <c r="AH12" s="62">
        <f t="shared" si="35"/>
        <v>0</v>
      </c>
      <c r="AI12" s="303">
        <f t="shared" si="19"/>
        <v>0</v>
      </c>
      <c r="AJ12" s="303">
        <f>-tanks!AW13</f>
        <v>0</v>
      </c>
      <c r="AK12" s="303">
        <f t="shared" si="20"/>
        <v>0</v>
      </c>
      <c r="AL12" s="303">
        <f t="shared" si="8"/>
        <v>0</v>
      </c>
      <c r="AM12" s="303">
        <f t="shared" si="21"/>
        <v>0</v>
      </c>
      <c r="AN12" s="535">
        <f t="shared" si="22"/>
        <v>65</v>
      </c>
      <c r="AO12" s="305">
        <f t="shared" si="23"/>
        <v>1950</v>
      </c>
      <c r="AP12" s="535">
        <f t="shared" si="24"/>
        <v>35</v>
      </c>
      <c r="AQ12" s="305">
        <f t="shared" si="25"/>
        <v>1050</v>
      </c>
      <c r="AR12" s="535">
        <f t="shared" si="26"/>
        <v>73</v>
      </c>
      <c r="AS12" s="305">
        <f t="shared" si="36"/>
        <v>2190</v>
      </c>
      <c r="AT12" s="305">
        <f t="shared" si="37"/>
        <v>5190</v>
      </c>
      <c r="AU12" s="305">
        <f t="shared" si="38"/>
        <v>0</v>
      </c>
      <c r="AV12" s="259"/>
      <c r="AW12" s="259"/>
      <c r="AX12" s="298">
        <f t="shared" si="27"/>
        <v>0.8</v>
      </c>
    </row>
    <row r="13" spans="1:52">
      <c r="A13" s="63">
        <f>ELEC!C12</f>
        <v>44843</v>
      </c>
      <c r="B13" s="535">
        <f t="shared" si="40"/>
        <v>234</v>
      </c>
      <c r="C13" s="535">
        <f t="shared" si="41"/>
        <v>241</v>
      </c>
      <c r="D13" s="45">
        <f t="shared" si="28"/>
        <v>0</v>
      </c>
      <c r="E13" s="45">
        <f t="shared" si="9"/>
        <v>0</v>
      </c>
      <c r="F13" s="535">
        <f t="shared" si="29"/>
        <v>2290</v>
      </c>
      <c r="G13" s="52">
        <f t="shared" si="0"/>
        <v>0</v>
      </c>
      <c r="H13" s="535">
        <f t="shared" si="39"/>
        <v>47085</v>
      </c>
      <c r="I13" s="380">
        <f t="shared" si="1"/>
        <v>0</v>
      </c>
      <c r="J13" s="66">
        <f t="shared" si="10"/>
        <v>0</v>
      </c>
      <c r="K13" s="535">
        <f t="shared" si="11"/>
        <v>2460</v>
      </c>
      <c r="L13" s="52">
        <f t="shared" si="12"/>
        <v>0</v>
      </c>
      <c r="M13" s="535">
        <f t="shared" si="42"/>
        <v>183073</v>
      </c>
      <c r="N13" s="380">
        <f t="shared" si="2"/>
        <v>0</v>
      </c>
      <c r="O13" s="64">
        <f t="shared" si="3"/>
        <v>1869</v>
      </c>
      <c r="P13" s="535">
        <f t="shared" si="3"/>
        <v>2231</v>
      </c>
      <c r="Q13" s="535">
        <f t="shared" si="3"/>
        <v>186461</v>
      </c>
      <c r="R13" s="379">
        <f t="shared" si="43"/>
        <v>0</v>
      </c>
      <c r="S13" s="52">
        <f t="shared" si="5"/>
        <v>0</v>
      </c>
      <c r="T13" s="67">
        <f t="shared" si="30"/>
        <v>0</v>
      </c>
      <c r="U13" s="386">
        <f t="shared" si="13"/>
        <v>0</v>
      </c>
      <c r="V13" s="62">
        <f t="shared" si="14"/>
        <v>0</v>
      </c>
      <c r="W13" s="384" t="e">
        <f t="shared" si="15"/>
        <v>#DIV/0!</v>
      </c>
      <c r="X13" s="535">
        <v>2495</v>
      </c>
      <c r="Y13" s="52">
        <f t="shared" si="16"/>
        <v>0</v>
      </c>
      <c r="Z13" s="535">
        <f t="shared" si="31"/>
        <v>141191</v>
      </c>
      <c r="AA13" s="273">
        <f t="shared" si="6"/>
        <v>0</v>
      </c>
      <c r="AB13" s="273">
        <f t="shared" si="32"/>
        <v>0</v>
      </c>
      <c r="AC13" s="535">
        <f t="shared" si="17"/>
        <v>1948</v>
      </c>
      <c r="AD13" s="45">
        <f t="shared" si="7"/>
        <v>0</v>
      </c>
      <c r="AE13" s="535">
        <v>366639</v>
      </c>
      <c r="AF13" s="293">
        <f t="shared" si="18"/>
        <v>0</v>
      </c>
      <c r="AG13" s="209">
        <f t="shared" si="34"/>
        <v>0</v>
      </c>
      <c r="AH13" s="62">
        <f t="shared" si="35"/>
        <v>0</v>
      </c>
      <c r="AI13" s="303">
        <f t="shared" si="19"/>
        <v>0</v>
      </c>
      <c r="AJ13" s="303">
        <f>-tanks!AW14</f>
        <v>0</v>
      </c>
      <c r="AK13" s="303">
        <f t="shared" si="20"/>
        <v>0</v>
      </c>
      <c r="AL13" s="303">
        <f t="shared" si="8"/>
        <v>0</v>
      </c>
      <c r="AM13" s="303">
        <f t="shared" si="21"/>
        <v>0</v>
      </c>
      <c r="AN13" s="535">
        <f t="shared" si="22"/>
        <v>65</v>
      </c>
      <c r="AO13" s="305">
        <f t="shared" si="23"/>
        <v>1950</v>
      </c>
      <c r="AP13" s="535">
        <f t="shared" si="24"/>
        <v>35</v>
      </c>
      <c r="AQ13" s="305">
        <f t="shared" si="25"/>
        <v>1050</v>
      </c>
      <c r="AR13" s="535">
        <f t="shared" si="26"/>
        <v>73</v>
      </c>
      <c r="AS13" s="305">
        <f t="shared" si="36"/>
        <v>2190</v>
      </c>
      <c r="AT13" s="305">
        <f t="shared" si="37"/>
        <v>5190</v>
      </c>
      <c r="AU13" s="305">
        <f t="shared" si="38"/>
        <v>0</v>
      </c>
      <c r="AV13" s="259"/>
      <c r="AW13" s="259"/>
      <c r="AX13" s="298">
        <f t="shared" si="27"/>
        <v>0.8</v>
      </c>
    </row>
    <row r="14" spans="1:52">
      <c r="A14" s="63">
        <f>ELEC!C13</f>
        <v>44844</v>
      </c>
      <c r="B14" s="535">
        <f t="shared" si="40"/>
        <v>234</v>
      </c>
      <c r="C14" s="535">
        <f t="shared" si="41"/>
        <v>241</v>
      </c>
      <c r="D14" s="45">
        <f t="shared" si="28"/>
        <v>0</v>
      </c>
      <c r="E14" s="45">
        <f t="shared" si="9"/>
        <v>0</v>
      </c>
      <c r="F14" s="535">
        <f t="shared" si="29"/>
        <v>2290</v>
      </c>
      <c r="G14" s="52">
        <f t="shared" si="0"/>
        <v>0</v>
      </c>
      <c r="H14" s="535">
        <f t="shared" si="39"/>
        <v>47085</v>
      </c>
      <c r="I14" s="380">
        <f t="shared" si="1"/>
        <v>0</v>
      </c>
      <c r="J14" s="66">
        <f t="shared" si="10"/>
        <v>0</v>
      </c>
      <c r="K14" s="535">
        <f t="shared" si="11"/>
        <v>2460</v>
      </c>
      <c r="L14" s="52">
        <f t="shared" si="12"/>
        <v>0</v>
      </c>
      <c r="M14" s="535">
        <f t="shared" si="42"/>
        <v>183073</v>
      </c>
      <c r="N14" s="380">
        <f t="shared" si="2"/>
        <v>0</v>
      </c>
      <c r="O14" s="64">
        <f t="shared" si="3"/>
        <v>1869</v>
      </c>
      <c r="P14" s="535">
        <f t="shared" si="3"/>
        <v>2231</v>
      </c>
      <c r="Q14" s="535">
        <f t="shared" si="3"/>
        <v>186461</v>
      </c>
      <c r="R14" s="379">
        <f t="shared" si="43"/>
        <v>0</v>
      </c>
      <c r="S14" s="52">
        <f t="shared" si="5"/>
        <v>0</v>
      </c>
      <c r="T14" s="67">
        <f t="shared" si="30"/>
        <v>0</v>
      </c>
      <c r="U14" s="386">
        <f t="shared" si="13"/>
        <v>0</v>
      </c>
      <c r="V14" s="62">
        <f t="shared" si="14"/>
        <v>0</v>
      </c>
      <c r="W14" s="384" t="e">
        <f t="shared" si="15"/>
        <v>#DIV/0!</v>
      </c>
      <c r="X14" s="535">
        <v>2495</v>
      </c>
      <c r="Y14" s="52">
        <f t="shared" si="16"/>
        <v>0</v>
      </c>
      <c r="Z14" s="535">
        <f t="shared" si="31"/>
        <v>141191</v>
      </c>
      <c r="AA14" s="65">
        <f t="shared" si="6"/>
        <v>0</v>
      </c>
      <c r="AB14" s="273">
        <f t="shared" si="32"/>
        <v>0</v>
      </c>
      <c r="AC14" s="535">
        <f t="shared" si="17"/>
        <v>1948</v>
      </c>
      <c r="AD14" s="45">
        <f t="shared" si="7"/>
        <v>0</v>
      </c>
      <c r="AE14" s="535">
        <v>366639</v>
      </c>
      <c r="AF14" s="293">
        <f t="shared" si="18"/>
        <v>0</v>
      </c>
      <c r="AG14" s="209">
        <f t="shared" si="34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0"/>
        <v>0</v>
      </c>
      <c r="AL14" s="303">
        <f t="shared" si="8"/>
        <v>0</v>
      </c>
      <c r="AM14" s="303">
        <f t="shared" si="21"/>
        <v>0</v>
      </c>
      <c r="AN14" s="535">
        <f t="shared" si="22"/>
        <v>65</v>
      </c>
      <c r="AO14" s="305">
        <f t="shared" si="23"/>
        <v>1950</v>
      </c>
      <c r="AP14" s="535">
        <f t="shared" si="24"/>
        <v>35</v>
      </c>
      <c r="AQ14" s="305">
        <f t="shared" si="25"/>
        <v>1050</v>
      </c>
      <c r="AR14" s="535">
        <f t="shared" si="26"/>
        <v>73</v>
      </c>
      <c r="AS14" s="305">
        <f t="shared" si="36"/>
        <v>2190</v>
      </c>
      <c r="AT14" s="305">
        <f t="shared" si="37"/>
        <v>5190</v>
      </c>
      <c r="AU14" s="305">
        <f t="shared" si="38"/>
        <v>0</v>
      </c>
      <c r="AV14" s="259"/>
      <c r="AW14" s="259"/>
      <c r="AX14" s="298">
        <f t="shared" si="27"/>
        <v>0.8</v>
      </c>
    </row>
    <row r="15" spans="1:52" ht="15" customHeight="1">
      <c r="A15" s="63">
        <f>ELEC!C14</f>
        <v>44845</v>
      </c>
      <c r="B15" s="535">
        <f t="shared" si="40"/>
        <v>234</v>
      </c>
      <c r="C15" s="535">
        <f t="shared" si="41"/>
        <v>241</v>
      </c>
      <c r="D15" s="45">
        <f t="shared" si="28"/>
        <v>0</v>
      </c>
      <c r="E15" s="45">
        <f t="shared" si="9"/>
        <v>0</v>
      </c>
      <c r="F15" s="535">
        <f t="shared" si="29"/>
        <v>2290</v>
      </c>
      <c r="G15" s="52">
        <f t="shared" si="0"/>
        <v>0</v>
      </c>
      <c r="H15" s="535">
        <f t="shared" si="39"/>
        <v>47085</v>
      </c>
      <c r="I15" s="380">
        <f t="shared" si="1"/>
        <v>0</v>
      </c>
      <c r="J15" s="66">
        <f t="shared" si="10"/>
        <v>0</v>
      </c>
      <c r="K15" s="535">
        <f t="shared" si="11"/>
        <v>2460</v>
      </c>
      <c r="L15" s="52">
        <f t="shared" si="12"/>
        <v>0</v>
      </c>
      <c r="M15" s="535">
        <f t="shared" si="42"/>
        <v>183073</v>
      </c>
      <c r="N15" s="380">
        <f t="shared" si="2"/>
        <v>0</v>
      </c>
      <c r="O15" s="64">
        <f t="shared" si="3"/>
        <v>1869</v>
      </c>
      <c r="P15" s="535">
        <v>2228</v>
      </c>
      <c r="Q15" s="535">
        <f t="shared" ref="Q15:Q35" si="44">Q14</f>
        <v>186461</v>
      </c>
      <c r="R15" s="379">
        <f t="shared" si="43"/>
        <v>0</v>
      </c>
      <c r="S15" s="52">
        <f t="shared" si="5"/>
        <v>-3</v>
      </c>
      <c r="T15" s="67">
        <f t="shared" si="30"/>
        <v>0</v>
      </c>
      <c r="U15" s="386">
        <f t="shared" si="13"/>
        <v>-3</v>
      </c>
      <c r="V15" s="62">
        <f t="shared" si="14"/>
        <v>0</v>
      </c>
      <c r="W15" s="384">
        <f t="shared" si="15"/>
        <v>0</v>
      </c>
      <c r="X15" s="535">
        <v>2495</v>
      </c>
      <c r="Y15" s="52">
        <f t="shared" si="16"/>
        <v>0</v>
      </c>
      <c r="Z15" s="535">
        <f t="shared" si="31"/>
        <v>141191</v>
      </c>
      <c r="AA15" s="65">
        <f t="shared" si="6"/>
        <v>0</v>
      </c>
      <c r="AB15" s="273">
        <f t="shared" si="32"/>
        <v>0</v>
      </c>
      <c r="AC15" s="535">
        <f t="shared" si="17"/>
        <v>1948</v>
      </c>
      <c r="AD15" s="45">
        <f t="shared" si="7"/>
        <v>0</v>
      </c>
      <c r="AE15" s="535">
        <v>366639</v>
      </c>
      <c r="AF15" s="293">
        <f t="shared" si="18"/>
        <v>0</v>
      </c>
      <c r="AG15" s="209">
        <f t="shared" si="34"/>
        <v>0</v>
      </c>
      <c r="AH15" s="62">
        <f t="shared" si="35"/>
        <v>0</v>
      </c>
      <c r="AI15" s="303">
        <f t="shared" si="19"/>
        <v>0</v>
      </c>
      <c r="AJ15" s="303">
        <f>-tanks!AW16</f>
        <v>0</v>
      </c>
      <c r="AK15" s="303">
        <f t="shared" si="20"/>
        <v>0</v>
      </c>
      <c r="AL15" s="303">
        <f t="shared" si="8"/>
        <v>-3</v>
      </c>
      <c r="AM15" s="303">
        <f t="shared" si="21"/>
        <v>0</v>
      </c>
      <c r="AN15" s="535">
        <f t="shared" si="22"/>
        <v>65</v>
      </c>
      <c r="AO15" s="305">
        <f t="shared" si="23"/>
        <v>1950</v>
      </c>
      <c r="AP15" s="535">
        <f t="shared" si="24"/>
        <v>35</v>
      </c>
      <c r="AQ15" s="305">
        <f t="shared" si="25"/>
        <v>1050</v>
      </c>
      <c r="AR15" s="535">
        <f t="shared" si="26"/>
        <v>73</v>
      </c>
      <c r="AS15" s="305">
        <f t="shared" si="36"/>
        <v>2190</v>
      </c>
      <c r="AT15" s="305">
        <f t="shared" si="37"/>
        <v>5190</v>
      </c>
      <c r="AU15" s="305">
        <f t="shared" si="38"/>
        <v>0</v>
      </c>
      <c r="AV15" s="259"/>
      <c r="AW15" s="259"/>
      <c r="AX15" s="298">
        <f t="shared" si="27"/>
        <v>0.8</v>
      </c>
    </row>
    <row r="16" spans="1:52">
      <c r="A16" s="63">
        <f>ELEC!C15</f>
        <v>44846</v>
      </c>
      <c r="B16" s="535">
        <f t="shared" si="40"/>
        <v>234</v>
      </c>
      <c r="C16" s="535">
        <f t="shared" si="41"/>
        <v>241</v>
      </c>
      <c r="D16" s="45">
        <f t="shared" si="28"/>
        <v>0</v>
      </c>
      <c r="E16" s="45">
        <f t="shared" si="9"/>
        <v>0</v>
      </c>
      <c r="F16" s="535">
        <f t="shared" si="29"/>
        <v>2290</v>
      </c>
      <c r="G16" s="52">
        <f t="shared" si="0"/>
        <v>0</v>
      </c>
      <c r="H16" s="535">
        <f t="shared" si="39"/>
        <v>47085</v>
      </c>
      <c r="I16" s="380">
        <f t="shared" si="1"/>
        <v>0</v>
      </c>
      <c r="J16" s="66">
        <f t="shared" si="10"/>
        <v>0</v>
      </c>
      <c r="K16" s="535">
        <f t="shared" si="11"/>
        <v>2460</v>
      </c>
      <c r="L16" s="52">
        <f t="shared" si="12"/>
        <v>0</v>
      </c>
      <c r="M16" s="535">
        <f t="shared" si="42"/>
        <v>183073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f t="shared" si="44"/>
        <v>186461</v>
      </c>
      <c r="R16" s="379">
        <f t="shared" si="43"/>
        <v>0</v>
      </c>
      <c r="S16" s="52">
        <f t="shared" si="5"/>
        <v>0</v>
      </c>
      <c r="T16" s="67">
        <f t="shared" si="30"/>
        <v>0</v>
      </c>
      <c r="U16" s="386">
        <f t="shared" si="13"/>
        <v>0</v>
      </c>
      <c r="V16" s="62">
        <f t="shared" si="14"/>
        <v>0</v>
      </c>
      <c r="W16" s="384" t="e">
        <f t="shared" si="15"/>
        <v>#DIV/0!</v>
      </c>
      <c r="X16" s="535">
        <v>2495</v>
      </c>
      <c r="Y16" s="52">
        <f t="shared" si="16"/>
        <v>0</v>
      </c>
      <c r="Z16" s="535">
        <f t="shared" si="31"/>
        <v>141191</v>
      </c>
      <c r="AA16" s="65">
        <f t="shared" si="6"/>
        <v>0</v>
      </c>
      <c r="AB16" s="273">
        <f t="shared" si="32"/>
        <v>0</v>
      </c>
      <c r="AC16" s="535">
        <f t="shared" si="17"/>
        <v>1948</v>
      </c>
      <c r="AD16" s="45">
        <f t="shared" si="7"/>
        <v>0</v>
      </c>
      <c r="AE16" s="535">
        <v>366639</v>
      </c>
      <c r="AF16" s="293">
        <f t="shared" si="18"/>
        <v>0</v>
      </c>
      <c r="AG16" s="209">
        <f t="shared" si="34"/>
        <v>0</v>
      </c>
      <c r="AH16" s="62">
        <f t="shared" si="35"/>
        <v>0</v>
      </c>
      <c r="AI16" s="303">
        <f t="shared" si="19"/>
        <v>0</v>
      </c>
      <c r="AJ16" s="303">
        <f>-tanks!AW17</f>
        <v>0</v>
      </c>
      <c r="AK16" s="303">
        <f t="shared" si="20"/>
        <v>0</v>
      </c>
      <c r="AL16" s="303">
        <f t="shared" si="8"/>
        <v>0</v>
      </c>
      <c r="AM16" s="303">
        <f t="shared" si="21"/>
        <v>0</v>
      </c>
      <c r="AN16" s="535">
        <f t="shared" si="22"/>
        <v>65</v>
      </c>
      <c r="AO16" s="305">
        <f t="shared" si="23"/>
        <v>1950</v>
      </c>
      <c r="AP16" s="535">
        <f t="shared" si="24"/>
        <v>35</v>
      </c>
      <c r="AQ16" s="305">
        <f t="shared" si="25"/>
        <v>1050</v>
      </c>
      <c r="AR16" s="535">
        <f t="shared" si="26"/>
        <v>73</v>
      </c>
      <c r="AS16" s="305">
        <f t="shared" si="36"/>
        <v>2190</v>
      </c>
      <c r="AT16" s="305">
        <f t="shared" si="37"/>
        <v>5190</v>
      </c>
      <c r="AU16" s="305">
        <f t="shared" si="38"/>
        <v>0</v>
      </c>
      <c r="AV16" s="259"/>
      <c r="AW16" s="259"/>
      <c r="AX16" s="298">
        <f t="shared" si="27"/>
        <v>0.8</v>
      </c>
    </row>
    <row r="17" spans="1:50">
      <c r="A17" s="63">
        <f>ELEC!C16</f>
        <v>44847</v>
      </c>
      <c r="B17" s="535">
        <f t="shared" si="40"/>
        <v>234</v>
      </c>
      <c r="C17" s="535">
        <f t="shared" si="41"/>
        <v>241</v>
      </c>
      <c r="D17" s="45">
        <f t="shared" si="28"/>
        <v>0</v>
      </c>
      <c r="E17" s="45">
        <f t="shared" si="9"/>
        <v>0</v>
      </c>
      <c r="F17" s="535">
        <f t="shared" si="29"/>
        <v>2290</v>
      </c>
      <c r="G17" s="52">
        <f t="shared" si="0"/>
        <v>0</v>
      </c>
      <c r="H17" s="535">
        <f t="shared" si="39"/>
        <v>47085</v>
      </c>
      <c r="I17" s="380">
        <f t="shared" si="1"/>
        <v>0</v>
      </c>
      <c r="J17" s="66">
        <f t="shared" si="10"/>
        <v>0</v>
      </c>
      <c r="K17" s="535">
        <f t="shared" si="11"/>
        <v>2460</v>
      </c>
      <c r="L17" s="52">
        <f t="shared" si="12"/>
        <v>0</v>
      </c>
      <c r="M17" s="535">
        <f t="shared" si="42"/>
        <v>183073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f t="shared" si="44"/>
        <v>186461</v>
      </c>
      <c r="R17" s="379">
        <f t="shared" si="43"/>
        <v>0</v>
      </c>
      <c r="S17" s="52">
        <f t="shared" si="5"/>
        <v>0</v>
      </c>
      <c r="T17" s="67">
        <f t="shared" si="30"/>
        <v>0</v>
      </c>
      <c r="U17" s="386">
        <f t="shared" si="13"/>
        <v>0</v>
      </c>
      <c r="V17" s="62">
        <f t="shared" si="14"/>
        <v>0</v>
      </c>
      <c r="W17" s="384"/>
      <c r="X17" s="535">
        <v>2495</v>
      </c>
      <c r="Y17" s="52">
        <f t="shared" si="16"/>
        <v>0</v>
      </c>
      <c r="Z17" s="535">
        <f t="shared" si="31"/>
        <v>141191</v>
      </c>
      <c r="AA17" s="65">
        <f t="shared" si="6"/>
        <v>0</v>
      </c>
      <c r="AB17" s="273">
        <f t="shared" si="32"/>
        <v>0</v>
      </c>
      <c r="AC17" s="535">
        <f t="shared" si="17"/>
        <v>1948</v>
      </c>
      <c r="AD17" s="45">
        <f t="shared" si="7"/>
        <v>0</v>
      </c>
      <c r="AE17" s="535">
        <v>366639</v>
      </c>
      <c r="AF17" s="293">
        <f t="shared" si="18"/>
        <v>0</v>
      </c>
      <c r="AG17" s="209">
        <f t="shared" si="34"/>
        <v>0</v>
      </c>
      <c r="AH17" s="62">
        <f t="shared" si="35"/>
        <v>0</v>
      </c>
      <c r="AI17" s="303">
        <f t="shared" si="19"/>
        <v>0</v>
      </c>
      <c r="AJ17" s="303">
        <f>-tanks!AW18</f>
        <v>0</v>
      </c>
      <c r="AK17" s="303">
        <f t="shared" si="20"/>
        <v>0</v>
      </c>
      <c r="AL17" s="303">
        <f t="shared" si="8"/>
        <v>0</v>
      </c>
      <c r="AM17" s="303">
        <f t="shared" si="21"/>
        <v>0</v>
      </c>
      <c r="AN17" s="535">
        <f t="shared" si="22"/>
        <v>65</v>
      </c>
      <c r="AO17" s="305">
        <f t="shared" si="23"/>
        <v>1950</v>
      </c>
      <c r="AP17" s="535">
        <f t="shared" si="24"/>
        <v>35</v>
      </c>
      <c r="AQ17" s="305">
        <f t="shared" si="25"/>
        <v>1050</v>
      </c>
      <c r="AR17" s="535">
        <f t="shared" si="26"/>
        <v>73</v>
      </c>
      <c r="AS17" s="305">
        <f t="shared" si="36"/>
        <v>2190</v>
      </c>
      <c r="AT17" s="305">
        <f t="shared" si="37"/>
        <v>5190</v>
      </c>
      <c r="AU17" s="305">
        <f t="shared" si="38"/>
        <v>0</v>
      </c>
      <c r="AV17" s="259"/>
      <c r="AW17" s="259"/>
      <c r="AX17" s="298">
        <f t="shared" si="27"/>
        <v>0.8</v>
      </c>
    </row>
    <row r="18" spans="1:50">
      <c r="A18" s="63">
        <f>ELEC!C17</f>
        <v>44848</v>
      </c>
      <c r="B18" s="535">
        <f t="shared" si="40"/>
        <v>234</v>
      </c>
      <c r="C18" s="535">
        <f t="shared" si="41"/>
        <v>241</v>
      </c>
      <c r="D18" s="45">
        <f t="shared" si="28"/>
        <v>0</v>
      </c>
      <c r="E18" s="45">
        <f t="shared" si="9"/>
        <v>0</v>
      </c>
      <c r="F18" s="535">
        <f t="shared" si="29"/>
        <v>2290</v>
      </c>
      <c r="G18" s="52">
        <f t="shared" si="0"/>
        <v>0</v>
      </c>
      <c r="H18" s="535">
        <f t="shared" si="39"/>
        <v>47085</v>
      </c>
      <c r="I18" s="380">
        <f t="shared" si="1"/>
        <v>0</v>
      </c>
      <c r="J18" s="66">
        <f t="shared" si="10"/>
        <v>0</v>
      </c>
      <c r="K18" s="535">
        <f t="shared" si="11"/>
        <v>2460</v>
      </c>
      <c r="L18" s="52">
        <f t="shared" si="12"/>
        <v>0</v>
      </c>
      <c r="M18" s="535">
        <f t="shared" si="42"/>
        <v>183073</v>
      </c>
      <c r="N18" s="380">
        <f t="shared" si="2"/>
        <v>0</v>
      </c>
      <c r="O18" s="64">
        <v>1869</v>
      </c>
      <c r="P18" s="535">
        <v>2230</v>
      </c>
      <c r="Q18" s="535">
        <f t="shared" si="44"/>
        <v>186461</v>
      </c>
      <c r="R18" s="379">
        <f t="shared" si="43"/>
        <v>0</v>
      </c>
      <c r="S18" s="52">
        <f t="shared" si="5"/>
        <v>2</v>
      </c>
      <c r="T18" s="67">
        <f t="shared" si="30"/>
        <v>0</v>
      </c>
      <c r="U18" s="386">
        <f t="shared" si="13"/>
        <v>2</v>
      </c>
      <c r="V18" s="62">
        <f t="shared" si="14"/>
        <v>0</v>
      </c>
      <c r="W18" s="384"/>
      <c r="X18" s="535">
        <v>2495</v>
      </c>
      <c r="Y18" s="52">
        <f t="shared" si="16"/>
        <v>0</v>
      </c>
      <c r="Z18" s="535">
        <f t="shared" si="31"/>
        <v>141191</v>
      </c>
      <c r="AA18" s="65">
        <f t="shared" si="6"/>
        <v>0</v>
      </c>
      <c r="AB18" s="273">
        <f t="shared" ref="AB18:AB23" si="45">SUM(Y18*$AB$2)</f>
        <v>0</v>
      </c>
      <c r="AC18" s="535">
        <f t="shared" si="17"/>
        <v>1948</v>
      </c>
      <c r="AD18" s="45">
        <f t="shared" si="7"/>
        <v>0</v>
      </c>
      <c r="AE18" s="535">
        <v>366639</v>
      </c>
      <c r="AF18" s="293">
        <f t="shared" si="18"/>
        <v>0</v>
      </c>
      <c r="AG18" s="209">
        <f t="shared" si="34"/>
        <v>0</v>
      </c>
      <c r="AH18" s="62">
        <f t="shared" si="35"/>
        <v>0</v>
      </c>
      <c r="AI18" s="303">
        <f t="shared" si="19"/>
        <v>0</v>
      </c>
      <c r="AJ18" s="303">
        <f>-tanks!AW19</f>
        <v>0</v>
      </c>
      <c r="AK18" s="303">
        <f t="shared" si="20"/>
        <v>0</v>
      </c>
      <c r="AL18" s="303">
        <f t="shared" si="8"/>
        <v>2</v>
      </c>
      <c r="AM18" s="303">
        <f t="shared" si="21"/>
        <v>0</v>
      </c>
      <c r="AN18" s="535">
        <f t="shared" si="22"/>
        <v>65</v>
      </c>
      <c r="AO18" s="305">
        <f t="shared" si="23"/>
        <v>1950</v>
      </c>
      <c r="AP18" s="535">
        <f t="shared" si="24"/>
        <v>35</v>
      </c>
      <c r="AQ18" s="305">
        <f t="shared" si="25"/>
        <v>1050</v>
      </c>
      <c r="AR18" s="535">
        <f t="shared" si="26"/>
        <v>73</v>
      </c>
      <c r="AS18" s="305">
        <f t="shared" si="36"/>
        <v>2190</v>
      </c>
      <c r="AT18" s="305">
        <f t="shared" si="37"/>
        <v>5190</v>
      </c>
      <c r="AU18" s="305">
        <f t="shared" si="38"/>
        <v>0</v>
      </c>
      <c r="AV18" s="259"/>
      <c r="AW18" s="259"/>
      <c r="AX18" s="298">
        <f t="shared" si="27"/>
        <v>0.8</v>
      </c>
    </row>
    <row r="19" spans="1:50">
      <c r="A19" s="63">
        <f>ELEC!C18</f>
        <v>44849</v>
      </c>
      <c r="B19" s="535">
        <f t="shared" si="40"/>
        <v>234</v>
      </c>
      <c r="C19" s="535">
        <f t="shared" si="41"/>
        <v>241</v>
      </c>
      <c r="D19" s="45">
        <f t="shared" si="28"/>
        <v>0</v>
      </c>
      <c r="E19" s="45">
        <f t="shared" si="9"/>
        <v>0</v>
      </c>
      <c r="F19" s="535">
        <f t="shared" si="29"/>
        <v>2290</v>
      </c>
      <c r="G19" s="52">
        <f t="shared" si="0"/>
        <v>0</v>
      </c>
      <c r="H19" s="535">
        <f t="shared" si="39"/>
        <v>47085</v>
      </c>
      <c r="I19" s="380">
        <f t="shared" si="1"/>
        <v>0</v>
      </c>
      <c r="J19" s="66">
        <f t="shared" si="10"/>
        <v>0</v>
      </c>
      <c r="K19" s="535">
        <f t="shared" si="11"/>
        <v>2460</v>
      </c>
      <c r="L19" s="52">
        <f t="shared" si="12"/>
        <v>0</v>
      </c>
      <c r="M19" s="535">
        <f t="shared" si="42"/>
        <v>183073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si="44"/>
        <v>186461</v>
      </c>
      <c r="R19" s="379">
        <f t="shared" si="43"/>
        <v>0</v>
      </c>
      <c r="S19" s="52">
        <f t="shared" si="5"/>
        <v>0</v>
      </c>
      <c r="T19" s="67">
        <f t="shared" si="30"/>
        <v>0</v>
      </c>
      <c r="U19" s="386">
        <f t="shared" si="13"/>
        <v>0</v>
      </c>
      <c r="V19" s="62">
        <f t="shared" si="14"/>
        <v>0</v>
      </c>
      <c r="W19" s="384"/>
      <c r="X19" s="535">
        <v>2495</v>
      </c>
      <c r="Y19" s="52">
        <f t="shared" si="16"/>
        <v>0</v>
      </c>
      <c r="Z19" s="535">
        <f t="shared" si="31"/>
        <v>141191</v>
      </c>
      <c r="AA19" s="65">
        <f t="shared" si="6"/>
        <v>0</v>
      </c>
      <c r="AB19" s="273">
        <f t="shared" si="45"/>
        <v>0</v>
      </c>
      <c r="AC19" s="535">
        <f t="shared" si="17"/>
        <v>1948</v>
      </c>
      <c r="AD19" s="45">
        <f t="shared" si="7"/>
        <v>0</v>
      </c>
      <c r="AE19" s="535">
        <v>366639</v>
      </c>
      <c r="AF19" s="293">
        <f t="shared" si="18"/>
        <v>0</v>
      </c>
      <c r="AG19" s="209">
        <f t="shared" si="34"/>
        <v>0</v>
      </c>
      <c r="AH19" s="62">
        <f t="shared" si="35"/>
        <v>0</v>
      </c>
      <c r="AI19" s="303">
        <f t="shared" si="19"/>
        <v>0</v>
      </c>
      <c r="AJ19" s="303">
        <f>-tanks!AW20</f>
        <v>0</v>
      </c>
      <c r="AK19" s="303">
        <f t="shared" si="20"/>
        <v>0</v>
      </c>
      <c r="AL19" s="303">
        <f t="shared" si="8"/>
        <v>0</v>
      </c>
      <c r="AM19" s="303">
        <f t="shared" si="21"/>
        <v>0</v>
      </c>
      <c r="AN19" s="535">
        <f t="shared" si="22"/>
        <v>65</v>
      </c>
      <c r="AO19" s="305">
        <f t="shared" si="23"/>
        <v>1950</v>
      </c>
      <c r="AP19" s="535">
        <f t="shared" si="24"/>
        <v>35</v>
      </c>
      <c r="AQ19" s="305">
        <f t="shared" si="25"/>
        <v>1050</v>
      </c>
      <c r="AR19" s="535">
        <f t="shared" si="26"/>
        <v>73</v>
      </c>
      <c r="AS19" s="305">
        <f t="shared" si="36"/>
        <v>2190</v>
      </c>
      <c r="AT19" s="305">
        <f t="shared" si="37"/>
        <v>5190</v>
      </c>
      <c r="AU19" s="305">
        <f t="shared" si="38"/>
        <v>0</v>
      </c>
      <c r="AV19" s="259"/>
      <c r="AW19" s="259"/>
      <c r="AX19" s="298">
        <f t="shared" si="27"/>
        <v>0.8</v>
      </c>
    </row>
    <row r="20" spans="1:50">
      <c r="A20" s="63">
        <f>ELEC!C19</f>
        <v>44850</v>
      </c>
      <c r="B20" s="535">
        <f t="shared" si="40"/>
        <v>234</v>
      </c>
      <c r="C20" s="535">
        <f t="shared" si="41"/>
        <v>241</v>
      </c>
      <c r="D20" s="45">
        <f>C19-C20</f>
        <v>0</v>
      </c>
      <c r="E20" s="45">
        <f t="shared" si="9"/>
        <v>0</v>
      </c>
      <c r="F20" s="535">
        <f t="shared" si="29"/>
        <v>2290</v>
      </c>
      <c r="G20" s="52">
        <f t="shared" si="0"/>
        <v>0</v>
      </c>
      <c r="H20" s="535">
        <f t="shared" si="39"/>
        <v>47085</v>
      </c>
      <c r="I20" s="380">
        <f t="shared" si="1"/>
        <v>0</v>
      </c>
      <c r="J20" s="66">
        <f t="shared" si="10"/>
        <v>0</v>
      </c>
      <c r="K20" s="535">
        <f t="shared" si="11"/>
        <v>2460</v>
      </c>
      <c r="L20" s="52">
        <f t="shared" si="12"/>
        <v>0</v>
      </c>
      <c r="M20" s="535">
        <f t="shared" si="42"/>
        <v>183073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4"/>
        <v>186461</v>
      </c>
      <c r="R20" s="379">
        <f t="shared" si="43"/>
        <v>0</v>
      </c>
      <c r="S20" s="52">
        <f t="shared" si="5"/>
        <v>0</v>
      </c>
      <c r="T20" s="67">
        <f t="shared" si="30"/>
        <v>0</v>
      </c>
      <c r="U20" s="386">
        <f t="shared" si="13"/>
        <v>0</v>
      </c>
      <c r="V20" s="62">
        <f t="shared" si="14"/>
        <v>0</v>
      </c>
      <c r="W20" s="384"/>
      <c r="X20" s="535">
        <v>2495</v>
      </c>
      <c r="Y20" s="52">
        <f t="shared" si="16"/>
        <v>0</v>
      </c>
      <c r="Z20" s="535">
        <f t="shared" si="31"/>
        <v>141191</v>
      </c>
      <c r="AA20" s="65">
        <f t="shared" si="6"/>
        <v>0</v>
      </c>
      <c r="AB20" s="273">
        <f t="shared" si="45"/>
        <v>0</v>
      </c>
      <c r="AC20" s="535">
        <f t="shared" si="17"/>
        <v>1948</v>
      </c>
      <c r="AD20" s="45">
        <f t="shared" si="7"/>
        <v>0</v>
      </c>
      <c r="AE20" s="535">
        <v>366639</v>
      </c>
      <c r="AF20" s="293">
        <f t="shared" si="18"/>
        <v>0</v>
      </c>
      <c r="AG20" s="209">
        <f t="shared" si="34"/>
        <v>0</v>
      </c>
      <c r="AH20" s="62">
        <f t="shared" si="35"/>
        <v>0</v>
      </c>
      <c r="AI20" s="303">
        <f t="shared" si="19"/>
        <v>0</v>
      </c>
      <c r="AJ20" s="303">
        <f>-tanks!AW21</f>
        <v>0</v>
      </c>
      <c r="AK20" s="303">
        <f t="shared" si="20"/>
        <v>0</v>
      </c>
      <c r="AL20" s="303">
        <f t="shared" si="8"/>
        <v>0</v>
      </c>
      <c r="AM20" s="303">
        <f t="shared" si="21"/>
        <v>0</v>
      </c>
      <c r="AN20" s="535">
        <f t="shared" si="22"/>
        <v>65</v>
      </c>
      <c r="AO20" s="305">
        <f t="shared" si="23"/>
        <v>1950</v>
      </c>
      <c r="AP20" s="535">
        <f t="shared" si="24"/>
        <v>35</v>
      </c>
      <c r="AQ20" s="305">
        <f t="shared" si="25"/>
        <v>1050</v>
      </c>
      <c r="AR20" s="535">
        <f t="shared" si="26"/>
        <v>73</v>
      </c>
      <c r="AS20" s="305">
        <f t="shared" si="36"/>
        <v>2190</v>
      </c>
      <c r="AT20" s="305">
        <f t="shared" si="37"/>
        <v>5190</v>
      </c>
      <c r="AU20" s="305">
        <f t="shared" si="38"/>
        <v>0</v>
      </c>
      <c r="AV20" s="259"/>
      <c r="AW20" s="259"/>
      <c r="AX20" s="298">
        <f t="shared" si="27"/>
        <v>0.8</v>
      </c>
    </row>
    <row r="21" spans="1:50">
      <c r="A21" s="63">
        <f>ELEC!C20</f>
        <v>44851</v>
      </c>
      <c r="B21" s="535">
        <f t="shared" si="40"/>
        <v>234</v>
      </c>
      <c r="C21" s="535">
        <f t="shared" si="41"/>
        <v>241</v>
      </c>
      <c r="D21" s="45">
        <f t="shared" ref="D21:D32" si="48">C20-C21</f>
        <v>0</v>
      </c>
      <c r="E21" s="45">
        <f t="shared" si="9"/>
        <v>0</v>
      </c>
      <c r="F21" s="535">
        <f t="shared" si="29"/>
        <v>2290</v>
      </c>
      <c r="G21" s="52">
        <f t="shared" si="0"/>
        <v>0</v>
      </c>
      <c r="H21" s="535">
        <f t="shared" si="39"/>
        <v>47085</v>
      </c>
      <c r="I21" s="380">
        <f t="shared" si="1"/>
        <v>0</v>
      </c>
      <c r="J21" s="66">
        <f t="shared" si="10"/>
        <v>0</v>
      </c>
      <c r="K21" s="535">
        <f t="shared" si="11"/>
        <v>2460</v>
      </c>
      <c r="L21" s="52">
        <f t="shared" si="12"/>
        <v>0</v>
      </c>
      <c r="M21" s="535">
        <f t="shared" si="42"/>
        <v>183073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4"/>
        <v>186461</v>
      </c>
      <c r="R21" s="379">
        <f t="shared" si="43"/>
        <v>0</v>
      </c>
      <c r="S21" s="52">
        <f t="shared" si="5"/>
        <v>0</v>
      </c>
      <c r="T21" s="67">
        <f t="shared" si="30"/>
        <v>0</v>
      </c>
      <c r="U21" s="386">
        <f t="shared" si="13"/>
        <v>0</v>
      </c>
      <c r="V21" s="62">
        <f t="shared" si="14"/>
        <v>0</v>
      </c>
      <c r="W21" s="384"/>
      <c r="X21" s="535">
        <v>2495</v>
      </c>
      <c r="Y21" s="52">
        <f t="shared" si="16"/>
        <v>0</v>
      </c>
      <c r="Z21" s="535">
        <f t="shared" si="31"/>
        <v>141191</v>
      </c>
      <c r="AA21" s="65">
        <f t="shared" si="6"/>
        <v>0</v>
      </c>
      <c r="AB21" s="273">
        <f t="shared" si="45"/>
        <v>0</v>
      </c>
      <c r="AC21" s="535">
        <f t="shared" si="17"/>
        <v>1948</v>
      </c>
      <c r="AD21" s="45">
        <f t="shared" si="7"/>
        <v>0</v>
      </c>
      <c r="AE21" s="535">
        <v>366639</v>
      </c>
      <c r="AF21" s="293">
        <f t="shared" si="18"/>
        <v>0</v>
      </c>
      <c r="AG21" s="209">
        <f t="shared" si="34"/>
        <v>0</v>
      </c>
      <c r="AH21" s="62">
        <f t="shared" si="35"/>
        <v>0</v>
      </c>
      <c r="AI21" s="303">
        <f t="shared" si="19"/>
        <v>0</v>
      </c>
      <c r="AJ21" s="303">
        <f>-tanks!AW22</f>
        <v>0</v>
      </c>
      <c r="AK21" s="303">
        <f t="shared" si="20"/>
        <v>0</v>
      </c>
      <c r="AL21" s="303">
        <f t="shared" si="8"/>
        <v>0</v>
      </c>
      <c r="AM21" s="303">
        <f t="shared" si="21"/>
        <v>0</v>
      </c>
      <c r="AN21" s="535">
        <f t="shared" si="22"/>
        <v>65</v>
      </c>
      <c r="AO21" s="305">
        <f t="shared" si="23"/>
        <v>1950</v>
      </c>
      <c r="AP21" s="535">
        <f t="shared" si="24"/>
        <v>35</v>
      </c>
      <c r="AQ21" s="305">
        <f t="shared" si="25"/>
        <v>1050</v>
      </c>
      <c r="AR21" s="535">
        <f t="shared" si="26"/>
        <v>73</v>
      </c>
      <c r="AS21" s="305">
        <f t="shared" si="36"/>
        <v>2190</v>
      </c>
      <c r="AT21" s="305">
        <f t="shared" si="37"/>
        <v>5190</v>
      </c>
      <c r="AU21" s="305">
        <f t="shared" si="38"/>
        <v>0</v>
      </c>
      <c r="AV21" s="259"/>
      <c r="AW21" s="259"/>
      <c r="AX21" s="298">
        <f t="shared" si="27"/>
        <v>0.8</v>
      </c>
    </row>
    <row r="22" spans="1:50" ht="16.5" customHeight="1">
      <c r="A22" s="63">
        <f>ELEC!C21</f>
        <v>44852</v>
      </c>
      <c r="B22" s="535">
        <f t="shared" si="40"/>
        <v>234</v>
      </c>
      <c r="C22" s="535">
        <f t="shared" si="41"/>
        <v>241</v>
      </c>
      <c r="D22" s="45">
        <f t="shared" si="48"/>
        <v>0</v>
      </c>
      <c r="E22" s="45">
        <f t="shared" si="9"/>
        <v>0</v>
      </c>
      <c r="F22" s="535">
        <f t="shared" si="29"/>
        <v>2290</v>
      </c>
      <c r="G22" s="52">
        <f t="shared" si="0"/>
        <v>0</v>
      </c>
      <c r="H22" s="535">
        <f t="shared" si="39"/>
        <v>47085</v>
      </c>
      <c r="I22" s="380">
        <f t="shared" si="1"/>
        <v>0</v>
      </c>
      <c r="J22" s="66">
        <f t="shared" si="10"/>
        <v>0</v>
      </c>
      <c r="K22" s="535">
        <f t="shared" si="11"/>
        <v>2460</v>
      </c>
      <c r="L22" s="52">
        <f t="shared" si="12"/>
        <v>0</v>
      </c>
      <c r="M22" s="535">
        <f t="shared" si="42"/>
        <v>183073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f t="shared" si="44"/>
        <v>186461</v>
      </c>
      <c r="R22" s="379">
        <f t="shared" si="43"/>
        <v>0</v>
      </c>
      <c r="S22" s="52">
        <f t="shared" si="5"/>
        <v>1</v>
      </c>
      <c r="T22" s="67">
        <f t="shared" si="30"/>
        <v>0</v>
      </c>
      <c r="U22" s="386">
        <f t="shared" si="13"/>
        <v>1</v>
      </c>
      <c r="V22" s="62">
        <f t="shared" si="14"/>
        <v>0</v>
      </c>
      <c r="W22" s="384"/>
      <c r="X22" s="535">
        <v>2495</v>
      </c>
      <c r="Y22" s="52">
        <f t="shared" si="16"/>
        <v>0</v>
      </c>
      <c r="Z22" s="535">
        <f t="shared" si="31"/>
        <v>141191</v>
      </c>
      <c r="AA22" s="65">
        <f t="shared" si="6"/>
        <v>0</v>
      </c>
      <c r="AB22" s="273">
        <f t="shared" si="45"/>
        <v>0</v>
      </c>
      <c r="AC22" s="535">
        <f t="shared" si="17"/>
        <v>1948</v>
      </c>
      <c r="AD22" s="45">
        <f t="shared" si="7"/>
        <v>0</v>
      </c>
      <c r="AE22" s="535">
        <v>366639</v>
      </c>
      <c r="AF22" s="293">
        <f t="shared" si="18"/>
        <v>0</v>
      </c>
      <c r="AG22" s="209">
        <f t="shared" si="34"/>
        <v>0</v>
      </c>
      <c r="AH22" s="62">
        <f t="shared" si="35"/>
        <v>0</v>
      </c>
      <c r="AI22" s="303">
        <f t="shared" si="19"/>
        <v>0</v>
      </c>
      <c r="AJ22" s="303">
        <f>-tanks!AW23</f>
        <v>0</v>
      </c>
      <c r="AK22" s="303">
        <f t="shared" si="20"/>
        <v>0</v>
      </c>
      <c r="AL22" s="303">
        <f t="shared" si="8"/>
        <v>1</v>
      </c>
      <c r="AM22" s="303">
        <f t="shared" si="21"/>
        <v>0</v>
      </c>
      <c r="AN22" s="535">
        <f t="shared" si="22"/>
        <v>65</v>
      </c>
      <c r="AO22" s="305">
        <f t="shared" si="23"/>
        <v>1950</v>
      </c>
      <c r="AP22" s="535">
        <f t="shared" si="24"/>
        <v>35</v>
      </c>
      <c r="AQ22" s="305">
        <f t="shared" si="25"/>
        <v>1050</v>
      </c>
      <c r="AR22" s="535">
        <f t="shared" si="26"/>
        <v>73</v>
      </c>
      <c r="AS22" s="305">
        <f t="shared" si="36"/>
        <v>2190</v>
      </c>
      <c r="AT22" s="305">
        <f t="shared" si="37"/>
        <v>5190</v>
      </c>
      <c r="AU22" s="305">
        <f t="shared" si="38"/>
        <v>0</v>
      </c>
      <c r="AV22" s="259"/>
      <c r="AW22" s="259"/>
      <c r="AX22" s="298">
        <f t="shared" si="27"/>
        <v>0.8</v>
      </c>
    </row>
    <row r="23" spans="1:50">
      <c r="A23" s="63">
        <f>ELEC!C22</f>
        <v>44853</v>
      </c>
      <c r="B23" s="535">
        <f t="shared" si="40"/>
        <v>234</v>
      </c>
      <c r="C23" s="535">
        <f t="shared" si="41"/>
        <v>241</v>
      </c>
      <c r="D23" s="45">
        <f t="shared" si="48"/>
        <v>0</v>
      </c>
      <c r="E23" s="45">
        <f t="shared" si="9"/>
        <v>0</v>
      </c>
      <c r="F23" s="535">
        <f t="shared" si="29"/>
        <v>2290</v>
      </c>
      <c r="G23" s="52">
        <f t="shared" si="0"/>
        <v>0</v>
      </c>
      <c r="H23" s="535">
        <f t="shared" si="39"/>
        <v>47085</v>
      </c>
      <c r="I23" s="380">
        <f t="shared" si="1"/>
        <v>0</v>
      </c>
      <c r="J23" s="66">
        <f t="shared" si="10"/>
        <v>0</v>
      </c>
      <c r="K23" s="535">
        <f t="shared" si="11"/>
        <v>2460</v>
      </c>
      <c r="L23" s="52">
        <f t="shared" si="12"/>
        <v>0</v>
      </c>
      <c r="M23" s="535">
        <f t="shared" si="42"/>
        <v>183073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4"/>
        <v>186461</v>
      </c>
      <c r="R23" s="379">
        <f t="shared" si="43"/>
        <v>0</v>
      </c>
      <c r="S23" s="52">
        <f t="shared" si="5"/>
        <v>0</v>
      </c>
      <c r="T23" s="67">
        <f t="shared" si="30"/>
        <v>0</v>
      </c>
      <c r="U23" s="386">
        <f t="shared" si="13"/>
        <v>0</v>
      </c>
      <c r="V23" s="62">
        <f t="shared" si="14"/>
        <v>0</v>
      </c>
      <c r="W23" s="384"/>
      <c r="X23" s="535">
        <v>2495</v>
      </c>
      <c r="Y23" s="52">
        <f t="shared" si="16"/>
        <v>0</v>
      </c>
      <c r="Z23" s="535">
        <f t="shared" si="31"/>
        <v>141191</v>
      </c>
      <c r="AA23" s="65">
        <f t="shared" si="6"/>
        <v>0</v>
      </c>
      <c r="AB23" s="273">
        <f t="shared" si="45"/>
        <v>0</v>
      </c>
      <c r="AC23" s="535">
        <f t="shared" si="17"/>
        <v>1948</v>
      </c>
      <c r="AD23" s="45">
        <f t="shared" si="7"/>
        <v>0</v>
      </c>
      <c r="AE23" s="535">
        <v>366639</v>
      </c>
      <c r="AF23" s="293">
        <f t="shared" si="18"/>
        <v>0</v>
      </c>
      <c r="AG23" s="209">
        <f t="shared" si="34"/>
        <v>0</v>
      </c>
      <c r="AH23" s="62">
        <f t="shared" si="35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2"/>
        <v>65</v>
      </c>
      <c r="AO23" s="305">
        <f t="shared" si="23"/>
        <v>1950</v>
      </c>
      <c r="AP23" s="535">
        <f t="shared" si="24"/>
        <v>35</v>
      </c>
      <c r="AQ23" s="305">
        <f t="shared" si="25"/>
        <v>1050</v>
      </c>
      <c r="AR23" s="535">
        <f t="shared" si="26"/>
        <v>73</v>
      </c>
      <c r="AS23" s="305">
        <f t="shared" si="36"/>
        <v>2190</v>
      </c>
      <c r="AT23" s="305">
        <f t="shared" si="37"/>
        <v>5190</v>
      </c>
      <c r="AU23" s="305">
        <f t="shared" si="38"/>
        <v>0</v>
      </c>
      <c r="AV23" s="259"/>
      <c r="AW23" s="259"/>
      <c r="AX23" s="298">
        <f t="shared" si="27"/>
        <v>0.8</v>
      </c>
    </row>
    <row r="24" spans="1:50">
      <c r="A24" s="63">
        <f>ELEC!C23</f>
        <v>44854</v>
      </c>
      <c r="B24" s="535">
        <f t="shared" si="40"/>
        <v>234</v>
      </c>
      <c r="C24" s="535">
        <f t="shared" si="41"/>
        <v>241</v>
      </c>
      <c r="D24" s="45">
        <f t="shared" si="48"/>
        <v>0</v>
      </c>
      <c r="E24" s="45">
        <f t="shared" si="9"/>
        <v>0</v>
      </c>
      <c r="F24" s="535">
        <f t="shared" si="29"/>
        <v>2290</v>
      </c>
      <c r="G24" s="52">
        <f t="shared" si="0"/>
        <v>0</v>
      </c>
      <c r="H24" s="535">
        <f t="shared" si="39"/>
        <v>47085</v>
      </c>
      <c r="I24" s="380">
        <f t="shared" si="1"/>
        <v>0</v>
      </c>
      <c r="J24" s="66">
        <f t="shared" si="10"/>
        <v>0</v>
      </c>
      <c r="K24" s="535">
        <f t="shared" si="11"/>
        <v>2460</v>
      </c>
      <c r="L24" s="52">
        <f t="shared" si="12"/>
        <v>0</v>
      </c>
      <c r="M24" s="535">
        <f t="shared" si="42"/>
        <v>183073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4"/>
        <v>186461</v>
      </c>
      <c r="R24" s="379">
        <f t="shared" si="43"/>
        <v>0</v>
      </c>
      <c r="S24" s="52">
        <f t="shared" si="5"/>
        <v>0</v>
      </c>
      <c r="T24" s="67">
        <f t="shared" si="30"/>
        <v>0</v>
      </c>
      <c r="U24" s="386">
        <f t="shared" si="13"/>
        <v>0</v>
      </c>
      <c r="V24" s="62">
        <f t="shared" si="14"/>
        <v>0</v>
      </c>
      <c r="W24" s="384"/>
      <c r="X24" s="535">
        <v>2495</v>
      </c>
      <c r="Y24" s="52">
        <f t="shared" si="16"/>
        <v>0</v>
      </c>
      <c r="Z24" s="535">
        <f t="shared" si="31"/>
        <v>141191</v>
      </c>
      <c r="AA24" s="65">
        <f t="shared" si="6"/>
        <v>0</v>
      </c>
      <c r="AB24" s="273">
        <f t="shared" ref="AB24:AB32" si="49">SUM(Y24*$AB$2)</f>
        <v>0</v>
      </c>
      <c r="AC24" s="535">
        <f t="shared" si="17"/>
        <v>1948</v>
      </c>
      <c r="AD24" s="45">
        <f t="shared" si="7"/>
        <v>0</v>
      </c>
      <c r="AE24" s="535">
        <v>366639</v>
      </c>
      <c r="AF24" s="293">
        <f t="shared" si="18"/>
        <v>0</v>
      </c>
      <c r="AG24" s="209">
        <f t="shared" si="34"/>
        <v>0</v>
      </c>
      <c r="AH24" s="62">
        <f t="shared" si="35"/>
        <v>0</v>
      </c>
      <c r="AI24" s="303">
        <f t="shared" si="19"/>
        <v>0</v>
      </c>
      <c r="AJ24" s="303">
        <f>-tanks!AW25</f>
        <v>0</v>
      </c>
      <c r="AK24" s="303">
        <f t="shared" si="20"/>
        <v>0</v>
      </c>
      <c r="AL24" s="303">
        <f t="shared" si="8"/>
        <v>0</v>
      </c>
      <c r="AM24" s="303">
        <f t="shared" si="21"/>
        <v>0</v>
      </c>
      <c r="AN24" s="535">
        <f t="shared" si="22"/>
        <v>65</v>
      </c>
      <c r="AO24" s="305">
        <f t="shared" si="23"/>
        <v>1950</v>
      </c>
      <c r="AP24" s="535">
        <f t="shared" si="24"/>
        <v>35</v>
      </c>
      <c r="AQ24" s="305">
        <f t="shared" si="25"/>
        <v>1050</v>
      </c>
      <c r="AR24" s="535">
        <f t="shared" si="26"/>
        <v>73</v>
      </c>
      <c r="AS24" s="305">
        <f t="shared" si="36"/>
        <v>2190</v>
      </c>
      <c r="AT24" s="305">
        <f t="shared" ref="AT24:AT35" si="50">SUM(AO24+AQ24+AS24)</f>
        <v>5190</v>
      </c>
      <c r="AU24" s="305">
        <f t="shared" si="38"/>
        <v>0</v>
      </c>
      <c r="AV24" s="259"/>
      <c r="AW24" s="259"/>
      <c r="AX24" s="298">
        <f t="shared" si="27"/>
        <v>0.8</v>
      </c>
    </row>
    <row r="25" spans="1:50" ht="13.5" customHeight="1">
      <c r="A25" s="63">
        <f>ELEC!C24</f>
        <v>44855</v>
      </c>
      <c r="B25" s="535">
        <f t="shared" si="40"/>
        <v>234</v>
      </c>
      <c r="C25" s="535">
        <f t="shared" si="41"/>
        <v>241</v>
      </c>
      <c r="D25" s="45">
        <f t="shared" si="48"/>
        <v>0</v>
      </c>
      <c r="E25" s="45">
        <f t="shared" si="9"/>
        <v>0</v>
      </c>
      <c r="F25" s="535">
        <f t="shared" si="29"/>
        <v>2290</v>
      </c>
      <c r="G25" s="52">
        <f t="shared" si="0"/>
        <v>0</v>
      </c>
      <c r="H25" s="535">
        <f t="shared" si="39"/>
        <v>47085</v>
      </c>
      <c r="I25" s="380">
        <f t="shared" si="1"/>
        <v>0</v>
      </c>
      <c r="J25" s="66">
        <f t="shared" si="10"/>
        <v>0</v>
      </c>
      <c r="K25" s="535">
        <f t="shared" si="11"/>
        <v>2460</v>
      </c>
      <c r="L25" s="52">
        <f t="shared" si="12"/>
        <v>0</v>
      </c>
      <c r="M25" s="535">
        <f t="shared" si="42"/>
        <v>183073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4"/>
        <v>186461</v>
      </c>
      <c r="R25" s="379">
        <f t="shared" si="43"/>
        <v>0</v>
      </c>
      <c r="S25" s="52">
        <f t="shared" si="5"/>
        <v>0</v>
      </c>
      <c r="T25" s="67">
        <f t="shared" si="30"/>
        <v>0</v>
      </c>
      <c r="U25" s="386">
        <f t="shared" si="13"/>
        <v>0</v>
      </c>
      <c r="V25" s="62">
        <f t="shared" si="14"/>
        <v>0</v>
      </c>
      <c r="W25" s="384"/>
      <c r="X25" s="535">
        <v>2495</v>
      </c>
      <c r="Y25" s="52">
        <f t="shared" si="16"/>
        <v>0</v>
      </c>
      <c r="Z25" s="535">
        <f t="shared" si="31"/>
        <v>141191</v>
      </c>
      <c r="AA25" s="65">
        <f t="shared" si="6"/>
        <v>0</v>
      </c>
      <c r="AB25" s="273">
        <f t="shared" si="49"/>
        <v>0</v>
      </c>
      <c r="AC25" s="535">
        <f t="shared" si="17"/>
        <v>1948</v>
      </c>
      <c r="AD25" s="45">
        <f t="shared" si="7"/>
        <v>0</v>
      </c>
      <c r="AE25" s="535">
        <v>366639</v>
      </c>
      <c r="AF25" s="293">
        <f t="shared" si="18"/>
        <v>0</v>
      </c>
      <c r="AG25" s="209">
        <f t="shared" si="34"/>
        <v>0</v>
      </c>
      <c r="AH25" s="62">
        <f t="shared" si="35"/>
        <v>0</v>
      </c>
      <c r="AI25" s="303">
        <f t="shared" si="19"/>
        <v>0</v>
      </c>
      <c r="AJ25" s="303">
        <f>-tanks!AW26</f>
        <v>0</v>
      </c>
      <c r="AK25" s="303">
        <f t="shared" si="20"/>
        <v>0</v>
      </c>
      <c r="AL25" s="303">
        <f t="shared" si="8"/>
        <v>0</v>
      </c>
      <c r="AM25" s="303">
        <f>Y25+AD25</f>
        <v>0</v>
      </c>
      <c r="AN25" s="535">
        <f t="shared" si="22"/>
        <v>65</v>
      </c>
      <c r="AO25" s="305">
        <f t="shared" si="23"/>
        <v>1950</v>
      </c>
      <c r="AP25" s="535">
        <f t="shared" si="24"/>
        <v>35</v>
      </c>
      <c r="AQ25" s="305">
        <f t="shared" ref="AQ25:AQ32" si="51">(AP25/100)*3000</f>
        <v>1050</v>
      </c>
      <c r="AR25" s="535">
        <f t="shared" si="26"/>
        <v>73</v>
      </c>
      <c r="AS25" s="305">
        <f t="shared" si="36"/>
        <v>2190</v>
      </c>
      <c r="AT25" s="305">
        <f t="shared" si="50"/>
        <v>5190</v>
      </c>
      <c r="AU25" s="305">
        <f t="shared" si="38"/>
        <v>0</v>
      </c>
      <c r="AV25" s="259"/>
      <c r="AW25" s="259"/>
      <c r="AX25" s="298">
        <f t="shared" si="27"/>
        <v>0.8</v>
      </c>
    </row>
    <row r="26" spans="1:50" ht="14.25" customHeight="1">
      <c r="A26" s="63">
        <f>ELEC!C25</f>
        <v>44856</v>
      </c>
      <c r="B26" s="535">
        <f t="shared" si="40"/>
        <v>234</v>
      </c>
      <c r="C26" s="535">
        <f t="shared" si="41"/>
        <v>241</v>
      </c>
      <c r="D26" s="45">
        <f t="shared" si="48"/>
        <v>0</v>
      </c>
      <c r="E26" s="45">
        <f t="shared" si="9"/>
        <v>0</v>
      </c>
      <c r="F26" s="535">
        <f t="shared" si="29"/>
        <v>2290</v>
      </c>
      <c r="G26" s="52">
        <f t="shared" si="0"/>
        <v>0</v>
      </c>
      <c r="H26" s="535">
        <f t="shared" si="39"/>
        <v>47085</v>
      </c>
      <c r="I26" s="380">
        <f t="shared" si="1"/>
        <v>0</v>
      </c>
      <c r="J26" s="66">
        <f t="shared" si="10"/>
        <v>0</v>
      </c>
      <c r="K26" s="535">
        <f t="shared" si="11"/>
        <v>2460</v>
      </c>
      <c r="L26" s="52">
        <f t="shared" si="12"/>
        <v>0</v>
      </c>
      <c r="M26" s="535">
        <f t="shared" si="42"/>
        <v>183073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4"/>
        <v>186461</v>
      </c>
      <c r="R26" s="379">
        <f t="shared" si="43"/>
        <v>0</v>
      </c>
      <c r="S26" s="52">
        <f t="shared" si="5"/>
        <v>0</v>
      </c>
      <c r="T26" s="67">
        <f t="shared" si="30"/>
        <v>0</v>
      </c>
      <c r="U26" s="386">
        <f t="shared" si="13"/>
        <v>0</v>
      </c>
      <c r="V26" s="62">
        <f t="shared" si="14"/>
        <v>0</v>
      </c>
      <c r="W26" s="384"/>
      <c r="X26" s="535">
        <v>2495</v>
      </c>
      <c r="Y26" s="52">
        <f t="shared" si="16"/>
        <v>0</v>
      </c>
      <c r="Z26" s="535">
        <f t="shared" si="31"/>
        <v>141191</v>
      </c>
      <c r="AA26" s="65">
        <f t="shared" si="6"/>
        <v>0</v>
      </c>
      <c r="AB26" s="273">
        <f t="shared" si="49"/>
        <v>0</v>
      </c>
      <c r="AC26" s="535">
        <f t="shared" si="17"/>
        <v>1948</v>
      </c>
      <c r="AD26" s="45">
        <f t="shared" si="7"/>
        <v>0</v>
      </c>
      <c r="AE26" s="535">
        <v>366639</v>
      </c>
      <c r="AF26" s="293">
        <f t="shared" si="18"/>
        <v>0</v>
      </c>
      <c r="AG26" s="209">
        <f t="shared" si="34"/>
        <v>0</v>
      </c>
      <c r="AH26" s="62">
        <f t="shared" si="35"/>
        <v>0</v>
      </c>
      <c r="AI26" s="303">
        <f t="shared" si="19"/>
        <v>0</v>
      </c>
      <c r="AJ26" s="303">
        <f>-tanks!AW27</f>
        <v>0</v>
      </c>
      <c r="AK26" s="303">
        <f t="shared" si="20"/>
        <v>0</v>
      </c>
      <c r="AL26" s="303">
        <f t="shared" si="8"/>
        <v>0</v>
      </c>
      <c r="AM26" s="303">
        <f t="shared" si="21"/>
        <v>0</v>
      </c>
      <c r="AN26" s="535">
        <f t="shared" si="22"/>
        <v>65</v>
      </c>
      <c r="AO26" s="305">
        <f>(AN26/100)*3000</f>
        <v>1950</v>
      </c>
      <c r="AP26" s="535">
        <f t="shared" si="24"/>
        <v>35</v>
      </c>
      <c r="AQ26" s="305">
        <f t="shared" si="51"/>
        <v>1050</v>
      </c>
      <c r="AR26" s="535">
        <f t="shared" si="26"/>
        <v>73</v>
      </c>
      <c r="AS26" s="305">
        <f t="shared" si="36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27"/>
        <v>0.8</v>
      </c>
    </row>
    <row r="27" spans="1:50">
      <c r="A27" s="63">
        <f>ELEC!C26</f>
        <v>44857</v>
      </c>
      <c r="B27" s="535">
        <f t="shared" si="40"/>
        <v>234</v>
      </c>
      <c r="C27" s="535">
        <f t="shared" si="41"/>
        <v>241</v>
      </c>
      <c r="D27" s="45">
        <f t="shared" si="48"/>
        <v>0</v>
      </c>
      <c r="E27" s="45">
        <f t="shared" si="9"/>
        <v>0</v>
      </c>
      <c r="F27" s="535">
        <f t="shared" si="29"/>
        <v>2290</v>
      </c>
      <c r="G27" s="52">
        <f t="shared" si="0"/>
        <v>0</v>
      </c>
      <c r="H27" s="535">
        <f t="shared" si="39"/>
        <v>47085</v>
      </c>
      <c r="I27" s="380">
        <f t="shared" si="1"/>
        <v>0</v>
      </c>
      <c r="J27" s="66">
        <f t="shared" si="10"/>
        <v>0</v>
      </c>
      <c r="K27" s="535">
        <f t="shared" si="11"/>
        <v>2460</v>
      </c>
      <c r="L27" s="52">
        <f t="shared" si="12"/>
        <v>0</v>
      </c>
      <c r="M27" s="535">
        <f t="shared" si="42"/>
        <v>183073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4"/>
        <v>186461</v>
      </c>
      <c r="R27" s="379">
        <f t="shared" si="43"/>
        <v>0</v>
      </c>
      <c r="S27" s="52">
        <f t="shared" si="5"/>
        <v>0</v>
      </c>
      <c r="T27" s="67">
        <f t="shared" si="30"/>
        <v>0</v>
      </c>
      <c r="U27" s="386">
        <f t="shared" si="13"/>
        <v>0</v>
      </c>
      <c r="V27" s="62">
        <f t="shared" si="14"/>
        <v>0</v>
      </c>
      <c r="W27" s="384"/>
      <c r="X27" s="535">
        <v>2495</v>
      </c>
      <c r="Y27" s="52">
        <f t="shared" si="16"/>
        <v>0</v>
      </c>
      <c r="Z27" s="535">
        <f t="shared" si="31"/>
        <v>141191</v>
      </c>
      <c r="AA27" s="65">
        <f t="shared" si="6"/>
        <v>0</v>
      </c>
      <c r="AB27" s="273">
        <f t="shared" si="49"/>
        <v>0</v>
      </c>
      <c r="AC27" s="535">
        <f t="shared" si="17"/>
        <v>1948</v>
      </c>
      <c r="AD27" s="45">
        <f t="shared" si="7"/>
        <v>0</v>
      </c>
      <c r="AE27" s="535">
        <v>366639</v>
      </c>
      <c r="AF27" s="293">
        <f t="shared" si="18"/>
        <v>0</v>
      </c>
      <c r="AG27" s="209">
        <f t="shared" si="34"/>
        <v>0</v>
      </c>
      <c r="AH27" s="62">
        <f t="shared" si="35"/>
        <v>0</v>
      </c>
      <c r="AI27" s="303">
        <f t="shared" si="19"/>
        <v>0</v>
      </c>
      <c r="AJ27" s="303">
        <f>-tanks!AW28</f>
        <v>0</v>
      </c>
      <c r="AK27" s="303">
        <f t="shared" si="20"/>
        <v>0</v>
      </c>
      <c r="AL27" s="303">
        <f t="shared" si="8"/>
        <v>0</v>
      </c>
      <c r="AM27" s="303">
        <f t="shared" si="21"/>
        <v>0</v>
      </c>
      <c r="AN27" s="535">
        <f t="shared" si="22"/>
        <v>65</v>
      </c>
      <c r="AO27" s="305">
        <f t="shared" si="23"/>
        <v>1950</v>
      </c>
      <c r="AP27" s="535">
        <f t="shared" si="24"/>
        <v>35</v>
      </c>
      <c r="AQ27" s="305">
        <f t="shared" si="51"/>
        <v>1050</v>
      </c>
      <c r="AR27" s="535">
        <f t="shared" si="26"/>
        <v>73</v>
      </c>
      <c r="AS27" s="305">
        <f t="shared" si="36"/>
        <v>2190</v>
      </c>
      <c r="AT27" s="305">
        <f t="shared" si="50"/>
        <v>5190</v>
      </c>
      <c r="AU27" s="305">
        <f t="shared" si="38"/>
        <v>0</v>
      </c>
      <c r="AV27" s="259"/>
      <c r="AW27" s="473"/>
      <c r="AX27" s="298">
        <f t="shared" si="27"/>
        <v>0.8</v>
      </c>
    </row>
    <row r="28" spans="1:50">
      <c r="A28" s="63">
        <f>ELEC!C27</f>
        <v>44858</v>
      </c>
      <c r="B28" s="535">
        <f t="shared" si="40"/>
        <v>234</v>
      </c>
      <c r="C28" s="535">
        <f t="shared" si="41"/>
        <v>241</v>
      </c>
      <c r="D28" s="45">
        <f t="shared" si="48"/>
        <v>0</v>
      </c>
      <c r="E28" s="45">
        <f t="shared" si="9"/>
        <v>0</v>
      </c>
      <c r="F28" s="535">
        <f t="shared" si="29"/>
        <v>2290</v>
      </c>
      <c r="G28" s="52">
        <f t="shared" si="0"/>
        <v>0</v>
      </c>
      <c r="H28" s="535">
        <f t="shared" si="39"/>
        <v>47085</v>
      </c>
      <c r="I28" s="380">
        <f t="shared" si="1"/>
        <v>0</v>
      </c>
      <c r="J28" s="66">
        <f t="shared" si="10"/>
        <v>0</v>
      </c>
      <c r="K28" s="535">
        <f t="shared" si="11"/>
        <v>2460</v>
      </c>
      <c r="L28" s="52">
        <f t="shared" si="12"/>
        <v>0</v>
      </c>
      <c r="M28" s="535">
        <f t="shared" si="42"/>
        <v>183073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4"/>
        <v>186461</v>
      </c>
      <c r="R28" s="379">
        <f t="shared" si="43"/>
        <v>0</v>
      </c>
      <c r="S28" s="52">
        <f t="shared" si="5"/>
        <v>0</v>
      </c>
      <c r="T28" s="67">
        <f t="shared" si="30"/>
        <v>0</v>
      </c>
      <c r="U28" s="386">
        <f t="shared" si="13"/>
        <v>0</v>
      </c>
      <c r="V28" s="62">
        <f t="shared" si="14"/>
        <v>0</v>
      </c>
      <c r="W28" s="384"/>
      <c r="X28" s="535">
        <v>2495</v>
      </c>
      <c r="Y28" s="52">
        <f t="shared" si="16"/>
        <v>0</v>
      </c>
      <c r="Z28" s="535">
        <f t="shared" si="31"/>
        <v>141191</v>
      </c>
      <c r="AA28" s="65">
        <f t="shared" si="6"/>
        <v>0</v>
      </c>
      <c r="AB28" s="273">
        <f t="shared" si="49"/>
        <v>0</v>
      </c>
      <c r="AC28" s="535">
        <f t="shared" si="17"/>
        <v>1948</v>
      </c>
      <c r="AD28" s="45">
        <f t="shared" si="7"/>
        <v>0</v>
      </c>
      <c r="AE28" s="535">
        <v>366639</v>
      </c>
      <c r="AF28" s="293">
        <f t="shared" si="18"/>
        <v>0</v>
      </c>
      <c r="AG28" s="209">
        <f t="shared" si="34"/>
        <v>0</v>
      </c>
      <c r="AH28" s="62">
        <f t="shared" si="35"/>
        <v>0</v>
      </c>
      <c r="AI28" s="303">
        <f t="shared" si="19"/>
        <v>0</v>
      </c>
      <c r="AJ28" s="303">
        <f>-tanks!AW29</f>
        <v>0</v>
      </c>
      <c r="AK28" s="303">
        <f t="shared" si="20"/>
        <v>0</v>
      </c>
      <c r="AL28" s="303">
        <f t="shared" si="8"/>
        <v>0</v>
      </c>
      <c r="AM28" s="303">
        <f t="shared" si="21"/>
        <v>0</v>
      </c>
      <c r="AN28" s="535">
        <f t="shared" si="22"/>
        <v>65</v>
      </c>
      <c r="AO28" s="305">
        <f t="shared" si="23"/>
        <v>1950</v>
      </c>
      <c r="AP28" s="535">
        <f t="shared" si="24"/>
        <v>35</v>
      </c>
      <c r="AQ28" s="305">
        <f t="shared" si="51"/>
        <v>1050</v>
      </c>
      <c r="AR28" s="535">
        <f t="shared" si="26"/>
        <v>73</v>
      </c>
      <c r="AS28" s="305">
        <f t="shared" si="36"/>
        <v>2190</v>
      </c>
      <c r="AT28" s="305">
        <f t="shared" si="50"/>
        <v>5190</v>
      </c>
      <c r="AU28" s="305">
        <f t="shared" si="38"/>
        <v>0</v>
      </c>
      <c r="AV28" s="259"/>
      <c r="AW28" s="259"/>
      <c r="AX28" s="298">
        <f t="shared" si="27"/>
        <v>0.8</v>
      </c>
    </row>
    <row r="29" spans="1:50">
      <c r="A29" s="63">
        <f>ELEC!C28</f>
        <v>44859</v>
      </c>
      <c r="B29" s="535">
        <f t="shared" si="40"/>
        <v>234</v>
      </c>
      <c r="C29" s="535">
        <f t="shared" si="41"/>
        <v>241</v>
      </c>
      <c r="D29" s="45">
        <f t="shared" si="48"/>
        <v>0</v>
      </c>
      <c r="E29" s="45">
        <f t="shared" si="9"/>
        <v>0</v>
      </c>
      <c r="F29" s="535">
        <f t="shared" si="29"/>
        <v>2290</v>
      </c>
      <c r="G29" s="52">
        <f t="shared" si="0"/>
        <v>0</v>
      </c>
      <c r="H29" s="535">
        <f t="shared" si="39"/>
        <v>47085</v>
      </c>
      <c r="I29" s="380">
        <f t="shared" si="1"/>
        <v>0</v>
      </c>
      <c r="J29" s="66">
        <f t="shared" si="10"/>
        <v>0</v>
      </c>
      <c r="K29" s="535">
        <f t="shared" si="11"/>
        <v>2460</v>
      </c>
      <c r="L29" s="52">
        <f t="shared" si="12"/>
        <v>0</v>
      </c>
      <c r="M29" s="535">
        <f t="shared" si="42"/>
        <v>183073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4"/>
        <v>186461</v>
      </c>
      <c r="R29" s="379">
        <f t="shared" si="43"/>
        <v>0</v>
      </c>
      <c r="S29" s="52">
        <f t="shared" si="5"/>
        <v>0</v>
      </c>
      <c r="T29" s="67">
        <f t="shared" si="30"/>
        <v>0</v>
      </c>
      <c r="U29" s="386">
        <f t="shared" si="13"/>
        <v>0</v>
      </c>
      <c r="V29" s="62">
        <f t="shared" si="14"/>
        <v>0</v>
      </c>
      <c r="W29" s="384"/>
      <c r="X29" s="535">
        <v>2495</v>
      </c>
      <c r="Y29" s="52">
        <f t="shared" si="16"/>
        <v>0</v>
      </c>
      <c r="Z29" s="535">
        <f t="shared" si="31"/>
        <v>141191</v>
      </c>
      <c r="AA29" s="65">
        <f t="shared" si="6"/>
        <v>0</v>
      </c>
      <c r="AB29" s="273">
        <f t="shared" si="49"/>
        <v>0</v>
      </c>
      <c r="AC29" s="535">
        <f t="shared" si="17"/>
        <v>1948</v>
      </c>
      <c r="AD29" s="45">
        <f t="shared" si="7"/>
        <v>0</v>
      </c>
      <c r="AE29" s="535">
        <v>366639</v>
      </c>
      <c r="AF29" s="293">
        <f t="shared" si="18"/>
        <v>0</v>
      </c>
      <c r="AG29" s="209">
        <f t="shared" si="34"/>
        <v>0</v>
      </c>
      <c r="AH29" s="62">
        <f t="shared" si="35"/>
        <v>0</v>
      </c>
      <c r="AI29" s="303">
        <f t="shared" si="19"/>
        <v>0</v>
      </c>
      <c r="AJ29" s="303">
        <f>-tanks!AW30</f>
        <v>0</v>
      </c>
      <c r="AK29" s="303">
        <f t="shared" si="20"/>
        <v>0</v>
      </c>
      <c r="AL29" s="303">
        <f t="shared" si="8"/>
        <v>0</v>
      </c>
      <c r="AM29" s="303">
        <f t="shared" si="21"/>
        <v>0</v>
      </c>
      <c r="AN29" s="535">
        <f t="shared" si="22"/>
        <v>65</v>
      </c>
      <c r="AO29" s="305">
        <f t="shared" si="23"/>
        <v>1950</v>
      </c>
      <c r="AP29" s="535">
        <f t="shared" si="24"/>
        <v>35</v>
      </c>
      <c r="AQ29" s="305">
        <f t="shared" si="51"/>
        <v>1050</v>
      </c>
      <c r="AR29" s="535">
        <f t="shared" si="26"/>
        <v>73</v>
      </c>
      <c r="AS29" s="305">
        <f t="shared" si="36"/>
        <v>2190</v>
      </c>
      <c r="AT29" s="305">
        <f t="shared" si="50"/>
        <v>5190</v>
      </c>
      <c r="AU29" s="305">
        <f t="shared" si="38"/>
        <v>0</v>
      </c>
      <c r="AV29" s="259"/>
      <c r="AW29" s="259"/>
      <c r="AX29" s="298">
        <f t="shared" si="27"/>
        <v>0.8</v>
      </c>
    </row>
    <row r="30" spans="1:50">
      <c r="A30" s="63">
        <f>ELEC!C29</f>
        <v>44860</v>
      </c>
      <c r="B30" s="535">
        <f t="shared" si="40"/>
        <v>234</v>
      </c>
      <c r="C30" s="535">
        <f t="shared" si="41"/>
        <v>241</v>
      </c>
      <c r="D30" s="45">
        <f>C29-C30</f>
        <v>0</v>
      </c>
      <c r="E30" s="45">
        <f>D30*8.38</f>
        <v>0</v>
      </c>
      <c r="F30" s="535">
        <f t="shared" si="29"/>
        <v>2290</v>
      </c>
      <c r="G30" s="52">
        <f>F30-F29</f>
        <v>0</v>
      </c>
      <c r="H30" s="535">
        <f t="shared" si="39"/>
        <v>47085</v>
      </c>
      <c r="I30" s="380">
        <f>SUM(H30-H29)</f>
        <v>0</v>
      </c>
      <c r="J30" s="66">
        <f>IF(G30&gt;0,I30/G30,0)</f>
        <v>0</v>
      </c>
      <c r="K30" s="535">
        <f t="shared" si="11"/>
        <v>2460</v>
      </c>
      <c r="L30" s="52">
        <f>K30-K29</f>
        <v>0</v>
      </c>
      <c r="M30" s="535">
        <f t="shared" si="42"/>
        <v>183073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4"/>
        <v>186461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4"/>
        <v>0</v>
      </c>
      <c r="W30" s="384"/>
      <c r="X30" s="535">
        <v>2495</v>
      </c>
      <c r="Y30" s="52">
        <f>X30-X29</f>
        <v>0</v>
      </c>
      <c r="Z30" s="535">
        <f t="shared" si="31"/>
        <v>141191</v>
      </c>
      <c r="AA30" s="65">
        <f>Z30-Z29</f>
        <v>0</v>
      </c>
      <c r="AB30" s="273">
        <f>SUM(Y30*$AB$2)</f>
        <v>0</v>
      </c>
      <c r="AC30" s="535">
        <f t="shared" si="17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4"/>
        <v>0</v>
      </c>
      <c r="AH30" s="62">
        <f t="shared" si="35"/>
        <v>0</v>
      </c>
      <c r="AI30" s="303">
        <f t="shared" si="19"/>
        <v>0</v>
      </c>
      <c r="AJ30" s="303">
        <f>-tanks!AW31</f>
        <v>0</v>
      </c>
      <c r="AK30" s="303">
        <f t="shared" si="20"/>
        <v>0</v>
      </c>
      <c r="AL30" s="303">
        <f t="shared" si="8"/>
        <v>0</v>
      </c>
      <c r="AM30" s="303">
        <f t="shared" si="21"/>
        <v>0</v>
      </c>
      <c r="AN30" s="535">
        <f t="shared" si="22"/>
        <v>65</v>
      </c>
      <c r="AO30" s="305">
        <f t="shared" si="23"/>
        <v>1950</v>
      </c>
      <c r="AP30" s="535">
        <f t="shared" si="24"/>
        <v>35</v>
      </c>
      <c r="AQ30" s="305">
        <f t="shared" si="51"/>
        <v>1050</v>
      </c>
      <c r="AR30" s="535">
        <f t="shared" si="26"/>
        <v>73</v>
      </c>
      <c r="AS30" s="305">
        <f t="shared" si="36"/>
        <v>2190</v>
      </c>
      <c r="AT30" s="305">
        <f t="shared" si="50"/>
        <v>5190</v>
      </c>
      <c r="AU30" s="305">
        <f t="shared" si="38"/>
        <v>0</v>
      </c>
      <c r="AV30" s="259"/>
      <c r="AW30" s="259"/>
      <c r="AX30" s="298">
        <f t="shared" si="27"/>
        <v>0.8</v>
      </c>
    </row>
    <row r="31" spans="1:50">
      <c r="A31" s="63">
        <f>ELEC!C30</f>
        <v>44861</v>
      </c>
      <c r="B31" s="535">
        <f t="shared" si="40"/>
        <v>234</v>
      </c>
      <c r="C31" s="535">
        <f t="shared" si="41"/>
        <v>241</v>
      </c>
      <c r="D31" s="45">
        <f t="shared" si="48"/>
        <v>0</v>
      </c>
      <c r="E31" s="45">
        <f t="shared" si="9"/>
        <v>0</v>
      </c>
      <c r="F31" s="535">
        <f t="shared" si="29"/>
        <v>2290</v>
      </c>
      <c r="G31" s="52">
        <f t="shared" si="0"/>
        <v>0</v>
      </c>
      <c r="H31" s="535">
        <f t="shared" si="39"/>
        <v>47085</v>
      </c>
      <c r="I31" s="380">
        <f t="shared" si="1"/>
        <v>0</v>
      </c>
      <c r="J31" s="66">
        <f t="shared" si="10"/>
        <v>0</v>
      </c>
      <c r="K31" s="535">
        <f t="shared" si="11"/>
        <v>2460</v>
      </c>
      <c r="L31" s="52">
        <f t="shared" si="12"/>
        <v>0</v>
      </c>
      <c r="M31" s="535">
        <f t="shared" si="42"/>
        <v>183073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4"/>
        <v>186461</v>
      </c>
      <c r="R31" s="379">
        <f t="shared" si="43"/>
        <v>0</v>
      </c>
      <c r="S31" s="52">
        <f t="shared" si="5"/>
        <v>0</v>
      </c>
      <c r="T31" s="67">
        <f t="shared" si="30"/>
        <v>0</v>
      </c>
      <c r="U31" s="386">
        <f t="shared" si="13"/>
        <v>0</v>
      </c>
      <c r="V31" s="62">
        <f t="shared" si="14"/>
        <v>0</v>
      </c>
      <c r="W31" s="384"/>
      <c r="X31" s="535">
        <v>2495</v>
      </c>
      <c r="Y31" s="52">
        <f t="shared" si="16"/>
        <v>0</v>
      </c>
      <c r="Z31" s="535">
        <f t="shared" si="31"/>
        <v>141191</v>
      </c>
      <c r="AA31" s="65">
        <f t="shared" si="6"/>
        <v>0</v>
      </c>
      <c r="AB31" s="273">
        <f t="shared" si="49"/>
        <v>0</v>
      </c>
      <c r="AC31" s="535">
        <f t="shared" si="17"/>
        <v>1948</v>
      </c>
      <c r="AD31" s="259">
        <f t="shared" si="7"/>
        <v>0</v>
      </c>
      <c r="AE31" s="535">
        <v>366639</v>
      </c>
      <c r="AF31" s="293">
        <f t="shared" si="18"/>
        <v>0</v>
      </c>
      <c r="AG31" s="209">
        <f t="shared" si="34"/>
        <v>0</v>
      </c>
      <c r="AH31" s="62">
        <f t="shared" si="35"/>
        <v>0</v>
      </c>
      <c r="AI31" s="303">
        <f t="shared" si="19"/>
        <v>0</v>
      </c>
      <c r="AJ31" s="303">
        <f>-tanks!AW32</f>
        <v>0</v>
      </c>
      <c r="AK31" s="303">
        <f t="shared" si="20"/>
        <v>0</v>
      </c>
      <c r="AL31" s="303">
        <f t="shared" si="8"/>
        <v>0</v>
      </c>
      <c r="AM31" s="303">
        <f t="shared" si="21"/>
        <v>0</v>
      </c>
      <c r="AN31" s="535">
        <f t="shared" si="22"/>
        <v>65</v>
      </c>
      <c r="AO31" s="305">
        <f t="shared" si="23"/>
        <v>1950</v>
      </c>
      <c r="AP31" s="535">
        <f t="shared" si="24"/>
        <v>35</v>
      </c>
      <c r="AQ31" s="305">
        <f t="shared" si="51"/>
        <v>1050</v>
      </c>
      <c r="AR31" s="535">
        <f t="shared" si="26"/>
        <v>73</v>
      </c>
      <c r="AS31" s="305">
        <f t="shared" si="36"/>
        <v>2190</v>
      </c>
      <c r="AT31" s="305">
        <f t="shared" si="50"/>
        <v>5190</v>
      </c>
      <c r="AU31" s="305">
        <f t="shared" si="38"/>
        <v>0</v>
      </c>
      <c r="AV31" s="259"/>
      <c r="AW31" s="259"/>
      <c r="AX31" s="298">
        <f t="shared" si="27"/>
        <v>0.8</v>
      </c>
    </row>
    <row r="32" spans="1:50">
      <c r="A32" s="63">
        <f>ELEC!C31</f>
        <v>44862</v>
      </c>
      <c r="B32" s="535">
        <f t="shared" si="40"/>
        <v>234</v>
      </c>
      <c r="C32" s="535">
        <f t="shared" si="41"/>
        <v>241</v>
      </c>
      <c r="D32" s="45">
        <f t="shared" si="48"/>
        <v>0</v>
      </c>
      <c r="E32" s="45">
        <f t="shared" si="9"/>
        <v>0</v>
      </c>
      <c r="F32" s="535">
        <f t="shared" si="29"/>
        <v>2290</v>
      </c>
      <c r="G32" s="52">
        <f t="shared" si="0"/>
        <v>0</v>
      </c>
      <c r="H32" s="535">
        <f t="shared" si="39"/>
        <v>47085</v>
      </c>
      <c r="I32" s="380">
        <f t="shared" si="1"/>
        <v>0</v>
      </c>
      <c r="J32" s="66">
        <f t="shared" si="10"/>
        <v>0</v>
      </c>
      <c r="K32" s="535">
        <f t="shared" si="11"/>
        <v>2460</v>
      </c>
      <c r="L32" s="52">
        <f t="shared" si="12"/>
        <v>0</v>
      </c>
      <c r="M32" s="535">
        <f t="shared" si="42"/>
        <v>183073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4"/>
        <v>186461</v>
      </c>
      <c r="R32" s="379">
        <f t="shared" si="43"/>
        <v>0</v>
      </c>
      <c r="S32" s="52">
        <f t="shared" si="5"/>
        <v>0</v>
      </c>
      <c r="T32" s="67">
        <f t="shared" si="30"/>
        <v>0</v>
      </c>
      <c r="U32" s="386">
        <f t="shared" si="13"/>
        <v>0</v>
      </c>
      <c r="V32" s="62">
        <f t="shared" si="14"/>
        <v>0</v>
      </c>
      <c r="W32" s="384"/>
      <c r="X32" s="535">
        <v>2495</v>
      </c>
      <c r="Y32" s="52">
        <f t="shared" si="16"/>
        <v>0</v>
      </c>
      <c r="Z32" s="535">
        <f t="shared" si="31"/>
        <v>141191</v>
      </c>
      <c r="AA32" s="65">
        <f t="shared" si="6"/>
        <v>0</v>
      </c>
      <c r="AB32" s="273">
        <f t="shared" si="49"/>
        <v>0</v>
      </c>
      <c r="AC32" s="535">
        <f t="shared" si="17"/>
        <v>1948</v>
      </c>
      <c r="AD32" s="259">
        <f t="shared" si="7"/>
        <v>0</v>
      </c>
      <c r="AE32" s="535">
        <v>366639</v>
      </c>
      <c r="AF32" s="293">
        <f t="shared" si="18"/>
        <v>0</v>
      </c>
      <c r="AG32" s="209">
        <f t="shared" si="34"/>
        <v>0</v>
      </c>
      <c r="AH32" s="62">
        <f t="shared" si="35"/>
        <v>0</v>
      </c>
      <c r="AI32" s="303">
        <f t="shared" si="19"/>
        <v>0</v>
      </c>
      <c r="AJ32" s="303">
        <f>-tanks!AW33</f>
        <v>0</v>
      </c>
      <c r="AK32" s="303">
        <f t="shared" si="20"/>
        <v>0</v>
      </c>
      <c r="AL32" s="303">
        <f t="shared" si="8"/>
        <v>0</v>
      </c>
      <c r="AM32" s="303">
        <f t="shared" si="21"/>
        <v>0</v>
      </c>
      <c r="AN32" s="535">
        <f t="shared" si="22"/>
        <v>65</v>
      </c>
      <c r="AO32" s="305">
        <f t="shared" si="23"/>
        <v>1950</v>
      </c>
      <c r="AP32" s="535">
        <f t="shared" si="24"/>
        <v>35</v>
      </c>
      <c r="AQ32" s="305">
        <f t="shared" si="51"/>
        <v>1050</v>
      </c>
      <c r="AR32" s="535">
        <f t="shared" si="26"/>
        <v>73</v>
      </c>
      <c r="AS32" s="305">
        <f t="shared" si="36"/>
        <v>2190</v>
      </c>
      <c r="AT32" s="305">
        <f t="shared" si="50"/>
        <v>5190</v>
      </c>
      <c r="AU32" s="305">
        <f t="shared" si="38"/>
        <v>0</v>
      </c>
      <c r="AV32" s="259"/>
      <c r="AW32" s="259"/>
      <c r="AX32" s="298">
        <f t="shared" si="27"/>
        <v>0.8</v>
      </c>
    </row>
    <row r="33" spans="1:50">
      <c r="A33" s="63">
        <f>ELEC!C32</f>
        <v>44863</v>
      </c>
      <c r="B33" s="535">
        <f t="shared" si="40"/>
        <v>234</v>
      </c>
      <c r="C33" s="535">
        <f t="shared" si="41"/>
        <v>241</v>
      </c>
      <c r="D33" s="45">
        <f t="shared" ref="D33:D35" si="52">C32-C33</f>
        <v>0</v>
      </c>
      <c r="E33" s="45">
        <f t="shared" ref="E33:E35" si="53">D33*8.38</f>
        <v>0</v>
      </c>
      <c r="F33" s="535">
        <f t="shared" si="29"/>
        <v>2290</v>
      </c>
      <c r="G33" s="52">
        <f t="shared" ref="G33:G35" si="54">F33-F32</f>
        <v>0</v>
      </c>
      <c r="H33" s="535">
        <f t="shared" si="39"/>
        <v>47085</v>
      </c>
      <c r="I33" s="380">
        <f t="shared" ref="I33:I35" si="55">SUM(H33-H32)</f>
        <v>0</v>
      </c>
      <c r="J33" s="66">
        <f t="shared" ref="J33:J35" si="56">IF(G33&gt;0,I33/G33,0)</f>
        <v>0</v>
      </c>
      <c r="K33" s="535">
        <f t="shared" si="11"/>
        <v>2460</v>
      </c>
      <c r="L33" s="52">
        <f t="shared" ref="L33:L35" si="57">K33-K32</f>
        <v>0</v>
      </c>
      <c r="M33" s="535">
        <f t="shared" si="42"/>
        <v>183073</v>
      </c>
      <c r="N33" s="380">
        <f t="shared" ref="N33:N35" si="58">M33-M32</f>
        <v>0</v>
      </c>
      <c r="O33" s="64">
        <f t="shared" si="46"/>
        <v>1869</v>
      </c>
      <c r="P33" s="535">
        <f t="shared" si="47"/>
        <v>2231</v>
      </c>
      <c r="Q33" s="535">
        <f t="shared" si="44"/>
        <v>186461</v>
      </c>
      <c r="R33" s="379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6">
        <f t="shared" ref="U33:U35" si="62">SUM(G33+L33+S33)</f>
        <v>0</v>
      </c>
      <c r="V33" s="62">
        <f t="shared" ref="V33:V35" si="63">R33+N33+I33:I33</f>
        <v>0</v>
      </c>
      <c r="W33" s="384"/>
      <c r="X33" s="535">
        <v>2495</v>
      </c>
      <c r="Y33" s="52">
        <f t="shared" ref="Y33:Y35" si="64">X33-X32</f>
        <v>0</v>
      </c>
      <c r="Z33" s="535">
        <f t="shared" si="31"/>
        <v>141191</v>
      </c>
      <c r="AA33" s="65">
        <f t="shared" ref="AA33:AA35" si="65">Z33-Z32</f>
        <v>0</v>
      </c>
      <c r="AB33" s="273">
        <f t="shared" ref="AB33:AB35" si="66">SUM(Y33*$AB$2)</f>
        <v>0</v>
      </c>
      <c r="AC33" s="535">
        <f t="shared" si="17"/>
        <v>1948</v>
      </c>
      <c r="AD33" s="259">
        <f t="shared" ref="AD33:AD35" si="67">AC33-AC32</f>
        <v>0</v>
      </c>
      <c r="AE33" s="535">
        <v>366639</v>
      </c>
      <c r="AF33" s="293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3">
        <f t="shared" ref="AI33:AI35" si="71">SUM(AH33+V33)</f>
        <v>0</v>
      </c>
      <c r="AJ33" s="303">
        <f>-tanks!AW34</f>
        <v>0</v>
      </c>
      <c r="AK33" s="303">
        <f t="shared" ref="AK33:AK35" si="72">SUM(AJ33-AI33)</f>
        <v>0</v>
      </c>
      <c r="AL33" s="303">
        <f t="shared" ref="AL33:AL35" si="73">S33+L33+G33</f>
        <v>0</v>
      </c>
      <c r="AM33" s="303">
        <f t="shared" ref="AM33:AM35" si="74">Y33+AD33</f>
        <v>0</v>
      </c>
      <c r="AN33" s="535">
        <f t="shared" si="22"/>
        <v>65</v>
      </c>
      <c r="AO33" s="305">
        <f t="shared" si="23"/>
        <v>1950</v>
      </c>
      <c r="AP33" s="535">
        <f t="shared" si="24"/>
        <v>35</v>
      </c>
      <c r="AQ33" s="305">
        <f t="shared" ref="AQ33:AQ35" si="75">(AP33/100)*3000</f>
        <v>1050</v>
      </c>
      <c r="AR33" s="535">
        <f t="shared" si="26"/>
        <v>73</v>
      </c>
      <c r="AS33" s="305">
        <f t="shared" si="36"/>
        <v>2190</v>
      </c>
      <c r="AT33" s="305">
        <f t="shared" si="50"/>
        <v>5190</v>
      </c>
      <c r="AU33" s="305">
        <f t="shared" si="38"/>
        <v>0</v>
      </c>
      <c r="AV33" s="259"/>
      <c r="AW33" s="259"/>
      <c r="AX33" s="298">
        <f t="shared" ref="AX33:AX35" si="76">IF(AV33&gt;0,AW33,AX32)</f>
        <v>0.8</v>
      </c>
    </row>
    <row r="34" spans="1:50">
      <c r="A34" s="63">
        <f>ELEC!C33</f>
        <v>44864</v>
      </c>
      <c r="B34" s="535">
        <f t="shared" si="40"/>
        <v>234</v>
      </c>
      <c r="C34" s="535">
        <f t="shared" si="41"/>
        <v>241</v>
      </c>
      <c r="D34" s="45">
        <f t="shared" si="52"/>
        <v>0</v>
      </c>
      <c r="E34" s="45">
        <f t="shared" si="53"/>
        <v>0</v>
      </c>
      <c r="F34" s="535">
        <f t="shared" si="29"/>
        <v>2290</v>
      </c>
      <c r="G34" s="52">
        <f t="shared" si="54"/>
        <v>0</v>
      </c>
      <c r="H34" s="535">
        <f t="shared" si="39"/>
        <v>47085</v>
      </c>
      <c r="I34" s="380">
        <f t="shared" si="55"/>
        <v>0</v>
      </c>
      <c r="J34" s="66">
        <f t="shared" si="56"/>
        <v>0</v>
      </c>
      <c r="K34" s="535">
        <f t="shared" si="11"/>
        <v>2460</v>
      </c>
      <c r="L34" s="52">
        <f t="shared" si="57"/>
        <v>0</v>
      </c>
      <c r="M34" s="535">
        <f t="shared" si="42"/>
        <v>183073</v>
      </c>
      <c r="N34" s="380">
        <f t="shared" si="58"/>
        <v>0</v>
      </c>
      <c r="O34" s="64">
        <f t="shared" si="46"/>
        <v>1869</v>
      </c>
      <c r="P34" s="535">
        <f t="shared" si="47"/>
        <v>2231</v>
      </c>
      <c r="Q34" s="535">
        <f t="shared" si="44"/>
        <v>186461</v>
      </c>
      <c r="R34" s="379">
        <f t="shared" si="59"/>
        <v>0</v>
      </c>
      <c r="S34" s="52">
        <f t="shared" si="60"/>
        <v>0</v>
      </c>
      <c r="T34" s="67">
        <f t="shared" si="61"/>
        <v>0</v>
      </c>
      <c r="U34" s="386">
        <f t="shared" si="62"/>
        <v>0</v>
      </c>
      <c r="V34" s="62">
        <f t="shared" si="63"/>
        <v>0</v>
      </c>
      <c r="W34" s="384"/>
      <c r="X34" s="535">
        <v>2495</v>
      </c>
      <c r="Y34" s="52">
        <f t="shared" si="64"/>
        <v>0</v>
      </c>
      <c r="Z34" s="535">
        <f t="shared" si="31"/>
        <v>141191</v>
      </c>
      <c r="AA34" s="65">
        <f t="shared" si="65"/>
        <v>0</v>
      </c>
      <c r="AB34" s="273">
        <f t="shared" si="66"/>
        <v>0</v>
      </c>
      <c r="AC34" s="535">
        <f t="shared" si="17"/>
        <v>1948</v>
      </c>
      <c r="AD34" s="259">
        <f t="shared" si="67"/>
        <v>0</v>
      </c>
      <c r="AE34" s="535">
        <v>366639</v>
      </c>
      <c r="AF34" s="293">
        <f t="shared" si="68"/>
        <v>0</v>
      </c>
      <c r="AG34" s="209">
        <f t="shared" si="69"/>
        <v>0</v>
      </c>
      <c r="AH34" s="62">
        <f t="shared" si="70"/>
        <v>0</v>
      </c>
      <c r="AI34" s="303">
        <f t="shared" si="71"/>
        <v>0</v>
      </c>
      <c r="AJ34" s="303">
        <f>-tanks!AW35</f>
        <v>0</v>
      </c>
      <c r="AK34" s="303">
        <f t="shared" si="72"/>
        <v>0</v>
      </c>
      <c r="AL34" s="303">
        <f t="shared" si="73"/>
        <v>0</v>
      </c>
      <c r="AM34" s="303">
        <f t="shared" si="74"/>
        <v>0</v>
      </c>
      <c r="AN34" s="535">
        <f t="shared" si="22"/>
        <v>65</v>
      </c>
      <c r="AO34" s="305">
        <f t="shared" si="23"/>
        <v>1950</v>
      </c>
      <c r="AP34" s="535">
        <f t="shared" si="24"/>
        <v>35</v>
      </c>
      <c r="AQ34" s="305">
        <f t="shared" si="75"/>
        <v>1050</v>
      </c>
      <c r="AR34" s="535">
        <f t="shared" si="26"/>
        <v>73</v>
      </c>
      <c r="AS34" s="305">
        <f t="shared" si="36"/>
        <v>2190</v>
      </c>
      <c r="AT34" s="305">
        <f t="shared" si="50"/>
        <v>5190</v>
      </c>
      <c r="AU34" s="305">
        <f t="shared" si="38"/>
        <v>0</v>
      </c>
      <c r="AV34" s="259"/>
      <c r="AW34" s="259"/>
      <c r="AX34" s="298">
        <f t="shared" si="76"/>
        <v>0.8</v>
      </c>
    </row>
    <row r="35" spans="1:50">
      <c r="A35" s="63">
        <f>ELEC!C34</f>
        <v>44865</v>
      </c>
      <c r="B35" s="535">
        <f t="shared" si="40"/>
        <v>234</v>
      </c>
      <c r="C35" s="535">
        <f t="shared" si="41"/>
        <v>241</v>
      </c>
      <c r="D35" s="45">
        <f t="shared" si="52"/>
        <v>0</v>
      </c>
      <c r="E35" s="45">
        <f t="shared" si="53"/>
        <v>0</v>
      </c>
      <c r="F35" s="535">
        <f t="shared" si="29"/>
        <v>2290</v>
      </c>
      <c r="G35" s="52">
        <f t="shared" si="54"/>
        <v>0</v>
      </c>
      <c r="H35" s="535">
        <f t="shared" si="39"/>
        <v>47085</v>
      </c>
      <c r="I35" s="380">
        <f t="shared" si="55"/>
        <v>0</v>
      </c>
      <c r="J35" s="66">
        <f t="shared" si="56"/>
        <v>0</v>
      </c>
      <c r="K35" s="535">
        <f t="shared" si="11"/>
        <v>2460</v>
      </c>
      <c r="L35" s="52">
        <f t="shared" si="57"/>
        <v>0</v>
      </c>
      <c r="M35" s="535">
        <f t="shared" si="42"/>
        <v>183073</v>
      </c>
      <c r="N35" s="380">
        <f t="shared" si="58"/>
        <v>0</v>
      </c>
      <c r="O35" s="64">
        <f t="shared" si="46"/>
        <v>1869</v>
      </c>
      <c r="P35" s="535">
        <f t="shared" si="47"/>
        <v>2231</v>
      </c>
      <c r="Q35" s="535">
        <f t="shared" si="44"/>
        <v>186461</v>
      </c>
      <c r="R35" s="379">
        <f t="shared" si="59"/>
        <v>0</v>
      </c>
      <c r="S35" s="52">
        <f t="shared" si="60"/>
        <v>0</v>
      </c>
      <c r="T35" s="67">
        <f t="shared" si="61"/>
        <v>0</v>
      </c>
      <c r="U35" s="386">
        <f t="shared" si="62"/>
        <v>0</v>
      </c>
      <c r="V35" s="62">
        <f t="shared" si="63"/>
        <v>0</v>
      </c>
      <c r="W35" s="384"/>
      <c r="X35" s="535">
        <v>2495</v>
      </c>
      <c r="Y35" s="52">
        <f t="shared" si="64"/>
        <v>0</v>
      </c>
      <c r="Z35" s="535">
        <f t="shared" si="31"/>
        <v>141191</v>
      </c>
      <c r="AA35" s="65">
        <f t="shared" si="65"/>
        <v>0</v>
      </c>
      <c r="AB35" s="273">
        <f t="shared" si="66"/>
        <v>0</v>
      </c>
      <c r="AC35" s="535">
        <f t="shared" si="17"/>
        <v>1948</v>
      </c>
      <c r="AD35" s="259">
        <f t="shared" si="67"/>
        <v>0</v>
      </c>
      <c r="AE35" s="535">
        <v>366639</v>
      </c>
      <c r="AF35" s="293">
        <f t="shared" si="68"/>
        <v>0</v>
      </c>
      <c r="AG35" s="209">
        <f t="shared" si="69"/>
        <v>0</v>
      </c>
      <c r="AH35" s="62">
        <f t="shared" si="70"/>
        <v>0</v>
      </c>
      <c r="AI35" s="303">
        <f t="shared" si="71"/>
        <v>0</v>
      </c>
      <c r="AJ35" s="303">
        <f>-tanks!AW36</f>
        <v>0</v>
      </c>
      <c r="AK35" s="303">
        <f t="shared" si="72"/>
        <v>0</v>
      </c>
      <c r="AL35" s="303">
        <f t="shared" si="73"/>
        <v>0</v>
      </c>
      <c r="AM35" s="303">
        <f t="shared" si="74"/>
        <v>0</v>
      </c>
      <c r="AN35" s="535">
        <f t="shared" si="22"/>
        <v>65</v>
      </c>
      <c r="AO35" s="305">
        <f t="shared" si="23"/>
        <v>1950</v>
      </c>
      <c r="AP35" s="535">
        <f t="shared" si="24"/>
        <v>35</v>
      </c>
      <c r="AQ35" s="305">
        <f t="shared" si="75"/>
        <v>1050</v>
      </c>
      <c r="AR35" s="535">
        <f t="shared" si="26"/>
        <v>73</v>
      </c>
      <c r="AS35" s="305">
        <f t="shared" si="36"/>
        <v>2190</v>
      </c>
      <c r="AT35" s="305">
        <f t="shared" si="50"/>
        <v>5190</v>
      </c>
      <c r="AU35" s="305">
        <f t="shared" si="38"/>
        <v>0</v>
      </c>
      <c r="AV35" s="259"/>
      <c r="AW35" s="259"/>
      <c r="AX35" s="298">
        <f t="shared" si="76"/>
        <v>0.8</v>
      </c>
    </row>
    <row r="36" spans="1:50">
      <c r="J36" s="272">
        <f>SUM(J5:J32)/(COUNT(J5:J32)-COUNTIF(J5:J32,0))</f>
        <v>30.833333333333332</v>
      </c>
      <c r="U36" s="70">
        <f>SUM(U5:U35)</f>
        <v>4</v>
      </c>
      <c r="V36" s="62">
        <f>SUM(V5:V35)</f>
        <v>393</v>
      </c>
      <c r="AE36" s="71" t="s">
        <v>379</v>
      </c>
      <c r="AG36" s="329"/>
      <c r="AH36" s="62">
        <f>SUM(AH5:AH35)</f>
        <v>80</v>
      </c>
      <c r="AL36" s="62">
        <f>SUM(AL5:AL35)</f>
        <v>4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98.25</v>
      </c>
      <c r="AH37" s="62">
        <f>AF37+AA37</f>
        <v>0</v>
      </c>
      <c r="AI37" s="306">
        <f>SUM(AI5:AI35)</f>
        <v>473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D1" zoomScale="85" zoomScaleNormal="85" workbookViewId="0">
      <pane ySplit="3" topLeftCell="A4" activePane="bottomLeft" state="frozen"/>
      <selection pane="bottomLeft" activeCell="AY20" sqref="AY20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8199971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3" t="s">
        <v>126</v>
      </c>
      <c r="AO3" s="624"/>
      <c r="AP3" s="625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3">
        <f>[3]WATER!B36</f>
        <v>109443</v>
      </c>
      <c r="C5" s="393">
        <f>[3]WATER!C36</f>
        <v>0</v>
      </c>
      <c r="D5" s="393">
        <f>[3]WATER!D36</f>
        <v>0</v>
      </c>
      <c r="E5" s="393">
        <f>[3]WATER!E36</f>
        <v>241.93548387096774</v>
      </c>
      <c r="F5" s="393">
        <f>[3]WATER!F36</f>
        <v>0</v>
      </c>
      <c r="G5" s="393">
        <f>[2]WATER!$G$36</f>
        <v>630568</v>
      </c>
      <c r="H5" s="393">
        <f>[3]WATER!H36</f>
        <v>122</v>
      </c>
      <c r="I5" s="393">
        <f>[3]WATER!I36</f>
        <v>122</v>
      </c>
      <c r="J5" s="393">
        <f>[3]WATER!J36</f>
        <v>1.9830777366472765</v>
      </c>
      <c r="K5" s="393">
        <f>[3]WATER!K36</f>
        <v>7089</v>
      </c>
      <c r="L5" s="393">
        <f>[3]WATER!L36</f>
        <v>0</v>
      </c>
      <c r="M5" s="393">
        <f>[3]WATER!M36</f>
        <v>457.44</v>
      </c>
      <c r="N5" s="393">
        <f>[3]WATER!N36</f>
        <v>0</v>
      </c>
      <c r="O5" s="393">
        <f>[3]WATER!O36</f>
        <v>529.52</v>
      </c>
      <c r="P5" s="393">
        <f>[3]WATER!P36</f>
        <v>0</v>
      </c>
      <c r="Q5" s="393">
        <f>[3]WATER!Q36</f>
        <v>0</v>
      </c>
      <c r="R5" s="393">
        <f>[3]WATER!R36</f>
        <v>0</v>
      </c>
      <c r="S5" s="393">
        <f>[3]WATER!S36</f>
        <v>0</v>
      </c>
      <c r="T5" s="393">
        <f>[2]WATER!$T$36</f>
        <v>5191</v>
      </c>
      <c r="U5" s="393">
        <f>[3]WATER!U36</f>
        <v>0</v>
      </c>
      <c r="V5" s="393">
        <f>[3]WATER!V36</f>
        <v>499</v>
      </c>
      <c r="W5" s="393">
        <f>[3]WATER!W36</f>
        <v>1</v>
      </c>
      <c r="X5" s="393">
        <f>[2]WATER!$X$36</f>
        <v>155960</v>
      </c>
      <c r="Y5" s="393">
        <v>0</v>
      </c>
      <c r="Z5" s="393">
        <f>[3]WATER!Z36</f>
        <v>99668</v>
      </c>
      <c r="AA5" s="393">
        <v>0</v>
      </c>
      <c r="AB5" s="393">
        <v>254</v>
      </c>
      <c r="AC5" s="393">
        <f>[3]WATER!AC36</f>
        <v>855</v>
      </c>
      <c r="AD5" s="393">
        <v>0</v>
      </c>
      <c r="AE5" s="393">
        <f>[3]WATER!AE36</f>
        <v>248.42</v>
      </c>
      <c r="AF5" s="393">
        <f>[3]WATER!AF36</f>
        <v>0</v>
      </c>
      <c r="AG5" s="393">
        <f>[3]WATER!AG36</f>
        <v>2247.41</v>
      </c>
      <c r="AH5" s="393">
        <f>[3]WATER!AH36</f>
        <v>0</v>
      </c>
      <c r="AI5" s="393">
        <f>[3]WATER!AI36</f>
        <v>0</v>
      </c>
      <c r="AJ5" s="393">
        <v>0</v>
      </c>
      <c r="AK5" s="393">
        <v>0</v>
      </c>
      <c r="AL5" s="393">
        <v>0</v>
      </c>
      <c r="AM5" s="393">
        <f>[3]WATER!AM36</f>
        <v>29.5</v>
      </c>
      <c r="AN5" s="393">
        <f>[3]WATER!AN36</f>
        <v>0</v>
      </c>
      <c r="AO5" s="393">
        <f>[3]WATER!AO36</f>
        <v>0</v>
      </c>
      <c r="AP5" s="393">
        <f>[3]WATER!AP36</f>
        <v>0</v>
      </c>
      <c r="AR5" s="541">
        <f>[2]WATER!$AR$35</f>
        <v>44834</v>
      </c>
      <c r="AS5" s="393">
        <f>[3]WATER!AS36</f>
        <v>0.9</v>
      </c>
      <c r="AT5" s="393">
        <v>164</v>
      </c>
      <c r="AU5" s="393">
        <f>[3]WATER!AU36</f>
        <v>1.1000000000000001</v>
      </c>
      <c r="AV5" s="393">
        <v>110</v>
      </c>
      <c r="AW5" s="393">
        <f>[3]WATER!AW36</f>
        <v>2.9</v>
      </c>
      <c r="AX5" s="393">
        <v>94</v>
      </c>
      <c r="AY5" s="393">
        <f>[3]WATER!AY36</f>
        <v>53.1</v>
      </c>
      <c r="AZ5" s="393">
        <f>[3]WATER!AZ36</f>
        <v>168.3</v>
      </c>
      <c r="BA5" s="393">
        <f>[3]WATER!BA36</f>
        <v>295.8</v>
      </c>
      <c r="BB5" s="393">
        <f>[3]WATER!BB36</f>
        <v>-26.9</v>
      </c>
      <c r="BC5" s="393">
        <f>[3]WATER!BC36</f>
        <v>85.800000000000011</v>
      </c>
      <c r="BD5" s="393">
        <f>[3]WATER!BD36</f>
        <v>60.900000000000006</v>
      </c>
      <c r="BE5" s="393">
        <f>[3]WATER!BE36</f>
        <v>119.80000000000001</v>
      </c>
      <c r="BF5" s="393">
        <f>[3]WATER!BF36</f>
        <v>2.1999999999999886</v>
      </c>
      <c r="BG5" s="393">
        <f>[3]WATER!BG36</f>
        <v>119.80000000000001</v>
      </c>
    </row>
    <row r="6" spans="1:65" ht="15" thickBot="1">
      <c r="A6" s="6">
        <f>ELEC!C4</f>
        <v>44835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630568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5191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155960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7">
        <f>AS5</f>
        <v>0.9</v>
      </c>
      <c r="AT6" s="201">
        <f>AT5</f>
        <v>164</v>
      </c>
      <c r="AU6" s="408">
        <f>AU5</f>
        <v>1.1000000000000001</v>
      </c>
      <c r="AV6" s="393">
        <v>110</v>
      </c>
      <c r="AW6" s="5">
        <v>2.9</v>
      </c>
      <c r="AX6" s="393">
        <v>94</v>
      </c>
      <c r="AY6" s="409">
        <f>AS6*AT6</f>
        <v>147.6</v>
      </c>
      <c r="AZ6" s="409">
        <f>AU6*AV6</f>
        <v>121.00000000000001</v>
      </c>
      <c r="BA6" s="409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9">
        <f t="shared" si="0"/>
        <v>1.2157562003566218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5192</v>
      </c>
      <c r="U7" s="5">
        <f t="shared" si="3"/>
        <v>1</v>
      </c>
      <c r="V7" s="5">
        <v>500</v>
      </c>
      <c r="W7" s="309">
        <f t="shared" ref="W7:W33" si="13">+V7-V6</f>
        <v>1</v>
      </c>
      <c r="X7" s="5">
        <v>155960</v>
      </c>
      <c r="Y7" s="309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-1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7">
        <f t="shared" ref="AS7:AT21" si="26">AS6</f>
        <v>0.9</v>
      </c>
      <c r="AT7" s="201">
        <f t="shared" si="26"/>
        <v>164</v>
      </c>
      <c r="AU7" s="408">
        <f>AU6</f>
        <v>1.1000000000000001</v>
      </c>
      <c r="AV7" s="201">
        <v>108</v>
      </c>
      <c r="AW7" s="5">
        <v>2.9</v>
      </c>
      <c r="AX7" s="201">
        <v>92</v>
      </c>
      <c r="AY7" s="409">
        <f>AS7*AT7</f>
        <v>147.6</v>
      </c>
      <c r="AZ7" s="409">
        <f>AU7*AV7</f>
        <v>118.80000000000001</v>
      </c>
      <c r="BA7" s="409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" thickBot="1">
      <c r="A8" s="6">
        <f>ELEC!C6</f>
        <v>44837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9">
        <f t="shared" si="13"/>
        <v>0</v>
      </c>
      <c r="X8" s="5">
        <f t="shared" ref="X8:X36" si="33">X7</f>
        <v>155960</v>
      </c>
      <c r="Y8" s="309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5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7">
        <f t="shared" si="26"/>
        <v>0.9</v>
      </c>
      <c r="AT8" s="201">
        <f t="shared" si="26"/>
        <v>164</v>
      </c>
      <c r="AU8" s="408">
        <v>1.1000000000000001</v>
      </c>
      <c r="AV8" s="201">
        <v>104</v>
      </c>
      <c r="AW8" s="5">
        <v>2.9</v>
      </c>
      <c r="AX8" s="201">
        <v>90</v>
      </c>
      <c r="AY8" s="409">
        <f t="shared" ref="AY8:AY33" si="36">AS8*AT8</f>
        <v>147.6</v>
      </c>
      <c r="AZ8" s="409">
        <f t="shared" ref="AZ8:AZ33" si="37">AU8*AV8</f>
        <v>114.4</v>
      </c>
      <c r="BA8" s="409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30"/>
        <v>630767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1"/>
        <v>5192</v>
      </c>
      <c r="U9" s="5">
        <f t="shared" si="3"/>
        <v>0</v>
      </c>
      <c r="V9" s="5">
        <f t="shared" si="32"/>
        <v>500</v>
      </c>
      <c r="W9" s="309">
        <f t="shared" si="13"/>
        <v>0</v>
      </c>
      <c r="X9" s="5">
        <f t="shared" si="33"/>
        <v>155960</v>
      </c>
      <c r="Y9" s="309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5"/>
        <v>0</v>
      </c>
      <c r="AL9" s="312">
        <f t="shared" si="24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7">
        <f t="shared" si="26"/>
        <v>0.9</v>
      </c>
      <c r="AT9" s="201">
        <v>141</v>
      </c>
      <c r="AU9" s="408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9">
        <f t="shared" si="36"/>
        <v>126.9</v>
      </c>
      <c r="AZ9" s="409">
        <f t="shared" si="37"/>
        <v>112.2</v>
      </c>
      <c r="BA9" s="409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30">
        <f t="shared" si="29"/>
        <v>28.700000000000003</v>
      </c>
      <c r="BG9" s="82">
        <f t="shared" si="4"/>
        <v>-28.700000000000003</v>
      </c>
    </row>
    <row r="10" spans="1:65" ht="1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9">
        <f t="shared" si="13"/>
        <v>0</v>
      </c>
      <c r="X10" s="5">
        <f t="shared" si="33"/>
        <v>155960</v>
      </c>
      <c r="Y10" s="309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7">
        <f t="shared" si="26"/>
        <v>0.9</v>
      </c>
      <c r="AT10" s="201">
        <v>0</v>
      </c>
      <c r="AU10" s="408">
        <f t="shared" si="42"/>
        <v>1.1000000000000001</v>
      </c>
      <c r="AV10" s="201">
        <v>0</v>
      </c>
      <c r="AW10" s="5">
        <v>2.9</v>
      </c>
      <c r="AX10" s="201">
        <v>0</v>
      </c>
      <c r="AY10" s="409">
        <f t="shared" si="36"/>
        <v>0</v>
      </c>
      <c r="AZ10" s="409">
        <f t="shared" si="37"/>
        <v>0</v>
      </c>
      <c r="BA10" s="409">
        <f t="shared" si="38"/>
        <v>0</v>
      </c>
      <c r="BB10" s="21">
        <f t="shared" si="39"/>
        <v>-126.9</v>
      </c>
      <c r="BC10" s="21">
        <f t="shared" si="27"/>
        <v>-112.2</v>
      </c>
      <c r="BD10" s="21">
        <f t="shared" si="27"/>
        <v>-255.2</v>
      </c>
      <c r="BE10" s="24">
        <f t="shared" si="28"/>
        <v>-494.3</v>
      </c>
      <c r="BF10" s="96">
        <f t="shared" si="29"/>
        <v>494.3</v>
      </c>
      <c r="BG10" s="82">
        <f t="shared" si="4"/>
        <v>-494.3</v>
      </c>
    </row>
    <row r="11" spans="1:65" ht="1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9">
        <f t="shared" si="0"/>
        <v>0</v>
      </c>
      <c r="K11" s="5">
        <f t="shared" si="10"/>
        <v>7089</v>
      </c>
      <c r="L11" s="83">
        <f t="shared" si="40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1"/>
        <v>5192</v>
      </c>
      <c r="U11" s="5">
        <f t="shared" si="3"/>
        <v>0</v>
      </c>
      <c r="V11" s="5">
        <f t="shared" si="32"/>
        <v>500</v>
      </c>
      <c r="W11" s="309">
        <f t="shared" si="13"/>
        <v>0</v>
      </c>
      <c r="X11" s="5">
        <f t="shared" si="33"/>
        <v>155960</v>
      </c>
      <c r="Y11" s="309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5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7">
        <f t="shared" si="26"/>
        <v>0.9</v>
      </c>
      <c r="AT11" s="201">
        <v>0</v>
      </c>
      <c r="AU11" s="408">
        <f t="shared" si="42"/>
        <v>1.1000000000000001</v>
      </c>
      <c r="AV11" s="201">
        <v>0</v>
      </c>
      <c r="AW11" s="5">
        <v>2.9</v>
      </c>
      <c r="AX11" s="201">
        <v>0</v>
      </c>
      <c r="AY11" s="409">
        <f t="shared" si="36"/>
        <v>0</v>
      </c>
      <c r="AZ11" s="409">
        <f t="shared" si="37"/>
        <v>0</v>
      </c>
      <c r="BA11" s="409">
        <f t="shared" si="38"/>
        <v>0</v>
      </c>
      <c r="BB11" s="21">
        <f t="shared" si="39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9">
        <f t="shared" si="0"/>
        <v>0</v>
      </c>
      <c r="K12" s="5">
        <f t="shared" si="10"/>
        <v>7089</v>
      </c>
      <c r="L12" s="83">
        <f t="shared" si="40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1"/>
        <v>5192</v>
      </c>
      <c r="U12" s="5">
        <f t="shared" si="3"/>
        <v>0</v>
      </c>
      <c r="V12" s="5">
        <f t="shared" si="32"/>
        <v>500</v>
      </c>
      <c r="W12" s="309">
        <f t="shared" si="13"/>
        <v>0</v>
      </c>
      <c r="X12" s="5">
        <f t="shared" si="33"/>
        <v>155960</v>
      </c>
      <c r="Y12" s="309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1">
        <f t="shared" si="23"/>
        <v>0</v>
      </c>
      <c r="AK12" s="312">
        <f t="shared" si="35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7">
        <f t="shared" si="26"/>
        <v>0.9</v>
      </c>
      <c r="AT12" s="201">
        <v>0</v>
      </c>
      <c r="AU12" s="408">
        <f t="shared" si="42"/>
        <v>1.1000000000000001</v>
      </c>
      <c r="AV12" s="201">
        <v>0</v>
      </c>
      <c r="AW12" s="5">
        <v>2.9</v>
      </c>
      <c r="AX12" s="201">
        <v>0</v>
      </c>
      <c r="AY12" s="409">
        <f t="shared" si="36"/>
        <v>0</v>
      </c>
      <c r="AZ12" s="409">
        <f t="shared" si="37"/>
        <v>0</v>
      </c>
      <c r="BA12" s="409">
        <f t="shared" si="38"/>
        <v>0</v>
      </c>
      <c r="BB12" s="21">
        <f>AY12-AY11</f>
        <v>0</v>
      </c>
      <c r="BC12" s="21">
        <f t="shared" si="27"/>
        <v>0</v>
      </c>
      <c r="BD12" s="21">
        <f t="shared" si="27"/>
        <v>0</v>
      </c>
      <c r="BE12" s="24">
        <f t="shared" si="28"/>
        <v>0</v>
      </c>
      <c r="BF12" s="96">
        <f t="shared" si="29"/>
        <v>0</v>
      </c>
      <c r="BG12" s="82">
        <f t="shared" si="4"/>
        <v>0</v>
      </c>
    </row>
    <row r="13" spans="1:65" ht="1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-1</v>
      </c>
      <c r="V13" s="5">
        <f t="shared" si="32"/>
        <v>500</v>
      </c>
      <c r="W13" s="309">
        <f t="shared" si="13"/>
        <v>0</v>
      </c>
      <c r="X13" s="5">
        <f t="shared" si="33"/>
        <v>155960</v>
      </c>
      <c r="Y13" s="309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5"/>
        <v>0</v>
      </c>
      <c r="AL13" s="312">
        <f t="shared" si="24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7">
        <f t="shared" si="26"/>
        <v>0.9</v>
      </c>
      <c r="AT13" s="201">
        <v>0</v>
      </c>
      <c r="AU13" s="408">
        <f t="shared" si="42"/>
        <v>1.1000000000000001</v>
      </c>
      <c r="AV13" s="201">
        <v>0</v>
      </c>
      <c r="AW13" s="5">
        <v>2.9</v>
      </c>
      <c r="AX13" s="201">
        <v>0</v>
      </c>
      <c r="AY13" s="409">
        <f t="shared" si="36"/>
        <v>0</v>
      </c>
      <c r="AZ13" s="409">
        <f t="shared" si="37"/>
        <v>0</v>
      </c>
      <c r="BA13" s="409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0"/>
        <v>0</v>
      </c>
      <c r="M14" s="393">
        <f t="shared" si="11"/>
        <v>457.44</v>
      </c>
      <c r="N14" s="482">
        <f t="shared" ref="N14:N33" si="43">SUM(M14-M13)</f>
        <v>0</v>
      </c>
      <c r="O14" s="393">
        <f t="shared" si="12"/>
        <v>529.52</v>
      </c>
      <c r="P14" s="482">
        <f t="shared" ref="P14:P33" si="44">SUM(O14-O13)</f>
        <v>0</v>
      </c>
      <c r="Q14" s="482">
        <f t="shared" ref="Q14:Q33" si="45">SUM(P14+N14)</f>
        <v>0</v>
      </c>
      <c r="R14" s="482"/>
      <c r="S14" s="482"/>
      <c r="T14" s="5">
        <f t="shared" si="31"/>
        <v>5191</v>
      </c>
      <c r="U14" s="5">
        <f t="shared" si="3"/>
        <v>0</v>
      </c>
      <c r="V14" s="5">
        <f t="shared" si="32"/>
        <v>500</v>
      </c>
      <c r="W14" s="309">
        <f t="shared" si="13"/>
        <v>0</v>
      </c>
      <c r="X14" s="5">
        <f t="shared" si="33"/>
        <v>155960</v>
      </c>
      <c r="Y14" s="309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5"/>
        <v>0</v>
      </c>
      <c r="AL14" s="312">
        <f t="shared" si="24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7">
        <f t="shared" si="26"/>
        <v>0.9</v>
      </c>
      <c r="AT14" s="201">
        <v>0</v>
      </c>
      <c r="AU14" s="408">
        <f t="shared" si="42"/>
        <v>1.1000000000000001</v>
      </c>
      <c r="AV14" s="201">
        <v>0</v>
      </c>
      <c r="AW14" s="5">
        <v>2.9</v>
      </c>
      <c r="AX14" s="201">
        <v>0</v>
      </c>
      <c r="AY14" s="409">
        <f t="shared" si="36"/>
        <v>0</v>
      </c>
      <c r="AZ14" s="409">
        <f t="shared" si="37"/>
        <v>0</v>
      </c>
      <c r="BA14" s="409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0"/>
        <v>0</v>
      </c>
      <c r="M15" s="393">
        <f t="shared" si="11"/>
        <v>457.44</v>
      </c>
      <c r="N15" s="482">
        <f t="shared" si="43"/>
        <v>0</v>
      </c>
      <c r="O15" s="393">
        <f t="shared" si="12"/>
        <v>529.52</v>
      </c>
      <c r="P15" s="482">
        <f t="shared" si="44"/>
        <v>0</v>
      </c>
      <c r="Q15" s="482">
        <f t="shared" si="45"/>
        <v>0</v>
      </c>
      <c r="R15" s="482"/>
      <c r="S15" s="482"/>
      <c r="T15" s="5">
        <f t="shared" si="31"/>
        <v>5191</v>
      </c>
      <c r="U15" s="5">
        <f t="shared" si="3"/>
        <v>0</v>
      </c>
      <c r="V15" s="5">
        <f t="shared" si="32"/>
        <v>500</v>
      </c>
      <c r="W15" s="309">
        <f t="shared" si="13"/>
        <v>0</v>
      </c>
      <c r="X15" s="5">
        <f t="shared" si="33"/>
        <v>155960</v>
      </c>
      <c r="Y15" s="309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7">
        <f t="shared" si="26"/>
        <v>0.9</v>
      </c>
      <c r="AT15" s="201">
        <v>0</v>
      </c>
      <c r="AU15" s="408">
        <f t="shared" si="42"/>
        <v>1.1000000000000001</v>
      </c>
      <c r="AV15" s="201">
        <v>0</v>
      </c>
      <c r="AW15" s="5">
        <v>2.9</v>
      </c>
      <c r="AX15" s="201">
        <v>0</v>
      </c>
      <c r="AY15" s="409">
        <f t="shared" si="36"/>
        <v>0</v>
      </c>
      <c r="AZ15" s="409">
        <f t="shared" si="37"/>
        <v>0</v>
      </c>
      <c r="BA15" s="409">
        <f t="shared" si="38"/>
        <v>0</v>
      </c>
      <c r="BB15" s="21">
        <f t="shared" si="39"/>
        <v>0</v>
      </c>
      <c r="BC15" s="21">
        <f t="shared" si="27"/>
        <v>0</v>
      </c>
      <c r="BD15" s="21">
        <f t="shared" si="27"/>
        <v>0</v>
      </c>
      <c r="BE15" s="24">
        <f t="shared" si="28"/>
        <v>0</v>
      </c>
      <c r="BF15" s="96">
        <f t="shared" si="29"/>
        <v>0</v>
      </c>
      <c r="BG15" s="82">
        <f t="shared" si="4"/>
        <v>0</v>
      </c>
    </row>
    <row r="16" spans="1:65" ht="1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30"/>
        <v>630767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0"/>
        <v>0</v>
      </c>
      <c r="M16" s="393">
        <f t="shared" si="11"/>
        <v>457.44</v>
      </c>
      <c r="N16" s="482">
        <f t="shared" si="43"/>
        <v>0</v>
      </c>
      <c r="O16" s="393">
        <f t="shared" si="12"/>
        <v>529.52</v>
      </c>
      <c r="P16" s="482">
        <f t="shared" si="44"/>
        <v>0</v>
      </c>
      <c r="Q16" s="482">
        <f t="shared" si="45"/>
        <v>0</v>
      </c>
      <c r="R16" s="484"/>
      <c r="S16" s="484"/>
      <c r="T16" s="5">
        <f t="shared" si="31"/>
        <v>5191</v>
      </c>
      <c r="U16" s="5">
        <f t="shared" si="3"/>
        <v>0</v>
      </c>
      <c r="V16" s="5">
        <f t="shared" si="32"/>
        <v>500</v>
      </c>
      <c r="W16" s="309">
        <f t="shared" si="13"/>
        <v>0</v>
      </c>
      <c r="X16" s="5">
        <f t="shared" si="33"/>
        <v>155960</v>
      </c>
      <c r="Y16" s="309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5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7">
        <f t="shared" si="26"/>
        <v>0.9</v>
      </c>
      <c r="AT16" s="201">
        <v>0</v>
      </c>
      <c r="AU16" s="408">
        <f t="shared" si="42"/>
        <v>1.1000000000000001</v>
      </c>
      <c r="AV16" s="201">
        <v>0</v>
      </c>
      <c r="AW16" s="5">
        <v>2.9</v>
      </c>
      <c r="AX16" s="201">
        <v>0</v>
      </c>
      <c r="AY16" s="409">
        <f t="shared" si="36"/>
        <v>0</v>
      </c>
      <c r="AZ16" s="409">
        <f t="shared" si="37"/>
        <v>0</v>
      </c>
      <c r="BA16" s="409">
        <f t="shared" si="38"/>
        <v>0</v>
      </c>
      <c r="BB16" s="21">
        <f t="shared" si="39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30"/>
        <v>630767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0"/>
        <v>0</v>
      </c>
      <c r="M17" s="393">
        <f t="shared" si="11"/>
        <v>457.44</v>
      </c>
      <c r="N17" s="482">
        <f t="shared" si="43"/>
        <v>0</v>
      </c>
      <c r="O17" s="393">
        <f t="shared" si="12"/>
        <v>529.52</v>
      </c>
      <c r="P17" s="482">
        <f t="shared" si="44"/>
        <v>0</v>
      </c>
      <c r="Q17" s="482">
        <f t="shared" si="45"/>
        <v>0</v>
      </c>
      <c r="R17" s="482"/>
      <c r="S17" s="482"/>
      <c r="T17" s="5">
        <f t="shared" si="31"/>
        <v>5191</v>
      </c>
      <c r="U17" s="5">
        <f t="shared" si="3"/>
        <v>0</v>
      </c>
      <c r="V17" s="5">
        <f t="shared" si="32"/>
        <v>500</v>
      </c>
      <c r="W17" s="309">
        <f t="shared" si="13"/>
        <v>0</v>
      </c>
      <c r="X17" s="5">
        <v>155960</v>
      </c>
      <c r="Y17" s="309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7">
        <f t="shared" si="26"/>
        <v>0.9</v>
      </c>
      <c r="AT17" s="201">
        <v>0</v>
      </c>
      <c r="AU17" s="408">
        <f t="shared" si="42"/>
        <v>1.1000000000000001</v>
      </c>
      <c r="AV17" s="201">
        <v>0</v>
      </c>
      <c r="AW17" s="5">
        <v>2.9</v>
      </c>
      <c r="AX17" s="201">
        <v>0</v>
      </c>
      <c r="AY17" s="409">
        <f t="shared" si="36"/>
        <v>0</v>
      </c>
      <c r="AZ17" s="409">
        <f t="shared" si="37"/>
        <v>0</v>
      </c>
      <c r="BA17" s="409">
        <f t="shared" si="38"/>
        <v>0</v>
      </c>
      <c r="BB17" s="21">
        <f t="shared" si="39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30"/>
        <v>630767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0"/>
        <v>0</v>
      </c>
      <c r="M18" s="393">
        <f t="shared" si="11"/>
        <v>457.44</v>
      </c>
      <c r="N18" s="482">
        <f t="shared" si="43"/>
        <v>0</v>
      </c>
      <c r="O18" s="393">
        <f t="shared" si="12"/>
        <v>529.52</v>
      </c>
      <c r="P18" s="482">
        <f t="shared" si="44"/>
        <v>0</v>
      </c>
      <c r="Q18" s="482">
        <f t="shared" si="45"/>
        <v>0</v>
      </c>
      <c r="R18" s="482"/>
      <c r="S18" s="482"/>
      <c r="T18" s="5">
        <f t="shared" si="31"/>
        <v>5191</v>
      </c>
      <c r="U18" s="5">
        <f t="shared" si="3"/>
        <v>0</v>
      </c>
      <c r="V18" s="5">
        <f t="shared" si="32"/>
        <v>500</v>
      </c>
      <c r="W18" s="309">
        <f t="shared" si="13"/>
        <v>0</v>
      </c>
      <c r="X18" s="5">
        <f t="shared" si="33"/>
        <v>155960</v>
      </c>
      <c r="Y18" s="309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7">
        <f t="shared" si="26"/>
        <v>0.9</v>
      </c>
      <c r="AT18" s="201">
        <v>0</v>
      </c>
      <c r="AU18" s="408">
        <f t="shared" si="42"/>
        <v>1.1000000000000001</v>
      </c>
      <c r="AV18" s="201">
        <v>0</v>
      </c>
      <c r="AW18" s="5">
        <v>2.9</v>
      </c>
      <c r="AX18" s="201">
        <v>0</v>
      </c>
      <c r="AY18" s="409">
        <f t="shared" si="36"/>
        <v>0</v>
      </c>
      <c r="AZ18" s="409">
        <f t="shared" si="37"/>
        <v>0</v>
      </c>
      <c r="BA18" s="409">
        <f t="shared" si="38"/>
        <v>0</v>
      </c>
      <c r="BB18" s="21">
        <f t="shared" si="39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30"/>
        <v>630767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0"/>
        <v>0</v>
      </c>
      <c r="M19" s="393">
        <f t="shared" si="11"/>
        <v>457.44</v>
      </c>
      <c r="N19" s="482">
        <f t="shared" si="43"/>
        <v>0</v>
      </c>
      <c r="O19" s="393">
        <f t="shared" si="12"/>
        <v>529.52</v>
      </c>
      <c r="P19" s="482">
        <f t="shared" si="44"/>
        <v>0</v>
      </c>
      <c r="Q19" s="482">
        <f t="shared" si="45"/>
        <v>0</v>
      </c>
      <c r="R19" s="482"/>
      <c r="S19" s="482"/>
      <c r="T19" s="5">
        <f t="shared" si="31"/>
        <v>5191</v>
      </c>
      <c r="U19" s="5">
        <f t="shared" si="3"/>
        <v>0</v>
      </c>
      <c r="V19" s="5">
        <f t="shared" si="32"/>
        <v>500</v>
      </c>
      <c r="W19" s="309">
        <f t="shared" si="13"/>
        <v>0</v>
      </c>
      <c r="X19" s="5">
        <f t="shared" si="33"/>
        <v>155960</v>
      </c>
      <c r="Y19" s="309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5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7">
        <f t="shared" si="26"/>
        <v>0.9</v>
      </c>
      <c r="AT19" s="201">
        <v>0</v>
      </c>
      <c r="AU19" s="408">
        <f t="shared" si="42"/>
        <v>1.1000000000000001</v>
      </c>
      <c r="AV19" s="201">
        <v>0</v>
      </c>
      <c r="AW19" s="5">
        <v>2.9</v>
      </c>
      <c r="AX19" s="201">
        <v>0</v>
      </c>
      <c r="AY19" s="409">
        <f>AS19*AT19</f>
        <v>0</v>
      </c>
      <c r="AZ19" s="409">
        <f>AU19*AV19</f>
        <v>0</v>
      </c>
      <c r="BA19" s="409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30"/>
        <v>630767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0"/>
        <v>0</v>
      </c>
      <c r="M20" s="393">
        <f t="shared" si="11"/>
        <v>457.44</v>
      </c>
      <c r="N20" s="482">
        <f t="shared" si="43"/>
        <v>0</v>
      </c>
      <c r="O20" s="393">
        <f t="shared" si="12"/>
        <v>529.52</v>
      </c>
      <c r="P20" s="482">
        <f t="shared" si="44"/>
        <v>0</v>
      </c>
      <c r="Q20" s="482">
        <f t="shared" si="45"/>
        <v>0</v>
      </c>
      <c r="R20" s="482"/>
      <c r="S20" s="482"/>
      <c r="T20" s="5">
        <f t="shared" si="31"/>
        <v>5191</v>
      </c>
      <c r="U20" s="5">
        <f t="shared" si="3"/>
        <v>0</v>
      </c>
      <c r="V20" s="5">
        <f t="shared" si="32"/>
        <v>500</v>
      </c>
      <c r="W20" s="309">
        <f t="shared" si="13"/>
        <v>0</v>
      </c>
      <c r="X20" s="5">
        <f t="shared" si="33"/>
        <v>155960</v>
      </c>
      <c r="Y20" s="309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5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7">
        <f t="shared" si="26"/>
        <v>0.9</v>
      </c>
      <c r="AT20" s="201">
        <v>0</v>
      </c>
      <c r="AU20" s="408">
        <f t="shared" si="42"/>
        <v>1.1000000000000001</v>
      </c>
      <c r="AV20" s="201">
        <v>0</v>
      </c>
      <c r="AW20" s="5">
        <v>2.9</v>
      </c>
      <c r="AX20" s="201">
        <v>0</v>
      </c>
      <c r="AY20" s="409">
        <f>AS20*AT20</f>
        <v>0</v>
      </c>
      <c r="AZ20" s="409">
        <f>AU20*AV20</f>
        <v>0</v>
      </c>
      <c r="BA20" s="409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30"/>
        <v>630767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0"/>
        <v>0</v>
      </c>
      <c r="M21" s="393">
        <f t="shared" si="11"/>
        <v>457.44</v>
      </c>
      <c r="N21" s="482">
        <f t="shared" si="43"/>
        <v>0</v>
      </c>
      <c r="O21" s="393">
        <f t="shared" si="12"/>
        <v>529.52</v>
      </c>
      <c r="P21" s="482">
        <f t="shared" si="44"/>
        <v>0</v>
      </c>
      <c r="Q21" s="482">
        <f t="shared" si="45"/>
        <v>0</v>
      </c>
      <c r="R21" s="482"/>
      <c r="S21" s="482"/>
      <c r="T21" s="5">
        <f t="shared" si="31"/>
        <v>5191</v>
      </c>
      <c r="U21" s="5">
        <f t="shared" si="3"/>
        <v>0</v>
      </c>
      <c r="V21" s="5">
        <f t="shared" si="32"/>
        <v>500</v>
      </c>
      <c r="W21" s="309">
        <f t="shared" si="13"/>
        <v>0</v>
      </c>
      <c r="X21" s="5">
        <f t="shared" si="33"/>
        <v>155960</v>
      </c>
      <c r="Y21" s="309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7">
        <f t="shared" si="26"/>
        <v>0.9</v>
      </c>
      <c r="AT21" s="201">
        <v>0</v>
      </c>
      <c r="AU21" s="408">
        <f t="shared" si="42"/>
        <v>1.1000000000000001</v>
      </c>
      <c r="AV21" s="201">
        <v>0</v>
      </c>
      <c r="AW21" s="5">
        <v>2.9</v>
      </c>
      <c r="AX21" s="201">
        <v>0</v>
      </c>
      <c r="AY21" s="409">
        <f>AS21*AT21</f>
        <v>0</v>
      </c>
      <c r="AZ21" s="409">
        <f>AU21*AV21</f>
        <v>0</v>
      </c>
      <c r="BA21" s="409">
        <f>AW21*AX21</f>
        <v>0</v>
      </c>
      <c r="BB21" s="21">
        <f t="shared" si="39"/>
        <v>0</v>
      </c>
      <c r="BC21" s="21">
        <f t="shared" si="27"/>
        <v>0</v>
      </c>
      <c r="BD21" s="21">
        <f t="shared" si="27"/>
        <v>0</v>
      </c>
      <c r="BE21" s="24">
        <f t="shared" si="28"/>
        <v>0</v>
      </c>
      <c r="BF21" s="96">
        <f t="shared" si="29"/>
        <v>0</v>
      </c>
      <c r="BG21" s="82">
        <f t="shared" si="4"/>
        <v>0</v>
      </c>
    </row>
    <row r="22" spans="1:61" ht="15" thickBot="1">
      <c r="A22" s="6">
        <f>ELEC!C20</f>
        <v>44851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30"/>
        <v>630767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0"/>
        <v>0</v>
      </c>
      <c r="M22" s="393">
        <f t="shared" si="11"/>
        <v>457.44</v>
      </c>
      <c r="N22" s="482">
        <f t="shared" si="43"/>
        <v>0</v>
      </c>
      <c r="O22" s="393">
        <f t="shared" si="12"/>
        <v>529.52</v>
      </c>
      <c r="P22" s="482">
        <f t="shared" si="44"/>
        <v>0</v>
      </c>
      <c r="Q22" s="482">
        <f t="shared" si="45"/>
        <v>0</v>
      </c>
      <c r="R22" s="482"/>
      <c r="S22" s="482"/>
      <c r="T22" s="5">
        <f t="shared" si="31"/>
        <v>5191</v>
      </c>
      <c r="U22" s="5">
        <f t="shared" si="3"/>
        <v>0</v>
      </c>
      <c r="V22" s="5">
        <f t="shared" si="32"/>
        <v>500</v>
      </c>
      <c r="W22" s="309">
        <f t="shared" si="13"/>
        <v>0</v>
      </c>
      <c r="X22" s="5">
        <f t="shared" si="33"/>
        <v>155960</v>
      </c>
      <c r="Y22" s="309">
        <f t="shared" si="41"/>
        <v>0</v>
      </c>
      <c r="Z22" s="5">
        <f t="shared" si="14"/>
        <v>99668</v>
      </c>
      <c r="AA22" s="83">
        <f t="shared" si="15"/>
        <v>0</v>
      </c>
      <c r="AB22" s="5">
        <f t="shared" si="16"/>
        <v>254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5"/>
        <v>0</v>
      </c>
      <c r="AL22" s="312">
        <f t="shared" si="24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7">
        <f t="shared" ref="AS22:AS33" si="47">AS21</f>
        <v>0.9</v>
      </c>
      <c r="AT22" s="201">
        <v>0</v>
      </c>
      <c r="AU22" s="408">
        <f t="shared" si="42"/>
        <v>1.1000000000000001</v>
      </c>
      <c r="AV22" s="201">
        <v>0</v>
      </c>
      <c r="AW22" s="5">
        <v>2.9</v>
      </c>
      <c r="AX22" s="201">
        <v>0</v>
      </c>
      <c r="AY22" s="409">
        <f t="shared" si="36"/>
        <v>0</v>
      </c>
      <c r="AZ22" s="409">
        <f t="shared" si="37"/>
        <v>0</v>
      </c>
      <c r="BA22" s="409">
        <f t="shared" si="38"/>
        <v>0</v>
      </c>
      <c r="BB22" s="21">
        <f t="shared" si="39"/>
        <v>0</v>
      </c>
      <c r="BC22" s="21">
        <f t="shared" ref="BC22:BD33" si="48">AZ22-AZ21</f>
        <v>0</v>
      </c>
      <c r="BD22" s="21">
        <f t="shared" si="48"/>
        <v>0</v>
      </c>
      <c r="BE22" s="24">
        <f t="shared" si="28"/>
        <v>0</v>
      </c>
      <c r="BF22" s="96">
        <f t="shared" si="29"/>
        <v>0</v>
      </c>
      <c r="BG22" s="82">
        <f t="shared" si="4"/>
        <v>0</v>
      </c>
    </row>
    <row r="23" spans="1:61" ht="1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30"/>
        <v>630767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0"/>
        <v>0</v>
      </c>
      <c r="M23" s="393">
        <f t="shared" si="11"/>
        <v>457.44</v>
      </c>
      <c r="N23" s="482">
        <f t="shared" si="43"/>
        <v>0</v>
      </c>
      <c r="O23" s="393">
        <f t="shared" si="12"/>
        <v>529.52</v>
      </c>
      <c r="P23" s="482">
        <f t="shared" si="44"/>
        <v>0</v>
      </c>
      <c r="Q23" s="482">
        <f t="shared" si="45"/>
        <v>0</v>
      </c>
      <c r="R23" s="484"/>
      <c r="S23" s="484"/>
      <c r="T23" s="5">
        <f t="shared" si="31"/>
        <v>5191</v>
      </c>
      <c r="U23" s="5">
        <f t="shared" si="3"/>
        <v>0</v>
      </c>
      <c r="V23" s="5">
        <f t="shared" si="32"/>
        <v>500</v>
      </c>
      <c r="W23" s="309">
        <f t="shared" si="13"/>
        <v>0</v>
      </c>
      <c r="X23" s="5">
        <f t="shared" si="33"/>
        <v>155960</v>
      </c>
      <c r="Y23" s="309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254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5"/>
        <v>0</v>
      </c>
      <c r="AL23" s="312">
        <f t="shared" si="24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7">
        <f t="shared" si="47"/>
        <v>0.9</v>
      </c>
      <c r="AT23" s="201">
        <v>0</v>
      </c>
      <c r="AU23" s="408">
        <f t="shared" si="42"/>
        <v>1.1000000000000001</v>
      </c>
      <c r="AV23" s="201">
        <v>0</v>
      </c>
      <c r="AW23" s="5">
        <v>2.9</v>
      </c>
      <c r="AX23" s="201">
        <v>0</v>
      </c>
      <c r="AY23" s="409">
        <f t="shared" si="36"/>
        <v>0</v>
      </c>
      <c r="AZ23" s="409">
        <f t="shared" si="37"/>
        <v>0</v>
      </c>
      <c r="BA23" s="409">
        <f t="shared" si="38"/>
        <v>0</v>
      </c>
      <c r="BB23" s="21">
        <f t="shared" si="39"/>
        <v>0</v>
      </c>
      <c r="BC23" s="21">
        <f t="shared" si="48"/>
        <v>0</v>
      </c>
      <c r="BD23" s="21">
        <f t="shared" si="48"/>
        <v>0</v>
      </c>
      <c r="BE23" s="24">
        <f t="shared" si="28"/>
        <v>0</v>
      </c>
      <c r="BF23" s="96">
        <f t="shared" si="29"/>
        <v>0</v>
      </c>
      <c r="BG23" s="82">
        <f t="shared" si="4"/>
        <v>0</v>
      </c>
    </row>
    <row r="24" spans="1:61" ht="1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30"/>
        <v>630767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0"/>
        <v>0</v>
      </c>
      <c r="M24" s="393">
        <f t="shared" si="11"/>
        <v>457.44</v>
      </c>
      <c r="N24" s="482">
        <f t="shared" si="43"/>
        <v>0</v>
      </c>
      <c r="O24" s="393">
        <f t="shared" si="12"/>
        <v>529.52</v>
      </c>
      <c r="P24" s="482">
        <f t="shared" si="44"/>
        <v>0</v>
      </c>
      <c r="Q24" s="482">
        <f t="shared" si="45"/>
        <v>0</v>
      </c>
      <c r="R24" s="484"/>
      <c r="S24" s="484"/>
      <c r="T24" s="5">
        <f t="shared" si="31"/>
        <v>5191</v>
      </c>
      <c r="U24" s="5">
        <f t="shared" si="3"/>
        <v>0</v>
      </c>
      <c r="V24" s="5">
        <f t="shared" si="32"/>
        <v>500</v>
      </c>
      <c r="W24" s="309">
        <f t="shared" si="13"/>
        <v>0</v>
      </c>
      <c r="X24" s="5">
        <f t="shared" si="33"/>
        <v>155960</v>
      </c>
      <c r="Y24" s="309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254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5"/>
        <v>0</v>
      </c>
      <c r="AL24" s="312">
        <f t="shared" si="24"/>
        <v>0</v>
      </c>
      <c r="AM24" s="312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7">
        <f t="shared" si="47"/>
        <v>0.9</v>
      </c>
      <c r="AT24" s="201">
        <v>0</v>
      </c>
      <c r="AU24" s="408">
        <f t="shared" si="42"/>
        <v>1.1000000000000001</v>
      </c>
      <c r="AV24" s="201">
        <v>0</v>
      </c>
      <c r="AW24" s="5">
        <v>2.9</v>
      </c>
      <c r="AX24" s="201">
        <v>0</v>
      </c>
      <c r="AY24" s="409">
        <f t="shared" si="36"/>
        <v>0</v>
      </c>
      <c r="AZ24" s="409">
        <f t="shared" si="37"/>
        <v>0</v>
      </c>
      <c r="BA24" s="409">
        <f t="shared" si="38"/>
        <v>0</v>
      </c>
      <c r="BB24" s="21">
        <f t="shared" si="39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30"/>
        <v>630767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0"/>
        <v>0</v>
      </c>
      <c r="M25" s="393">
        <f t="shared" si="11"/>
        <v>457.44</v>
      </c>
      <c r="N25" s="482">
        <f t="shared" si="43"/>
        <v>0</v>
      </c>
      <c r="O25" s="393">
        <f t="shared" si="12"/>
        <v>529.52</v>
      </c>
      <c r="P25" s="482">
        <f t="shared" si="44"/>
        <v>0</v>
      </c>
      <c r="Q25" s="482">
        <f t="shared" si="45"/>
        <v>0</v>
      </c>
      <c r="R25" s="484"/>
      <c r="S25" s="484"/>
      <c r="T25" s="5">
        <f t="shared" si="31"/>
        <v>5191</v>
      </c>
      <c r="U25" s="5">
        <f t="shared" si="3"/>
        <v>0</v>
      </c>
      <c r="V25" s="5">
        <f t="shared" si="32"/>
        <v>500</v>
      </c>
      <c r="W25" s="309">
        <f t="shared" si="13"/>
        <v>0</v>
      </c>
      <c r="X25" s="5">
        <f t="shared" si="33"/>
        <v>155960</v>
      </c>
      <c r="Y25" s="309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254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5"/>
        <v>0</v>
      </c>
      <c r="AL25" s="312">
        <f t="shared" si="24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7">
        <f t="shared" si="47"/>
        <v>0.9</v>
      </c>
      <c r="AT25" s="201">
        <v>0</v>
      </c>
      <c r="AU25" s="408">
        <f t="shared" si="42"/>
        <v>1.1000000000000001</v>
      </c>
      <c r="AV25" s="201">
        <v>0</v>
      </c>
      <c r="AW25" s="5">
        <v>2.9</v>
      </c>
      <c r="AX25" s="201">
        <v>0</v>
      </c>
      <c r="AY25" s="409">
        <f t="shared" si="36"/>
        <v>0</v>
      </c>
      <c r="AZ25" s="409">
        <f t="shared" si="37"/>
        <v>0</v>
      </c>
      <c r="BA25" s="409">
        <f t="shared" si="38"/>
        <v>0</v>
      </c>
      <c r="BB25" s="21">
        <f t="shared" si="39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30"/>
        <v>630767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0"/>
        <v>0</v>
      </c>
      <c r="M26" s="393">
        <f t="shared" si="11"/>
        <v>457.44</v>
      </c>
      <c r="N26" s="482">
        <f t="shared" si="43"/>
        <v>0</v>
      </c>
      <c r="O26" s="393">
        <f t="shared" si="12"/>
        <v>529.52</v>
      </c>
      <c r="P26" s="482">
        <f t="shared" si="44"/>
        <v>0</v>
      </c>
      <c r="Q26" s="482">
        <f t="shared" si="45"/>
        <v>0</v>
      </c>
      <c r="R26" s="484"/>
      <c r="S26" s="484"/>
      <c r="T26" s="5">
        <f t="shared" si="31"/>
        <v>5191</v>
      </c>
      <c r="U26" s="5">
        <f t="shared" si="3"/>
        <v>0</v>
      </c>
      <c r="V26" s="5">
        <f t="shared" si="32"/>
        <v>500</v>
      </c>
      <c r="W26" s="309">
        <f t="shared" si="13"/>
        <v>0</v>
      </c>
      <c r="X26" s="5">
        <f t="shared" si="33"/>
        <v>155960</v>
      </c>
      <c r="Y26" s="309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254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7">
        <f t="shared" si="47"/>
        <v>0.9</v>
      </c>
      <c r="AT26" s="201">
        <v>0</v>
      </c>
      <c r="AU26" s="408">
        <f t="shared" si="42"/>
        <v>1.1000000000000001</v>
      </c>
      <c r="AV26" s="201">
        <v>0</v>
      </c>
      <c r="AW26" s="5">
        <v>2.9</v>
      </c>
      <c r="AX26" s="201">
        <v>0</v>
      </c>
      <c r="AY26" s="409">
        <f t="shared" si="36"/>
        <v>0</v>
      </c>
      <c r="AZ26" s="409">
        <f t="shared" si="37"/>
        <v>0</v>
      </c>
      <c r="BA26" s="409">
        <f t="shared" si="38"/>
        <v>0</v>
      </c>
      <c r="BB26" s="21">
        <f t="shared" si="39"/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0</v>
      </c>
      <c r="BG26" s="82">
        <f t="shared" si="4"/>
        <v>0</v>
      </c>
    </row>
    <row r="27" spans="1:61" ht="1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30"/>
        <v>630767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0"/>
        <v>0</v>
      </c>
      <c r="M27" s="393">
        <f t="shared" si="11"/>
        <v>457.44</v>
      </c>
      <c r="N27" s="482">
        <f t="shared" si="43"/>
        <v>0</v>
      </c>
      <c r="O27" s="393">
        <f t="shared" si="12"/>
        <v>529.52</v>
      </c>
      <c r="P27" s="482">
        <f t="shared" si="44"/>
        <v>0</v>
      </c>
      <c r="Q27" s="482">
        <f t="shared" si="45"/>
        <v>0</v>
      </c>
      <c r="R27" s="484"/>
      <c r="S27" s="484"/>
      <c r="T27" s="5">
        <f t="shared" si="31"/>
        <v>5191</v>
      </c>
      <c r="U27" s="5">
        <f t="shared" si="3"/>
        <v>0</v>
      </c>
      <c r="V27" s="5">
        <f t="shared" si="32"/>
        <v>500</v>
      </c>
      <c r="W27" s="309">
        <f t="shared" si="13"/>
        <v>0</v>
      </c>
      <c r="X27" s="5">
        <f t="shared" si="33"/>
        <v>155960</v>
      </c>
      <c r="Y27" s="309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254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5"/>
        <v>0</v>
      </c>
      <c r="AL27" s="312">
        <f t="shared" si="24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7">
        <f t="shared" si="47"/>
        <v>0.9</v>
      </c>
      <c r="AT27" s="201">
        <v>0</v>
      </c>
      <c r="AU27" s="408">
        <f t="shared" si="42"/>
        <v>1.1000000000000001</v>
      </c>
      <c r="AV27" s="201">
        <v>0</v>
      </c>
      <c r="AW27" s="5">
        <v>2.9</v>
      </c>
      <c r="AX27" s="201">
        <v>0</v>
      </c>
      <c r="AY27" s="409">
        <f t="shared" si="36"/>
        <v>0</v>
      </c>
      <c r="AZ27" s="409">
        <f t="shared" si="37"/>
        <v>0</v>
      </c>
      <c r="BA27" s="409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30"/>
        <v>630767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0"/>
        <v>0</v>
      </c>
      <c r="M28" s="393">
        <f t="shared" si="11"/>
        <v>457.44</v>
      </c>
      <c r="N28" s="482">
        <f t="shared" si="43"/>
        <v>0</v>
      </c>
      <c r="O28" s="393">
        <f t="shared" si="12"/>
        <v>529.52</v>
      </c>
      <c r="P28" s="482">
        <f t="shared" si="44"/>
        <v>0</v>
      </c>
      <c r="Q28" s="482">
        <f t="shared" si="45"/>
        <v>0</v>
      </c>
      <c r="R28" s="484"/>
      <c r="S28" s="484"/>
      <c r="T28" s="5">
        <f t="shared" si="31"/>
        <v>5191</v>
      </c>
      <c r="U28" s="5">
        <f t="shared" si="3"/>
        <v>0</v>
      </c>
      <c r="V28" s="5">
        <f t="shared" si="32"/>
        <v>500</v>
      </c>
      <c r="W28" s="309">
        <f t="shared" si="13"/>
        <v>0</v>
      </c>
      <c r="X28" s="5">
        <f t="shared" si="33"/>
        <v>155960</v>
      </c>
      <c r="Y28" s="309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254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5"/>
        <v>0</v>
      </c>
      <c r="AL28" s="312">
        <f t="shared" si="24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7">
        <f t="shared" si="47"/>
        <v>0.9</v>
      </c>
      <c r="AT28" s="201">
        <v>0</v>
      </c>
      <c r="AU28" s="408">
        <f t="shared" si="42"/>
        <v>1.1000000000000001</v>
      </c>
      <c r="AV28" s="201">
        <v>0</v>
      </c>
      <c r="AW28" s="5">
        <v>2.9</v>
      </c>
      <c r="AX28" s="201">
        <v>0</v>
      </c>
      <c r="AY28" s="409">
        <f t="shared" si="36"/>
        <v>0</v>
      </c>
      <c r="AZ28" s="409">
        <f t="shared" si="37"/>
        <v>0</v>
      </c>
      <c r="BA28" s="409">
        <f t="shared" si="38"/>
        <v>0</v>
      </c>
      <c r="BB28" s="21">
        <f t="shared" si="39"/>
        <v>0</v>
      </c>
      <c r="BC28" s="21">
        <f t="shared" si="48"/>
        <v>0</v>
      </c>
      <c r="BD28" s="21">
        <f t="shared" si="48"/>
        <v>0</v>
      </c>
      <c r="BE28" s="24">
        <f t="shared" si="28"/>
        <v>0</v>
      </c>
      <c r="BF28" s="96">
        <f t="shared" si="29"/>
        <v>0</v>
      </c>
      <c r="BG28" s="82">
        <f t="shared" si="4"/>
        <v>0</v>
      </c>
    </row>
    <row r="29" spans="1:61" ht="1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30"/>
        <v>630767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0"/>
        <v>0</v>
      </c>
      <c r="M29" s="393">
        <f t="shared" si="11"/>
        <v>457.44</v>
      </c>
      <c r="N29" s="482">
        <f t="shared" si="43"/>
        <v>0</v>
      </c>
      <c r="O29" s="393">
        <f t="shared" si="12"/>
        <v>529.52</v>
      </c>
      <c r="P29" s="482">
        <f t="shared" si="44"/>
        <v>0</v>
      </c>
      <c r="Q29" s="482">
        <f t="shared" si="45"/>
        <v>0</v>
      </c>
      <c r="R29" s="484"/>
      <c r="S29" s="484"/>
      <c r="T29" s="5">
        <f t="shared" si="31"/>
        <v>5191</v>
      </c>
      <c r="U29" s="5">
        <f t="shared" si="3"/>
        <v>0</v>
      </c>
      <c r="V29" s="5">
        <f t="shared" si="32"/>
        <v>500</v>
      </c>
      <c r="W29" s="309">
        <f t="shared" si="13"/>
        <v>0</v>
      </c>
      <c r="X29" s="5">
        <f t="shared" si="33"/>
        <v>155960</v>
      </c>
      <c r="Y29" s="309">
        <f t="shared" si="41"/>
        <v>0</v>
      </c>
      <c r="Z29" s="5">
        <f t="shared" si="14"/>
        <v>99668</v>
      </c>
      <c r="AA29" s="83">
        <f t="shared" si="15"/>
        <v>0</v>
      </c>
      <c r="AB29" s="5">
        <f t="shared" si="16"/>
        <v>254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5"/>
        <v>0</v>
      </c>
      <c r="AL29" s="312">
        <f t="shared" si="24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7">
        <f t="shared" si="47"/>
        <v>0.9</v>
      </c>
      <c r="AT29" s="201">
        <v>0</v>
      </c>
      <c r="AU29" s="408">
        <f t="shared" si="42"/>
        <v>1.1000000000000001</v>
      </c>
      <c r="AV29" s="201">
        <v>0</v>
      </c>
      <c r="AW29" s="5">
        <v>2.9</v>
      </c>
      <c r="AX29" s="201">
        <v>0</v>
      </c>
      <c r="AY29" s="409">
        <f t="shared" si="36"/>
        <v>0</v>
      </c>
      <c r="AZ29" s="409">
        <f t="shared" si="37"/>
        <v>0</v>
      </c>
      <c r="BA29" s="409">
        <f t="shared" si="38"/>
        <v>0</v>
      </c>
      <c r="BB29" s="21">
        <f t="shared" si="39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30"/>
        <v>630767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0"/>
        <v>0</v>
      </c>
      <c r="M30" s="393">
        <f t="shared" si="11"/>
        <v>457.44</v>
      </c>
      <c r="N30" s="482">
        <f t="shared" si="43"/>
        <v>0</v>
      </c>
      <c r="O30" s="393">
        <f t="shared" si="12"/>
        <v>529.52</v>
      </c>
      <c r="P30" s="482">
        <f t="shared" si="44"/>
        <v>0</v>
      </c>
      <c r="Q30" s="482">
        <f t="shared" si="45"/>
        <v>0</v>
      </c>
      <c r="R30" s="484"/>
      <c r="S30" s="484"/>
      <c r="T30" s="5">
        <f t="shared" si="31"/>
        <v>5191</v>
      </c>
      <c r="U30" s="5">
        <f t="shared" si="3"/>
        <v>0</v>
      </c>
      <c r="V30" s="5">
        <f t="shared" si="32"/>
        <v>500</v>
      </c>
      <c r="W30" s="309">
        <f t="shared" si="13"/>
        <v>0</v>
      </c>
      <c r="X30" s="5">
        <f t="shared" si="33"/>
        <v>155960</v>
      </c>
      <c r="Y30" s="309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254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5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7">
        <f t="shared" si="47"/>
        <v>0.9</v>
      </c>
      <c r="AT30" s="201">
        <v>0</v>
      </c>
      <c r="AU30" s="408">
        <f t="shared" si="42"/>
        <v>1.1000000000000001</v>
      </c>
      <c r="AV30" s="201">
        <v>0</v>
      </c>
      <c r="AW30" s="5">
        <v>2.9</v>
      </c>
      <c r="AX30" s="201">
        <v>0</v>
      </c>
      <c r="AY30" s="409">
        <f t="shared" si="36"/>
        <v>0</v>
      </c>
      <c r="AZ30" s="409">
        <f t="shared" si="37"/>
        <v>0</v>
      </c>
      <c r="BA30" s="409">
        <f t="shared" si="38"/>
        <v>0</v>
      </c>
      <c r="BB30" s="21">
        <f t="shared" si="39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30"/>
        <v>630767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0"/>
        <v>0</v>
      </c>
      <c r="M31" s="393">
        <f t="shared" si="11"/>
        <v>457.44</v>
      </c>
      <c r="N31" s="482">
        <f t="shared" si="43"/>
        <v>0</v>
      </c>
      <c r="O31" s="393">
        <f t="shared" si="12"/>
        <v>529.52</v>
      </c>
      <c r="P31" s="482">
        <f t="shared" si="44"/>
        <v>0</v>
      </c>
      <c r="Q31" s="482">
        <f t="shared" si="45"/>
        <v>0</v>
      </c>
      <c r="R31" s="484"/>
      <c r="S31" s="484"/>
      <c r="T31" s="5">
        <f t="shared" si="31"/>
        <v>5191</v>
      </c>
      <c r="U31" s="5">
        <f t="shared" si="3"/>
        <v>0</v>
      </c>
      <c r="V31" s="5">
        <f t="shared" si="32"/>
        <v>500</v>
      </c>
      <c r="W31" s="309">
        <f t="shared" si="13"/>
        <v>0</v>
      </c>
      <c r="X31" s="5">
        <f t="shared" si="33"/>
        <v>155960</v>
      </c>
      <c r="Y31" s="309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254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5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7">
        <f t="shared" si="47"/>
        <v>0.9</v>
      </c>
      <c r="AT31" s="201">
        <v>0</v>
      </c>
      <c r="AU31" s="408">
        <f t="shared" si="42"/>
        <v>1.1000000000000001</v>
      </c>
      <c r="AV31" s="201">
        <v>0</v>
      </c>
      <c r="AW31" s="5">
        <v>2.9</v>
      </c>
      <c r="AX31" s="201">
        <v>0</v>
      </c>
      <c r="AY31" s="409">
        <f t="shared" si="36"/>
        <v>0</v>
      </c>
      <c r="AZ31" s="409">
        <f>AU31*AV31</f>
        <v>0</v>
      </c>
      <c r="BA31" s="409">
        <f t="shared" si="38"/>
        <v>0</v>
      </c>
      <c r="BB31" s="21">
        <f t="shared" si="39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30"/>
        <v>630767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0"/>
        <v>0</v>
      </c>
      <c r="M32" s="393">
        <f t="shared" si="11"/>
        <v>457.44</v>
      </c>
      <c r="N32" s="482">
        <f t="shared" si="43"/>
        <v>0</v>
      </c>
      <c r="O32" s="393">
        <f t="shared" si="12"/>
        <v>529.52</v>
      </c>
      <c r="P32" s="482">
        <f t="shared" si="44"/>
        <v>0</v>
      </c>
      <c r="Q32" s="482">
        <f t="shared" si="45"/>
        <v>0</v>
      </c>
      <c r="R32" s="484"/>
      <c r="S32" s="484"/>
      <c r="T32" s="5">
        <f t="shared" si="31"/>
        <v>5191</v>
      </c>
      <c r="U32" s="5">
        <f t="shared" si="3"/>
        <v>0</v>
      </c>
      <c r="V32" s="5">
        <f t="shared" si="32"/>
        <v>500</v>
      </c>
      <c r="W32" s="309">
        <f t="shared" si="13"/>
        <v>0</v>
      </c>
      <c r="X32" s="5">
        <f t="shared" si="33"/>
        <v>155960</v>
      </c>
      <c r="Y32" s="309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254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5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7">
        <f t="shared" si="47"/>
        <v>0.9</v>
      </c>
      <c r="AT32" s="201">
        <v>0</v>
      </c>
      <c r="AU32" s="408">
        <f t="shared" si="42"/>
        <v>1.1000000000000001</v>
      </c>
      <c r="AV32" s="201">
        <v>0</v>
      </c>
      <c r="AW32" s="5">
        <v>2.9</v>
      </c>
      <c r="AX32" s="201">
        <v>0</v>
      </c>
      <c r="AY32" s="409">
        <f t="shared" si="36"/>
        <v>0</v>
      </c>
      <c r="AZ32" s="409">
        <f t="shared" si="37"/>
        <v>0</v>
      </c>
      <c r="BA32" s="409">
        <f t="shared" si="38"/>
        <v>0</v>
      </c>
      <c r="BB32" s="21">
        <f t="shared" si="39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30"/>
        <v>630767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0"/>
        <v>0</v>
      </c>
      <c r="M33" s="393">
        <f t="shared" si="11"/>
        <v>457.44</v>
      </c>
      <c r="N33" s="482">
        <f t="shared" si="43"/>
        <v>0</v>
      </c>
      <c r="O33" s="393">
        <f t="shared" si="12"/>
        <v>529.52</v>
      </c>
      <c r="P33" s="482">
        <f t="shared" si="44"/>
        <v>0</v>
      </c>
      <c r="Q33" s="482">
        <f t="shared" si="45"/>
        <v>0</v>
      </c>
      <c r="R33" s="484"/>
      <c r="S33" s="484"/>
      <c r="T33" s="5">
        <f t="shared" si="31"/>
        <v>5191</v>
      </c>
      <c r="U33" s="5">
        <f t="shared" si="3"/>
        <v>0</v>
      </c>
      <c r="V33" s="5">
        <f t="shared" si="32"/>
        <v>500</v>
      </c>
      <c r="W33" s="309">
        <f t="shared" si="13"/>
        <v>0</v>
      </c>
      <c r="X33" s="5">
        <f t="shared" si="33"/>
        <v>155960</v>
      </c>
      <c r="Y33" s="309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254</v>
      </c>
      <c r="AC33" s="5">
        <f t="shared" si="17"/>
        <v>855</v>
      </c>
      <c r="AD33" s="83">
        <f t="shared" si="34"/>
        <v>0</v>
      </c>
      <c r="AE33" s="5">
        <v>248.42</v>
      </c>
      <c r="AF33" s="83">
        <f>AE33-AE32</f>
        <v>-0.48000000000001819</v>
      </c>
      <c r="AG33" s="5">
        <f t="shared" si="20"/>
        <v>2247.41</v>
      </c>
      <c r="AH33" s="83">
        <f t="shared" si="21"/>
        <v>0</v>
      </c>
      <c r="AI33" s="83">
        <f t="shared" si="22"/>
        <v>-0.48000000000001819</v>
      </c>
      <c r="AJ33" s="311">
        <f t="shared" si="23"/>
        <v>0</v>
      </c>
      <c r="AK33" s="312">
        <f t="shared" si="35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7">
        <f t="shared" si="47"/>
        <v>0.9</v>
      </c>
      <c r="AT33" s="201">
        <v>0</v>
      </c>
      <c r="AU33" s="408">
        <f t="shared" si="42"/>
        <v>1.1000000000000001</v>
      </c>
      <c r="AV33" s="201">
        <v>0</v>
      </c>
      <c r="AW33" s="5">
        <v>2.9</v>
      </c>
      <c r="AX33" s="201">
        <v>0</v>
      </c>
      <c r="AY33" s="409">
        <f t="shared" si="36"/>
        <v>0</v>
      </c>
      <c r="AZ33" s="409">
        <f t="shared" si="37"/>
        <v>0</v>
      </c>
      <c r="BA33" s="409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2">
        <f t="shared" ref="D34:D36" si="50">C34/27</f>
        <v>0</v>
      </c>
      <c r="E34" s="318">
        <f>SUM((C34*$E$4)+(7500/'EDl log'!$A$37))</f>
        <v>241.93548387096774</v>
      </c>
      <c r="F34" s="312"/>
      <c r="G34" s="5">
        <f t="shared" si="30"/>
        <v>630767</v>
      </c>
      <c r="H34" s="5">
        <f t="shared" ref="H34:H36" si="51">G34-G33</f>
        <v>0</v>
      </c>
      <c r="I34" s="5">
        <f t="shared" ref="I34:I36" si="52">C34+H34</f>
        <v>0</v>
      </c>
      <c r="J34" s="319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3">
        <f t="shared" si="11"/>
        <v>457.44</v>
      </c>
      <c r="N34" s="482">
        <f t="shared" ref="N34:N36" si="55">SUM(M34-M33)</f>
        <v>0</v>
      </c>
      <c r="O34" s="393">
        <f t="shared" si="12"/>
        <v>529.52</v>
      </c>
      <c r="P34" s="482">
        <f t="shared" ref="P34:P36" si="56">SUM(O34-O33)</f>
        <v>0</v>
      </c>
      <c r="Q34" s="482">
        <f t="shared" ref="Q34:Q36" si="57">SUM(P34+N34)</f>
        <v>0</v>
      </c>
      <c r="R34" s="484"/>
      <c r="S34" s="484"/>
      <c r="T34" s="5">
        <f t="shared" si="31"/>
        <v>5191</v>
      </c>
      <c r="U34" s="5">
        <f t="shared" ref="U34:U36" si="58">SUM(T34-T33)</f>
        <v>0</v>
      </c>
      <c r="V34" s="5">
        <f t="shared" si="32"/>
        <v>500</v>
      </c>
      <c r="W34" s="309">
        <f t="shared" ref="W34:W36" si="59">+V34-V33</f>
        <v>0</v>
      </c>
      <c r="X34" s="5">
        <f t="shared" si="33"/>
        <v>155960</v>
      </c>
      <c r="Y34" s="309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254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248.42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1">
        <f t="shared" ref="AJ34:AJ36" si="66">+Z34-Z33</f>
        <v>0</v>
      </c>
      <c r="AK34" s="312">
        <f>SUM(Y34-L34)</f>
        <v>0</v>
      </c>
      <c r="AL34" s="312">
        <f t="shared" ref="AL34:AL36" si="67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7">
        <f t="shared" ref="AS34" si="69">AS33</f>
        <v>0.9</v>
      </c>
      <c r="AT34" s="201">
        <v>0</v>
      </c>
      <c r="AU34" s="408">
        <f t="shared" si="42"/>
        <v>1.1000000000000001</v>
      </c>
      <c r="AV34" s="201">
        <v>0</v>
      </c>
      <c r="AW34" s="5">
        <v>2.9</v>
      </c>
      <c r="AX34" s="201">
        <v>0</v>
      </c>
      <c r="AY34" s="409">
        <f t="shared" ref="AY34:AY36" si="70">AS34*AT34</f>
        <v>0</v>
      </c>
      <c r="AZ34" s="409">
        <f t="shared" ref="AZ34:AZ36" si="71">AU34*AV34</f>
        <v>0</v>
      </c>
      <c r="BA34" s="409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2">
        <f t="shared" si="50"/>
        <v>0</v>
      </c>
      <c r="E35" s="318">
        <f>SUM((C35*$E$4)+(7500/'EDl log'!$A$37))</f>
        <v>241.93548387096774</v>
      </c>
      <c r="F35" s="312"/>
      <c r="G35" s="5">
        <f t="shared" si="30"/>
        <v>630767</v>
      </c>
      <c r="H35" s="5">
        <f t="shared" si="51"/>
        <v>0</v>
      </c>
      <c r="I35" s="5">
        <f t="shared" si="52"/>
        <v>0</v>
      </c>
      <c r="J35" s="319">
        <f t="shared" si="53"/>
        <v>0</v>
      </c>
      <c r="K35" s="5">
        <f t="shared" si="10"/>
        <v>7089</v>
      </c>
      <c r="L35" s="263">
        <f t="shared" si="54"/>
        <v>0</v>
      </c>
      <c r="M35" s="393">
        <f t="shared" si="11"/>
        <v>457.44</v>
      </c>
      <c r="N35" s="482">
        <f t="shared" si="55"/>
        <v>0</v>
      </c>
      <c r="O35" s="393">
        <f t="shared" si="12"/>
        <v>529.52</v>
      </c>
      <c r="P35" s="482">
        <f t="shared" si="56"/>
        <v>0</v>
      </c>
      <c r="Q35" s="482">
        <f t="shared" si="57"/>
        <v>0</v>
      </c>
      <c r="R35" s="484"/>
      <c r="S35" s="484"/>
      <c r="T35" s="5">
        <f t="shared" si="31"/>
        <v>5191</v>
      </c>
      <c r="U35" s="5">
        <f t="shared" si="58"/>
        <v>0</v>
      </c>
      <c r="V35" s="5">
        <f t="shared" si="32"/>
        <v>500</v>
      </c>
      <c r="W35" s="309">
        <f t="shared" si="59"/>
        <v>0</v>
      </c>
      <c r="X35" s="5">
        <f t="shared" si="33"/>
        <v>155960</v>
      </c>
      <c r="Y35" s="309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254</v>
      </c>
      <c r="AC35" s="5">
        <f t="shared" si="17"/>
        <v>855</v>
      </c>
      <c r="AD35" s="83">
        <f t="shared" si="62"/>
        <v>0</v>
      </c>
      <c r="AE35" s="5">
        <f t="shared" si="18"/>
        <v>248.42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1">
        <f t="shared" si="66"/>
        <v>0</v>
      </c>
      <c r="AK35" s="312">
        <f t="shared" ref="AK35:AK36" si="78">SUM(Y35-L35)</f>
        <v>0</v>
      </c>
      <c r="AL35" s="312">
        <f t="shared" si="67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7">
        <f t="shared" ref="AS35" si="79">AS34</f>
        <v>0.9</v>
      </c>
      <c r="AT35" s="201">
        <v>0</v>
      </c>
      <c r="AU35" s="408">
        <f t="shared" si="42"/>
        <v>1.1000000000000001</v>
      </c>
      <c r="AV35" s="201">
        <v>0</v>
      </c>
      <c r="AW35" s="5">
        <v>2.9</v>
      </c>
      <c r="AX35" s="201">
        <v>0</v>
      </c>
      <c r="AY35" s="409">
        <f t="shared" si="70"/>
        <v>0</v>
      </c>
      <c r="AZ35" s="409">
        <f t="shared" si="71"/>
        <v>0</v>
      </c>
      <c r="BA35" s="409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2">
        <f t="shared" si="50"/>
        <v>0</v>
      </c>
      <c r="E36" s="318">
        <f>SUM((C36*$E$4)+(7500/'EDl log'!$A$37))</f>
        <v>241.93548387096774</v>
      </c>
      <c r="F36" s="312"/>
      <c r="G36" s="5">
        <f t="shared" si="30"/>
        <v>630767</v>
      </c>
      <c r="H36" s="5">
        <f t="shared" si="51"/>
        <v>0</v>
      </c>
      <c r="I36" s="5">
        <f t="shared" si="52"/>
        <v>0</v>
      </c>
      <c r="J36" s="319">
        <f t="shared" si="53"/>
        <v>0</v>
      </c>
      <c r="K36" s="5">
        <f t="shared" si="10"/>
        <v>7089</v>
      </c>
      <c r="L36" s="263">
        <f t="shared" si="54"/>
        <v>0</v>
      </c>
      <c r="M36" s="393">
        <f t="shared" si="11"/>
        <v>457.44</v>
      </c>
      <c r="N36" s="482">
        <f t="shared" si="55"/>
        <v>0</v>
      </c>
      <c r="O36" s="393">
        <f t="shared" si="12"/>
        <v>529.52</v>
      </c>
      <c r="P36" s="482">
        <f t="shared" si="56"/>
        <v>0</v>
      </c>
      <c r="Q36" s="482">
        <f t="shared" si="57"/>
        <v>0</v>
      </c>
      <c r="R36" s="484"/>
      <c r="S36" s="484"/>
      <c r="T36" s="5">
        <f t="shared" si="31"/>
        <v>5191</v>
      </c>
      <c r="U36" s="5">
        <f t="shared" si="58"/>
        <v>0</v>
      </c>
      <c r="V36" s="5">
        <f t="shared" si="32"/>
        <v>500</v>
      </c>
      <c r="W36" s="309">
        <f t="shared" si="59"/>
        <v>0</v>
      </c>
      <c r="X36" s="5">
        <f t="shared" si="33"/>
        <v>155960</v>
      </c>
      <c r="Y36" s="309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254</v>
      </c>
      <c r="AC36" s="5">
        <f t="shared" si="17"/>
        <v>855</v>
      </c>
      <c r="AD36" s="83">
        <f t="shared" si="62"/>
        <v>0</v>
      </c>
      <c r="AE36" s="5">
        <f t="shared" si="18"/>
        <v>248.42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1">
        <f t="shared" si="66"/>
        <v>0</v>
      </c>
      <c r="AK36" s="312">
        <f t="shared" si="78"/>
        <v>0</v>
      </c>
      <c r="AL36" s="312">
        <f t="shared" si="67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7">
        <f t="shared" ref="AS36" si="80">AS35</f>
        <v>0.9</v>
      </c>
      <c r="AT36" s="201">
        <v>0</v>
      </c>
      <c r="AU36" s="408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9">
        <f t="shared" si="70"/>
        <v>0</v>
      </c>
      <c r="AZ36" s="409">
        <f t="shared" si="71"/>
        <v>0</v>
      </c>
      <c r="BA36" s="409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199</v>
      </c>
      <c r="I37" s="395">
        <f>SUM(I6:I36)</f>
        <v>199</v>
      </c>
      <c r="L37" s="258">
        <f>SUM(L7:L36)</f>
        <v>0</v>
      </c>
      <c r="M37" s="547"/>
      <c r="N37" s="547"/>
      <c r="O37" s="547"/>
      <c r="P37" s="547"/>
      <c r="Q37" s="397">
        <f>SUM(Q6:Q36)</f>
        <v>0</v>
      </c>
      <c r="R37" s="547"/>
      <c r="S37" s="547"/>
      <c r="T37" s="547"/>
      <c r="U37" s="547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2"/>
      <c r="AT37" s="201"/>
      <c r="AU37" s="562"/>
      <c r="AV37" s="564"/>
      <c r="AW37" s="563"/>
      <c r="AX37" s="563"/>
      <c r="AY37" s="563"/>
      <c r="AZ37" s="564"/>
      <c r="BA37" s="564"/>
      <c r="BB37" s="564"/>
      <c r="BC37" s="564"/>
      <c r="BD37" s="564"/>
      <c r="BE37" s="565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199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199</v>
      </c>
      <c r="H39" s="1">
        <f>SUM(H38+C38)</f>
        <v>7500</v>
      </c>
      <c r="K39" s="1">
        <f>SUM(H39/G39)</f>
        <v>37.688442211055275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R6" sqref="R6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" thickBot="1">
      <c r="A3" s="4">
        <f>ELEC!C4</f>
        <v>44835</v>
      </c>
      <c r="B3" s="260">
        <f>[2]GEN!$B$32</f>
        <v>1058</v>
      </c>
      <c r="C3" s="276">
        <f>B3-B2</f>
        <v>0</v>
      </c>
      <c r="D3" s="501">
        <f>D2+C3*250</f>
        <v>765376</v>
      </c>
      <c r="E3" s="276">
        <f>SUM(D3-D2)</f>
        <v>0</v>
      </c>
      <c r="F3" s="276">
        <f t="shared" ref="F3:F30" si="0">IF(C3&gt;0,E3/C3,0)</f>
        <v>0</v>
      </c>
      <c r="G3" s="260">
        <f>[5]GEN!G32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133</v>
      </c>
      <c r="K3" s="276">
        <f t="shared" ref="K3:K33" si="2">J3-J2</f>
        <v>0</v>
      </c>
      <c r="L3" s="501">
        <f>L2</f>
        <v>390191</v>
      </c>
      <c r="M3" s="276">
        <f t="shared" ref="M3:M33" si="3">SUM(L3-L2)</f>
        <v>0</v>
      </c>
      <c r="N3" s="276">
        <v>250</v>
      </c>
      <c r="O3" s="260">
        <f>[5]GEN!O32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13912</v>
      </c>
      <c r="S3" s="276">
        <f t="shared" ref="S3:S30" si="5">R3-R2</f>
        <v>0</v>
      </c>
      <c r="T3" s="501">
        <f t="shared" ref="T3:T8" si="6">T2+U3</f>
        <v>417512</v>
      </c>
      <c r="U3" s="276">
        <f t="shared" ref="U3:U8" si="7">V3*S3</f>
        <v>0</v>
      </c>
      <c r="V3" s="276">
        <v>250</v>
      </c>
      <c r="W3" s="260">
        <f>[5]GEN!W32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" thickBot="1">
      <c r="A4" s="4">
        <f>ELEC!C5</f>
        <v>44836</v>
      </c>
      <c r="B4" s="500">
        <v>1068</v>
      </c>
      <c r="C4" s="276">
        <f t="shared" ref="C4:C30" si="11">B4-B3</f>
        <v>10</v>
      </c>
      <c r="D4" s="501">
        <f>D3+C4*85</f>
        <v>766226</v>
      </c>
      <c r="E4" s="276">
        <f t="shared" ref="E4:E33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v>134</v>
      </c>
      <c r="K4" s="276">
        <f t="shared" si="2"/>
        <v>1</v>
      </c>
      <c r="L4" s="501">
        <f t="shared" ref="L4:L5" si="14">L3</f>
        <v>390191</v>
      </c>
      <c r="M4" s="276">
        <f t="shared" si="3"/>
        <v>0</v>
      </c>
      <c r="N4" s="276">
        <v>250</v>
      </c>
      <c r="O4" s="196"/>
      <c r="P4" s="277">
        <f t="shared" ref="P4:P33" si="15">P3</f>
        <v>10873</v>
      </c>
      <c r="Q4" s="276" t="str">
        <f t="shared" si="4"/>
        <v>ok</v>
      </c>
      <c r="R4" s="500">
        <f t="shared" ref="R4:R33" si="16">R3</f>
        <v>13912</v>
      </c>
      <c r="S4" s="276">
        <f t="shared" si="5"/>
        <v>0</v>
      </c>
      <c r="T4" s="501">
        <f t="shared" si="6"/>
        <v>417512</v>
      </c>
      <c r="U4" s="276">
        <f t="shared" si="7"/>
        <v>0</v>
      </c>
      <c r="V4" s="276">
        <v>250</v>
      </c>
      <c r="W4" s="196"/>
      <c r="X4" s="260">
        <f t="shared" ref="X4:X33" si="17">X3</f>
        <v>14593</v>
      </c>
      <c r="Y4" s="276" t="str">
        <f t="shared" ref="Y4:Y33" si="18">IF(R4-X4&lt;=0,"ok","oil change")</f>
        <v>ok</v>
      </c>
      <c r="Z4" s="276">
        <f t="shared" si="8"/>
        <v>11</v>
      </c>
      <c r="AA4" s="276">
        <f t="shared" ref="AA4:AA30" si="19">U4+M4+E4</f>
        <v>850</v>
      </c>
      <c r="AB4" s="276">
        <f t="shared" ref="AB4:AB30" si="20">V4+N4+F4</f>
        <v>585</v>
      </c>
      <c r="AC4" s="276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7">
        <f>SUM(AE4/1600)</f>
        <v>0.14687499999995038</v>
      </c>
      <c r="AG4" s="388">
        <f>SUM(360*AF4)</f>
        <v>52.874999999982137</v>
      </c>
      <c r="AH4" s="388">
        <f t="shared" ref="AH4:AH30" si="22">SUM(AC4-AG4)</f>
        <v>24.397727272745129</v>
      </c>
      <c r="AI4" s="73">
        <f>AD4*AJ4</f>
        <v>665.33755274239138</v>
      </c>
      <c r="AJ4" s="278">
        <f t="shared" si="9"/>
        <v>0.25738396624472576</v>
      </c>
      <c r="AK4" s="278">
        <f t="shared" si="10"/>
        <v>60.485232067490124</v>
      </c>
      <c r="AL4">
        <f t="shared" ref="AL4:AL30" si="23">IF(Z4=0,0,1)</f>
        <v>1</v>
      </c>
    </row>
    <row r="5" spans="1:38" ht="15" thickBot="1">
      <c r="A5" s="4">
        <f>ELEC!C6</f>
        <v>44837</v>
      </c>
      <c r="B5" s="500">
        <v>1079</v>
      </c>
      <c r="C5" s="276">
        <f t="shared" si="11"/>
        <v>11</v>
      </c>
      <c r="D5" s="501">
        <f t="shared" ref="D5:D33" si="24">D4+C5*85</f>
        <v>767161</v>
      </c>
      <c r="E5" s="276">
        <f t="shared" si="12"/>
        <v>935</v>
      </c>
      <c r="F5" s="276">
        <f t="shared" si="0"/>
        <v>85</v>
      </c>
      <c r="G5" s="274"/>
      <c r="H5" s="260">
        <f t="shared" si="13"/>
        <v>12231</v>
      </c>
      <c r="I5" s="276" t="str">
        <f t="shared" si="1"/>
        <v>ok</v>
      </c>
      <c r="J5" s="500">
        <f t="shared" ref="J5" si="25">J4</f>
        <v>134</v>
      </c>
      <c r="K5" s="276">
        <f t="shared" si="2"/>
        <v>0</v>
      </c>
      <c r="L5" s="501">
        <f t="shared" si="14"/>
        <v>390191</v>
      </c>
      <c r="M5" s="276">
        <f>SUM(L5-L4)</f>
        <v>0</v>
      </c>
      <c r="N5" s="276">
        <v>250</v>
      </c>
      <c r="O5" s="196"/>
      <c r="P5" s="277">
        <f t="shared" si="15"/>
        <v>10873</v>
      </c>
      <c r="Q5" s="276" t="str">
        <f t="shared" si="4"/>
        <v>ok</v>
      </c>
      <c r="R5" s="500">
        <f t="shared" si="16"/>
        <v>13912</v>
      </c>
      <c r="S5" s="276">
        <f t="shared" si="5"/>
        <v>0</v>
      </c>
      <c r="T5" s="501">
        <f t="shared" si="6"/>
        <v>417512</v>
      </c>
      <c r="U5" s="276">
        <f t="shared" si="7"/>
        <v>0</v>
      </c>
      <c r="V5" s="276">
        <v>250</v>
      </c>
      <c r="W5" s="196"/>
      <c r="X5" s="260">
        <f t="shared" si="17"/>
        <v>14593</v>
      </c>
      <c r="Y5" s="276" t="str">
        <f t="shared" si="18"/>
        <v>ok</v>
      </c>
      <c r="Z5" s="276">
        <f t="shared" si="8"/>
        <v>11</v>
      </c>
      <c r="AA5" s="276">
        <f t="shared" si="19"/>
        <v>935</v>
      </c>
      <c r="AB5" s="276">
        <f t="shared" si="20"/>
        <v>585</v>
      </c>
      <c r="AC5" s="276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7">
        <f t="shared" ref="AF5:AG30" si="27">SUM(AE5/1600)</f>
        <v>0.15954545454550581</v>
      </c>
      <c r="AG5" s="388">
        <f>SUM(320*AF5)</f>
        <v>51.054545454561861</v>
      </c>
      <c r="AH5" s="388">
        <f t="shared" si="22"/>
        <v>33.945454545438139</v>
      </c>
      <c r="AI5" s="73">
        <f t="shared" ref="AI5:AI30" si="28">AD5*AJ5</f>
        <v>722.73417721542216</v>
      </c>
      <c r="AJ5" s="278">
        <f t="shared" si="9"/>
        <v>0.25738396624472576</v>
      </c>
      <c r="AK5" s="278">
        <f t="shared" si="10"/>
        <v>65.70310701958384</v>
      </c>
      <c r="AL5">
        <f t="shared" si="23"/>
        <v>1</v>
      </c>
    </row>
    <row r="6" spans="1:38" ht="15" thickBot="1">
      <c r="A6" s="4">
        <f>ELEC!C7</f>
        <v>44838</v>
      </c>
      <c r="B6" s="500">
        <v>1088</v>
      </c>
      <c r="C6" s="276">
        <f>B6-B5</f>
        <v>9</v>
      </c>
      <c r="D6" s="501">
        <f t="shared" si="24"/>
        <v>767926</v>
      </c>
      <c r="E6" s="276">
        <f t="shared" si="12"/>
        <v>765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>J5</f>
        <v>134</v>
      </c>
      <c r="K6" s="276">
        <f t="shared" si="2"/>
        <v>0</v>
      </c>
      <c r="L6" s="501">
        <f>(K6*N5)+L5</f>
        <v>390191</v>
      </c>
      <c r="M6" s="276">
        <f t="shared" si="3"/>
        <v>0</v>
      </c>
      <c r="N6" s="276">
        <v>250</v>
      </c>
      <c r="O6" s="294"/>
      <c r="P6" s="277">
        <f t="shared" si="15"/>
        <v>10873</v>
      </c>
      <c r="Q6" s="276" t="str">
        <f t="shared" si="4"/>
        <v>ok</v>
      </c>
      <c r="R6" s="500">
        <f t="shared" si="16"/>
        <v>13912</v>
      </c>
      <c r="S6" s="276">
        <f t="shared" si="5"/>
        <v>0</v>
      </c>
      <c r="T6" s="501">
        <f t="shared" si="6"/>
        <v>417512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18"/>
        <v>ok</v>
      </c>
      <c r="Z6" s="276">
        <f t="shared" si="8"/>
        <v>9</v>
      </c>
      <c r="AA6" s="276">
        <f t="shared" si="19"/>
        <v>765</v>
      </c>
      <c r="AB6" s="276">
        <f t="shared" si="20"/>
        <v>585</v>
      </c>
      <c r="AC6" s="276">
        <f t="shared" si="21"/>
        <v>85</v>
      </c>
      <c r="AD6" s="73">
        <f>ELEC!Q7</f>
        <v>2759.0000000018335</v>
      </c>
      <c r="AE6" s="73">
        <f>SUM(AD6/Z6)</f>
        <v>306.55555555575927</v>
      </c>
      <c r="AF6" s="387">
        <f t="shared" si="27"/>
        <v>0.19159722222234954</v>
      </c>
      <c r="AG6" s="388">
        <f>SUM(320*AF6)</f>
        <v>61.311111111151853</v>
      </c>
      <c r="AH6" s="388">
        <f t="shared" si="22"/>
        <v>23.688888888848147</v>
      </c>
      <c r="AI6" s="73">
        <f t="shared" si="28"/>
        <v>710.12236286967027</v>
      </c>
      <c r="AJ6" s="278">
        <f t="shared" si="9"/>
        <v>0.25738396624472576</v>
      </c>
      <c r="AK6" s="278">
        <f t="shared" si="10"/>
        <v>78.902484763296698</v>
      </c>
      <c r="AL6">
        <f t="shared" si="23"/>
        <v>1</v>
      </c>
    </row>
    <row r="7" spans="1:38" ht="15" thickBot="1">
      <c r="A7" s="4">
        <f>ELEC!C8</f>
        <v>44839</v>
      </c>
      <c r="B7" s="500">
        <f t="shared" ref="B7:B33" si="29">B6</f>
        <v>1088</v>
      </c>
      <c r="C7" s="276">
        <f t="shared" si="11"/>
        <v>0</v>
      </c>
      <c r="D7" s="501">
        <f t="shared" si="24"/>
        <v>767926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ref="J7:J33" si="30">J6</f>
        <v>134</v>
      </c>
      <c r="K7" s="276"/>
      <c r="L7" s="501">
        <f t="shared" ref="L7:L33" si="31">(K7*N6)+L6</f>
        <v>390191</v>
      </c>
      <c r="M7" s="276">
        <f t="shared" si="3"/>
        <v>0</v>
      </c>
      <c r="N7" s="276">
        <v>250</v>
      </c>
      <c r="O7" s="294"/>
      <c r="P7" s="277">
        <f t="shared" si="15"/>
        <v>10873</v>
      </c>
      <c r="Q7" s="276" t="str">
        <f>IF(J7-P7&lt;=0,"ok","oil change")</f>
        <v>ok</v>
      </c>
      <c r="R7" s="500">
        <f t="shared" si="16"/>
        <v>13912</v>
      </c>
      <c r="S7" s="276">
        <f t="shared" si="5"/>
        <v>0</v>
      </c>
      <c r="T7" s="501">
        <f t="shared" si="6"/>
        <v>417512</v>
      </c>
      <c r="U7" s="276">
        <f>V7*S7</f>
        <v>0</v>
      </c>
      <c r="V7" s="276">
        <v>250</v>
      </c>
      <c r="W7" s="196"/>
      <c r="X7" s="260">
        <f t="shared" si="17"/>
        <v>14773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0"/>
        <v>500</v>
      </c>
      <c r="AC7" s="276">
        <f t="shared" si="21"/>
        <v>0</v>
      </c>
      <c r="AD7" s="73">
        <f>ELEC!Q8</f>
        <v>0</v>
      </c>
      <c r="AE7" s="73" t="e">
        <f t="shared" si="26"/>
        <v>#DIV/0!</v>
      </c>
      <c r="AF7" s="387" t="e">
        <f t="shared" si="27"/>
        <v>#DIV/0!</v>
      </c>
      <c r="AG7" s="387" t="e">
        <f t="shared" si="27"/>
        <v>#DIV/0!</v>
      </c>
      <c r="AH7" s="388" t="e">
        <f t="shared" si="22"/>
        <v>#DIV/0!</v>
      </c>
      <c r="AI7" s="73">
        <f t="shared" si="28"/>
        <v>0</v>
      </c>
      <c r="AJ7" s="278">
        <f t="shared" si="9"/>
        <v>0.25738396624472576</v>
      </c>
      <c r="AK7" s="278" t="e">
        <f t="shared" si="10"/>
        <v>#DIV/0!</v>
      </c>
      <c r="AL7">
        <f t="shared" si="23"/>
        <v>0</v>
      </c>
    </row>
    <row r="8" spans="1:38" ht="15" thickBot="1">
      <c r="A8" s="4">
        <f>ELEC!C9</f>
        <v>44840</v>
      </c>
      <c r="B8" s="500">
        <f t="shared" si="29"/>
        <v>1088</v>
      </c>
      <c r="C8" s="276">
        <f t="shared" si="11"/>
        <v>0</v>
      </c>
      <c r="D8" s="501">
        <f t="shared" si="24"/>
        <v>767926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30"/>
        <v>134</v>
      </c>
      <c r="K8" s="276">
        <f t="shared" si="2"/>
        <v>0</v>
      </c>
      <c r="L8" s="501">
        <f t="shared" si="31"/>
        <v>390191</v>
      </c>
      <c r="M8" s="276">
        <f t="shared" si="3"/>
        <v>0</v>
      </c>
      <c r="N8" s="276">
        <v>250</v>
      </c>
      <c r="O8" s="196"/>
      <c r="P8" s="277">
        <f t="shared" si="15"/>
        <v>10873</v>
      </c>
      <c r="Q8" s="276" t="str">
        <f t="shared" si="4"/>
        <v>ok</v>
      </c>
      <c r="R8" s="500">
        <f t="shared" si="16"/>
        <v>13912</v>
      </c>
      <c r="S8" s="276">
        <f t="shared" si="5"/>
        <v>0</v>
      </c>
      <c r="T8" s="501">
        <f t="shared" si="6"/>
        <v>417512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18"/>
        <v>ok</v>
      </c>
      <c r="Z8" s="276">
        <f t="shared" si="8"/>
        <v>0</v>
      </c>
      <c r="AA8" s="276">
        <f t="shared" si="19"/>
        <v>0</v>
      </c>
      <c r="AB8" s="276">
        <f t="shared" si="20"/>
        <v>500</v>
      </c>
      <c r="AC8" s="276">
        <f t="shared" si="21"/>
        <v>0</v>
      </c>
      <c r="AD8" s="73">
        <f>ELEC!Q9</f>
        <v>0</v>
      </c>
      <c r="AE8" s="73" t="e">
        <f>SUM(AD8/Z8)</f>
        <v>#DIV/0!</v>
      </c>
      <c r="AF8" s="387" t="e">
        <f t="shared" si="27"/>
        <v>#DIV/0!</v>
      </c>
      <c r="AG8" s="387" t="e">
        <f t="shared" si="27"/>
        <v>#DIV/0!</v>
      </c>
      <c r="AH8" s="388" t="e">
        <f t="shared" si="22"/>
        <v>#DIV/0!</v>
      </c>
      <c r="AI8" s="73">
        <f t="shared" si="28"/>
        <v>0</v>
      </c>
      <c r="AJ8" s="278">
        <f t="shared" si="9"/>
        <v>0.25738396624472576</v>
      </c>
      <c r="AK8" s="278" t="e">
        <f t="shared" si="10"/>
        <v>#DIV/0!</v>
      </c>
      <c r="AL8">
        <f t="shared" si="23"/>
        <v>0</v>
      </c>
    </row>
    <row r="9" spans="1:38" ht="15" thickBot="1">
      <c r="A9" s="4">
        <f>ELEC!C10</f>
        <v>44841</v>
      </c>
      <c r="B9" s="500">
        <f t="shared" si="29"/>
        <v>1088</v>
      </c>
      <c r="C9" s="276">
        <f t="shared" si="11"/>
        <v>0</v>
      </c>
      <c r="D9" s="501">
        <f t="shared" si="24"/>
        <v>767926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12231</v>
      </c>
      <c r="I9" s="276" t="str">
        <f t="shared" si="1"/>
        <v>ok</v>
      </c>
      <c r="J9" s="500">
        <f t="shared" si="30"/>
        <v>134</v>
      </c>
      <c r="K9" s="276">
        <f t="shared" si="2"/>
        <v>0</v>
      </c>
      <c r="L9" s="501">
        <f t="shared" si="31"/>
        <v>390191</v>
      </c>
      <c r="M9" s="276">
        <f t="shared" si="3"/>
        <v>0</v>
      </c>
      <c r="N9" s="276">
        <v>250</v>
      </c>
      <c r="O9" s="196"/>
      <c r="P9" s="277">
        <f t="shared" si="15"/>
        <v>10873</v>
      </c>
      <c r="Q9" s="276" t="str">
        <f t="shared" si="4"/>
        <v>ok</v>
      </c>
      <c r="R9" s="500">
        <f t="shared" si="16"/>
        <v>13912</v>
      </c>
      <c r="S9" s="276">
        <f t="shared" si="5"/>
        <v>0</v>
      </c>
      <c r="T9" s="501">
        <f t="shared" ref="T9:T33" si="32">T8+U9</f>
        <v>417512</v>
      </c>
      <c r="U9" s="276">
        <f t="shared" ref="U9:U30" si="33">V9*S9</f>
        <v>0</v>
      </c>
      <c r="V9" s="276">
        <v>250</v>
      </c>
      <c r="W9" s="196"/>
      <c r="X9" s="260">
        <f t="shared" si="17"/>
        <v>14773</v>
      </c>
      <c r="Y9" s="276" t="str">
        <f t="shared" si="18"/>
        <v>ok</v>
      </c>
      <c r="Z9" s="276">
        <f t="shared" si="8"/>
        <v>0</v>
      </c>
      <c r="AA9" s="276">
        <f t="shared" si="19"/>
        <v>0</v>
      </c>
      <c r="AB9" s="276">
        <f t="shared" si="20"/>
        <v>500</v>
      </c>
      <c r="AC9" s="276">
        <f t="shared" si="21"/>
        <v>0</v>
      </c>
      <c r="AD9" s="73">
        <f>ELEC!Q10</f>
        <v>0</v>
      </c>
      <c r="AE9" s="73" t="e">
        <f t="shared" si="26"/>
        <v>#DIV/0!</v>
      </c>
      <c r="AF9" s="387" t="e">
        <f t="shared" si="27"/>
        <v>#DIV/0!</v>
      </c>
      <c r="AG9" s="387" t="e">
        <f t="shared" si="27"/>
        <v>#DIV/0!</v>
      </c>
      <c r="AH9" s="388" t="e">
        <f t="shared" si="22"/>
        <v>#DIV/0!</v>
      </c>
      <c r="AI9" s="73">
        <f t="shared" si="28"/>
        <v>0</v>
      </c>
      <c r="AJ9" s="278">
        <f t="shared" si="9"/>
        <v>0.25738396624472576</v>
      </c>
      <c r="AK9" s="278" t="e">
        <f t="shared" si="10"/>
        <v>#DIV/0!</v>
      </c>
      <c r="AL9">
        <f t="shared" si="23"/>
        <v>0</v>
      </c>
    </row>
    <row r="10" spans="1:38" ht="15" thickBot="1">
      <c r="A10" s="4">
        <f>ELEC!C11</f>
        <v>44842</v>
      </c>
      <c r="B10" s="500">
        <f t="shared" si="29"/>
        <v>1088</v>
      </c>
      <c r="C10" s="276">
        <f t="shared" si="11"/>
        <v>0</v>
      </c>
      <c r="D10" s="501">
        <f t="shared" si="24"/>
        <v>767926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30"/>
        <v>134</v>
      </c>
      <c r="K10" s="276">
        <f t="shared" si="2"/>
        <v>0</v>
      </c>
      <c r="L10" s="501">
        <f t="shared" si="31"/>
        <v>390191</v>
      </c>
      <c r="M10" s="276">
        <f t="shared" si="3"/>
        <v>0</v>
      </c>
      <c r="N10" s="276">
        <v>250</v>
      </c>
      <c r="O10" s="196"/>
      <c r="P10" s="277">
        <f t="shared" si="15"/>
        <v>10873</v>
      </c>
      <c r="Q10" s="276" t="str">
        <f t="shared" si="4"/>
        <v>ok</v>
      </c>
      <c r="R10" s="500">
        <f t="shared" si="16"/>
        <v>13912</v>
      </c>
      <c r="S10" s="276">
        <f t="shared" si="5"/>
        <v>0</v>
      </c>
      <c r="T10" s="501">
        <f t="shared" si="32"/>
        <v>417512</v>
      </c>
      <c r="U10" s="276">
        <f t="shared" si="33"/>
        <v>0</v>
      </c>
      <c r="V10" s="276">
        <v>250</v>
      </c>
      <c r="W10" s="323"/>
      <c r="X10" s="260">
        <f t="shared" si="17"/>
        <v>14773</v>
      </c>
      <c r="Y10" s="276" t="str">
        <f t="shared" si="18"/>
        <v>ok</v>
      </c>
      <c r="Z10" s="276">
        <f t="shared" si="8"/>
        <v>0</v>
      </c>
      <c r="AA10" s="276">
        <f t="shared" si="19"/>
        <v>0</v>
      </c>
      <c r="AB10" s="276">
        <f t="shared" si="20"/>
        <v>500</v>
      </c>
      <c r="AC10" s="276">
        <f t="shared" si="21"/>
        <v>0</v>
      </c>
      <c r="AD10" s="73">
        <f>ELEC!Q11</f>
        <v>0</v>
      </c>
      <c r="AE10" s="73" t="e">
        <f t="shared" si="26"/>
        <v>#DIV/0!</v>
      </c>
      <c r="AF10" s="387" t="e">
        <f t="shared" si="27"/>
        <v>#DIV/0!</v>
      </c>
      <c r="AG10" s="387" t="e">
        <f t="shared" si="27"/>
        <v>#DIV/0!</v>
      </c>
      <c r="AH10" s="388" t="e">
        <f t="shared" si="22"/>
        <v>#DIV/0!</v>
      </c>
      <c r="AI10" s="73">
        <f t="shared" si="28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3"/>
        <v>0</v>
      </c>
    </row>
    <row r="11" spans="1:38" ht="15" thickBot="1">
      <c r="A11" s="4">
        <f>ELEC!C12</f>
        <v>44843</v>
      </c>
      <c r="B11" s="500">
        <f t="shared" si="29"/>
        <v>1088</v>
      </c>
      <c r="C11" s="276">
        <f t="shared" si="11"/>
        <v>0</v>
      </c>
      <c r="D11" s="501">
        <f t="shared" si="24"/>
        <v>767926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0">
        <f t="shared" si="30"/>
        <v>134</v>
      </c>
      <c r="K11" s="276">
        <f t="shared" si="2"/>
        <v>0</v>
      </c>
      <c r="L11" s="501">
        <f t="shared" si="31"/>
        <v>390191</v>
      </c>
      <c r="M11" s="276">
        <f t="shared" si="3"/>
        <v>0</v>
      </c>
      <c r="N11" s="276">
        <v>250</v>
      </c>
      <c r="O11" s="196"/>
      <c r="P11" s="277">
        <f t="shared" si="15"/>
        <v>10873</v>
      </c>
      <c r="Q11" s="276" t="str">
        <f t="shared" si="4"/>
        <v>ok</v>
      </c>
      <c r="R11" s="500">
        <f t="shared" si="16"/>
        <v>13912</v>
      </c>
      <c r="S11" s="276">
        <f t="shared" si="5"/>
        <v>0</v>
      </c>
      <c r="T11" s="501">
        <f t="shared" si="32"/>
        <v>417512</v>
      </c>
      <c r="U11" s="276">
        <f t="shared" si="33"/>
        <v>0</v>
      </c>
      <c r="V11" s="276">
        <v>250</v>
      </c>
      <c r="W11" s="323"/>
      <c r="X11" s="260">
        <f t="shared" si="17"/>
        <v>14773</v>
      </c>
      <c r="Y11" s="276" t="str">
        <f t="shared" si="18"/>
        <v>ok</v>
      </c>
      <c r="Z11" s="276">
        <f t="shared" si="8"/>
        <v>0</v>
      </c>
      <c r="AA11" s="276">
        <f t="shared" si="19"/>
        <v>0</v>
      </c>
      <c r="AB11" s="276">
        <f t="shared" si="20"/>
        <v>500</v>
      </c>
      <c r="AC11" s="276">
        <f t="shared" si="21"/>
        <v>0</v>
      </c>
      <c r="AD11" s="73">
        <f>ELEC!Q12</f>
        <v>0</v>
      </c>
      <c r="AE11" s="73" t="e">
        <f t="shared" si="26"/>
        <v>#DIV/0!</v>
      </c>
      <c r="AF11" s="387" t="e">
        <f t="shared" si="27"/>
        <v>#DIV/0!</v>
      </c>
      <c r="AG11" s="387" t="e">
        <f t="shared" si="27"/>
        <v>#DIV/0!</v>
      </c>
      <c r="AH11" s="388" t="e">
        <f t="shared" si="22"/>
        <v>#DIV/0!</v>
      </c>
      <c r="AI11" s="73">
        <f t="shared" si="28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3"/>
        <v>0</v>
      </c>
    </row>
    <row r="12" spans="1:38" ht="15" thickBot="1">
      <c r="A12" s="4">
        <f>ELEC!C13</f>
        <v>44844</v>
      </c>
      <c r="B12" s="500">
        <f t="shared" si="29"/>
        <v>1088</v>
      </c>
      <c r="C12" s="276">
        <f t="shared" si="11"/>
        <v>0</v>
      </c>
      <c r="D12" s="501">
        <f t="shared" si="24"/>
        <v>767926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0">
        <f t="shared" si="30"/>
        <v>134</v>
      </c>
      <c r="K12" s="276">
        <f t="shared" si="2"/>
        <v>0</v>
      </c>
      <c r="L12" s="501">
        <f t="shared" si="31"/>
        <v>390191</v>
      </c>
      <c r="M12" s="276">
        <f t="shared" si="3"/>
        <v>0</v>
      </c>
      <c r="N12" s="276">
        <v>250</v>
      </c>
      <c r="O12" s="196"/>
      <c r="P12" s="277">
        <f t="shared" si="15"/>
        <v>10873</v>
      </c>
      <c r="Q12" s="276" t="str">
        <f t="shared" si="4"/>
        <v>ok</v>
      </c>
      <c r="R12" s="500">
        <f t="shared" si="16"/>
        <v>13912</v>
      </c>
      <c r="S12" s="276">
        <f t="shared" si="5"/>
        <v>0</v>
      </c>
      <c r="T12" s="501">
        <f>T11+U12</f>
        <v>417512</v>
      </c>
      <c r="U12" s="276">
        <f>V12*S12</f>
        <v>0</v>
      </c>
      <c r="V12" s="276">
        <v>250</v>
      </c>
      <c r="W12" s="323"/>
      <c r="X12" s="260">
        <f t="shared" si="17"/>
        <v>14773</v>
      </c>
      <c r="Y12" s="276" t="str">
        <f t="shared" si="18"/>
        <v>ok</v>
      </c>
      <c r="Z12" s="276">
        <f t="shared" si="8"/>
        <v>0</v>
      </c>
      <c r="AA12" s="276">
        <f t="shared" si="19"/>
        <v>0</v>
      </c>
      <c r="AB12" s="276">
        <f t="shared" si="20"/>
        <v>500</v>
      </c>
      <c r="AC12" s="276">
        <f t="shared" si="21"/>
        <v>0</v>
      </c>
      <c r="AD12" s="73">
        <f>ELEC!Q13</f>
        <v>0</v>
      </c>
      <c r="AE12" s="73" t="e">
        <f t="shared" si="26"/>
        <v>#DIV/0!</v>
      </c>
      <c r="AF12" s="387" t="e">
        <f t="shared" si="27"/>
        <v>#DIV/0!</v>
      </c>
      <c r="AG12" s="387" t="e">
        <f t="shared" si="27"/>
        <v>#DIV/0!</v>
      </c>
      <c r="AH12" s="388" t="e">
        <f t="shared" si="22"/>
        <v>#DIV/0!</v>
      </c>
      <c r="AI12" s="73">
        <f t="shared" si="28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3"/>
        <v>0</v>
      </c>
    </row>
    <row r="13" spans="1:38" ht="15" thickBot="1">
      <c r="A13" s="4">
        <f>ELEC!C14</f>
        <v>44845</v>
      </c>
      <c r="B13" s="500">
        <f t="shared" si="29"/>
        <v>1088</v>
      </c>
      <c r="C13" s="276">
        <f t="shared" si="11"/>
        <v>0</v>
      </c>
      <c r="D13" s="501">
        <f t="shared" si="24"/>
        <v>767926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0">
        <f t="shared" si="30"/>
        <v>134</v>
      </c>
      <c r="K13" s="276">
        <f t="shared" si="2"/>
        <v>0</v>
      </c>
      <c r="L13" s="501">
        <f t="shared" si="31"/>
        <v>390191</v>
      </c>
      <c r="M13" s="276">
        <f t="shared" si="3"/>
        <v>0</v>
      </c>
      <c r="N13" s="276">
        <v>250</v>
      </c>
      <c r="O13" s="196"/>
      <c r="P13" s="277">
        <f t="shared" si="15"/>
        <v>10873</v>
      </c>
      <c r="Q13" s="276" t="str">
        <f t="shared" si="4"/>
        <v>ok</v>
      </c>
      <c r="R13" s="500">
        <f t="shared" si="16"/>
        <v>13912</v>
      </c>
      <c r="S13" s="276">
        <f t="shared" si="5"/>
        <v>0</v>
      </c>
      <c r="T13" s="501">
        <f t="shared" si="32"/>
        <v>417512</v>
      </c>
      <c r="U13" s="276">
        <f t="shared" si="33"/>
        <v>0</v>
      </c>
      <c r="V13" s="276">
        <v>250</v>
      </c>
      <c r="W13" s="323"/>
      <c r="X13" s="260">
        <f t="shared" si="17"/>
        <v>14773</v>
      </c>
      <c r="Y13" s="276" t="str">
        <f t="shared" si="18"/>
        <v>ok</v>
      </c>
      <c r="Z13" s="276">
        <f t="shared" si="8"/>
        <v>0</v>
      </c>
      <c r="AA13" s="276">
        <f t="shared" si="19"/>
        <v>0</v>
      </c>
      <c r="AB13" s="276">
        <f t="shared" si="20"/>
        <v>500</v>
      </c>
      <c r="AC13" s="276">
        <f t="shared" si="21"/>
        <v>0</v>
      </c>
      <c r="AD13" s="73">
        <f>ELEC!Q14</f>
        <v>0</v>
      </c>
      <c r="AE13" s="73" t="e">
        <f t="shared" si="26"/>
        <v>#DIV/0!</v>
      </c>
      <c r="AF13" s="387" t="e">
        <f t="shared" si="27"/>
        <v>#DIV/0!</v>
      </c>
      <c r="AG13" s="387" t="e">
        <f t="shared" si="27"/>
        <v>#DIV/0!</v>
      </c>
      <c r="AH13" s="388" t="e">
        <f t="shared" si="22"/>
        <v>#DIV/0!</v>
      </c>
      <c r="AI13" s="73">
        <f t="shared" si="28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3"/>
        <v>0</v>
      </c>
    </row>
    <row r="14" spans="1:38" ht="15" thickBot="1">
      <c r="A14" s="4">
        <f>ELEC!C15</f>
        <v>44846</v>
      </c>
      <c r="B14" s="500">
        <f t="shared" si="29"/>
        <v>1088</v>
      </c>
      <c r="C14" s="276">
        <f t="shared" si="11"/>
        <v>0</v>
      </c>
      <c r="D14" s="501">
        <f t="shared" si="24"/>
        <v>767926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30"/>
        <v>134</v>
      </c>
      <c r="K14" s="276">
        <f t="shared" si="2"/>
        <v>0</v>
      </c>
      <c r="L14" s="501">
        <f t="shared" si="31"/>
        <v>390191</v>
      </c>
      <c r="M14" s="276">
        <f t="shared" si="3"/>
        <v>0</v>
      </c>
      <c r="N14" s="276">
        <v>250</v>
      </c>
      <c r="O14" s="196"/>
      <c r="P14" s="277">
        <f t="shared" si="15"/>
        <v>10873</v>
      </c>
      <c r="Q14" s="276" t="str">
        <f t="shared" si="4"/>
        <v>ok</v>
      </c>
      <c r="R14" s="500">
        <f t="shared" si="16"/>
        <v>13912</v>
      </c>
      <c r="S14" s="276">
        <f t="shared" si="5"/>
        <v>0</v>
      </c>
      <c r="T14" s="501">
        <f t="shared" si="32"/>
        <v>417512</v>
      </c>
      <c r="U14" s="276">
        <f t="shared" si="33"/>
        <v>0</v>
      </c>
      <c r="V14" s="276">
        <v>250</v>
      </c>
      <c r="W14" s="323"/>
      <c r="X14" s="260">
        <f t="shared" si="17"/>
        <v>14773</v>
      </c>
      <c r="Y14" s="276" t="str">
        <f t="shared" si="18"/>
        <v>ok</v>
      </c>
      <c r="Z14" s="276">
        <f t="shared" si="8"/>
        <v>0</v>
      </c>
      <c r="AA14" s="276">
        <f t="shared" si="19"/>
        <v>0</v>
      </c>
      <c r="AB14" s="276">
        <f t="shared" si="20"/>
        <v>500</v>
      </c>
      <c r="AC14" s="276">
        <f t="shared" si="21"/>
        <v>0</v>
      </c>
      <c r="AD14" s="73">
        <f>ELEC!Q15</f>
        <v>0</v>
      </c>
      <c r="AE14" s="73" t="e">
        <f t="shared" si="26"/>
        <v>#DIV/0!</v>
      </c>
      <c r="AF14" s="387" t="e">
        <f t="shared" si="27"/>
        <v>#DIV/0!</v>
      </c>
      <c r="AG14" s="387" t="e">
        <f t="shared" si="27"/>
        <v>#DIV/0!</v>
      </c>
      <c r="AH14" s="388" t="e">
        <f t="shared" si="22"/>
        <v>#DIV/0!</v>
      </c>
      <c r="AI14" s="73">
        <f t="shared" si="28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3"/>
        <v>0</v>
      </c>
    </row>
    <row r="15" spans="1:38" ht="15" thickBot="1">
      <c r="A15" s="4">
        <f>ELEC!C16</f>
        <v>44847</v>
      </c>
      <c r="B15" s="500">
        <f t="shared" si="29"/>
        <v>1088</v>
      </c>
      <c r="C15" s="276">
        <f t="shared" si="11"/>
        <v>0</v>
      </c>
      <c r="D15" s="501">
        <f t="shared" si="24"/>
        <v>767926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30"/>
        <v>134</v>
      </c>
      <c r="K15" s="276">
        <f t="shared" si="2"/>
        <v>0</v>
      </c>
      <c r="L15" s="501">
        <f t="shared" si="31"/>
        <v>390191</v>
      </c>
      <c r="M15" s="276">
        <f t="shared" si="3"/>
        <v>0</v>
      </c>
      <c r="N15" s="276">
        <v>250</v>
      </c>
      <c r="O15" s="196"/>
      <c r="P15" s="277">
        <f t="shared" si="15"/>
        <v>10873</v>
      </c>
      <c r="Q15" s="276" t="str">
        <f t="shared" si="4"/>
        <v>ok</v>
      </c>
      <c r="R15" s="500">
        <f t="shared" si="16"/>
        <v>13912</v>
      </c>
      <c r="S15" s="276">
        <f t="shared" si="5"/>
        <v>0</v>
      </c>
      <c r="T15" s="501">
        <f t="shared" si="32"/>
        <v>417512</v>
      </c>
      <c r="U15" s="276">
        <f t="shared" si="33"/>
        <v>0</v>
      </c>
      <c r="V15" s="276">
        <v>250</v>
      </c>
      <c r="W15" s="323"/>
      <c r="X15" s="260">
        <f t="shared" si="17"/>
        <v>14773</v>
      </c>
      <c r="Y15" s="276" t="str">
        <f t="shared" si="18"/>
        <v>ok</v>
      </c>
      <c r="Z15" s="276">
        <f t="shared" si="8"/>
        <v>0</v>
      </c>
      <c r="AA15" s="276">
        <f t="shared" si="19"/>
        <v>0</v>
      </c>
      <c r="AB15" s="276">
        <f t="shared" si="20"/>
        <v>500</v>
      </c>
      <c r="AC15" s="276">
        <f t="shared" si="21"/>
        <v>0</v>
      </c>
      <c r="AD15" s="73">
        <f>ELEC!Q16</f>
        <v>0</v>
      </c>
      <c r="AE15" s="73" t="e">
        <f t="shared" si="26"/>
        <v>#DIV/0!</v>
      </c>
      <c r="AF15" s="387" t="e">
        <f t="shared" si="27"/>
        <v>#DIV/0!</v>
      </c>
      <c r="AG15" s="387" t="e">
        <f t="shared" si="27"/>
        <v>#DIV/0!</v>
      </c>
      <c r="AH15" s="388" t="e">
        <f t="shared" si="22"/>
        <v>#DIV/0!</v>
      </c>
      <c r="AI15" s="73">
        <f t="shared" si="28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3"/>
        <v>0</v>
      </c>
    </row>
    <row r="16" spans="1:38" ht="15" thickBot="1">
      <c r="A16" s="4">
        <f>ELEC!C17</f>
        <v>44848</v>
      </c>
      <c r="B16" s="500">
        <f t="shared" si="29"/>
        <v>1088</v>
      </c>
      <c r="C16" s="276">
        <f t="shared" si="11"/>
        <v>0</v>
      </c>
      <c r="D16" s="501">
        <f t="shared" si="24"/>
        <v>767926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30"/>
        <v>134</v>
      </c>
      <c r="K16" s="276">
        <f t="shared" si="2"/>
        <v>0</v>
      </c>
      <c r="L16" s="501">
        <f t="shared" si="31"/>
        <v>390191</v>
      </c>
      <c r="M16" s="276">
        <f t="shared" si="3"/>
        <v>0</v>
      </c>
      <c r="N16" s="276">
        <v>250</v>
      </c>
      <c r="O16" s="196"/>
      <c r="P16" s="277">
        <f t="shared" si="15"/>
        <v>10873</v>
      </c>
      <c r="Q16" s="276" t="str">
        <f t="shared" si="4"/>
        <v>ok</v>
      </c>
      <c r="R16" s="500">
        <f t="shared" si="16"/>
        <v>13912</v>
      </c>
      <c r="S16" s="276">
        <f t="shared" si="5"/>
        <v>0</v>
      </c>
      <c r="T16" s="501">
        <f t="shared" si="32"/>
        <v>417512</v>
      </c>
      <c r="U16" s="276">
        <f t="shared" si="33"/>
        <v>0</v>
      </c>
      <c r="V16" s="276">
        <v>250</v>
      </c>
      <c r="W16" s="323"/>
      <c r="X16" s="260">
        <f t="shared" si="17"/>
        <v>14773</v>
      </c>
      <c r="Y16" s="276" t="str">
        <f t="shared" si="18"/>
        <v>ok</v>
      </c>
      <c r="Z16" s="276">
        <f t="shared" si="8"/>
        <v>0</v>
      </c>
      <c r="AA16" s="276">
        <f t="shared" si="19"/>
        <v>0</v>
      </c>
      <c r="AB16" s="276">
        <f t="shared" si="20"/>
        <v>500</v>
      </c>
      <c r="AC16" s="276">
        <f t="shared" si="21"/>
        <v>0</v>
      </c>
      <c r="AD16" s="73">
        <f>ELEC!Q17</f>
        <v>0</v>
      </c>
      <c r="AE16" s="73" t="e">
        <f t="shared" si="26"/>
        <v>#DIV/0!</v>
      </c>
      <c r="AF16" s="387" t="e">
        <f t="shared" si="27"/>
        <v>#DIV/0!</v>
      </c>
      <c r="AG16" s="387" t="e">
        <f t="shared" si="27"/>
        <v>#DIV/0!</v>
      </c>
      <c r="AH16" s="388" t="e">
        <f t="shared" si="22"/>
        <v>#DIV/0!</v>
      </c>
      <c r="AI16" s="73">
        <f t="shared" si="28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3"/>
        <v>0</v>
      </c>
    </row>
    <row r="17" spans="1:38" ht="15" thickBot="1">
      <c r="A17" s="4">
        <f>ELEC!C18</f>
        <v>44849</v>
      </c>
      <c r="B17" s="500">
        <f t="shared" si="29"/>
        <v>1088</v>
      </c>
      <c r="C17" s="276">
        <f t="shared" si="11"/>
        <v>0</v>
      </c>
      <c r="D17" s="501">
        <f t="shared" si="24"/>
        <v>767926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30"/>
        <v>134</v>
      </c>
      <c r="K17" s="276">
        <f t="shared" si="2"/>
        <v>0</v>
      </c>
      <c r="L17" s="501">
        <f t="shared" si="31"/>
        <v>390191</v>
      </c>
      <c r="M17" s="276">
        <f t="shared" si="3"/>
        <v>0</v>
      </c>
      <c r="N17" s="276">
        <v>250</v>
      </c>
      <c r="O17" s="196"/>
      <c r="P17" s="277">
        <f t="shared" si="15"/>
        <v>10873</v>
      </c>
      <c r="Q17" s="276" t="str">
        <f t="shared" si="4"/>
        <v>ok</v>
      </c>
      <c r="R17" s="500">
        <f t="shared" si="16"/>
        <v>13912</v>
      </c>
      <c r="S17" s="276">
        <f t="shared" si="5"/>
        <v>0</v>
      </c>
      <c r="T17" s="501">
        <f t="shared" si="32"/>
        <v>417512</v>
      </c>
      <c r="U17" s="276">
        <f t="shared" si="33"/>
        <v>0</v>
      </c>
      <c r="V17" s="276">
        <v>250</v>
      </c>
      <c r="W17" s="323"/>
      <c r="X17" s="260">
        <f t="shared" si="17"/>
        <v>14773</v>
      </c>
      <c r="Y17" s="276" t="str">
        <f t="shared" si="18"/>
        <v>ok</v>
      </c>
      <c r="Z17" s="276">
        <f t="shared" si="8"/>
        <v>0</v>
      </c>
      <c r="AA17" s="276">
        <f t="shared" si="19"/>
        <v>0</v>
      </c>
      <c r="AB17" s="276">
        <f t="shared" si="20"/>
        <v>500</v>
      </c>
      <c r="AC17" s="276">
        <f t="shared" si="21"/>
        <v>0</v>
      </c>
      <c r="AD17" s="73">
        <f>ELEC!Q18</f>
        <v>0</v>
      </c>
      <c r="AE17" s="73" t="e">
        <f t="shared" si="26"/>
        <v>#DIV/0!</v>
      </c>
      <c r="AF17" s="387" t="e">
        <f t="shared" si="27"/>
        <v>#DIV/0!</v>
      </c>
      <c r="AG17" s="387" t="e">
        <f t="shared" si="27"/>
        <v>#DIV/0!</v>
      </c>
      <c r="AH17" s="388" t="e">
        <f t="shared" si="22"/>
        <v>#DIV/0!</v>
      </c>
      <c r="AI17" s="73">
        <f t="shared" si="28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3"/>
        <v>0</v>
      </c>
    </row>
    <row r="18" spans="1:38" ht="15" thickBot="1">
      <c r="A18" s="4">
        <f>ELEC!C19</f>
        <v>44850</v>
      </c>
      <c r="B18" s="500">
        <f t="shared" si="29"/>
        <v>1088</v>
      </c>
      <c r="C18" s="276">
        <f t="shared" si="11"/>
        <v>0</v>
      </c>
      <c r="D18" s="501">
        <f t="shared" si="24"/>
        <v>767926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0">
        <f t="shared" si="30"/>
        <v>134</v>
      </c>
      <c r="K18" s="276">
        <f t="shared" si="2"/>
        <v>0</v>
      </c>
      <c r="L18" s="501">
        <f t="shared" si="31"/>
        <v>390191</v>
      </c>
      <c r="M18" s="276">
        <f t="shared" si="3"/>
        <v>0</v>
      </c>
      <c r="N18" s="276">
        <v>250</v>
      </c>
      <c r="O18" s="196"/>
      <c r="P18" s="277">
        <f t="shared" si="15"/>
        <v>10873</v>
      </c>
      <c r="Q18" s="276" t="str">
        <f>IF(J18-P14&lt;=0,"ok","oil change")</f>
        <v>ok</v>
      </c>
      <c r="R18" s="500">
        <f t="shared" si="16"/>
        <v>13912</v>
      </c>
      <c r="S18" s="276">
        <f t="shared" si="5"/>
        <v>0</v>
      </c>
      <c r="T18" s="501">
        <f t="shared" si="32"/>
        <v>417512</v>
      </c>
      <c r="U18" s="276">
        <f t="shared" si="33"/>
        <v>0</v>
      </c>
      <c r="V18" s="276">
        <v>250</v>
      </c>
      <c r="W18" s="323"/>
      <c r="X18" s="260">
        <f t="shared" si="17"/>
        <v>14773</v>
      </c>
      <c r="Y18" s="276" t="str">
        <f t="shared" si="18"/>
        <v>ok</v>
      </c>
      <c r="Z18" s="276">
        <f t="shared" si="8"/>
        <v>0</v>
      </c>
      <c r="AA18" s="276">
        <f t="shared" si="19"/>
        <v>0</v>
      </c>
      <c r="AB18" s="276">
        <f t="shared" si="20"/>
        <v>500</v>
      </c>
      <c r="AC18" s="276">
        <f t="shared" si="21"/>
        <v>0</v>
      </c>
      <c r="AD18" s="73">
        <f>ELEC!Q19</f>
        <v>0</v>
      </c>
      <c r="AE18" s="73" t="e">
        <f t="shared" si="26"/>
        <v>#DIV/0!</v>
      </c>
      <c r="AF18" s="387" t="e">
        <f t="shared" si="27"/>
        <v>#DIV/0!</v>
      </c>
      <c r="AG18" s="387" t="e">
        <f t="shared" si="27"/>
        <v>#DIV/0!</v>
      </c>
      <c r="AH18" s="388" t="e">
        <f t="shared" si="22"/>
        <v>#DIV/0!</v>
      </c>
      <c r="AI18" s="73">
        <f t="shared" si="28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3"/>
        <v>0</v>
      </c>
    </row>
    <row r="19" spans="1:38" ht="15" thickBot="1">
      <c r="A19" s="4">
        <f>ELEC!C20</f>
        <v>44851</v>
      </c>
      <c r="B19" s="500">
        <f t="shared" si="29"/>
        <v>1088</v>
      </c>
      <c r="C19" s="276">
        <f t="shared" si="11"/>
        <v>0</v>
      </c>
      <c r="D19" s="501">
        <f t="shared" si="24"/>
        <v>767926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0">
        <f t="shared" si="30"/>
        <v>134</v>
      </c>
      <c r="K19" s="276">
        <f t="shared" si="2"/>
        <v>0</v>
      </c>
      <c r="L19" s="501">
        <f t="shared" si="31"/>
        <v>390191</v>
      </c>
      <c r="M19" s="276">
        <f t="shared" si="3"/>
        <v>0</v>
      </c>
      <c r="N19" s="276">
        <v>250</v>
      </c>
      <c r="O19" s="196"/>
      <c r="P19" s="277">
        <f t="shared" si="15"/>
        <v>10873</v>
      </c>
      <c r="Q19" s="276" t="str">
        <f t="shared" ref="Q19:Q30" si="34">IF(J19-P19&lt;=0,"ok","oil change")</f>
        <v>ok</v>
      </c>
      <c r="R19" s="500">
        <f t="shared" si="16"/>
        <v>13912</v>
      </c>
      <c r="S19" s="276">
        <f t="shared" si="5"/>
        <v>0</v>
      </c>
      <c r="T19" s="501">
        <f t="shared" si="32"/>
        <v>417512</v>
      </c>
      <c r="U19" s="276">
        <f t="shared" si="33"/>
        <v>0</v>
      </c>
      <c r="V19" s="276">
        <v>250</v>
      </c>
      <c r="W19" s="323"/>
      <c r="X19" s="260">
        <f t="shared" si="17"/>
        <v>14773</v>
      </c>
      <c r="Y19" s="276" t="str">
        <f t="shared" si="18"/>
        <v>ok</v>
      </c>
      <c r="Z19" s="276">
        <f t="shared" si="8"/>
        <v>0</v>
      </c>
      <c r="AA19" s="276">
        <f t="shared" si="19"/>
        <v>0</v>
      </c>
      <c r="AB19" s="276">
        <f t="shared" si="20"/>
        <v>500</v>
      </c>
      <c r="AC19" s="276">
        <f t="shared" si="21"/>
        <v>0</v>
      </c>
      <c r="AD19" s="73">
        <f>ELEC!Q20</f>
        <v>0</v>
      </c>
      <c r="AE19" s="73" t="e">
        <f t="shared" si="26"/>
        <v>#DIV/0!</v>
      </c>
      <c r="AF19" s="387" t="e">
        <f t="shared" si="27"/>
        <v>#DIV/0!</v>
      </c>
      <c r="AG19" s="387" t="e">
        <f t="shared" si="27"/>
        <v>#DIV/0!</v>
      </c>
      <c r="AH19" s="388" t="e">
        <f t="shared" si="22"/>
        <v>#DIV/0!</v>
      </c>
      <c r="AI19" s="73">
        <f t="shared" si="28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3"/>
        <v>0</v>
      </c>
    </row>
    <row r="20" spans="1:38" ht="15" thickBot="1">
      <c r="A20" s="4">
        <f>ELEC!C21</f>
        <v>44852</v>
      </c>
      <c r="B20" s="500">
        <f t="shared" si="29"/>
        <v>1088</v>
      </c>
      <c r="C20" s="276">
        <f>B20-B19</f>
        <v>0</v>
      </c>
      <c r="D20" s="501">
        <f t="shared" si="24"/>
        <v>767926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0">
        <f t="shared" si="30"/>
        <v>134</v>
      </c>
      <c r="K20" s="276">
        <f t="shared" si="2"/>
        <v>0</v>
      </c>
      <c r="L20" s="501">
        <f t="shared" si="31"/>
        <v>390191</v>
      </c>
      <c r="M20" s="276">
        <f t="shared" si="3"/>
        <v>0</v>
      </c>
      <c r="N20" s="276">
        <v>250</v>
      </c>
      <c r="O20" s="196"/>
      <c r="P20" s="277">
        <f t="shared" si="15"/>
        <v>10873</v>
      </c>
      <c r="Q20" s="276" t="str">
        <f t="shared" si="34"/>
        <v>ok</v>
      </c>
      <c r="R20" s="500">
        <f t="shared" si="16"/>
        <v>13912</v>
      </c>
      <c r="S20" s="276">
        <f t="shared" si="5"/>
        <v>0</v>
      </c>
      <c r="T20" s="501">
        <f t="shared" si="32"/>
        <v>417512</v>
      </c>
      <c r="U20" s="276">
        <f t="shared" si="33"/>
        <v>0</v>
      </c>
      <c r="V20" s="276">
        <v>250</v>
      </c>
      <c r="W20" s="323"/>
      <c r="X20" s="260">
        <f t="shared" si="17"/>
        <v>14773</v>
      </c>
      <c r="Y20" s="276" t="str">
        <f t="shared" si="18"/>
        <v>ok</v>
      </c>
      <c r="Z20" s="276">
        <f t="shared" si="8"/>
        <v>0</v>
      </c>
      <c r="AA20" s="276">
        <f t="shared" si="19"/>
        <v>0</v>
      </c>
      <c r="AB20" s="276">
        <f t="shared" si="20"/>
        <v>500</v>
      </c>
      <c r="AC20" s="276">
        <f t="shared" si="21"/>
        <v>0</v>
      </c>
      <c r="AD20" s="73">
        <f>ELEC!Q21</f>
        <v>0</v>
      </c>
      <c r="AE20" s="73" t="e">
        <f t="shared" si="26"/>
        <v>#DIV/0!</v>
      </c>
      <c r="AF20" s="387" t="e">
        <f t="shared" si="27"/>
        <v>#DIV/0!</v>
      </c>
      <c r="AG20" s="387" t="e">
        <f t="shared" si="27"/>
        <v>#DIV/0!</v>
      </c>
      <c r="AH20" s="388" t="e">
        <f t="shared" si="22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3"/>
        <v>0</v>
      </c>
    </row>
    <row r="21" spans="1:38" ht="15" thickBot="1">
      <c r="A21" s="4">
        <f>ELEC!C22</f>
        <v>44853</v>
      </c>
      <c r="B21" s="500">
        <f t="shared" si="29"/>
        <v>1088</v>
      </c>
      <c r="C21" s="276">
        <f>B21-B20</f>
        <v>0</v>
      </c>
      <c r="D21" s="501">
        <f t="shared" si="24"/>
        <v>767926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30"/>
        <v>134</v>
      </c>
      <c r="K21" s="276">
        <f t="shared" si="2"/>
        <v>0</v>
      </c>
      <c r="L21" s="501">
        <f t="shared" si="31"/>
        <v>390191</v>
      </c>
      <c r="M21" s="276">
        <f t="shared" si="3"/>
        <v>0</v>
      </c>
      <c r="N21" s="276">
        <v>250</v>
      </c>
      <c r="O21" s="196"/>
      <c r="P21" s="277">
        <f t="shared" si="15"/>
        <v>10873</v>
      </c>
      <c r="Q21" s="276" t="str">
        <f t="shared" si="34"/>
        <v>ok</v>
      </c>
      <c r="R21" s="500">
        <f t="shared" si="16"/>
        <v>13912</v>
      </c>
      <c r="S21" s="276">
        <f t="shared" si="5"/>
        <v>0</v>
      </c>
      <c r="T21" s="501">
        <f t="shared" si="32"/>
        <v>417512</v>
      </c>
      <c r="U21" s="276">
        <f t="shared" si="33"/>
        <v>0</v>
      </c>
      <c r="V21" s="276">
        <v>250</v>
      </c>
      <c r="W21" s="196"/>
      <c r="X21" s="260">
        <f t="shared" si="17"/>
        <v>14773</v>
      </c>
      <c r="Y21" s="276" t="str">
        <f t="shared" si="18"/>
        <v>ok</v>
      </c>
      <c r="Z21" s="276">
        <f t="shared" si="8"/>
        <v>0</v>
      </c>
      <c r="AA21" s="276">
        <f t="shared" si="19"/>
        <v>0</v>
      </c>
      <c r="AB21" s="276">
        <f t="shared" si="20"/>
        <v>500</v>
      </c>
      <c r="AC21" s="276">
        <f t="shared" si="21"/>
        <v>0</v>
      </c>
      <c r="AD21" s="73">
        <f>ELEC!Q22</f>
        <v>0</v>
      </c>
      <c r="AE21" s="73" t="e">
        <f t="shared" si="26"/>
        <v>#DIV/0!</v>
      </c>
      <c r="AF21" s="387" t="e">
        <f t="shared" si="27"/>
        <v>#DIV/0!</v>
      </c>
      <c r="AG21" s="387" t="e">
        <f t="shared" si="27"/>
        <v>#DIV/0!</v>
      </c>
      <c r="AH21" s="388" t="e">
        <f t="shared" si="22"/>
        <v>#DIV/0!</v>
      </c>
      <c r="AI21" s="73">
        <f t="shared" si="28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3"/>
        <v>0</v>
      </c>
    </row>
    <row r="22" spans="1:38" ht="15" thickBot="1">
      <c r="A22" s="4">
        <f>ELEC!C23</f>
        <v>44854</v>
      </c>
      <c r="B22" s="500">
        <f t="shared" si="29"/>
        <v>1088</v>
      </c>
      <c r="C22" s="276">
        <f t="shared" si="11"/>
        <v>0</v>
      </c>
      <c r="D22" s="501">
        <f t="shared" si="24"/>
        <v>767926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30"/>
        <v>134</v>
      </c>
      <c r="K22" s="276">
        <f t="shared" si="2"/>
        <v>0</v>
      </c>
      <c r="L22" s="501">
        <f t="shared" si="31"/>
        <v>390191</v>
      </c>
      <c r="M22" s="276">
        <f t="shared" si="3"/>
        <v>0</v>
      </c>
      <c r="N22" s="276">
        <v>250</v>
      </c>
      <c r="O22" s="196"/>
      <c r="P22" s="277">
        <f t="shared" si="15"/>
        <v>10873</v>
      </c>
      <c r="Q22" s="276" t="str">
        <f t="shared" si="34"/>
        <v>ok</v>
      </c>
      <c r="R22" s="500">
        <f t="shared" si="16"/>
        <v>13912</v>
      </c>
      <c r="S22" s="276">
        <f t="shared" si="5"/>
        <v>0</v>
      </c>
      <c r="T22" s="501">
        <f t="shared" si="32"/>
        <v>417512</v>
      </c>
      <c r="U22" s="276">
        <f t="shared" si="33"/>
        <v>0</v>
      </c>
      <c r="V22" s="276">
        <v>250</v>
      </c>
      <c r="W22" s="196"/>
      <c r="X22" s="260">
        <f t="shared" si="17"/>
        <v>14773</v>
      </c>
      <c r="Y22" s="276" t="str">
        <f t="shared" si="18"/>
        <v>ok</v>
      </c>
      <c r="Z22" s="276">
        <f t="shared" si="8"/>
        <v>0</v>
      </c>
      <c r="AA22" s="276">
        <f t="shared" si="19"/>
        <v>0</v>
      </c>
      <c r="AB22" s="276">
        <f t="shared" si="20"/>
        <v>500</v>
      </c>
      <c r="AC22" s="276">
        <f t="shared" si="21"/>
        <v>0</v>
      </c>
      <c r="AD22" s="73">
        <f>ELEC!Q23</f>
        <v>0</v>
      </c>
      <c r="AE22" s="73" t="e">
        <f t="shared" si="26"/>
        <v>#DIV/0!</v>
      </c>
      <c r="AF22" s="387" t="e">
        <f t="shared" si="27"/>
        <v>#DIV/0!</v>
      </c>
      <c r="AG22" s="387" t="e">
        <f t="shared" si="27"/>
        <v>#DIV/0!</v>
      </c>
      <c r="AH22" s="388" t="e">
        <f t="shared" si="22"/>
        <v>#DIV/0!</v>
      </c>
      <c r="AI22" s="73">
        <f t="shared" si="28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3"/>
        <v>0</v>
      </c>
    </row>
    <row r="23" spans="1:38" ht="15" thickBot="1">
      <c r="A23" s="4">
        <f>ELEC!C24</f>
        <v>44855</v>
      </c>
      <c r="B23" s="500">
        <f t="shared" si="29"/>
        <v>1088</v>
      </c>
      <c r="C23" s="276">
        <f t="shared" si="11"/>
        <v>0</v>
      </c>
      <c r="D23" s="501">
        <f t="shared" si="24"/>
        <v>767926</v>
      </c>
      <c r="E23" s="276">
        <f t="shared" si="12"/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0">
        <f t="shared" si="30"/>
        <v>134</v>
      </c>
      <c r="K23" s="276">
        <f t="shared" si="2"/>
        <v>0</v>
      </c>
      <c r="L23" s="501">
        <f t="shared" si="31"/>
        <v>390191</v>
      </c>
      <c r="M23" s="276">
        <f t="shared" si="3"/>
        <v>0</v>
      </c>
      <c r="N23" s="276">
        <v>250</v>
      </c>
      <c r="O23" s="196"/>
      <c r="P23" s="277">
        <f t="shared" si="15"/>
        <v>10873</v>
      </c>
      <c r="Q23" s="276" t="str">
        <f t="shared" si="34"/>
        <v>ok</v>
      </c>
      <c r="R23" s="500">
        <f t="shared" si="16"/>
        <v>13912</v>
      </c>
      <c r="S23" s="276">
        <f>R23-R22</f>
        <v>0</v>
      </c>
      <c r="T23" s="501">
        <f t="shared" si="32"/>
        <v>417512</v>
      </c>
      <c r="U23" s="276">
        <f>V23*S23</f>
        <v>0</v>
      </c>
      <c r="V23" s="276">
        <v>250</v>
      </c>
      <c r="W23" s="196"/>
      <c r="X23" s="260">
        <f t="shared" si="17"/>
        <v>14773</v>
      </c>
      <c r="Y23" s="276" t="str">
        <f t="shared" si="18"/>
        <v>ok</v>
      </c>
      <c r="Z23" s="276">
        <f t="shared" si="8"/>
        <v>0</v>
      </c>
      <c r="AA23" s="276">
        <f t="shared" si="19"/>
        <v>0</v>
      </c>
      <c r="AB23" s="276">
        <f t="shared" si="20"/>
        <v>500</v>
      </c>
      <c r="AC23" s="276">
        <f t="shared" si="21"/>
        <v>0</v>
      </c>
      <c r="AD23" s="73">
        <f>ELEC!Q24</f>
        <v>0</v>
      </c>
      <c r="AE23" s="73" t="e">
        <f t="shared" si="26"/>
        <v>#DIV/0!</v>
      </c>
      <c r="AF23" s="387" t="e">
        <f t="shared" si="27"/>
        <v>#DIV/0!</v>
      </c>
      <c r="AG23" s="387" t="e">
        <f t="shared" si="27"/>
        <v>#DIV/0!</v>
      </c>
      <c r="AH23" s="388" t="e">
        <f t="shared" si="22"/>
        <v>#DIV/0!</v>
      </c>
      <c r="AI23" s="73">
        <f t="shared" si="28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3"/>
        <v>0</v>
      </c>
    </row>
    <row r="24" spans="1:38" ht="15" thickBot="1">
      <c r="A24" s="4">
        <f>ELEC!C25</f>
        <v>44856</v>
      </c>
      <c r="B24" s="500">
        <f t="shared" si="29"/>
        <v>1088</v>
      </c>
      <c r="C24" s="276">
        <f t="shared" si="11"/>
        <v>0</v>
      </c>
      <c r="D24" s="501">
        <f t="shared" si="24"/>
        <v>767926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0">
        <f t="shared" si="30"/>
        <v>134</v>
      </c>
      <c r="K24" s="276">
        <f t="shared" si="2"/>
        <v>0</v>
      </c>
      <c r="L24" s="501">
        <f t="shared" si="31"/>
        <v>390191</v>
      </c>
      <c r="M24" s="276">
        <f t="shared" si="3"/>
        <v>0</v>
      </c>
      <c r="N24" s="276">
        <v>250</v>
      </c>
      <c r="O24" s="196"/>
      <c r="P24" s="277">
        <f t="shared" si="15"/>
        <v>10873</v>
      </c>
      <c r="Q24" s="276" t="str">
        <f t="shared" si="34"/>
        <v>ok</v>
      </c>
      <c r="R24" s="500">
        <f t="shared" si="16"/>
        <v>13912</v>
      </c>
      <c r="S24" s="276">
        <f t="shared" si="5"/>
        <v>0</v>
      </c>
      <c r="T24" s="501">
        <f t="shared" si="32"/>
        <v>417512</v>
      </c>
      <c r="U24" s="276">
        <f t="shared" si="33"/>
        <v>0</v>
      </c>
      <c r="V24" s="276">
        <v>250</v>
      </c>
      <c r="W24" s="196"/>
      <c r="X24" s="260">
        <f t="shared" si="17"/>
        <v>14773</v>
      </c>
      <c r="Y24" s="276" t="str">
        <f t="shared" si="18"/>
        <v>ok</v>
      </c>
      <c r="Z24" s="276">
        <f t="shared" si="8"/>
        <v>0</v>
      </c>
      <c r="AA24" s="276">
        <f t="shared" si="19"/>
        <v>0</v>
      </c>
      <c r="AB24" s="276">
        <f t="shared" si="20"/>
        <v>500</v>
      </c>
      <c r="AC24" s="276">
        <f t="shared" si="21"/>
        <v>0</v>
      </c>
      <c r="AD24" s="73">
        <f>ELEC!Q25</f>
        <v>0</v>
      </c>
      <c r="AE24" s="73" t="e">
        <f t="shared" si="26"/>
        <v>#DIV/0!</v>
      </c>
      <c r="AF24" s="387" t="e">
        <f t="shared" si="27"/>
        <v>#DIV/0!</v>
      </c>
      <c r="AG24" s="387" t="e">
        <f t="shared" si="27"/>
        <v>#DIV/0!</v>
      </c>
      <c r="AH24" s="388" t="e">
        <f t="shared" si="22"/>
        <v>#DIV/0!</v>
      </c>
      <c r="AI24" s="73">
        <f t="shared" si="28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3"/>
        <v>0</v>
      </c>
    </row>
    <row r="25" spans="1:38" ht="15" thickBot="1">
      <c r="A25" s="4">
        <f>ELEC!C26</f>
        <v>44857</v>
      </c>
      <c r="B25" s="500">
        <f t="shared" si="29"/>
        <v>1088</v>
      </c>
      <c r="C25" s="276">
        <f t="shared" si="11"/>
        <v>0</v>
      </c>
      <c r="D25" s="501">
        <f t="shared" si="24"/>
        <v>767926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0">
        <f t="shared" si="30"/>
        <v>134</v>
      </c>
      <c r="K25" s="276">
        <f t="shared" si="2"/>
        <v>0</v>
      </c>
      <c r="L25" s="501">
        <f t="shared" si="31"/>
        <v>390191</v>
      </c>
      <c r="M25" s="276">
        <f t="shared" si="3"/>
        <v>0</v>
      </c>
      <c r="N25" s="276">
        <v>250</v>
      </c>
      <c r="O25" s="196"/>
      <c r="P25" s="277">
        <f t="shared" si="15"/>
        <v>10873</v>
      </c>
      <c r="Q25" s="276" t="str">
        <f t="shared" si="34"/>
        <v>ok</v>
      </c>
      <c r="R25" s="500">
        <f t="shared" si="16"/>
        <v>13912</v>
      </c>
      <c r="S25" s="276">
        <f t="shared" si="5"/>
        <v>0</v>
      </c>
      <c r="T25" s="501">
        <f t="shared" si="32"/>
        <v>417512</v>
      </c>
      <c r="U25" s="276">
        <f t="shared" si="33"/>
        <v>0</v>
      </c>
      <c r="V25" s="276">
        <v>250</v>
      </c>
      <c r="W25" s="196"/>
      <c r="X25" s="260">
        <f t="shared" si="17"/>
        <v>14773</v>
      </c>
      <c r="Y25" s="276" t="str">
        <f t="shared" si="18"/>
        <v>ok</v>
      </c>
      <c r="Z25" s="276">
        <f t="shared" si="8"/>
        <v>0</v>
      </c>
      <c r="AA25" s="276">
        <f t="shared" si="19"/>
        <v>0</v>
      </c>
      <c r="AB25" s="276">
        <f t="shared" si="20"/>
        <v>500</v>
      </c>
      <c r="AC25" s="276">
        <f t="shared" si="21"/>
        <v>0</v>
      </c>
      <c r="AD25" s="73">
        <f>ELEC!Q26</f>
        <v>0</v>
      </c>
      <c r="AE25" s="73" t="e">
        <f t="shared" si="26"/>
        <v>#DIV/0!</v>
      </c>
      <c r="AF25" s="387" t="e">
        <f t="shared" si="27"/>
        <v>#DIV/0!</v>
      </c>
      <c r="AG25" s="387" t="e">
        <f t="shared" si="27"/>
        <v>#DIV/0!</v>
      </c>
      <c r="AH25" s="388" t="e">
        <f t="shared" si="22"/>
        <v>#DIV/0!</v>
      </c>
      <c r="AI25" s="73">
        <f t="shared" si="28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3"/>
        <v>0</v>
      </c>
    </row>
    <row r="26" spans="1:38" ht="15" thickBot="1">
      <c r="A26" s="4">
        <f>ELEC!C27</f>
        <v>44858</v>
      </c>
      <c r="B26" s="500">
        <f t="shared" si="29"/>
        <v>1088</v>
      </c>
      <c r="C26" s="276">
        <f>B26-B25</f>
        <v>0</v>
      </c>
      <c r="D26" s="501">
        <f t="shared" si="24"/>
        <v>767926</v>
      </c>
      <c r="E26" s="276">
        <f t="shared" si="12"/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30"/>
        <v>134</v>
      </c>
      <c r="K26" s="276">
        <f t="shared" si="2"/>
        <v>0</v>
      </c>
      <c r="L26" s="501">
        <f t="shared" si="31"/>
        <v>390191</v>
      </c>
      <c r="M26" s="276">
        <f t="shared" si="3"/>
        <v>0</v>
      </c>
      <c r="N26" s="276">
        <v>250</v>
      </c>
      <c r="O26" s="196"/>
      <c r="P26" s="277">
        <f t="shared" si="15"/>
        <v>10873</v>
      </c>
      <c r="Q26" s="276" t="str">
        <f t="shared" si="34"/>
        <v>ok</v>
      </c>
      <c r="R26" s="500">
        <f t="shared" si="16"/>
        <v>13912</v>
      </c>
      <c r="S26" s="276">
        <f>R26-R25</f>
        <v>0</v>
      </c>
      <c r="T26" s="501">
        <f t="shared" si="32"/>
        <v>417512</v>
      </c>
      <c r="U26" s="276">
        <f t="shared" si="33"/>
        <v>0</v>
      </c>
      <c r="V26" s="276">
        <v>250</v>
      </c>
      <c r="W26" s="196"/>
      <c r="X26" s="260">
        <f>X25</f>
        <v>14773</v>
      </c>
      <c r="Y26" s="276" t="str">
        <f t="shared" si="18"/>
        <v>ok</v>
      </c>
      <c r="Z26" s="276">
        <f t="shared" si="8"/>
        <v>0</v>
      </c>
      <c r="AA26" s="276">
        <f t="shared" si="19"/>
        <v>0</v>
      </c>
      <c r="AB26" s="276">
        <f t="shared" si="20"/>
        <v>500</v>
      </c>
      <c r="AC26" s="276">
        <f t="shared" si="21"/>
        <v>0</v>
      </c>
      <c r="AD26" s="73">
        <f>ELEC!Q27</f>
        <v>0</v>
      </c>
      <c r="AE26" s="73" t="e">
        <f t="shared" si="26"/>
        <v>#DIV/0!</v>
      </c>
      <c r="AF26" s="387" t="e">
        <f t="shared" si="27"/>
        <v>#DIV/0!</v>
      </c>
      <c r="AG26" s="387" t="e">
        <f t="shared" si="27"/>
        <v>#DIV/0!</v>
      </c>
      <c r="AH26" s="388" t="e">
        <f t="shared" si="22"/>
        <v>#DIV/0!</v>
      </c>
      <c r="AI26" s="73">
        <f t="shared" si="28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3"/>
        <v>0</v>
      </c>
    </row>
    <row r="27" spans="1:38" ht="15" thickBot="1">
      <c r="A27" s="4">
        <f>ELEC!C28</f>
        <v>44859</v>
      </c>
      <c r="B27" s="500">
        <f t="shared" si="29"/>
        <v>1088</v>
      </c>
      <c r="C27" s="276">
        <f>B27-B26</f>
        <v>0</v>
      </c>
      <c r="D27" s="501">
        <f t="shared" si="24"/>
        <v>767926</v>
      </c>
      <c r="E27" s="276">
        <f t="shared" si="12"/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30"/>
        <v>134</v>
      </c>
      <c r="K27" s="276">
        <f t="shared" si="2"/>
        <v>0</v>
      </c>
      <c r="L27" s="501">
        <f t="shared" si="31"/>
        <v>390191</v>
      </c>
      <c r="M27" s="276">
        <f t="shared" si="3"/>
        <v>0</v>
      </c>
      <c r="N27" s="276">
        <v>250</v>
      </c>
      <c r="O27" s="196"/>
      <c r="P27" s="277">
        <f t="shared" si="15"/>
        <v>10873</v>
      </c>
      <c r="Q27" s="276" t="str">
        <f t="shared" si="34"/>
        <v>ok</v>
      </c>
      <c r="R27" s="500">
        <f t="shared" si="16"/>
        <v>13912</v>
      </c>
      <c r="S27" s="276">
        <f t="shared" si="5"/>
        <v>0</v>
      </c>
      <c r="T27" s="501">
        <f t="shared" si="32"/>
        <v>417512</v>
      </c>
      <c r="U27" s="276">
        <f t="shared" si="33"/>
        <v>0</v>
      </c>
      <c r="V27" s="276">
        <v>250</v>
      </c>
      <c r="W27" s="196"/>
      <c r="X27" s="260">
        <f t="shared" si="17"/>
        <v>14773</v>
      </c>
      <c r="Y27" s="276" t="str">
        <f t="shared" si="18"/>
        <v>ok</v>
      </c>
      <c r="Z27" s="276">
        <f t="shared" si="8"/>
        <v>0</v>
      </c>
      <c r="AA27" s="276">
        <f t="shared" si="19"/>
        <v>0</v>
      </c>
      <c r="AB27" s="276">
        <f t="shared" si="20"/>
        <v>500</v>
      </c>
      <c r="AC27" s="276">
        <f t="shared" si="21"/>
        <v>0</v>
      </c>
      <c r="AD27" s="73">
        <f>ELEC!Q28</f>
        <v>0</v>
      </c>
      <c r="AE27" s="73" t="e">
        <f t="shared" si="26"/>
        <v>#DIV/0!</v>
      </c>
      <c r="AF27" s="387" t="e">
        <f t="shared" si="27"/>
        <v>#DIV/0!</v>
      </c>
      <c r="AG27" s="387" t="e">
        <f t="shared" si="27"/>
        <v>#DIV/0!</v>
      </c>
      <c r="AH27" s="388" t="e">
        <f t="shared" si="22"/>
        <v>#DIV/0!</v>
      </c>
      <c r="AI27" s="73">
        <f t="shared" si="28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3"/>
        <v>0</v>
      </c>
    </row>
    <row r="28" spans="1:38" ht="15" thickBot="1">
      <c r="A28" s="4">
        <f>ELEC!C29</f>
        <v>44860</v>
      </c>
      <c r="B28" s="500">
        <f t="shared" si="29"/>
        <v>1088</v>
      </c>
      <c r="C28" s="276">
        <f t="shared" si="11"/>
        <v>0</v>
      </c>
      <c r="D28" s="501">
        <f t="shared" si="24"/>
        <v>767926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30"/>
        <v>134</v>
      </c>
      <c r="K28" s="276">
        <f t="shared" si="2"/>
        <v>0</v>
      </c>
      <c r="L28" s="501">
        <f t="shared" si="31"/>
        <v>390191</v>
      </c>
      <c r="M28" s="276">
        <f t="shared" si="3"/>
        <v>0</v>
      </c>
      <c r="N28" s="276">
        <v>250</v>
      </c>
      <c r="O28" s="196"/>
      <c r="P28" s="277">
        <f t="shared" si="15"/>
        <v>10873</v>
      </c>
      <c r="Q28" s="276" t="str">
        <f t="shared" si="34"/>
        <v>ok</v>
      </c>
      <c r="R28" s="500">
        <f t="shared" si="16"/>
        <v>13912</v>
      </c>
      <c r="S28" s="276">
        <f t="shared" si="5"/>
        <v>0</v>
      </c>
      <c r="T28" s="501">
        <f t="shared" si="32"/>
        <v>417512</v>
      </c>
      <c r="U28" s="276">
        <f t="shared" si="33"/>
        <v>0</v>
      </c>
      <c r="V28" s="276">
        <v>250</v>
      </c>
      <c r="W28" s="196"/>
      <c r="X28" s="260">
        <f t="shared" si="17"/>
        <v>14773</v>
      </c>
      <c r="Y28" s="276" t="str">
        <f t="shared" si="18"/>
        <v>ok</v>
      </c>
      <c r="Z28" s="276">
        <f t="shared" si="8"/>
        <v>0</v>
      </c>
      <c r="AA28" s="276">
        <f t="shared" si="19"/>
        <v>0</v>
      </c>
      <c r="AB28" s="276">
        <f t="shared" si="20"/>
        <v>500</v>
      </c>
      <c r="AC28" s="276">
        <f t="shared" si="21"/>
        <v>0</v>
      </c>
      <c r="AD28" s="73">
        <f>ELEC!Q29</f>
        <v>0</v>
      </c>
      <c r="AE28" s="73" t="e">
        <f t="shared" si="26"/>
        <v>#DIV/0!</v>
      </c>
      <c r="AF28" s="387" t="e">
        <f t="shared" si="27"/>
        <v>#DIV/0!</v>
      </c>
      <c r="AG28" s="387" t="e">
        <f t="shared" si="27"/>
        <v>#DIV/0!</v>
      </c>
      <c r="AH28" s="388" t="e">
        <f t="shared" si="22"/>
        <v>#DIV/0!</v>
      </c>
      <c r="AI28" s="73">
        <f t="shared" si="28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3"/>
        <v>0</v>
      </c>
    </row>
    <row r="29" spans="1:38" ht="15" thickBot="1">
      <c r="A29" s="4">
        <f>ELEC!C30</f>
        <v>44861</v>
      </c>
      <c r="B29" s="500">
        <f t="shared" si="29"/>
        <v>1088</v>
      </c>
      <c r="C29" s="276">
        <f t="shared" si="11"/>
        <v>0</v>
      </c>
      <c r="D29" s="501">
        <f t="shared" si="24"/>
        <v>767926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30"/>
        <v>134</v>
      </c>
      <c r="K29" s="276">
        <f t="shared" si="2"/>
        <v>0</v>
      </c>
      <c r="L29" s="501">
        <f t="shared" si="31"/>
        <v>390191</v>
      </c>
      <c r="M29" s="276">
        <f t="shared" si="3"/>
        <v>0</v>
      </c>
      <c r="N29" s="276">
        <v>250</v>
      </c>
      <c r="O29" s="196"/>
      <c r="P29" s="277">
        <f t="shared" si="15"/>
        <v>10873</v>
      </c>
      <c r="Q29" s="276" t="str">
        <f t="shared" si="34"/>
        <v>ok</v>
      </c>
      <c r="R29" s="500">
        <f t="shared" si="16"/>
        <v>13912</v>
      </c>
      <c r="S29" s="276">
        <f t="shared" si="5"/>
        <v>0</v>
      </c>
      <c r="T29" s="501">
        <f t="shared" si="32"/>
        <v>417512</v>
      </c>
      <c r="U29" s="276">
        <f>V29*S29</f>
        <v>0</v>
      </c>
      <c r="V29" s="276">
        <v>250</v>
      </c>
      <c r="W29" s="196"/>
      <c r="X29" s="260">
        <f t="shared" si="17"/>
        <v>14773</v>
      </c>
      <c r="Y29" s="276" t="str">
        <f t="shared" si="18"/>
        <v>ok</v>
      </c>
      <c r="Z29" s="276">
        <f t="shared" si="8"/>
        <v>0</v>
      </c>
      <c r="AA29" s="276">
        <f t="shared" si="19"/>
        <v>0</v>
      </c>
      <c r="AB29" s="276">
        <f t="shared" si="20"/>
        <v>500</v>
      </c>
      <c r="AC29" s="276">
        <f t="shared" si="21"/>
        <v>0</v>
      </c>
      <c r="AD29" s="73">
        <f>ELEC!Q30</f>
        <v>0</v>
      </c>
      <c r="AE29" s="73" t="e">
        <f t="shared" si="26"/>
        <v>#DIV/0!</v>
      </c>
      <c r="AF29" s="387" t="e">
        <f t="shared" si="27"/>
        <v>#DIV/0!</v>
      </c>
      <c r="AG29" s="387" t="e">
        <f t="shared" si="27"/>
        <v>#DIV/0!</v>
      </c>
      <c r="AH29" s="388" t="e">
        <f t="shared" si="22"/>
        <v>#DIV/0!</v>
      </c>
      <c r="AI29" s="73">
        <f t="shared" si="28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3"/>
        <v>0</v>
      </c>
    </row>
    <row r="30" spans="1:38" ht="15" thickBot="1">
      <c r="A30" s="4">
        <f>ELEC!C31</f>
        <v>44862</v>
      </c>
      <c r="B30" s="500">
        <f t="shared" si="29"/>
        <v>1088</v>
      </c>
      <c r="C30" s="276">
        <f t="shared" si="11"/>
        <v>0</v>
      </c>
      <c r="D30" s="501">
        <f t="shared" si="24"/>
        <v>767926</v>
      </c>
      <c r="E30" s="276">
        <f t="shared" si="12"/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30"/>
        <v>134</v>
      </c>
      <c r="K30" s="276">
        <f t="shared" si="2"/>
        <v>0</v>
      </c>
      <c r="L30" s="501">
        <f t="shared" si="31"/>
        <v>390191</v>
      </c>
      <c r="M30" s="276">
        <f t="shared" si="3"/>
        <v>0</v>
      </c>
      <c r="N30" s="276">
        <v>250</v>
      </c>
      <c r="O30" s="196"/>
      <c r="P30" s="277">
        <f t="shared" si="15"/>
        <v>10873</v>
      </c>
      <c r="Q30" s="276" t="str">
        <f t="shared" si="34"/>
        <v>ok</v>
      </c>
      <c r="R30" s="500">
        <f t="shared" si="16"/>
        <v>13912</v>
      </c>
      <c r="S30" s="276">
        <f t="shared" si="5"/>
        <v>0</v>
      </c>
      <c r="T30" s="501">
        <f t="shared" si="32"/>
        <v>417512</v>
      </c>
      <c r="U30" s="276">
        <f t="shared" si="33"/>
        <v>0</v>
      </c>
      <c r="V30" s="276">
        <v>250</v>
      </c>
      <c r="W30" s="274"/>
      <c r="X30" s="260">
        <f>X29</f>
        <v>14773</v>
      </c>
      <c r="Y30" s="276" t="str">
        <f t="shared" si="18"/>
        <v>ok</v>
      </c>
      <c r="Z30" s="276">
        <f t="shared" si="8"/>
        <v>0</v>
      </c>
      <c r="AA30" s="276">
        <f t="shared" si="19"/>
        <v>0</v>
      </c>
      <c r="AB30" s="276">
        <f t="shared" si="20"/>
        <v>500</v>
      </c>
      <c r="AC30" s="276">
        <f t="shared" si="21"/>
        <v>0</v>
      </c>
      <c r="AD30" s="73">
        <f>ELEC!Q31</f>
        <v>0</v>
      </c>
      <c r="AE30" s="73" t="e">
        <f t="shared" si="26"/>
        <v>#DIV/0!</v>
      </c>
      <c r="AF30" s="387" t="e">
        <f t="shared" si="27"/>
        <v>#DIV/0!</v>
      </c>
      <c r="AG30" s="387" t="e">
        <f t="shared" si="27"/>
        <v>#DIV/0!</v>
      </c>
      <c r="AH30" s="388" t="e">
        <f t="shared" si="22"/>
        <v>#DIV/0!</v>
      </c>
      <c r="AI30" s="73">
        <f t="shared" si="28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3"/>
        <v>0</v>
      </c>
    </row>
    <row r="31" spans="1:38" ht="15" thickBot="1">
      <c r="A31" s="4">
        <f>ELEC!C32</f>
        <v>44863</v>
      </c>
      <c r="B31" s="500">
        <f t="shared" si="29"/>
        <v>1088</v>
      </c>
      <c r="C31" s="276">
        <f t="shared" ref="C31:C33" si="35">B31-B30</f>
        <v>0</v>
      </c>
      <c r="D31" s="501">
        <f t="shared" si="24"/>
        <v>767926</v>
      </c>
      <c r="E31" s="276">
        <f t="shared" si="12"/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0">
        <f t="shared" si="30"/>
        <v>134</v>
      </c>
      <c r="K31" s="276">
        <f t="shared" si="2"/>
        <v>0</v>
      </c>
      <c r="L31" s="501">
        <f t="shared" si="31"/>
        <v>390191</v>
      </c>
      <c r="M31" s="276">
        <f t="shared" si="3"/>
        <v>0</v>
      </c>
      <c r="N31" s="276">
        <v>250</v>
      </c>
      <c r="O31" s="323"/>
      <c r="P31" s="277">
        <f t="shared" si="15"/>
        <v>10873</v>
      </c>
      <c r="Q31" s="276" t="str">
        <f t="shared" ref="Q31:Q33" si="38">IF(J31-P31&lt;=0,"ok","oil change")</f>
        <v>ok</v>
      </c>
      <c r="R31" s="500">
        <f t="shared" si="16"/>
        <v>13912</v>
      </c>
      <c r="S31" s="276">
        <f t="shared" ref="S31:S33" si="39">R31-R30</f>
        <v>0</v>
      </c>
      <c r="T31" s="501">
        <f t="shared" si="32"/>
        <v>417512</v>
      </c>
      <c r="U31" s="276">
        <f t="shared" ref="U31:U33" si="40">V31*S31</f>
        <v>0</v>
      </c>
      <c r="V31" s="276">
        <v>250</v>
      </c>
      <c r="W31" s="323"/>
      <c r="X31" s="260">
        <f t="shared" si="17"/>
        <v>14773</v>
      </c>
      <c r="Y31" s="276" t="str">
        <f t="shared" si="18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" thickBot="1">
      <c r="A32" s="4">
        <f>ELEC!C33</f>
        <v>44864</v>
      </c>
      <c r="B32" s="500">
        <f t="shared" si="29"/>
        <v>1088</v>
      </c>
      <c r="C32" s="276">
        <f t="shared" si="35"/>
        <v>0</v>
      </c>
      <c r="D32" s="501">
        <f t="shared" si="24"/>
        <v>767926</v>
      </c>
      <c r="E32" s="276">
        <f t="shared" si="12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0">
        <f t="shared" si="30"/>
        <v>134</v>
      </c>
      <c r="K32" s="276">
        <f t="shared" si="2"/>
        <v>0</v>
      </c>
      <c r="L32" s="501">
        <f t="shared" si="31"/>
        <v>390191</v>
      </c>
      <c r="M32" s="276">
        <f t="shared" si="3"/>
        <v>0</v>
      </c>
      <c r="N32" s="276">
        <v>250</v>
      </c>
      <c r="O32" s="323"/>
      <c r="P32" s="277">
        <f t="shared" si="15"/>
        <v>10873</v>
      </c>
      <c r="Q32" s="276" t="str">
        <f t="shared" si="38"/>
        <v>ok</v>
      </c>
      <c r="R32" s="500">
        <f t="shared" si="16"/>
        <v>13912</v>
      </c>
      <c r="S32" s="276">
        <f t="shared" si="39"/>
        <v>0</v>
      </c>
      <c r="T32" s="501">
        <f t="shared" si="32"/>
        <v>417512</v>
      </c>
      <c r="U32" s="276">
        <f t="shared" si="40"/>
        <v>0</v>
      </c>
      <c r="V32" s="276">
        <v>250</v>
      </c>
      <c r="W32" s="323"/>
      <c r="X32" s="260">
        <f t="shared" si="17"/>
        <v>14773</v>
      </c>
      <c r="Y32" s="276" t="str">
        <f t="shared" si="18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500">
        <f t="shared" si="29"/>
        <v>1088</v>
      </c>
      <c r="C33" s="276">
        <f t="shared" si="35"/>
        <v>0</v>
      </c>
      <c r="D33" s="501">
        <f t="shared" si="24"/>
        <v>767926</v>
      </c>
      <c r="E33" s="276">
        <f t="shared" si="12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0">
        <f t="shared" si="30"/>
        <v>134</v>
      </c>
      <c r="K33" s="276">
        <f t="shared" si="2"/>
        <v>0</v>
      </c>
      <c r="L33" s="501">
        <f t="shared" si="31"/>
        <v>390191</v>
      </c>
      <c r="M33" s="276">
        <f t="shared" si="3"/>
        <v>0</v>
      </c>
      <c r="N33" s="276">
        <v>250</v>
      </c>
      <c r="O33" s="323"/>
      <c r="P33" s="277">
        <f t="shared" si="15"/>
        <v>10873</v>
      </c>
      <c r="Q33" s="276" t="str">
        <f t="shared" si="38"/>
        <v>ok</v>
      </c>
      <c r="R33" s="500">
        <f t="shared" si="16"/>
        <v>13912</v>
      </c>
      <c r="S33" s="276">
        <f t="shared" si="39"/>
        <v>0</v>
      </c>
      <c r="T33" s="501">
        <f t="shared" si="32"/>
        <v>417512</v>
      </c>
      <c r="U33" s="276">
        <f t="shared" si="40"/>
        <v>0</v>
      </c>
      <c r="V33" s="276">
        <v>250</v>
      </c>
      <c r="W33" s="323"/>
      <c r="X33" s="260">
        <f t="shared" si="17"/>
        <v>14773</v>
      </c>
      <c r="Y33" s="276" t="str">
        <f t="shared" si="18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31</v>
      </c>
      <c r="V34" s="40"/>
      <c r="X34">
        <v>341</v>
      </c>
      <c r="Z34" s="404">
        <f>SUM(Z3:Z33)</f>
        <v>31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30</v>
      </c>
      <c r="K35" s="40">
        <f>SUM(K3:K33)</f>
        <v>1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" thickBot="1">
      <c r="D44" s="500">
        <f t="shared" si="52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abSelected="1" zoomScale="60" zoomScaleNormal="60" workbookViewId="0">
      <pane xSplit="1" topLeftCell="U1" activePane="topRight" state="frozen"/>
      <selection pane="topRight" activeCell="AT8" sqref="AT8"/>
    </sheetView>
  </sheetViews>
  <sheetFormatPr defaultRowHeight="14.5"/>
  <cols>
    <col min="1" max="1" width="35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10.81640625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8.54296875" style="472" customWidth="1"/>
    <col min="41" max="41" width="11.4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44834</v>
      </c>
      <c r="B5" s="497">
        <f>'B5'!B4</f>
        <v>226</v>
      </c>
      <c r="C5" s="497">
        <f>[3]tanks!C36</f>
        <v>4281.7096774193551</v>
      </c>
      <c r="D5" s="497">
        <f>[3]tanks!D36</f>
        <v>199</v>
      </c>
      <c r="E5" s="497">
        <f>[3]tanks!E36</f>
        <v>4281.7096774193551</v>
      </c>
      <c r="F5" s="497">
        <f>[3]tanks!F36</f>
        <v>199</v>
      </c>
      <c r="G5" s="497">
        <f>[3]tanks!G36</f>
        <v>4281.7096774193551</v>
      </c>
      <c r="H5" s="497">
        <f>[3]tanks!H36</f>
        <v>199</v>
      </c>
      <c r="I5" s="497">
        <f>[3]tanks!I36</f>
        <v>4281.7096774193551</v>
      </c>
      <c r="J5" s="497">
        <f>[3]tanks!J36</f>
        <v>199</v>
      </c>
      <c r="K5" s="497">
        <f>[3]tanks!K36</f>
        <v>4281.7096774193551</v>
      </c>
      <c r="L5" s="497">
        <f>[3]tanks!L36</f>
        <v>199</v>
      </c>
      <c r="M5" s="497">
        <f>[3]tanks!M36</f>
        <v>4281.7096774193551</v>
      </c>
      <c r="N5" s="497">
        <f>[3]tanks!N36</f>
        <v>199</v>
      </c>
      <c r="O5" s="497">
        <f>[3]tanks!O36</f>
        <v>4281.7096774193551</v>
      </c>
      <c r="P5" s="497">
        <f>[3]tanks!P36</f>
        <v>199</v>
      </c>
      <c r="Q5" s="497">
        <f>[3]tanks!Q36</f>
        <v>4281.7096774193551</v>
      </c>
      <c r="R5" s="497">
        <f>[3]tanks!R36</f>
        <v>199</v>
      </c>
      <c r="S5" s="497">
        <f>[3]tanks!S36</f>
        <v>4281.7096774193551</v>
      </c>
      <c r="T5" s="497">
        <f>[3]tanks!T36</f>
        <v>199</v>
      </c>
      <c r="U5" s="497">
        <f>[3]tanks!U36</f>
        <v>4281.7096774193551</v>
      </c>
      <c r="V5" s="497">
        <f>[3]tanks!V36</f>
        <v>199</v>
      </c>
      <c r="W5" s="497">
        <f>[3]tanks!W36</f>
        <v>4281.7096774193551</v>
      </c>
      <c r="X5" s="476">
        <f>[3]tanks!X36</f>
        <v>0.64193548387096777</v>
      </c>
      <c r="Y5" s="497">
        <f>[3]tanks!Y36</f>
        <v>47098.806451612909</v>
      </c>
      <c r="Z5" s="497">
        <f>'B5'!C4</f>
        <v>232</v>
      </c>
      <c r="AA5" s="497">
        <f>[3]tanks!AA36</f>
        <v>2060</v>
      </c>
      <c r="AB5" s="497">
        <f>[3]tanks!AB36</f>
        <v>206</v>
      </c>
      <c r="AC5" s="497">
        <f>[3]tanks!AC36</f>
        <v>2060</v>
      </c>
      <c r="AD5" s="497">
        <f>[3]tanks!AD36</f>
        <v>206</v>
      </c>
      <c r="AE5" s="497">
        <f>[3]tanks!AE36</f>
        <v>2060</v>
      </c>
      <c r="AF5" s="497">
        <f>[3]tanks!AF36</f>
        <v>206</v>
      </c>
      <c r="AG5" s="497">
        <f>[3]tanks!AG36</f>
        <v>2060</v>
      </c>
      <c r="AH5" s="497">
        <f>[3]tanks!AH36</f>
        <v>206</v>
      </c>
      <c r="AI5" s="497">
        <f>[3]tanks!AI36</f>
        <v>2060</v>
      </c>
      <c r="AJ5" s="497">
        <f>[3]tanks!AJ36</f>
        <v>206</v>
      </c>
      <c r="AK5" s="497">
        <f>[3]tanks!AK36</f>
        <v>2060</v>
      </c>
      <c r="AL5" s="497">
        <f>[3]tanks!AL36</f>
        <v>206</v>
      </c>
      <c r="AM5" s="497">
        <f>[3]tanks!AM36</f>
        <v>2060</v>
      </c>
      <c r="AN5" s="476">
        <f>[3]tanks!AN36</f>
        <v>0.73571428571428577</v>
      </c>
      <c r="AO5" s="497">
        <f>[3]tanks!AO36</f>
        <v>14420</v>
      </c>
      <c r="AP5" s="497"/>
      <c r="AQ5" s="476">
        <f>[3]tanks!AQ36</f>
        <v>0.6617059960375703</v>
      </c>
      <c r="AR5" s="604">
        <f>[3]tanks!AR36</f>
        <v>61518.806451612909</v>
      </c>
      <c r="AS5" s="604">
        <f>[3]tanks!AS36</f>
        <v>-1533.3870967741823</v>
      </c>
      <c r="AT5" s="604">
        <f>[3]tanks!AT36</f>
        <v>0</v>
      </c>
      <c r="AU5" s="604">
        <f>[3]tanks!AU36</f>
        <v>0</v>
      </c>
      <c r="AV5" s="604">
        <f>[3]tanks!AV36</f>
        <v>0</v>
      </c>
      <c r="AW5" s="604">
        <f>[3]tanks!AW36</f>
        <v>-144</v>
      </c>
      <c r="AX5" s="604">
        <f>[3]tanks!AX36</f>
        <v>-1389.3870967741823</v>
      </c>
      <c r="AY5" s="604">
        <f>[3]tanks!AY36</f>
        <v>-1533.3870967741823</v>
      </c>
      <c r="AZ5" s="476">
        <f>[3]tanks!AZ36</f>
        <v>0</v>
      </c>
      <c r="BA5" s="604">
        <f>[3]tanks!BA36</f>
        <v>29.5</v>
      </c>
      <c r="BB5" s="476">
        <f>[3]tanks!BB36</f>
        <v>0.8</v>
      </c>
      <c r="BC5" s="604">
        <f>[6]tanks!BC36</f>
        <v>0</v>
      </c>
      <c r="BD5" s="604">
        <f>[6]tanks!BD36</f>
        <v>19225</v>
      </c>
      <c r="BE5" s="604" t="e">
        <f>[6]tanks!BE36</f>
        <v>#REF!</v>
      </c>
      <c r="BF5" s="604">
        <f>[6]tanks!BF36</f>
        <v>0</v>
      </c>
      <c r="BG5" s="604" t="e">
        <f>[6]tanks!BG36</f>
        <v>#REF!</v>
      </c>
      <c r="BH5" s="604">
        <f>[6]tanks!BH36</f>
        <v>0</v>
      </c>
      <c r="BI5" s="604">
        <f>[6]tanks!BI36</f>
        <v>23</v>
      </c>
    </row>
    <row r="6" spans="1:63">
      <c r="A6" s="425">
        <f>ELEC!C4</f>
        <v>44835</v>
      </c>
      <c r="B6" s="497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7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40">
        <v>5130</v>
      </c>
      <c r="AU6" s="546"/>
      <c r="AV6" s="485">
        <f>IF(AT6&gt;0,AU6,AV5)</f>
        <v>0</v>
      </c>
      <c r="AW6" s="279">
        <f>-SUM('B5'!AI5)</f>
        <v>0</v>
      </c>
      <c r="AX6" s="279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9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6"/>
    </row>
    <row r="7" spans="1:63">
      <c r="A7" s="425">
        <f>ELEC!C5</f>
        <v>44836</v>
      </c>
      <c r="B7" s="497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7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40"/>
      <c r="AU7" s="546"/>
      <c r="AV7" s="485">
        <f>IF(AT7&gt;0,AU7,AV6)</f>
        <v>0</v>
      </c>
      <c r="AW7" s="279">
        <f>-SUM('B5'!AI6)</f>
        <v>-294</v>
      </c>
      <c r="AX7" s="279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6"/>
    </row>
    <row r="8" spans="1:63">
      <c r="A8" s="425">
        <f>ELEC!C6</f>
        <v>44837</v>
      </c>
      <c r="B8" s="497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7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40"/>
      <c r="AU8" s="546"/>
      <c r="AV8" s="485">
        <f t="shared" ref="AV8:AV31" si="43">IF(AT8&gt;0,AU8,AV7)</f>
        <v>0</v>
      </c>
      <c r="AW8" s="279">
        <f>-SUM('B5'!AI7)</f>
        <v>-47</v>
      </c>
      <c r="AX8" s="279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6">
        <f>GEN!AF5</f>
        <v>0.15954545454550581</v>
      </c>
    </row>
    <row r="9" spans="1:63">
      <c r="A9" s="425">
        <f>ELEC!C7</f>
        <v>44838</v>
      </c>
      <c r="B9" s="497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7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40"/>
      <c r="AU9" s="546"/>
      <c r="AV9" s="485">
        <f t="shared" si="43"/>
        <v>0</v>
      </c>
      <c r="AW9" s="279">
        <f>-SUM('B5'!AI8)</f>
        <v>-144</v>
      </c>
      <c r="AX9" s="279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6">
        <f>GEN!AF6</f>
        <v>0.19159722222234954</v>
      </c>
    </row>
    <row r="10" spans="1:63">
      <c r="A10" s="425">
        <f>ELEC!C8</f>
        <v>44839</v>
      </c>
      <c r="B10" s="497">
        <f>'B5'!B9</f>
        <v>234</v>
      </c>
      <c r="C10" s="203">
        <f t="shared" si="18"/>
        <v>5034.7741935483873</v>
      </c>
      <c r="D10">
        <f t="shared" si="19"/>
        <v>234</v>
      </c>
      <c r="E10" s="203">
        <f t="shared" si="18"/>
        <v>5034.7741935483873</v>
      </c>
      <c r="F10">
        <f t="shared" si="20"/>
        <v>234</v>
      </c>
      <c r="G10" s="203">
        <f t="shared" si="1"/>
        <v>5034.7741935483873</v>
      </c>
      <c r="H10" s="203">
        <f t="shared" si="21"/>
        <v>234</v>
      </c>
      <c r="I10" s="203">
        <f t="shared" si="2"/>
        <v>5034.7741935483873</v>
      </c>
      <c r="J10" s="203">
        <f t="shared" si="22"/>
        <v>234</v>
      </c>
      <c r="K10" s="203">
        <f t="shared" si="3"/>
        <v>5034.7741935483873</v>
      </c>
      <c r="L10" s="203">
        <f t="shared" si="23"/>
        <v>234</v>
      </c>
      <c r="M10" s="203">
        <f t="shared" si="4"/>
        <v>5034.7741935483873</v>
      </c>
      <c r="N10" s="203">
        <f t="shared" si="24"/>
        <v>234</v>
      </c>
      <c r="O10" s="203">
        <f t="shared" si="5"/>
        <v>5034.7741935483873</v>
      </c>
      <c r="P10" s="203">
        <f t="shared" si="25"/>
        <v>234</v>
      </c>
      <c r="Q10" s="203">
        <f t="shared" si="6"/>
        <v>5034.7741935483873</v>
      </c>
      <c r="R10" s="203">
        <f t="shared" si="26"/>
        <v>234</v>
      </c>
      <c r="S10" s="203">
        <f t="shared" si="7"/>
        <v>5034.7741935483873</v>
      </c>
      <c r="T10" s="203">
        <f t="shared" si="27"/>
        <v>234</v>
      </c>
      <c r="U10" s="203">
        <f t="shared" si="8"/>
        <v>5034.7741935483873</v>
      </c>
      <c r="V10" s="203">
        <f t="shared" si="28"/>
        <v>234</v>
      </c>
      <c r="W10" s="203">
        <f t="shared" si="9"/>
        <v>5034.7741935483873</v>
      </c>
      <c r="X10" s="35">
        <f t="shared" si="10"/>
        <v>0.75483870967741939</v>
      </c>
      <c r="Y10" s="36">
        <f t="shared" si="29"/>
        <v>55382.516129032258</v>
      </c>
      <c r="Z10" s="497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39"/>
        <v>16870</v>
      </c>
      <c r="AQ10" s="223">
        <f t="shared" si="40"/>
        <v>0.77715947218492265</v>
      </c>
      <c r="AR10" s="38">
        <f t="shared" si="41"/>
        <v>72252.516129032258</v>
      </c>
      <c r="AS10" s="197">
        <f>SUM(AR10-AR9-AT10)</f>
        <v>0</v>
      </c>
      <c r="AT10" s="340"/>
      <c r="AU10" s="546"/>
      <c r="AV10" s="485">
        <f>IF(AT10&gt;0,AU10,AV9)</f>
        <v>0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44840</v>
      </c>
      <c r="B11" s="497">
        <f>'B5'!B10</f>
        <v>234</v>
      </c>
      <c r="C11" s="203">
        <f t="shared" si="18"/>
        <v>5034.7741935483873</v>
      </c>
      <c r="D11">
        <f>SUM(B11)</f>
        <v>234</v>
      </c>
      <c r="E11" s="203">
        <f t="shared" si="18"/>
        <v>5034.7741935483873</v>
      </c>
      <c r="F11">
        <f>SUM(D11)</f>
        <v>234</v>
      </c>
      <c r="G11" s="203">
        <f t="shared" si="1"/>
        <v>5034.7741935483873</v>
      </c>
      <c r="H11" s="203">
        <f>SUM(F11)</f>
        <v>234</v>
      </c>
      <c r="I11" s="203">
        <f t="shared" si="2"/>
        <v>5034.7741935483873</v>
      </c>
      <c r="J11" s="203">
        <f>SUM(H11)</f>
        <v>234</v>
      </c>
      <c r="K11" s="203">
        <f t="shared" si="3"/>
        <v>5034.7741935483873</v>
      </c>
      <c r="L11" s="203">
        <f>SUM(J11)</f>
        <v>234</v>
      </c>
      <c r="M11" s="203">
        <f t="shared" si="4"/>
        <v>5034.7741935483873</v>
      </c>
      <c r="N11" s="203">
        <f>SUM(L11)</f>
        <v>234</v>
      </c>
      <c r="O11" s="203">
        <f t="shared" si="5"/>
        <v>5034.7741935483873</v>
      </c>
      <c r="P11" s="203">
        <f>SUM(N11)</f>
        <v>234</v>
      </c>
      <c r="Q11" s="203">
        <f t="shared" si="6"/>
        <v>5034.7741935483873</v>
      </c>
      <c r="R11" s="203">
        <f>SUM(P11)</f>
        <v>234</v>
      </c>
      <c r="S11" s="203">
        <f t="shared" si="7"/>
        <v>5034.7741935483873</v>
      </c>
      <c r="T11" s="203">
        <f>SUM(R11)</f>
        <v>234</v>
      </c>
      <c r="U11" s="203">
        <f t="shared" si="8"/>
        <v>5034.7741935483873</v>
      </c>
      <c r="V11" s="203">
        <f>SUM(T11)</f>
        <v>234</v>
      </c>
      <c r="W11" s="203">
        <f t="shared" si="9"/>
        <v>5034.7741935483873</v>
      </c>
      <c r="X11" s="35">
        <f>SUM(Y11/73370)</f>
        <v>0.75483870967741939</v>
      </c>
      <c r="Y11" s="36">
        <f>SUM(C11+E11+G11+I11+K11+M11+O11+Q11+S11+U11+W11)</f>
        <v>55382.516129032258</v>
      </c>
      <c r="Z11" s="497">
        <f>'B5'!C10</f>
        <v>241</v>
      </c>
      <c r="AA11" s="203">
        <f t="shared" si="30"/>
        <v>2410</v>
      </c>
      <c r="AB11" s="203">
        <f>SUM(Z11)</f>
        <v>241</v>
      </c>
      <c r="AC11" s="203">
        <f t="shared" si="30"/>
        <v>2410</v>
      </c>
      <c r="AD11" s="203">
        <f>SUM(AB11)</f>
        <v>241</v>
      </c>
      <c r="AE11" s="203">
        <f t="shared" si="11"/>
        <v>2410</v>
      </c>
      <c r="AF11" s="203">
        <f>SUM(AD11)</f>
        <v>241</v>
      </c>
      <c r="AG11" s="203">
        <f t="shared" si="12"/>
        <v>2410</v>
      </c>
      <c r="AH11" s="203">
        <f>SUM(AF11)</f>
        <v>241</v>
      </c>
      <c r="AI11" s="203">
        <f t="shared" si="13"/>
        <v>2410</v>
      </c>
      <c r="AJ11" s="203">
        <f>SUM(AH11)</f>
        <v>241</v>
      </c>
      <c r="AK11" s="203">
        <f t="shared" si="14"/>
        <v>2410</v>
      </c>
      <c r="AL11" s="203">
        <f>SUM(AJ11)</f>
        <v>241</v>
      </c>
      <c r="AM11" s="203">
        <f t="shared" si="15"/>
        <v>2410</v>
      </c>
      <c r="AN11" s="35">
        <f>SUM(AO11/19600)</f>
        <v>0.86071428571428577</v>
      </c>
      <c r="AO11" s="36">
        <f t="shared" si="39"/>
        <v>16870</v>
      </c>
      <c r="AP11" s="523"/>
      <c r="AQ11" s="223">
        <f t="shared" si="40"/>
        <v>0.77715947218492265</v>
      </c>
      <c r="AR11" s="38">
        <f>Y11+AO11</f>
        <v>72252.516129032258</v>
      </c>
      <c r="AS11" s="197">
        <f t="shared" si="42"/>
        <v>0</v>
      </c>
      <c r="AT11" s="340"/>
      <c r="AU11" s="546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44841</v>
      </c>
      <c r="B12" s="497">
        <f>'B5'!B11</f>
        <v>234</v>
      </c>
      <c r="C12" s="203">
        <f t="shared" si="18"/>
        <v>5034.7741935483873</v>
      </c>
      <c r="D12">
        <f t="shared" si="19"/>
        <v>234</v>
      </c>
      <c r="E12" s="203">
        <f t="shared" si="18"/>
        <v>5034.7741935483873</v>
      </c>
      <c r="F12">
        <f t="shared" si="20"/>
        <v>234</v>
      </c>
      <c r="G12" s="203">
        <f t="shared" si="1"/>
        <v>5034.7741935483873</v>
      </c>
      <c r="H12" s="203">
        <f t="shared" si="21"/>
        <v>234</v>
      </c>
      <c r="I12" s="203">
        <f t="shared" si="2"/>
        <v>5034.7741935483873</v>
      </c>
      <c r="J12" s="203">
        <f t="shared" si="22"/>
        <v>234</v>
      </c>
      <c r="K12" s="203">
        <f t="shared" si="3"/>
        <v>5034.7741935483873</v>
      </c>
      <c r="L12" s="203">
        <f t="shared" si="23"/>
        <v>234</v>
      </c>
      <c r="M12" s="203">
        <f t="shared" si="4"/>
        <v>5034.7741935483873</v>
      </c>
      <c r="N12" s="203">
        <f t="shared" si="24"/>
        <v>234</v>
      </c>
      <c r="O12" s="203">
        <f t="shared" si="5"/>
        <v>5034.7741935483873</v>
      </c>
      <c r="P12" s="203">
        <f t="shared" si="25"/>
        <v>234</v>
      </c>
      <c r="Q12" s="203">
        <f t="shared" si="6"/>
        <v>5034.7741935483873</v>
      </c>
      <c r="R12" s="203">
        <f t="shared" si="26"/>
        <v>234</v>
      </c>
      <c r="S12" s="203">
        <f t="shared" si="7"/>
        <v>5034.7741935483873</v>
      </c>
      <c r="T12" s="203">
        <f t="shared" si="27"/>
        <v>234</v>
      </c>
      <c r="U12" s="203">
        <f t="shared" si="8"/>
        <v>5034.7741935483873</v>
      </c>
      <c r="V12" s="203">
        <f t="shared" si="28"/>
        <v>234</v>
      </c>
      <c r="W12" s="203">
        <f t="shared" si="9"/>
        <v>5034.7741935483873</v>
      </c>
      <c r="X12" s="35">
        <f t="shared" si="10"/>
        <v>0.75483870967741939</v>
      </c>
      <c r="Y12" s="36">
        <f t="shared" si="29"/>
        <v>55382.516129032258</v>
      </c>
      <c r="Z12" s="497">
        <f>'B5'!C11</f>
        <v>241</v>
      </c>
      <c r="AA12" s="203">
        <f t="shared" si="30"/>
        <v>2410</v>
      </c>
      <c r="AB12" s="203">
        <f t="shared" si="31"/>
        <v>241</v>
      </c>
      <c r="AC12" s="203">
        <f t="shared" si="30"/>
        <v>2410</v>
      </c>
      <c r="AD12" s="203">
        <f t="shared" si="32"/>
        <v>241</v>
      </c>
      <c r="AE12" s="203">
        <f t="shared" si="11"/>
        <v>2410</v>
      </c>
      <c r="AF12" s="203">
        <f t="shared" si="33"/>
        <v>241</v>
      </c>
      <c r="AG12" s="203">
        <f t="shared" si="12"/>
        <v>2410</v>
      </c>
      <c r="AH12" s="203">
        <f t="shared" si="34"/>
        <v>241</v>
      </c>
      <c r="AI12" s="203">
        <f t="shared" si="13"/>
        <v>2410</v>
      </c>
      <c r="AJ12" s="203">
        <f t="shared" si="35"/>
        <v>241</v>
      </c>
      <c r="AK12" s="203">
        <f t="shared" si="14"/>
        <v>2410</v>
      </c>
      <c r="AL12" s="203">
        <f t="shared" si="36"/>
        <v>241</v>
      </c>
      <c r="AM12" s="203">
        <f t="shared" si="15"/>
        <v>2410</v>
      </c>
      <c r="AN12" s="35">
        <f t="shared" si="16"/>
        <v>0.86071428571428577</v>
      </c>
      <c r="AO12" s="36">
        <f t="shared" si="39"/>
        <v>16870</v>
      </c>
      <c r="AP12" s="523"/>
      <c r="AQ12" s="223">
        <f t="shared" si="40"/>
        <v>0.77715947218492265</v>
      </c>
      <c r="AR12" s="38">
        <f t="shared" si="41"/>
        <v>72252.516129032258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12</v>
      </c>
      <c r="AX12" s="279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6"/>
    </row>
    <row r="13" spans="1:63">
      <c r="A13" s="425">
        <f>ELEC!C11</f>
        <v>44842</v>
      </c>
      <c r="B13" s="497">
        <f>'B5'!B12</f>
        <v>234</v>
      </c>
      <c r="C13" s="203">
        <f t="shared" si="18"/>
        <v>5034.7741935483873</v>
      </c>
      <c r="D13">
        <f t="shared" si="19"/>
        <v>234</v>
      </c>
      <c r="E13" s="203">
        <f t="shared" si="18"/>
        <v>5034.7741935483873</v>
      </c>
      <c r="F13">
        <f t="shared" si="20"/>
        <v>234</v>
      </c>
      <c r="G13" s="203">
        <f t="shared" si="1"/>
        <v>5034.7741935483873</v>
      </c>
      <c r="H13" s="203">
        <f t="shared" si="21"/>
        <v>234</v>
      </c>
      <c r="I13" s="203">
        <f t="shared" si="2"/>
        <v>5034.7741935483873</v>
      </c>
      <c r="J13" s="203">
        <f t="shared" si="22"/>
        <v>234</v>
      </c>
      <c r="K13" s="203">
        <f t="shared" si="3"/>
        <v>5034.7741935483873</v>
      </c>
      <c r="L13" s="203">
        <f t="shared" si="23"/>
        <v>234</v>
      </c>
      <c r="M13" s="203">
        <f t="shared" si="4"/>
        <v>5034.7741935483873</v>
      </c>
      <c r="N13" s="203">
        <f t="shared" si="24"/>
        <v>234</v>
      </c>
      <c r="O13" s="203">
        <f t="shared" si="5"/>
        <v>5034.7741935483873</v>
      </c>
      <c r="P13" s="203">
        <f t="shared" si="25"/>
        <v>234</v>
      </c>
      <c r="Q13" s="203">
        <f t="shared" si="6"/>
        <v>5034.7741935483873</v>
      </c>
      <c r="R13" s="203">
        <f t="shared" si="26"/>
        <v>234</v>
      </c>
      <c r="S13" s="203">
        <f t="shared" si="7"/>
        <v>5034.7741935483873</v>
      </c>
      <c r="T13" s="203">
        <f t="shared" si="27"/>
        <v>234</v>
      </c>
      <c r="U13" s="203">
        <f t="shared" si="8"/>
        <v>5034.7741935483873</v>
      </c>
      <c r="V13" s="203">
        <f t="shared" si="28"/>
        <v>234</v>
      </c>
      <c r="W13" s="203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497">
        <f>'B5'!C12</f>
        <v>241</v>
      </c>
      <c r="AA13" s="203">
        <f t="shared" si="30"/>
        <v>2410</v>
      </c>
      <c r="AB13" s="203">
        <f t="shared" si="31"/>
        <v>241</v>
      </c>
      <c r="AC13" s="203">
        <f t="shared" si="30"/>
        <v>2410</v>
      </c>
      <c r="AD13" s="203">
        <f t="shared" si="32"/>
        <v>241</v>
      </c>
      <c r="AE13" s="203">
        <f t="shared" si="11"/>
        <v>2410</v>
      </c>
      <c r="AF13" s="203">
        <f t="shared" si="33"/>
        <v>241</v>
      </c>
      <c r="AG13" s="203">
        <f t="shared" si="12"/>
        <v>2410</v>
      </c>
      <c r="AH13" s="203">
        <f t="shared" si="34"/>
        <v>241</v>
      </c>
      <c r="AI13" s="203">
        <f t="shared" si="13"/>
        <v>2410</v>
      </c>
      <c r="AJ13" s="203">
        <f t="shared" si="35"/>
        <v>241</v>
      </c>
      <c r="AK13" s="203">
        <f t="shared" si="14"/>
        <v>2410</v>
      </c>
      <c r="AL13" s="203">
        <f t="shared" si="36"/>
        <v>241</v>
      </c>
      <c r="AM13" s="203">
        <f t="shared" si="15"/>
        <v>2410</v>
      </c>
      <c r="AN13" s="35">
        <f t="shared" si="16"/>
        <v>0.86071428571428577</v>
      </c>
      <c r="AO13" s="36">
        <f t="shared" si="39"/>
        <v>16870</v>
      </c>
      <c r="AP13" s="523"/>
      <c r="AQ13" s="223">
        <f t="shared" si="40"/>
        <v>0.77715947218492265</v>
      </c>
      <c r="AR13" s="38">
        <f>Y13+AO13</f>
        <v>72252.516129032258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44843</v>
      </c>
      <c r="B14" s="497">
        <f>'B5'!B13</f>
        <v>234</v>
      </c>
      <c r="C14" s="203">
        <f t="shared" si="18"/>
        <v>5034.7741935483873</v>
      </c>
      <c r="D14">
        <f t="shared" si="19"/>
        <v>234</v>
      </c>
      <c r="E14" s="203">
        <f t="shared" si="18"/>
        <v>5034.7741935483873</v>
      </c>
      <c r="F14">
        <f t="shared" si="20"/>
        <v>234</v>
      </c>
      <c r="G14" s="203">
        <f t="shared" si="1"/>
        <v>5034.7741935483873</v>
      </c>
      <c r="H14" s="203">
        <f t="shared" si="21"/>
        <v>234</v>
      </c>
      <c r="I14" s="203">
        <f t="shared" si="2"/>
        <v>5034.7741935483873</v>
      </c>
      <c r="J14" s="203">
        <f t="shared" si="22"/>
        <v>234</v>
      </c>
      <c r="K14" s="203">
        <f t="shared" si="3"/>
        <v>5034.7741935483873</v>
      </c>
      <c r="L14" s="203">
        <f t="shared" si="23"/>
        <v>234</v>
      </c>
      <c r="M14" s="203">
        <f t="shared" si="4"/>
        <v>5034.7741935483873</v>
      </c>
      <c r="N14" s="203">
        <f t="shared" si="24"/>
        <v>234</v>
      </c>
      <c r="O14" s="203">
        <f t="shared" si="5"/>
        <v>5034.7741935483873</v>
      </c>
      <c r="P14" s="203">
        <f t="shared" si="25"/>
        <v>234</v>
      </c>
      <c r="Q14" s="203">
        <f t="shared" si="6"/>
        <v>5034.7741935483873</v>
      </c>
      <c r="R14" s="203">
        <f t="shared" si="26"/>
        <v>234</v>
      </c>
      <c r="S14" s="203">
        <f t="shared" si="7"/>
        <v>5034.7741935483873</v>
      </c>
      <c r="T14" s="203">
        <f t="shared" si="27"/>
        <v>234</v>
      </c>
      <c r="U14" s="203">
        <f t="shared" si="8"/>
        <v>5034.7741935483873</v>
      </c>
      <c r="V14" s="203">
        <f t="shared" si="28"/>
        <v>234</v>
      </c>
      <c r="W14" s="203">
        <f t="shared" si="9"/>
        <v>5034.7741935483873</v>
      </c>
      <c r="X14" s="35">
        <f t="shared" si="10"/>
        <v>0.75483870967741939</v>
      </c>
      <c r="Y14" s="36">
        <f t="shared" si="29"/>
        <v>55382.516129032258</v>
      </c>
      <c r="Z14" s="497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39"/>
        <v>16870</v>
      </c>
      <c r="AQ14" s="223">
        <f t="shared" si="40"/>
        <v>0.77715947218492265</v>
      </c>
      <c r="AR14" s="38">
        <f t="shared" si="41"/>
        <v>72252.516129032258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44844</v>
      </c>
      <c r="B15" s="497">
        <f>'B5'!B14</f>
        <v>234</v>
      </c>
      <c r="C15" s="203">
        <f>B15*$B$4</f>
        <v>5034.7741935483873</v>
      </c>
      <c r="D15">
        <f t="shared" si="19"/>
        <v>234</v>
      </c>
      <c r="E15" s="203">
        <f t="shared" si="18"/>
        <v>5034.7741935483873</v>
      </c>
      <c r="F15">
        <f t="shared" si="20"/>
        <v>234</v>
      </c>
      <c r="G15" s="203">
        <f t="shared" si="1"/>
        <v>5034.7741935483873</v>
      </c>
      <c r="H15" s="203">
        <f t="shared" si="21"/>
        <v>234</v>
      </c>
      <c r="I15" s="203">
        <f t="shared" si="2"/>
        <v>5034.7741935483873</v>
      </c>
      <c r="J15" s="203">
        <f t="shared" si="22"/>
        <v>234</v>
      </c>
      <c r="K15" s="203">
        <f t="shared" si="3"/>
        <v>5034.7741935483873</v>
      </c>
      <c r="L15" s="203">
        <f t="shared" si="23"/>
        <v>234</v>
      </c>
      <c r="M15" s="203">
        <f t="shared" si="4"/>
        <v>5034.7741935483873</v>
      </c>
      <c r="N15" s="203">
        <f t="shared" si="24"/>
        <v>234</v>
      </c>
      <c r="O15" s="203">
        <f t="shared" si="5"/>
        <v>5034.7741935483873</v>
      </c>
      <c r="P15" s="203">
        <f t="shared" si="25"/>
        <v>234</v>
      </c>
      <c r="Q15" s="203">
        <f t="shared" si="6"/>
        <v>5034.7741935483873</v>
      </c>
      <c r="R15" s="203">
        <f t="shared" si="26"/>
        <v>234</v>
      </c>
      <c r="S15" s="203">
        <f t="shared" si="7"/>
        <v>5034.7741935483873</v>
      </c>
      <c r="T15" s="203">
        <f t="shared" si="27"/>
        <v>234</v>
      </c>
      <c r="U15" s="203">
        <f t="shared" si="8"/>
        <v>5034.7741935483873</v>
      </c>
      <c r="V15" s="203">
        <f t="shared" si="28"/>
        <v>234</v>
      </c>
      <c r="W15" s="203">
        <f t="shared" si="9"/>
        <v>5034.7741935483873</v>
      </c>
      <c r="X15" s="35">
        <f t="shared" si="10"/>
        <v>0.75483870967741939</v>
      </c>
      <c r="Y15" s="36">
        <f t="shared" si="29"/>
        <v>55382.516129032258</v>
      </c>
      <c r="Z15" s="497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39"/>
        <v>16870</v>
      </c>
      <c r="AQ15" s="223">
        <f t="shared" si="40"/>
        <v>0.77715947218492265</v>
      </c>
      <c r="AR15" s="38">
        <f t="shared" si="41"/>
        <v>72252.516129032258</v>
      </c>
      <c r="AS15" s="197">
        <f t="shared" si="42"/>
        <v>0</v>
      </c>
      <c r="AT15" s="340"/>
      <c r="AU15" s="546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44845</v>
      </c>
      <c r="B16" s="497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497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0.77715947218492265</v>
      </c>
      <c r="AR16" s="38">
        <f>Y16+AO16</f>
        <v>72252.516129032258</v>
      </c>
      <c r="AS16" s="197">
        <f>SUM(AR16-AR15-AT16)</f>
        <v>0</v>
      </c>
      <c r="AT16" s="340"/>
      <c r="AU16" s="546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44846</v>
      </c>
      <c r="B17" s="49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497">
        <f>'B5'!C16</f>
        <v>241</v>
      </c>
      <c r="AA17" s="203">
        <f t="shared" si="30"/>
        <v>2410</v>
      </c>
      <c r="AB17" s="203">
        <f t="shared" si="31"/>
        <v>241</v>
      </c>
      <c r="AC17" s="203">
        <f t="shared" si="30"/>
        <v>2410</v>
      </c>
      <c r="AD17" s="203">
        <f t="shared" si="32"/>
        <v>241</v>
      </c>
      <c r="AE17" s="203">
        <f t="shared" si="11"/>
        <v>2410</v>
      </c>
      <c r="AF17" s="203">
        <f t="shared" si="33"/>
        <v>241</v>
      </c>
      <c r="AG17" s="203">
        <f t="shared" si="12"/>
        <v>2410</v>
      </c>
      <c r="AH17" s="203">
        <f t="shared" si="34"/>
        <v>241</v>
      </c>
      <c r="AI17" s="203">
        <f t="shared" si="13"/>
        <v>2410</v>
      </c>
      <c r="AJ17" s="203">
        <f t="shared" si="35"/>
        <v>241</v>
      </c>
      <c r="AK17" s="203">
        <f t="shared" si="14"/>
        <v>2410</v>
      </c>
      <c r="AL17" s="203">
        <f t="shared" si="36"/>
        <v>241</v>
      </c>
      <c r="AM17" s="203">
        <f t="shared" si="15"/>
        <v>2410</v>
      </c>
      <c r="AN17" s="35">
        <f t="shared" si="16"/>
        <v>0.86071428571428577</v>
      </c>
      <c r="AO17" s="36">
        <f>SUM(AA17+AC17+AE17+AG17+AI17+AK17+AM17)</f>
        <v>16870</v>
      </c>
      <c r="AQ17" s="223">
        <f t="shared" si="40"/>
        <v>0.77715947218492265</v>
      </c>
      <c r="AR17" s="38">
        <f t="shared" si="41"/>
        <v>72252.516129032258</v>
      </c>
      <c r="AS17" s="197">
        <f t="shared" si="42"/>
        <v>0</v>
      </c>
      <c r="AT17" s="340"/>
      <c r="AU17" s="546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44847</v>
      </c>
      <c r="B18" s="497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497">
        <f>'B5'!C17</f>
        <v>241</v>
      </c>
      <c r="AA18" s="203">
        <f t="shared" si="30"/>
        <v>2410</v>
      </c>
      <c r="AB18" s="203">
        <f t="shared" si="31"/>
        <v>241</v>
      </c>
      <c r="AC18" s="203">
        <f t="shared" si="30"/>
        <v>2410</v>
      </c>
      <c r="AD18" s="203">
        <f t="shared" si="32"/>
        <v>241</v>
      </c>
      <c r="AE18" s="203">
        <f t="shared" si="11"/>
        <v>2410</v>
      </c>
      <c r="AF18" s="203">
        <f t="shared" si="33"/>
        <v>241</v>
      </c>
      <c r="AG18" s="203">
        <f t="shared" si="12"/>
        <v>2410</v>
      </c>
      <c r="AH18" s="203">
        <f t="shared" si="34"/>
        <v>241</v>
      </c>
      <c r="AI18" s="203">
        <f t="shared" si="13"/>
        <v>2410</v>
      </c>
      <c r="AJ18" s="203">
        <f t="shared" si="35"/>
        <v>241</v>
      </c>
      <c r="AK18" s="203">
        <f t="shared" si="14"/>
        <v>2410</v>
      </c>
      <c r="AL18" s="203">
        <f t="shared" si="36"/>
        <v>241</v>
      </c>
      <c r="AM18" s="203">
        <f t="shared" si="15"/>
        <v>2410</v>
      </c>
      <c r="AN18" s="35">
        <f t="shared" si="16"/>
        <v>0.86071428571428577</v>
      </c>
      <c r="AO18" s="36">
        <f t="shared" si="39"/>
        <v>16870</v>
      </c>
      <c r="AQ18" s="223">
        <f t="shared" si="40"/>
        <v>0.77715947218492265</v>
      </c>
      <c r="AR18" s="38">
        <f t="shared" si="41"/>
        <v>72252.516129032258</v>
      </c>
      <c r="AS18" s="197">
        <f>SUM(AR18-AR17-AT18)</f>
        <v>0</v>
      </c>
      <c r="AT18" s="340"/>
      <c r="AU18" s="546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44848</v>
      </c>
      <c r="B19" s="497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497">
        <f>'B5'!C18</f>
        <v>241</v>
      </c>
      <c r="AA19" s="203">
        <f t="shared" si="30"/>
        <v>2410</v>
      </c>
      <c r="AB19" s="203">
        <f t="shared" si="31"/>
        <v>241</v>
      </c>
      <c r="AC19" s="203">
        <f t="shared" si="30"/>
        <v>2410</v>
      </c>
      <c r="AD19" s="203">
        <f t="shared" si="32"/>
        <v>241</v>
      </c>
      <c r="AE19" s="203">
        <f t="shared" si="11"/>
        <v>2410</v>
      </c>
      <c r="AF19" s="203">
        <f t="shared" si="33"/>
        <v>241</v>
      </c>
      <c r="AG19" s="203">
        <f t="shared" si="12"/>
        <v>2410</v>
      </c>
      <c r="AH19" s="203">
        <f t="shared" si="34"/>
        <v>241</v>
      </c>
      <c r="AI19" s="203">
        <f t="shared" si="13"/>
        <v>2410</v>
      </c>
      <c r="AJ19" s="203">
        <f t="shared" si="35"/>
        <v>241</v>
      </c>
      <c r="AK19" s="203">
        <f t="shared" si="14"/>
        <v>2410</v>
      </c>
      <c r="AL19" s="203">
        <f t="shared" si="36"/>
        <v>241</v>
      </c>
      <c r="AM19" s="203">
        <f t="shared" si="15"/>
        <v>2410</v>
      </c>
      <c r="AN19" s="35">
        <f t="shared" si="16"/>
        <v>0.86071428571428577</v>
      </c>
      <c r="AO19" s="36">
        <f t="shared" si="39"/>
        <v>16870</v>
      </c>
      <c r="AQ19" s="223">
        <f t="shared" si="40"/>
        <v>0.77715947218492265</v>
      </c>
      <c r="AR19" s="38">
        <f t="shared" si="41"/>
        <v>72252.516129032258</v>
      </c>
      <c r="AS19" s="197">
        <f t="shared" si="42"/>
        <v>0</v>
      </c>
      <c r="AT19" s="340"/>
      <c r="AU19" s="546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44849</v>
      </c>
      <c r="B20" s="497">
        <f>'B5'!B19</f>
        <v>234</v>
      </c>
      <c r="C20" s="203">
        <f t="shared" si="18"/>
        <v>5034.7741935483873</v>
      </c>
      <c r="D20">
        <f t="shared" si="19"/>
        <v>234</v>
      </c>
      <c r="E20" s="203">
        <f t="shared" si="18"/>
        <v>5034.7741935483873</v>
      </c>
      <c r="F20">
        <f t="shared" si="20"/>
        <v>234</v>
      </c>
      <c r="G20" s="203">
        <f t="shared" si="1"/>
        <v>5034.7741935483873</v>
      </c>
      <c r="H20" s="203">
        <f t="shared" si="21"/>
        <v>234</v>
      </c>
      <c r="I20" s="203">
        <f t="shared" si="2"/>
        <v>5034.7741935483873</v>
      </c>
      <c r="J20" s="203">
        <f t="shared" si="22"/>
        <v>234</v>
      </c>
      <c r="K20" s="203">
        <f t="shared" si="3"/>
        <v>5034.7741935483873</v>
      </c>
      <c r="L20" s="203">
        <f t="shared" si="23"/>
        <v>234</v>
      </c>
      <c r="M20" s="203">
        <f t="shared" si="4"/>
        <v>5034.7741935483873</v>
      </c>
      <c r="N20" s="203">
        <f t="shared" si="24"/>
        <v>234</v>
      </c>
      <c r="O20" s="203">
        <f t="shared" si="5"/>
        <v>5034.7741935483873</v>
      </c>
      <c r="P20" s="203">
        <f t="shared" si="25"/>
        <v>234</v>
      </c>
      <c r="Q20" s="203">
        <f t="shared" si="6"/>
        <v>5034.7741935483873</v>
      </c>
      <c r="R20" s="203">
        <f t="shared" si="26"/>
        <v>234</v>
      </c>
      <c r="S20" s="203">
        <f t="shared" si="7"/>
        <v>5034.7741935483873</v>
      </c>
      <c r="T20" s="203">
        <f t="shared" si="27"/>
        <v>234</v>
      </c>
      <c r="U20" s="203">
        <f t="shared" si="8"/>
        <v>5034.7741935483873</v>
      </c>
      <c r="V20" s="203">
        <f t="shared" si="28"/>
        <v>234</v>
      </c>
      <c r="W20" s="203">
        <f t="shared" si="9"/>
        <v>5034.7741935483873</v>
      </c>
      <c r="X20" s="35">
        <f t="shared" si="10"/>
        <v>0.75483870967741939</v>
      </c>
      <c r="Y20" s="36">
        <f t="shared" si="29"/>
        <v>55382.516129032258</v>
      </c>
      <c r="Z20" s="497">
        <f>'B5'!C19</f>
        <v>241</v>
      </c>
      <c r="AA20" s="203">
        <f t="shared" si="30"/>
        <v>2410</v>
      </c>
      <c r="AB20" s="203">
        <f t="shared" si="31"/>
        <v>241</v>
      </c>
      <c r="AC20" s="203">
        <f t="shared" si="30"/>
        <v>2410</v>
      </c>
      <c r="AD20" s="203">
        <f t="shared" si="32"/>
        <v>241</v>
      </c>
      <c r="AE20" s="203">
        <f t="shared" si="11"/>
        <v>2410</v>
      </c>
      <c r="AF20" s="203">
        <f t="shared" si="33"/>
        <v>241</v>
      </c>
      <c r="AG20" s="203">
        <f t="shared" si="12"/>
        <v>2410</v>
      </c>
      <c r="AH20" s="203">
        <f t="shared" si="34"/>
        <v>241</v>
      </c>
      <c r="AI20" s="203">
        <f t="shared" si="13"/>
        <v>2410</v>
      </c>
      <c r="AJ20" s="203">
        <f t="shared" si="35"/>
        <v>241</v>
      </c>
      <c r="AK20" s="203">
        <f t="shared" si="14"/>
        <v>2410</v>
      </c>
      <c r="AL20" s="203">
        <f t="shared" si="36"/>
        <v>241</v>
      </c>
      <c r="AM20" s="203">
        <f t="shared" si="15"/>
        <v>2410</v>
      </c>
      <c r="AN20" s="35">
        <f t="shared" si="16"/>
        <v>0.86071428571428577</v>
      </c>
      <c r="AO20" s="36">
        <f t="shared" si="39"/>
        <v>16870</v>
      </c>
      <c r="AQ20" s="223">
        <f t="shared" si="40"/>
        <v>0.77715947218492265</v>
      </c>
      <c r="AR20" s="38">
        <f t="shared" si="41"/>
        <v>72252.516129032258</v>
      </c>
      <c r="AS20" s="197">
        <f t="shared" si="42"/>
        <v>0</v>
      </c>
      <c r="AT20" s="340"/>
      <c r="AU20" s="546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44850</v>
      </c>
      <c r="B21" s="497">
        <f>'B5'!B20</f>
        <v>234</v>
      </c>
      <c r="C21" s="203">
        <f t="shared" si="18"/>
        <v>5034.7741935483873</v>
      </c>
      <c r="D21">
        <f t="shared" si="19"/>
        <v>234</v>
      </c>
      <c r="E21" s="203">
        <f t="shared" si="18"/>
        <v>5034.7741935483873</v>
      </c>
      <c r="F21">
        <f t="shared" si="20"/>
        <v>234</v>
      </c>
      <c r="G21" s="203">
        <f t="shared" si="1"/>
        <v>5034.7741935483873</v>
      </c>
      <c r="H21" s="203">
        <f t="shared" si="21"/>
        <v>234</v>
      </c>
      <c r="I21" s="203">
        <f t="shared" si="2"/>
        <v>5034.7741935483873</v>
      </c>
      <c r="J21" s="203">
        <f t="shared" si="22"/>
        <v>234</v>
      </c>
      <c r="K21" s="203">
        <f t="shared" si="3"/>
        <v>5034.7741935483873</v>
      </c>
      <c r="L21" s="203">
        <f t="shared" si="23"/>
        <v>234</v>
      </c>
      <c r="M21" s="203">
        <f t="shared" si="4"/>
        <v>5034.7741935483873</v>
      </c>
      <c r="N21" s="203">
        <f t="shared" si="24"/>
        <v>234</v>
      </c>
      <c r="O21" s="203">
        <f t="shared" si="5"/>
        <v>5034.7741935483873</v>
      </c>
      <c r="P21" s="203">
        <f t="shared" si="25"/>
        <v>234</v>
      </c>
      <c r="Q21" s="203">
        <f t="shared" si="6"/>
        <v>5034.7741935483873</v>
      </c>
      <c r="R21" s="203">
        <f t="shared" si="26"/>
        <v>234</v>
      </c>
      <c r="S21" s="203">
        <f t="shared" si="7"/>
        <v>5034.7741935483873</v>
      </c>
      <c r="T21" s="203">
        <f t="shared" si="27"/>
        <v>234</v>
      </c>
      <c r="U21" s="203">
        <f t="shared" si="8"/>
        <v>5034.7741935483873</v>
      </c>
      <c r="V21" s="203">
        <f t="shared" si="28"/>
        <v>234</v>
      </c>
      <c r="W21" s="203">
        <f t="shared" si="9"/>
        <v>5034.7741935483873</v>
      </c>
      <c r="X21" s="35">
        <f t="shared" si="10"/>
        <v>0.75483870967741939</v>
      </c>
      <c r="Y21" s="36">
        <f t="shared" si="29"/>
        <v>55382.516129032258</v>
      </c>
      <c r="Z21" s="497">
        <f>'B5'!C20</f>
        <v>241</v>
      </c>
      <c r="AA21" s="203">
        <f t="shared" si="30"/>
        <v>2410</v>
      </c>
      <c r="AB21" s="203">
        <f t="shared" si="31"/>
        <v>241</v>
      </c>
      <c r="AC21" s="203">
        <f t="shared" si="30"/>
        <v>2410</v>
      </c>
      <c r="AD21" s="203">
        <f t="shared" si="32"/>
        <v>241</v>
      </c>
      <c r="AE21" s="203">
        <f t="shared" si="11"/>
        <v>2410</v>
      </c>
      <c r="AF21" s="203">
        <f t="shared" si="33"/>
        <v>241</v>
      </c>
      <c r="AG21" s="203">
        <f t="shared" si="12"/>
        <v>2410</v>
      </c>
      <c r="AH21" s="203">
        <f t="shared" si="34"/>
        <v>241</v>
      </c>
      <c r="AI21" s="203">
        <f t="shared" si="13"/>
        <v>2410</v>
      </c>
      <c r="AJ21" s="203">
        <f t="shared" si="35"/>
        <v>241</v>
      </c>
      <c r="AK21" s="203">
        <f t="shared" si="14"/>
        <v>2410</v>
      </c>
      <c r="AL21" s="203">
        <f t="shared" si="36"/>
        <v>241</v>
      </c>
      <c r="AM21" s="203">
        <f t="shared" si="15"/>
        <v>2410</v>
      </c>
      <c r="AN21" s="35">
        <f t="shared" si="16"/>
        <v>0.86071428571428577</v>
      </c>
      <c r="AO21" s="36">
        <f t="shared" si="39"/>
        <v>16870</v>
      </c>
      <c r="AQ21" s="223">
        <f t="shared" si="40"/>
        <v>0.77715947218492265</v>
      </c>
      <c r="AR21" s="38">
        <f t="shared" si="41"/>
        <v>72252.516129032258</v>
      </c>
      <c r="AS21" s="197">
        <f>SUM(AR21-AR20-AT21)</f>
        <v>0</v>
      </c>
      <c r="AT21" s="340"/>
      <c r="AU21" s="546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44851</v>
      </c>
      <c r="B22" s="497">
        <f>'B5'!B21</f>
        <v>234</v>
      </c>
      <c r="C22" s="203">
        <f t="shared" si="18"/>
        <v>5034.7741935483873</v>
      </c>
      <c r="D22">
        <f t="shared" si="19"/>
        <v>234</v>
      </c>
      <c r="E22" s="203">
        <f t="shared" si="18"/>
        <v>5034.7741935483873</v>
      </c>
      <c r="F22">
        <f t="shared" si="20"/>
        <v>234</v>
      </c>
      <c r="G22" s="203">
        <f t="shared" si="1"/>
        <v>5034.7741935483873</v>
      </c>
      <c r="H22" s="203">
        <f t="shared" si="21"/>
        <v>234</v>
      </c>
      <c r="I22" s="203">
        <f t="shared" si="2"/>
        <v>5034.7741935483873</v>
      </c>
      <c r="J22" s="203">
        <f t="shared" si="22"/>
        <v>234</v>
      </c>
      <c r="K22" s="203">
        <f t="shared" si="3"/>
        <v>5034.7741935483873</v>
      </c>
      <c r="L22" s="203">
        <f t="shared" si="23"/>
        <v>234</v>
      </c>
      <c r="M22" s="203">
        <f t="shared" si="4"/>
        <v>5034.7741935483873</v>
      </c>
      <c r="N22" s="203">
        <f t="shared" si="24"/>
        <v>234</v>
      </c>
      <c r="O22" s="203">
        <f t="shared" si="5"/>
        <v>5034.7741935483873</v>
      </c>
      <c r="P22" s="203">
        <f t="shared" si="25"/>
        <v>234</v>
      </c>
      <c r="Q22" s="203">
        <f t="shared" si="6"/>
        <v>5034.7741935483873</v>
      </c>
      <c r="R22" s="203">
        <f t="shared" si="26"/>
        <v>234</v>
      </c>
      <c r="S22" s="203">
        <f t="shared" si="7"/>
        <v>5034.7741935483873</v>
      </c>
      <c r="T22" s="203">
        <f t="shared" si="27"/>
        <v>234</v>
      </c>
      <c r="U22" s="203">
        <f t="shared" si="8"/>
        <v>5034.7741935483873</v>
      </c>
      <c r="V22" s="203">
        <f t="shared" si="28"/>
        <v>234</v>
      </c>
      <c r="W22" s="203">
        <f t="shared" si="9"/>
        <v>5034.7741935483873</v>
      </c>
      <c r="X22" s="35">
        <f t="shared" si="10"/>
        <v>0.75483870967741939</v>
      </c>
      <c r="Y22" s="36">
        <f t="shared" si="29"/>
        <v>55382.516129032258</v>
      </c>
      <c r="Z22" s="497">
        <f>'B5'!C21</f>
        <v>241</v>
      </c>
      <c r="AA22" s="203">
        <f t="shared" si="30"/>
        <v>2410</v>
      </c>
      <c r="AB22" s="203">
        <f t="shared" si="31"/>
        <v>241</v>
      </c>
      <c r="AC22" s="203">
        <f t="shared" si="30"/>
        <v>2410</v>
      </c>
      <c r="AD22" s="203">
        <f t="shared" si="32"/>
        <v>241</v>
      </c>
      <c r="AE22" s="203">
        <f t="shared" si="11"/>
        <v>2410</v>
      </c>
      <c r="AF22" s="203">
        <f t="shared" si="33"/>
        <v>241</v>
      </c>
      <c r="AG22" s="203">
        <f t="shared" si="12"/>
        <v>2410</v>
      </c>
      <c r="AH22" s="203">
        <f t="shared" si="34"/>
        <v>241</v>
      </c>
      <c r="AI22" s="203">
        <f t="shared" si="13"/>
        <v>2410</v>
      </c>
      <c r="AJ22" s="203">
        <f t="shared" si="35"/>
        <v>241</v>
      </c>
      <c r="AK22" s="203">
        <f t="shared" si="14"/>
        <v>2410</v>
      </c>
      <c r="AL22" s="203">
        <f t="shared" si="36"/>
        <v>241</v>
      </c>
      <c r="AM22" s="203">
        <f t="shared" si="15"/>
        <v>2410</v>
      </c>
      <c r="AN22" s="35">
        <f t="shared" si="16"/>
        <v>0.86071428571428577</v>
      </c>
      <c r="AO22" s="36">
        <f t="shared" si="39"/>
        <v>16870</v>
      </c>
      <c r="AQ22" s="223">
        <f t="shared" si="40"/>
        <v>0.77715947218492265</v>
      </c>
      <c r="AR22" s="38">
        <f t="shared" si="41"/>
        <v>72252.516129032258</v>
      </c>
      <c r="AS22" s="197">
        <f t="shared" ref="AS22:AS32" si="47">SUM(AR22-AR21-AT22)</f>
        <v>0</v>
      </c>
      <c r="AT22" s="340"/>
      <c r="AU22" s="546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44852</v>
      </c>
      <c r="B23" s="497">
        <f>'B5'!B22</f>
        <v>234</v>
      </c>
      <c r="C23" s="203">
        <f t="shared" si="18"/>
        <v>5034.7741935483873</v>
      </c>
      <c r="D23">
        <f t="shared" si="19"/>
        <v>234</v>
      </c>
      <c r="E23" s="203">
        <f t="shared" si="18"/>
        <v>5034.7741935483873</v>
      </c>
      <c r="F23">
        <f t="shared" si="20"/>
        <v>234</v>
      </c>
      <c r="G23" s="203">
        <f t="shared" si="1"/>
        <v>5034.7741935483873</v>
      </c>
      <c r="H23" s="203">
        <f t="shared" si="21"/>
        <v>234</v>
      </c>
      <c r="I23" s="203">
        <f t="shared" si="2"/>
        <v>5034.7741935483873</v>
      </c>
      <c r="J23" s="203">
        <f t="shared" si="22"/>
        <v>234</v>
      </c>
      <c r="K23" s="203">
        <f t="shared" si="3"/>
        <v>5034.7741935483873</v>
      </c>
      <c r="L23" s="203">
        <f t="shared" si="23"/>
        <v>234</v>
      </c>
      <c r="M23" s="203">
        <f t="shared" si="4"/>
        <v>5034.7741935483873</v>
      </c>
      <c r="N23" s="203">
        <f t="shared" si="24"/>
        <v>234</v>
      </c>
      <c r="O23" s="203">
        <f t="shared" si="5"/>
        <v>5034.7741935483873</v>
      </c>
      <c r="P23" s="203">
        <f t="shared" si="25"/>
        <v>234</v>
      </c>
      <c r="Q23" s="203">
        <f t="shared" si="6"/>
        <v>5034.7741935483873</v>
      </c>
      <c r="R23" s="203">
        <f t="shared" si="26"/>
        <v>234</v>
      </c>
      <c r="S23" s="203">
        <f t="shared" si="7"/>
        <v>5034.7741935483873</v>
      </c>
      <c r="T23" s="203">
        <f t="shared" si="27"/>
        <v>234</v>
      </c>
      <c r="U23" s="203">
        <f t="shared" si="8"/>
        <v>5034.7741935483873</v>
      </c>
      <c r="V23" s="203">
        <f t="shared" si="28"/>
        <v>234</v>
      </c>
      <c r="W23" s="203">
        <f t="shared" si="9"/>
        <v>5034.7741935483873</v>
      </c>
      <c r="X23" s="35">
        <f t="shared" si="10"/>
        <v>0.75483870967741939</v>
      </c>
      <c r="Y23" s="36">
        <f t="shared" si="29"/>
        <v>55382.516129032258</v>
      </c>
      <c r="Z23" s="497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0.77715947218492265</v>
      </c>
      <c r="AR23" s="38">
        <f t="shared" si="41"/>
        <v>72252.516129032258</v>
      </c>
      <c r="AS23" s="197">
        <f t="shared" si="47"/>
        <v>0</v>
      </c>
      <c r="AT23" s="340"/>
      <c r="AU23" s="546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44853</v>
      </c>
      <c r="B24" s="497">
        <f>'B5'!B23</f>
        <v>234</v>
      </c>
      <c r="C24" s="203">
        <f t="shared" si="18"/>
        <v>5034.7741935483873</v>
      </c>
      <c r="D24">
        <f t="shared" si="19"/>
        <v>234</v>
      </c>
      <c r="E24" s="203">
        <f t="shared" si="18"/>
        <v>5034.7741935483873</v>
      </c>
      <c r="F24">
        <f t="shared" si="20"/>
        <v>234</v>
      </c>
      <c r="G24" s="203">
        <f t="shared" si="1"/>
        <v>5034.7741935483873</v>
      </c>
      <c r="H24" s="203">
        <f t="shared" si="21"/>
        <v>234</v>
      </c>
      <c r="I24" s="203">
        <f t="shared" si="2"/>
        <v>5034.7741935483873</v>
      </c>
      <c r="J24" s="203">
        <f t="shared" si="22"/>
        <v>234</v>
      </c>
      <c r="K24" s="203">
        <f t="shared" si="3"/>
        <v>5034.7741935483873</v>
      </c>
      <c r="L24" s="203">
        <f t="shared" si="23"/>
        <v>234</v>
      </c>
      <c r="M24" s="203">
        <f t="shared" si="4"/>
        <v>5034.7741935483873</v>
      </c>
      <c r="N24" s="203">
        <f t="shared" si="24"/>
        <v>234</v>
      </c>
      <c r="O24" s="203">
        <f t="shared" si="5"/>
        <v>5034.7741935483873</v>
      </c>
      <c r="P24" s="203">
        <f t="shared" si="25"/>
        <v>234</v>
      </c>
      <c r="Q24" s="203">
        <f t="shared" si="6"/>
        <v>5034.7741935483873</v>
      </c>
      <c r="R24" s="203">
        <f t="shared" si="26"/>
        <v>234</v>
      </c>
      <c r="S24" s="203">
        <f t="shared" si="7"/>
        <v>5034.7741935483873</v>
      </c>
      <c r="T24" s="203">
        <f t="shared" si="27"/>
        <v>234</v>
      </c>
      <c r="U24" s="203">
        <f t="shared" si="8"/>
        <v>5034.7741935483873</v>
      </c>
      <c r="V24" s="203">
        <f t="shared" si="28"/>
        <v>234</v>
      </c>
      <c r="W24" s="203">
        <f t="shared" si="9"/>
        <v>5034.7741935483873</v>
      </c>
      <c r="X24" s="35">
        <f t="shared" si="10"/>
        <v>0.75483870967741939</v>
      </c>
      <c r="Y24" s="36">
        <f t="shared" si="29"/>
        <v>55382.516129032258</v>
      </c>
      <c r="Z24" s="497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0.77715947218492265</v>
      </c>
      <c r="AR24" s="38">
        <f t="shared" si="41"/>
        <v>72252.516129032258</v>
      </c>
      <c r="AS24" s="197">
        <f t="shared" si="47"/>
        <v>0</v>
      </c>
      <c r="AT24" s="340"/>
      <c r="AU24" s="546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44854</v>
      </c>
      <c r="B25" s="497">
        <f>'B5'!B24</f>
        <v>234</v>
      </c>
      <c r="C25" s="203">
        <f t="shared" si="18"/>
        <v>5034.7741935483873</v>
      </c>
      <c r="D25">
        <f t="shared" si="19"/>
        <v>234</v>
      </c>
      <c r="E25" s="203">
        <f t="shared" si="18"/>
        <v>5034.7741935483873</v>
      </c>
      <c r="F25">
        <f t="shared" si="20"/>
        <v>234</v>
      </c>
      <c r="G25" s="203">
        <f t="shared" si="1"/>
        <v>5034.7741935483873</v>
      </c>
      <c r="H25" s="203">
        <f t="shared" si="21"/>
        <v>234</v>
      </c>
      <c r="I25" s="203">
        <f t="shared" si="2"/>
        <v>5034.7741935483873</v>
      </c>
      <c r="J25" s="203">
        <f t="shared" si="22"/>
        <v>234</v>
      </c>
      <c r="K25" s="203">
        <f t="shared" si="3"/>
        <v>5034.7741935483873</v>
      </c>
      <c r="L25" s="203">
        <f t="shared" si="23"/>
        <v>234</v>
      </c>
      <c r="M25" s="203">
        <f t="shared" si="4"/>
        <v>5034.7741935483873</v>
      </c>
      <c r="N25" s="203">
        <f t="shared" si="24"/>
        <v>234</v>
      </c>
      <c r="O25" s="203">
        <f t="shared" si="5"/>
        <v>5034.7741935483873</v>
      </c>
      <c r="P25" s="203">
        <f t="shared" si="25"/>
        <v>234</v>
      </c>
      <c r="Q25" s="203">
        <f t="shared" si="6"/>
        <v>5034.7741935483873</v>
      </c>
      <c r="R25" s="203">
        <f t="shared" si="26"/>
        <v>234</v>
      </c>
      <c r="S25" s="203">
        <f t="shared" si="7"/>
        <v>5034.7741935483873</v>
      </c>
      <c r="T25" s="203">
        <f t="shared" si="27"/>
        <v>234</v>
      </c>
      <c r="U25" s="203">
        <f t="shared" si="8"/>
        <v>5034.7741935483873</v>
      </c>
      <c r="V25" s="203">
        <f t="shared" si="28"/>
        <v>234</v>
      </c>
      <c r="W25" s="203">
        <f t="shared" si="9"/>
        <v>5034.7741935483873</v>
      </c>
      <c r="X25" s="35">
        <f t="shared" si="10"/>
        <v>0.75483870967741939</v>
      </c>
      <c r="Y25" s="36">
        <f t="shared" si="29"/>
        <v>55382.516129032258</v>
      </c>
      <c r="Z25" s="497">
        <f>'B5'!C24</f>
        <v>241</v>
      </c>
      <c r="AA25" s="203">
        <f t="shared" si="30"/>
        <v>2410</v>
      </c>
      <c r="AB25" s="203">
        <f t="shared" si="31"/>
        <v>241</v>
      </c>
      <c r="AC25" s="203">
        <f t="shared" si="30"/>
        <v>2410</v>
      </c>
      <c r="AD25" s="203">
        <f t="shared" si="32"/>
        <v>241</v>
      </c>
      <c r="AE25" s="203">
        <f t="shared" si="11"/>
        <v>2410</v>
      </c>
      <c r="AF25" s="203">
        <f t="shared" si="33"/>
        <v>241</v>
      </c>
      <c r="AG25" s="203">
        <f t="shared" si="12"/>
        <v>2410</v>
      </c>
      <c r="AH25" s="203">
        <f t="shared" si="34"/>
        <v>241</v>
      </c>
      <c r="AI25" s="203">
        <f t="shared" si="13"/>
        <v>2410</v>
      </c>
      <c r="AJ25" s="203">
        <f t="shared" si="35"/>
        <v>241</v>
      </c>
      <c r="AK25" s="203">
        <f t="shared" si="14"/>
        <v>2410</v>
      </c>
      <c r="AL25" s="203">
        <f t="shared" si="36"/>
        <v>241</v>
      </c>
      <c r="AM25" s="203">
        <f t="shared" si="15"/>
        <v>2410</v>
      </c>
      <c r="AN25" s="35">
        <f t="shared" si="16"/>
        <v>0.86071428571428577</v>
      </c>
      <c r="AO25" s="36">
        <f t="shared" si="39"/>
        <v>16870</v>
      </c>
      <c r="AQ25" s="223">
        <f t="shared" si="40"/>
        <v>0.77715947218492265</v>
      </c>
      <c r="AR25" s="38">
        <f t="shared" si="41"/>
        <v>72252.516129032258</v>
      </c>
      <c r="AS25" s="197">
        <f t="shared" si="47"/>
        <v>0</v>
      </c>
      <c r="AT25" s="340"/>
      <c r="AU25" s="546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44855</v>
      </c>
      <c r="B26" s="497">
        <f>'B5'!B25</f>
        <v>234</v>
      </c>
      <c r="C26" s="203">
        <f t="shared" si="18"/>
        <v>5034.7741935483873</v>
      </c>
      <c r="D26">
        <f t="shared" si="19"/>
        <v>234</v>
      </c>
      <c r="E26" s="203">
        <f t="shared" si="18"/>
        <v>5034.7741935483873</v>
      </c>
      <c r="F26">
        <f t="shared" si="20"/>
        <v>234</v>
      </c>
      <c r="G26" s="203">
        <f t="shared" si="1"/>
        <v>5034.7741935483873</v>
      </c>
      <c r="H26" s="203">
        <f t="shared" si="21"/>
        <v>234</v>
      </c>
      <c r="I26" s="203">
        <f t="shared" si="2"/>
        <v>5034.7741935483873</v>
      </c>
      <c r="J26" s="203">
        <f t="shared" si="22"/>
        <v>234</v>
      </c>
      <c r="K26" s="203">
        <f t="shared" si="3"/>
        <v>5034.7741935483873</v>
      </c>
      <c r="L26" s="203">
        <f t="shared" si="23"/>
        <v>234</v>
      </c>
      <c r="M26" s="203">
        <f t="shared" si="4"/>
        <v>5034.7741935483873</v>
      </c>
      <c r="N26" s="203">
        <f t="shared" si="24"/>
        <v>234</v>
      </c>
      <c r="O26" s="203">
        <f t="shared" si="5"/>
        <v>5034.7741935483873</v>
      </c>
      <c r="P26" s="203">
        <f t="shared" si="25"/>
        <v>234</v>
      </c>
      <c r="Q26" s="203">
        <f t="shared" si="6"/>
        <v>5034.7741935483873</v>
      </c>
      <c r="R26" s="203">
        <f t="shared" si="26"/>
        <v>234</v>
      </c>
      <c r="S26" s="203">
        <f t="shared" si="7"/>
        <v>5034.7741935483873</v>
      </c>
      <c r="T26" s="203">
        <f t="shared" si="27"/>
        <v>234</v>
      </c>
      <c r="U26" s="203">
        <f t="shared" si="8"/>
        <v>5034.7741935483873</v>
      </c>
      <c r="V26" s="203">
        <f t="shared" si="28"/>
        <v>234</v>
      </c>
      <c r="W26" s="203">
        <f t="shared" si="9"/>
        <v>5034.7741935483873</v>
      </c>
      <c r="X26" s="35">
        <f t="shared" si="10"/>
        <v>0.75483870967741939</v>
      </c>
      <c r="Y26" s="36">
        <f t="shared" si="29"/>
        <v>55382.516129032258</v>
      </c>
      <c r="Z26" s="497">
        <f>'B5'!C25</f>
        <v>241</v>
      </c>
      <c r="AA26" s="203">
        <f t="shared" si="30"/>
        <v>2410</v>
      </c>
      <c r="AB26" s="203">
        <f t="shared" si="31"/>
        <v>241</v>
      </c>
      <c r="AC26" s="203">
        <f t="shared" si="30"/>
        <v>2410</v>
      </c>
      <c r="AD26" s="203">
        <f t="shared" si="32"/>
        <v>241</v>
      </c>
      <c r="AE26" s="203">
        <f t="shared" si="11"/>
        <v>2410</v>
      </c>
      <c r="AF26" s="203">
        <f t="shared" si="33"/>
        <v>241</v>
      </c>
      <c r="AG26" s="203">
        <f t="shared" si="12"/>
        <v>2410</v>
      </c>
      <c r="AH26" s="203">
        <f t="shared" si="34"/>
        <v>241</v>
      </c>
      <c r="AI26" s="203">
        <f t="shared" si="13"/>
        <v>2410</v>
      </c>
      <c r="AJ26" s="203">
        <f t="shared" si="35"/>
        <v>241</v>
      </c>
      <c r="AK26" s="203">
        <f t="shared" si="14"/>
        <v>2410</v>
      </c>
      <c r="AL26" s="203">
        <f t="shared" si="36"/>
        <v>241</v>
      </c>
      <c r="AM26" s="203">
        <f t="shared" si="15"/>
        <v>2410</v>
      </c>
      <c r="AN26" s="35">
        <f t="shared" si="16"/>
        <v>0.86071428571428577</v>
      </c>
      <c r="AO26" s="36">
        <f t="shared" si="39"/>
        <v>16870</v>
      </c>
      <c r="AQ26" s="223">
        <f t="shared" si="40"/>
        <v>0.77715947218492265</v>
      </c>
      <c r="AR26" s="38">
        <f t="shared" si="41"/>
        <v>72252.516129032258</v>
      </c>
      <c r="AS26" s="197">
        <f t="shared" si="47"/>
        <v>0</v>
      </c>
      <c r="AT26" s="340"/>
      <c r="AU26" s="546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44856</v>
      </c>
      <c r="B27" s="497">
        <f>'B5'!B26</f>
        <v>234</v>
      </c>
      <c r="C27" s="203">
        <f t="shared" si="18"/>
        <v>5034.7741935483873</v>
      </c>
      <c r="D27">
        <f t="shared" si="19"/>
        <v>234</v>
      </c>
      <c r="E27" s="203">
        <f t="shared" si="18"/>
        <v>5034.7741935483873</v>
      </c>
      <c r="F27">
        <f t="shared" si="20"/>
        <v>234</v>
      </c>
      <c r="G27" s="203">
        <f t="shared" si="1"/>
        <v>5034.7741935483873</v>
      </c>
      <c r="H27" s="203">
        <f t="shared" si="21"/>
        <v>234</v>
      </c>
      <c r="I27" s="203">
        <f t="shared" si="2"/>
        <v>5034.7741935483873</v>
      </c>
      <c r="J27" s="203">
        <f t="shared" si="22"/>
        <v>234</v>
      </c>
      <c r="K27" s="203">
        <f t="shared" si="3"/>
        <v>5034.7741935483873</v>
      </c>
      <c r="L27" s="203">
        <f t="shared" si="23"/>
        <v>234</v>
      </c>
      <c r="M27" s="203">
        <f t="shared" si="4"/>
        <v>5034.7741935483873</v>
      </c>
      <c r="N27" s="203">
        <f t="shared" si="24"/>
        <v>234</v>
      </c>
      <c r="O27" s="203">
        <f t="shared" si="5"/>
        <v>5034.7741935483873</v>
      </c>
      <c r="P27" s="203">
        <f t="shared" si="25"/>
        <v>234</v>
      </c>
      <c r="Q27" s="203">
        <f t="shared" si="6"/>
        <v>5034.7741935483873</v>
      </c>
      <c r="R27" s="203">
        <f t="shared" si="26"/>
        <v>234</v>
      </c>
      <c r="S27" s="203">
        <f t="shared" si="7"/>
        <v>5034.7741935483873</v>
      </c>
      <c r="T27" s="203">
        <f t="shared" si="27"/>
        <v>234</v>
      </c>
      <c r="U27" s="203">
        <f t="shared" si="8"/>
        <v>5034.7741935483873</v>
      </c>
      <c r="V27" s="203">
        <f t="shared" si="28"/>
        <v>234</v>
      </c>
      <c r="W27" s="203">
        <f t="shared" si="9"/>
        <v>5034.7741935483873</v>
      </c>
      <c r="X27" s="35">
        <f t="shared" si="10"/>
        <v>0.75483870967741939</v>
      </c>
      <c r="Y27" s="36">
        <f t="shared" si="29"/>
        <v>55382.516129032258</v>
      </c>
      <c r="Z27" s="497">
        <f>'B5'!C26</f>
        <v>241</v>
      </c>
      <c r="AA27" s="203">
        <f t="shared" si="30"/>
        <v>2410</v>
      </c>
      <c r="AB27" s="203">
        <f t="shared" si="31"/>
        <v>241</v>
      </c>
      <c r="AC27" s="203">
        <f t="shared" si="30"/>
        <v>2410</v>
      </c>
      <c r="AD27" s="203">
        <f t="shared" si="32"/>
        <v>241</v>
      </c>
      <c r="AE27" s="203">
        <f t="shared" si="11"/>
        <v>2410</v>
      </c>
      <c r="AF27" s="203">
        <f t="shared" si="33"/>
        <v>241</v>
      </c>
      <c r="AG27" s="203">
        <f t="shared" si="12"/>
        <v>2410</v>
      </c>
      <c r="AH27" s="203">
        <f t="shared" si="34"/>
        <v>241</v>
      </c>
      <c r="AI27" s="203">
        <f t="shared" si="13"/>
        <v>2410</v>
      </c>
      <c r="AJ27" s="203">
        <f t="shared" si="35"/>
        <v>241</v>
      </c>
      <c r="AK27" s="203">
        <f t="shared" si="14"/>
        <v>2410</v>
      </c>
      <c r="AL27" s="203">
        <f t="shared" si="36"/>
        <v>241</v>
      </c>
      <c r="AM27" s="203">
        <f t="shared" si="15"/>
        <v>2410</v>
      </c>
      <c r="AN27" s="35">
        <f t="shared" si="16"/>
        <v>0.86071428571428577</v>
      </c>
      <c r="AO27" s="36">
        <f t="shared" si="39"/>
        <v>16870</v>
      </c>
      <c r="AQ27" s="223">
        <f t="shared" si="40"/>
        <v>0.77715947218492265</v>
      </c>
      <c r="AR27" s="38">
        <f t="shared" si="41"/>
        <v>72252.516129032258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44857</v>
      </c>
      <c r="B28" s="497">
        <f>'B5'!B27</f>
        <v>234</v>
      </c>
      <c r="C28" s="203">
        <f t="shared" si="18"/>
        <v>5034.7741935483873</v>
      </c>
      <c r="D28">
        <f t="shared" si="19"/>
        <v>234</v>
      </c>
      <c r="E28" s="203">
        <f t="shared" si="18"/>
        <v>5034.7741935483873</v>
      </c>
      <c r="F28">
        <f t="shared" si="20"/>
        <v>234</v>
      </c>
      <c r="G28" s="203">
        <f t="shared" si="1"/>
        <v>5034.7741935483873</v>
      </c>
      <c r="H28" s="203">
        <f t="shared" si="21"/>
        <v>234</v>
      </c>
      <c r="I28" s="203">
        <f t="shared" si="2"/>
        <v>5034.7741935483873</v>
      </c>
      <c r="J28" s="203">
        <f t="shared" si="22"/>
        <v>234</v>
      </c>
      <c r="K28" s="203">
        <f t="shared" si="3"/>
        <v>5034.7741935483873</v>
      </c>
      <c r="L28" s="203">
        <f t="shared" si="23"/>
        <v>234</v>
      </c>
      <c r="M28" s="203">
        <f t="shared" si="4"/>
        <v>5034.7741935483873</v>
      </c>
      <c r="N28" s="203">
        <f t="shared" si="24"/>
        <v>234</v>
      </c>
      <c r="O28" s="203">
        <f t="shared" si="5"/>
        <v>5034.7741935483873</v>
      </c>
      <c r="P28" s="203">
        <f t="shared" si="25"/>
        <v>234</v>
      </c>
      <c r="Q28" s="203">
        <f t="shared" si="6"/>
        <v>5034.7741935483873</v>
      </c>
      <c r="R28" s="203">
        <f t="shared" si="26"/>
        <v>234</v>
      </c>
      <c r="S28" s="203">
        <f t="shared" si="7"/>
        <v>5034.7741935483873</v>
      </c>
      <c r="T28" s="203">
        <f t="shared" si="27"/>
        <v>234</v>
      </c>
      <c r="U28" s="203">
        <f t="shared" si="8"/>
        <v>5034.7741935483873</v>
      </c>
      <c r="V28" s="203">
        <f t="shared" si="28"/>
        <v>234</v>
      </c>
      <c r="W28" s="203">
        <f t="shared" si="9"/>
        <v>5034.7741935483873</v>
      </c>
      <c r="X28" s="35">
        <f t="shared" si="10"/>
        <v>0.75483870967741939</v>
      </c>
      <c r="Y28" s="36">
        <f t="shared" si="29"/>
        <v>55382.516129032258</v>
      </c>
      <c r="Z28" s="497">
        <f>'B5'!C27</f>
        <v>241</v>
      </c>
      <c r="AA28" s="203">
        <f t="shared" si="30"/>
        <v>2410</v>
      </c>
      <c r="AB28" s="203">
        <f t="shared" si="31"/>
        <v>241</v>
      </c>
      <c r="AC28" s="203">
        <f t="shared" si="30"/>
        <v>2410</v>
      </c>
      <c r="AD28" s="203">
        <f t="shared" si="32"/>
        <v>241</v>
      </c>
      <c r="AE28" s="203">
        <f t="shared" si="11"/>
        <v>2410</v>
      </c>
      <c r="AF28" s="203">
        <f t="shared" si="33"/>
        <v>241</v>
      </c>
      <c r="AG28" s="203">
        <f t="shared" si="12"/>
        <v>2410</v>
      </c>
      <c r="AH28" s="203">
        <f t="shared" si="34"/>
        <v>241</v>
      </c>
      <c r="AI28" s="203">
        <f t="shared" si="13"/>
        <v>2410</v>
      </c>
      <c r="AJ28" s="203">
        <f t="shared" si="35"/>
        <v>241</v>
      </c>
      <c r="AK28" s="203">
        <f t="shared" si="14"/>
        <v>2410</v>
      </c>
      <c r="AL28" s="203">
        <f t="shared" si="36"/>
        <v>241</v>
      </c>
      <c r="AM28" s="203">
        <f t="shared" si="15"/>
        <v>2410</v>
      </c>
      <c r="AN28" s="35">
        <f t="shared" si="16"/>
        <v>0.86071428571428577</v>
      </c>
      <c r="AO28" s="36">
        <f t="shared" si="39"/>
        <v>16870</v>
      </c>
      <c r="AQ28" s="223">
        <f t="shared" si="40"/>
        <v>0.77715947218492265</v>
      </c>
      <c r="AR28" s="38">
        <f t="shared" si="41"/>
        <v>72252.516129032258</v>
      </c>
      <c r="AS28" s="197">
        <f t="shared" si="47"/>
        <v>0</v>
      </c>
      <c r="AT28" s="340"/>
      <c r="AU28" s="546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44858</v>
      </c>
      <c r="B29" s="497">
        <f>'B5'!B28</f>
        <v>234</v>
      </c>
      <c r="C29" s="203">
        <f t="shared" si="18"/>
        <v>5034.7741935483873</v>
      </c>
      <c r="D29">
        <f t="shared" si="19"/>
        <v>234</v>
      </c>
      <c r="E29" s="203">
        <f t="shared" si="18"/>
        <v>5034.7741935483873</v>
      </c>
      <c r="F29">
        <f t="shared" si="20"/>
        <v>234</v>
      </c>
      <c r="G29" s="203">
        <f t="shared" si="1"/>
        <v>5034.7741935483873</v>
      </c>
      <c r="H29" s="203">
        <f t="shared" si="21"/>
        <v>234</v>
      </c>
      <c r="I29" s="203">
        <f t="shared" si="2"/>
        <v>5034.7741935483873</v>
      </c>
      <c r="J29" s="203">
        <f t="shared" si="22"/>
        <v>234</v>
      </c>
      <c r="K29" s="203">
        <f t="shared" si="3"/>
        <v>5034.7741935483873</v>
      </c>
      <c r="L29" s="203">
        <f t="shared" si="23"/>
        <v>234</v>
      </c>
      <c r="M29" s="203">
        <f t="shared" si="4"/>
        <v>5034.7741935483873</v>
      </c>
      <c r="N29" s="203">
        <f t="shared" si="24"/>
        <v>234</v>
      </c>
      <c r="O29" s="203">
        <f t="shared" si="5"/>
        <v>5034.7741935483873</v>
      </c>
      <c r="P29" s="203">
        <f t="shared" si="25"/>
        <v>234</v>
      </c>
      <c r="Q29" s="203">
        <f t="shared" si="6"/>
        <v>5034.7741935483873</v>
      </c>
      <c r="R29" s="203">
        <f t="shared" si="26"/>
        <v>234</v>
      </c>
      <c r="S29" s="203">
        <f t="shared" si="7"/>
        <v>5034.7741935483873</v>
      </c>
      <c r="T29" s="203">
        <f t="shared" si="27"/>
        <v>234</v>
      </c>
      <c r="U29" s="203">
        <f t="shared" si="8"/>
        <v>5034.7741935483873</v>
      </c>
      <c r="V29" s="203">
        <f t="shared" si="28"/>
        <v>234</v>
      </c>
      <c r="W29" s="203">
        <f t="shared" si="9"/>
        <v>5034.7741935483873</v>
      </c>
      <c r="X29" s="35">
        <f t="shared" si="10"/>
        <v>0.75483870967741939</v>
      </c>
      <c r="Y29" s="36">
        <f t="shared" si="29"/>
        <v>55382.516129032258</v>
      </c>
      <c r="Z29" s="497">
        <f>'B5'!C28</f>
        <v>241</v>
      </c>
      <c r="AA29" s="203">
        <f t="shared" si="30"/>
        <v>2410</v>
      </c>
      <c r="AB29" s="203">
        <f t="shared" si="31"/>
        <v>241</v>
      </c>
      <c r="AC29" s="203">
        <f t="shared" si="30"/>
        <v>2410</v>
      </c>
      <c r="AD29" s="203">
        <f t="shared" si="32"/>
        <v>241</v>
      </c>
      <c r="AE29" s="203">
        <f t="shared" si="11"/>
        <v>2410</v>
      </c>
      <c r="AF29" s="203">
        <f t="shared" si="33"/>
        <v>241</v>
      </c>
      <c r="AG29" s="203">
        <f t="shared" si="12"/>
        <v>2410</v>
      </c>
      <c r="AH29" s="203">
        <f t="shared" si="34"/>
        <v>241</v>
      </c>
      <c r="AI29" s="203">
        <f t="shared" si="13"/>
        <v>2410</v>
      </c>
      <c r="AJ29" s="203">
        <f t="shared" si="35"/>
        <v>241</v>
      </c>
      <c r="AK29" s="203">
        <f t="shared" si="14"/>
        <v>2410</v>
      </c>
      <c r="AL29" s="203">
        <f t="shared" si="36"/>
        <v>241</v>
      </c>
      <c r="AM29" s="203">
        <f t="shared" si="15"/>
        <v>2410</v>
      </c>
      <c r="AN29" s="35">
        <f t="shared" si="16"/>
        <v>0.86071428571428577</v>
      </c>
      <c r="AO29" s="36">
        <f t="shared" si="39"/>
        <v>16870</v>
      </c>
      <c r="AQ29" s="223">
        <f t="shared" si="40"/>
        <v>0.77715947218492265</v>
      </c>
      <c r="AR29" s="38">
        <f t="shared" si="41"/>
        <v>72252.516129032258</v>
      </c>
      <c r="AS29" s="197">
        <f>SUM(AR29-AR28-AT29)</f>
        <v>0</v>
      </c>
      <c r="AT29" s="340"/>
      <c r="AU29" s="546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44859</v>
      </c>
      <c r="B30" s="497">
        <f>'B5'!B29</f>
        <v>234</v>
      </c>
      <c r="C30" s="203">
        <f t="shared" si="18"/>
        <v>5034.7741935483873</v>
      </c>
      <c r="D30">
        <f>SUM(B30)</f>
        <v>234</v>
      </c>
      <c r="E30" s="203">
        <f t="shared" si="18"/>
        <v>5034.7741935483873</v>
      </c>
      <c r="F30">
        <f>SUM(D30)</f>
        <v>234</v>
      </c>
      <c r="G30" s="203">
        <f t="shared" si="1"/>
        <v>5034.7741935483873</v>
      </c>
      <c r="H30" s="203">
        <f>SUM(F30)</f>
        <v>234</v>
      </c>
      <c r="I30" s="203">
        <f t="shared" si="2"/>
        <v>5034.7741935483873</v>
      </c>
      <c r="J30" s="203">
        <f>SUM(H30)</f>
        <v>234</v>
      </c>
      <c r="K30" s="203">
        <f t="shared" si="3"/>
        <v>5034.7741935483873</v>
      </c>
      <c r="L30" s="203">
        <f>SUM(J30)</f>
        <v>234</v>
      </c>
      <c r="M30" s="203">
        <f t="shared" si="4"/>
        <v>5034.7741935483873</v>
      </c>
      <c r="N30" s="203">
        <f>SUM(L30)</f>
        <v>234</v>
      </c>
      <c r="O30" s="203">
        <f t="shared" si="5"/>
        <v>5034.7741935483873</v>
      </c>
      <c r="P30" s="203">
        <f>SUM(N30)</f>
        <v>234</v>
      </c>
      <c r="Q30" s="203">
        <f t="shared" si="6"/>
        <v>5034.7741935483873</v>
      </c>
      <c r="R30" s="203">
        <f>SUM(P30)</f>
        <v>234</v>
      </c>
      <c r="S30" s="203">
        <f t="shared" si="7"/>
        <v>5034.7741935483873</v>
      </c>
      <c r="T30" s="203">
        <f>SUM(R30)</f>
        <v>234</v>
      </c>
      <c r="U30" s="203">
        <f t="shared" si="8"/>
        <v>5034.7741935483873</v>
      </c>
      <c r="V30" s="203">
        <f>SUM(T30)</f>
        <v>234</v>
      </c>
      <c r="W30" s="203">
        <f t="shared" si="9"/>
        <v>5034.7741935483873</v>
      </c>
      <c r="X30" s="35">
        <f>SUM(Y30/73370)</f>
        <v>0.75483870967741939</v>
      </c>
      <c r="Y30" s="36">
        <f>SUM(C30+E30+G30+I30+K30+M30+O30+Q30+S30+U30+W30)</f>
        <v>55382.516129032258</v>
      </c>
      <c r="Z30" s="497">
        <f>'B5'!C29</f>
        <v>241</v>
      </c>
      <c r="AA30" s="203">
        <f t="shared" si="30"/>
        <v>2410</v>
      </c>
      <c r="AB30" s="203">
        <f>SUM(Z30)</f>
        <v>241</v>
      </c>
      <c r="AC30" s="203">
        <f t="shared" si="30"/>
        <v>2410</v>
      </c>
      <c r="AD30" s="203">
        <f>SUM(AB30)</f>
        <v>241</v>
      </c>
      <c r="AE30" s="203">
        <f t="shared" si="11"/>
        <v>2410</v>
      </c>
      <c r="AF30" s="203">
        <f>SUM(AD30)</f>
        <v>241</v>
      </c>
      <c r="AG30" s="203">
        <f t="shared" si="12"/>
        <v>2410</v>
      </c>
      <c r="AH30" s="203">
        <f>SUM(AF30)</f>
        <v>241</v>
      </c>
      <c r="AI30" s="203">
        <f t="shared" si="13"/>
        <v>2410</v>
      </c>
      <c r="AJ30" s="203">
        <f>SUM(AH30)</f>
        <v>241</v>
      </c>
      <c r="AK30" s="203">
        <f t="shared" si="14"/>
        <v>2410</v>
      </c>
      <c r="AL30" s="203">
        <f>SUM(AJ30)</f>
        <v>241</v>
      </c>
      <c r="AM30" s="203">
        <f t="shared" si="15"/>
        <v>2410</v>
      </c>
      <c r="AN30" s="35">
        <f>SUM(AO30/19600)</f>
        <v>0.86071428571428577</v>
      </c>
      <c r="AO30" s="36">
        <f>SUM(AA30+AC30+AE30+AG30+AI30+AK30+AM30)</f>
        <v>16870</v>
      </c>
      <c r="AQ30" s="223">
        <f t="shared" si="40"/>
        <v>0.77715947218492265</v>
      </c>
      <c r="AR30" s="38">
        <f t="shared" si="41"/>
        <v>72252.516129032258</v>
      </c>
      <c r="AS30" s="197">
        <f>SUM(AR30-AR29-AT30)</f>
        <v>0</v>
      </c>
      <c r="AT30" s="340"/>
      <c r="AU30" s="546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44860</v>
      </c>
      <c r="B31" s="497">
        <f>'B5'!B30</f>
        <v>234</v>
      </c>
      <c r="C31" s="203">
        <f t="shared" si="18"/>
        <v>5034.7741935483873</v>
      </c>
      <c r="D31">
        <f>SUM(B31)</f>
        <v>234</v>
      </c>
      <c r="E31" s="203">
        <f t="shared" si="18"/>
        <v>5034.7741935483873</v>
      </c>
      <c r="F31">
        <f>SUM(D31)</f>
        <v>234</v>
      </c>
      <c r="G31" s="203">
        <f t="shared" si="1"/>
        <v>5034.7741935483873</v>
      </c>
      <c r="H31" s="203">
        <f>SUM(F31)</f>
        <v>234</v>
      </c>
      <c r="I31" s="203">
        <f t="shared" si="2"/>
        <v>5034.7741935483873</v>
      </c>
      <c r="J31" s="203">
        <f>SUM(H31)</f>
        <v>234</v>
      </c>
      <c r="K31" s="203">
        <f t="shared" si="3"/>
        <v>5034.7741935483873</v>
      </c>
      <c r="L31" s="203">
        <f>SUM(J31)</f>
        <v>234</v>
      </c>
      <c r="M31" s="203">
        <f t="shared" si="4"/>
        <v>5034.7741935483873</v>
      </c>
      <c r="N31" s="203">
        <f>SUM(L31)</f>
        <v>234</v>
      </c>
      <c r="O31" s="203">
        <f t="shared" si="5"/>
        <v>5034.7741935483873</v>
      </c>
      <c r="P31" s="203">
        <f>SUM(N31)</f>
        <v>234</v>
      </c>
      <c r="Q31" s="203">
        <f t="shared" si="6"/>
        <v>5034.7741935483873</v>
      </c>
      <c r="R31" s="203">
        <f>SUM(P31)</f>
        <v>234</v>
      </c>
      <c r="S31" s="203">
        <f t="shared" si="7"/>
        <v>5034.7741935483873</v>
      </c>
      <c r="T31" s="203">
        <f>SUM(R31)</f>
        <v>234</v>
      </c>
      <c r="U31" s="203">
        <f t="shared" si="8"/>
        <v>5034.7741935483873</v>
      </c>
      <c r="V31" s="203">
        <f>SUM(T31)</f>
        <v>234</v>
      </c>
      <c r="W31" s="203">
        <f t="shared" si="9"/>
        <v>5034.7741935483873</v>
      </c>
      <c r="X31" s="35">
        <f>SUM(Y31/73370)</f>
        <v>0.75483870967741939</v>
      </c>
      <c r="Y31" s="36">
        <f>SUM(C31+E31+G31+I31+K31+M31+O31+Q31+S31+U31+W31)</f>
        <v>55382.516129032258</v>
      </c>
      <c r="Z31" s="497">
        <f>'B5'!C30</f>
        <v>241</v>
      </c>
      <c r="AA31" s="203">
        <f t="shared" si="30"/>
        <v>2410</v>
      </c>
      <c r="AB31" s="203">
        <f>SUM(Z31)</f>
        <v>241</v>
      </c>
      <c r="AC31" s="203">
        <f t="shared" si="30"/>
        <v>2410</v>
      </c>
      <c r="AD31" s="203">
        <f>SUM(AB31)</f>
        <v>241</v>
      </c>
      <c r="AE31" s="203">
        <f t="shared" si="11"/>
        <v>2410</v>
      </c>
      <c r="AF31" s="203">
        <f>SUM(AD31)</f>
        <v>241</v>
      </c>
      <c r="AG31" s="203">
        <f t="shared" si="12"/>
        <v>2410</v>
      </c>
      <c r="AH31" s="203">
        <f>SUM(AF31)</f>
        <v>241</v>
      </c>
      <c r="AI31" s="203">
        <f t="shared" si="13"/>
        <v>2410</v>
      </c>
      <c r="AJ31" s="203">
        <f>SUM(AH31)</f>
        <v>241</v>
      </c>
      <c r="AK31" s="203">
        <f t="shared" si="14"/>
        <v>2410</v>
      </c>
      <c r="AL31" s="203">
        <f>SUM(AJ31)</f>
        <v>241</v>
      </c>
      <c r="AM31" s="203">
        <f t="shared" si="15"/>
        <v>2410</v>
      </c>
      <c r="AN31" s="35">
        <f>SUM(AO31/19600)</f>
        <v>0.86071428571428577</v>
      </c>
      <c r="AO31" s="36">
        <f>SUM(AA31+AC31+AE31+AG31+AI31+AK31+AM31)</f>
        <v>16870</v>
      </c>
      <c r="AQ31" s="223">
        <f t="shared" si="40"/>
        <v>0.77715947218492265</v>
      </c>
      <c r="AR31" s="38">
        <f t="shared" si="41"/>
        <v>72252.516129032258</v>
      </c>
      <c r="AS31" s="197">
        <f t="shared" si="47"/>
        <v>0</v>
      </c>
      <c r="AT31" s="340"/>
      <c r="AU31" s="546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44861</v>
      </c>
      <c r="B32" s="497">
        <f>'B5'!B31</f>
        <v>234</v>
      </c>
      <c r="C32" s="203">
        <f t="shared" si="18"/>
        <v>5034.7741935483873</v>
      </c>
      <c r="D32">
        <f>SUM(B32)</f>
        <v>234</v>
      </c>
      <c r="E32" s="203">
        <f t="shared" si="18"/>
        <v>5034.7741935483873</v>
      </c>
      <c r="F32">
        <f>SUM(D32)</f>
        <v>234</v>
      </c>
      <c r="G32" s="203">
        <f t="shared" si="1"/>
        <v>5034.7741935483873</v>
      </c>
      <c r="H32" s="203">
        <f>SUM(F32)</f>
        <v>234</v>
      </c>
      <c r="I32" s="203">
        <f t="shared" si="2"/>
        <v>5034.7741935483873</v>
      </c>
      <c r="J32" s="203">
        <f>SUM(H32)</f>
        <v>234</v>
      </c>
      <c r="K32" s="203">
        <f t="shared" si="3"/>
        <v>5034.7741935483873</v>
      </c>
      <c r="L32" s="203">
        <f>SUM(J32)</f>
        <v>234</v>
      </c>
      <c r="M32" s="203">
        <f t="shared" si="4"/>
        <v>5034.7741935483873</v>
      </c>
      <c r="N32" s="203">
        <f>SUM(L32)</f>
        <v>234</v>
      </c>
      <c r="O32" s="203">
        <f t="shared" si="5"/>
        <v>5034.7741935483873</v>
      </c>
      <c r="P32" s="203">
        <f>SUM(N32)</f>
        <v>234</v>
      </c>
      <c r="Q32" s="203">
        <f t="shared" si="6"/>
        <v>5034.7741935483873</v>
      </c>
      <c r="R32" s="203">
        <f>SUM(P32)</f>
        <v>234</v>
      </c>
      <c r="S32" s="203">
        <f t="shared" si="7"/>
        <v>5034.7741935483873</v>
      </c>
      <c r="T32" s="203">
        <f>SUM(R32)</f>
        <v>234</v>
      </c>
      <c r="U32" s="203">
        <f t="shared" si="8"/>
        <v>5034.7741935483873</v>
      </c>
      <c r="V32" s="203">
        <f>SUM(T32)</f>
        <v>234</v>
      </c>
      <c r="W32" s="203">
        <f t="shared" si="9"/>
        <v>5034.7741935483873</v>
      </c>
      <c r="X32" s="35">
        <f>SUM(Y32/73370)</f>
        <v>0.75483870967741939</v>
      </c>
      <c r="Y32" s="36">
        <f>SUM(C32+E32+G32+I32+K32+M32+O32+Q32+S32+U32+W32)</f>
        <v>55382.516129032258</v>
      </c>
      <c r="Z32" s="497">
        <f>'B5'!C31</f>
        <v>241</v>
      </c>
      <c r="AA32" s="203">
        <f t="shared" si="30"/>
        <v>2410</v>
      </c>
      <c r="AB32" s="203">
        <f>SUM(Z32)</f>
        <v>241</v>
      </c>
      <c r="AC32" s="203">
        <f t="shared" si="30"/>
        <v>2410</v>
      </c>
      <c r="AD32" s="203">
        <f>SUM(AB32)</f>
        <v>241</v>
      </c>
      <c r="AE32" s="203">
        <f t="shared" si="11"/>
        <v>2410</v>
      </c>
      <c r="AF32" s="203">
        <f>SUM(AD32)</f>
        <v>241</v>
      </c>
      <c r="AG32" s="203">
        <f t="shared" si="12"/>
        <v>2410</v>
      </c>
      <c r="AH32" s="203">
        <f>SUM(AF32)</f>
        <v>241</v>
      </c>
      <c r="AI32" s="203">
        <f t="shared" si="13"/>
        <v>2410</v>
      </c>
      <c r="AJ32" s="203">
        <f>SUM(AH32)</f>
        <v>241</v>
      </c>
      <c r="AK32" s="203">
        <f t="shared" si="14"/>
        <v>2410</v>
      </c>
      <c r="AL32" s="203">
        <f>SUM(AJ32)</f>
        <v>241</v>
      </c>
      <c r="AM32" s="203">
        <f t="shared" si="15"/>
        <v>2410</v>
      </c>
      <c r="AN32" s="35">
        <f>SUM(AO32/19600)</f>
        <v>0.86071428571428577</v>
      </c>
      <c r="AO32" s="36">
        <f>SUM(AA32+AC32+AE32+AG32+AI32+AK32+AM32)</f>
        <v>16870</v>
      </c>
      <c r="AQ32" s="223">
        <f t="shared" si="40"/>
        <v>0.77715947218492265</v>
      </c>
      <c r="AR32" s="38">
        <f t="shared" si="41"/>
        <v>72252.516129032258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44862</v>
      </c>
      <c r="B33" s="497">
        <f>'B5'!B32</f>
        <v>234</v>
      </c>
      <c r="C33" s="203">
        <f t="shared" si="18"/>
        <v>5034.7741935483873</v>
      </c>
      <c r="D33">
        <f>SUM(B33)</f>
        <v>234</v>
      </c>
      <c r="E33" s="203">
        <f t="shared" si="18"/>
        <v>5034.7741935483873</v>
      </c>
      <c r="F33">
        <f>SUM(D33)</f>
        <v>234</v>
      </c>
      <c r="G33" s="203">
        <f t="shared" si="1"/>
        <v>5034.7741935483873</v>
      </c>
      <c r="H33" s="203">
        <f>SUM(F33)</f>
        <v>234</v>
      </c>
      <c r="I33" s="203">
        <f t="shared" si="2"/>
        <v>5034.7741935483873</v>
      </c>
      <c r="J33" s="203">
        <f>SUM(H33)</f>
        <v>234</v>
      </c>
      <c r="K33" s="203">
        <f t="shared" si="3"/>
        <v>5034.7741935483873</v>
      </c>
      <c r="L33" s="203">
        <f>SUM(J33)</f>
        <v>234</v>
      </c>
      <c r="M33" s="203">
        <f t="shared" si="4"/>
        <v>5034.7741935483873</v>
      </c>
      <c r="N33" s="203">
        <f>SUM(L33)</f>
        <v>234</v>
      </c>
      <c r="O33" s="203">
        <f t="shared" si="5"/>
        <v>5034.7741935483873</v>
      </c>
      <c r="P33" s="203">
        <f>SUM(N33)</f>
        <v>234</v>
      </c>
      <c r="Q33" s="203">
        <f t="shared" si="6"/>
        <v>5034.7741935483873</v>
      </c>
      <c r="R33" s="203">
        <f>SUM(P33)</f>
        <v>234</v>
      </c>
      <c r="S33" s="203">
        <f t="shared" si="7"/>
        <v>5034.7741935483873</v>
      </c>
      <c r="T33" s="203">
        <f>SUM(R33)</f>
        <v>234</v>
      </c>
      <c r="U33" s="203">
        <f t="shared" si="8"/>
        <v>5034.7741935483873</v>
      </c>
      <c r="V33" s="203">
        <f>SUM(T33)</f>
        <v>234</v>
      </c>
      <c r="W33" s="203">
        <f t="shared" si="9"/>
        <v>5034.7741935483873</v>
      </c>
      <c r="X33" s="35">
        <f>SUM(Y33/73370)</f>
        <v>0.75483870967741939</v>
      </c>
      <c r="Y33" s="36">
        <f>SUM(C33+E33+G33+I33+K33+M33+O33+Q33+S33+U33+W33)</f>
        <v>55382.516129032258</v>
      </c>
      <c r="Z33" s="497">
        <f>'B5'!C32</f>
        <v>241</v>
      </c>
      <c r="AA33" s="203">
        <f t="shared" si="30"/>
        <v>2410</v>
      </c>
      <c r="AB33" s="203">
        <f>SUM(Z33)</f>
        <v>241</v>
      </c>
      <c r="AC33" s="203">
        <f t="shared" si="30"/>
        <v>2410</v>
      </c>
      <c r="AD33" s="203">
        <f>SUM(AB33)</f>
        <v>241</v>
      </c>
      <c r="AE33" s="203">
        <f t="shared" si="11"/>
        <v>2410</v>
      </c>
      <c r="AF33" s="203">
        <f>SUM(AD33)</f>
        <v>241</v>
      </c>
      <c r="AG33" s="203">
        <f t="shared" si="12"/>
        <v>2410</v>
      </c>
      <c r="AH33" s="203">
        <f>SUM(AF33)</f>
        <v>241</v>
      </c>
      <c r="AI33" s="203">
        <f t="shared" si="13"/>
        <v>2410</v>
      </c>
      <c r="AJ33" s="203">
        <f>SUM(AH33)</f>
        <v>241</v>
      </c>
      <c r="AK33" s="203">
        <f t="shared" si="14"/>
        <v>2410</v>
      </c>
      <c r="AL33" s="203">
        <f>SUM(AJ33)</f>
        <v>241</v>
      </c>
      <c r="AM33" s="203">
        <f t="shared" si="15"/>
        <v>2410</v>
      </c>
      <c r="AN33" s="35">
        <f>SUM(AO33/19600)</f>
        <v>0.86071428571428577</v>
      </c>
      <c r="AO33" s="36">
        <f>SUM(AA33+AC33+AE33+AG33+AI33+AK33+AM33)</f>
        <v>16870</v>
      </c>
      <c r="AQ33" s="223">
        <f t="shared" si="40"/>
        <v>0.77715947218492265</v>
      </c>
      <c r="AR33" s="38">
        <f t="shared" si="41"/>
        <v>72252.516129032258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44863</v>
      </c>
      <c r="B34" s="497">
        <f>'B5'!B33</f>
        <v>234</v>
      </c>
      <c r="C34" s="203">
        <f t="shared" ref="C34:C36" si="48">B34*$B$4</f>
        <v>5034.7741935483873</v>
      </c>
      <c r="D34">
        <f t="shared" ref="D34:D36" si="49">SUM(B34)</f>
        <v>234</v>
      </c>
      <c r="E34" s="203">
        <f t="shared" ref="E34:E36" si="50">D34*$B$4</f>
        <v>5034.7741935483873</v>
      </c>
      <c r="F34">
        <f t="shared" ref="F34:F36" si="51">SUM(D34)</f>
        <v>234</v>
      </c>
      <c r="G34" s="203">
        <f t="shared" ref="G34:G36" si="52">F34*$B$4</f>
        <v>5034.7741935483873</v>
      </c>
      <c r="H34" s="203">
        <f t="shared" ref="H34:H36" si="53">SUM(F34)</f>
        <v>234</v>
      </c>
      <c r="I34" s="203">
        <f t="shared" ref="I34:I36" si="54">H34*$B$4</f>
        <v>5034.7741935483873</v>
      </c>
      <c r="J34" s="203">
        <f t="shared" ref="J34:J36" si="55">SUM(H34)</f>
        <v>234</v>
      </c>
      <c r="K34" s="203">
        <f t="shared" ref="K34:K36" si="56">J34*$B$4</f>
        <v>5034.7741935483873</v>
      </c>
      <c r="L34" s="203">
        <f t="shared" ref="L34:L36" si="57">SUM(J34)</f>
        <v>234</v>
      </c>
      <c r="M34" s="203">
        <f t="shared" ref="M34:M36" si="58">L34*$B$4</f>
        <v>5034.7741935483873</v>
      </c>
      <c r="N34" s="203">
        <f t="shared" ref="N34:N36" si="59">SUM(L34)</f>
        <v>234</v>
      </c>
      <c r="O34" s="203">
        <f t="shared" ref="O34:O36" si="60">N34*$B$4</f>
        <v>5034.7741935483873</v>
      </c>
      <c r="P34" s="203">
        <f t="shared" ref="P34:P36" si="61">SUM(N34)</f>
        <v>234</v>
      </c>
      <c r="Q34" s="203">
        <f t="shared" ref="Q34:Q36" si="62">P34*$B$4</f>
        <v>5034.7741935483873</v>
      </c>
      <c r="R34" s="203">
        <f t="shared" ref="R34:R36" si="63">SUM(P34)</f>
        <v>234</v>
      </c>
      <c r="S34" s="203">
        <f t="shared" ref="S34:S36" si="64">R34*$B$4</f>
        <v>5034.7741935483873</v>
      </c>
      <c r="T34" s="203">
        <f t="shared" ref="T34:T36" si="65">SUM(R34)</f>
        <v>234</v>
      </c>
      <c r="U34" s="203">
        <f t="shared" ref="U34:U36" si="66">T34*$B$4</f>
        <v>5034.7741935483873</v>
      </c>
      <c r="V34" s="203">
        <f t="shared" ref="V34:V36" si="67">SUM(T34)</f>
        <v>234</v>
      </c>
      <c r="W34" s="203">
        <f t="shared" ref="W34:W36" si="68">V34*$B$4</f>
        <v>5034.7741935483873</v>
      </c>
      <c r="X34" s="35">
        <f t="shared" ref="X34:X36" si="69">SUM(Y34/73370)</f>
        <v>0.75483870967741939</v>
      </c>
      <c r="Y34" s="36">
        <f t="shared" ref="Y34:Y36" si="70">SUM(C34+E34+G34+I34+K34+M34+O34+Q34+S34+U34+W34)</f>
        <v>55382.516129032258</v>
      </c>
      <c r="Z34" s="497">
        <f>'B5'!C33</f>
        <v>241</v>
      </c>
      <c r="AA34" s="203">
        <f t="shared" ref="AA34:AA36" si="71">SUM(Z34*$Z$4)</f>
        <v>2410</v>
      </c>
      <c r="AB34" s="203">
        <f t="shared" ref="AB34:AB36" si="72">SUM(Z34)</f>
        <v>241</v>
      </c>
      <c r="AC34" s="203">
        <f t="shared" ref="AC34:AC36" si="73">SUM(AB34*$Z$4)</f>
        <v>2410</v>
      </c>
      <c r="AD34" s="203">
        <f t="shared" ref="AD34:AD36" si="74">SUM(AB34)</f>
        <v>241</v>
      </c>
      <c r="AE34" s="203">
        <f t="shared" ref="AE34:AE36" si="75">SUM(AD34*$Z$4)</f>
        <v>2410</v>
      </c>
      <c r="AF34" s="203">
        <f t="shared" ref="AF34:AF36" si="76">SUM(AD34)</f>
        <v>241</v>
      </c>
      <c r="AG34" s="203">
        <f t="shared" ref="AG34:AG36" si="77">SUM(AF34*$Z$4)</f>
        <v>2410</v>
      </c>
      <c r="AH34" s="203">
        <f t="shared" ref="AH34:AH36" si="78">SUM(AF34)</f>
        <v>241</v>
      </c>
      <c r="AI34" s="203">
        <f t="shared" ref="AI34:AI36" si="79">SUM(AH34*$Z$4)</f>
        <v>2410</v>
      </c>
      <c r="AJ34" s="203">
        <f t="shared" ref="AJ34:AJ36" si="80">SUM(AH34)</f>
        <v>241</v>
      </c>
      <c r="AK34" s="203">
        <f t="shared" ref="AK34:AK36" si="81">SUM(AJ34*$Z$4)</f>
        <v>2410</v>
      </c>
      <c r="AL34" s="203">
        <f t="shared" ref="AL34:AL36" si="82">SUM(AJ34)</f>
        <v>241</v>
      </c>
      <c r="AM34" s="203">
        <f t="shared" ref="AM34:AM36" si="83">SUM(AL34*$Z$4)</f>
        <v>2410</v>
      </c>
      <c r="AN34" s="35">
        <f t="shared" ref="AN34:AN36" si="84">SUM(AO34/19600)</f>
        <v>0.86071428571428577</v>
      </c>
      <c r="AO34" s="36">
        <f t="shared" ref="AO34:AO36" si="85">SUM(AA34+AC34+AE34+AG34+AI34+AK34+AM34)</f>
        <v>16870</v>
      </c>
      <c r="AQ34" s="223">
        <f t="shared" ref="AQ34:AQ36" si="86">SUM(AR34/92970)</f>
        <v>0.77715947218492265</v>
      </c>
      <c r="AR34" s="38">
        <f t="shared" si="41"/>
        <v>72252.516129032258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44864</v>
      </c>
      <c r="B35" s="497">
        <f>'B5'!B34</f>
        <v>234</v>
      </c>
      <c r="C35" s="203">
        <f t="shared" si="48"/>
        <v>5034.7741935483873</v>
      </c>
      <c r="D35">
        <f t="shared" si="49"/>
        <v>234</v>
      </c>
      <c r="E35" s="203">
        <f t="shared" si="50"/>
        <v>5034.7741935483873</v>
      </c>
      <c r="F35">
        <f t="shared" si="51"/>
        <v>234</v>
      </c>
      <c r="G35" s="203">
        <f t="shared" si="52"/>
        <v>5034.7741935483873</v>
      </c>
      <c r="H35" s="203">
        <f t="shared" si="53"/>
        <v>234</v>
      </c>
      <c r="I35" s="203">
        <f t="shared" si="54"/>
        <v>5034.7741935483873</v>
      </c>
      <c r="J35" s="203">
        <f t="shared" si="55"/>
        <v>234</v>
      </c>
      <c r="K35" s="203">
        <f t="shared" si="56"/>
        <v>5034.7741935483873</v>
      </c>
      <c r="L35" s="203">
        <f t="shared" si="57"/>
        <v>234</v>
      </c>
      <c r="M35" s="203">
        <f t="shared" si="58"/>
        <v>5034.7741935483873</v>
      </c>
      <c r="N35" s="203">
        <f t="shared" si="59"/>
        <v>234</v>
      </c>
      <c r="O35" s="203">
        <f t="shared" si="60"/>
        <v>5034.7741935483873</v>
      </c>
      <c r="P35" s="203">
        <f t="shared" si="61"/>
        <v>234</v>
      </c>
      <c r="Q35" s="203">
        <f t="shared" si="62"/>
        <v>5034.7741935483873</v>
      </c>
      <c r="R35" s="203">
        <f t="shared" si="63"/>
        <v>234</v>
      </c>
      <c r="S35" s="203">
        <f t="shared" si="64"/>
        <v>5034.7741935483873</v>
      </c>
      <c r="T35" s="203">
        <f t="shared" si="65"/>
        <v>234</v>
      </c>
      <c r="U35" s="203">
        <f t="shared" si="66"/>
        <v>5034.7741935483873</v>
      </c>
      <c r="V35" s="203">
        <f t="shared" si="67"/>
        <v>234</v>
      </c>
      <c r="W35" s="203">
        <f t="shared" si="68"/>
        <v>5034.7741935483873</v>
      </c>
      <c r="X35" s="35">
        <f t="shared" si="69"/>
        <v>0.75483870967741939</v>
      </c>
      <c r="Y35" s="36">
        <f t="shared" si="70"/>
        <v>55382.516129032258</v>
      </c>
      <c r="Z35" s="497">
        <f>'B5'!C34</f>
        <v>241</v>
      </c>
      <c r="AA35" s="203">
        <f t="shared" si="71"/>
        <v>2410</v>
      </c>
      <c r="AB35" s="203">
        <f t="shared" si="72"/>
        <v>241</v>
      </c>
      <c r="AC35" s="203">
        <f t="shared" si="73"/>
        <v>2410</v>
      </c>
      <c r="AD35" s="203">
        <f t="shared" si="74"/>
        <v>241</v>
      </c>
      <c r="AE35" s="203">
        <f t="shared" si="75"/>
        <v>2410</v>
      </c>
      <c r="AF35" s="203">
        <f t="shared" si="76"/>
        <v>241</v>
      </c>
      <c r="AG35" s="203">
        <f t="shared" si="77"/>
        <v>2410</v>
      </c>
      <c r="AH35" s="203">
        <f t="shared" si="78"/>
        <v>241</v>
      </c>
      <c r="AI35" s="203">
        <f t="shared" si="79"/>
        <v>2410</v>
      </c>
      <c r="AJ35" s="203">
        <f t="shared" si="80"/>
        <v>241</v>
      </c>
      <c r="AK35" s="203">
        <f t="shared" si="81"/>
        <v>2410</v>
      </c>
      <c r="AL35" s="203">
        <f t="shared" si="82"/>
        <v>241</v>
      </c>
      <c r="AM35" s="203">
        <f t="shared" si="83"/>
        <v>2410</v>
      </c>
      <c r="AN35" s="35">
        <f t="shared" si="84"/>
        <v>0.86071428571428577</v>
      </c>
      <c r="AO35" s="36">
        <f t="shared" si="85"/>
        <v>16870</v>
      </c>
      <c r="AQ35" s="223">
        <f t="shared" si="86"/>
        <v>0.77715947218492265</v>
      </c>
      <c r="AR35" s="38">
        <f t="shared" si="41"/>
        <v>72252.516129032258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44865</v>
      </c>
      <c r="B36" s="497">
        <f>'B5'!B35</f>
        <v>234</v>
      </c>
      <c r="C36" s="203">
        <f t="shared" si="48"/>
        <v>5034.7741935483873</v>
      </c>
      <c r="D36">
        <f t="shared" si="49"/>
        <v>234</v>
      </c>
      <c r="E36" s="203">
        <f t="shared" si="50"/>
        <v>5034.7741935483873</v>
      </c>
      <c r="F36">
        <f t="shared" si="51"/>
        <v>234</v>
      </c>
      <c r="G36" s="203">
        <f t="shared" si="52"/>
        <v>5034.7741935483873</v>
      </c>
      <c r="H36" s="203">
        <f t="shared" si="53"/>
        <v>234</v>
      </c>
      <c r="I36" s="203">
        <f t="shared" si="54"/>
        <v>5034.7741935483873</v>
      </c>
      <c r="J36" s="203">
        <f t="shared" si="55"/>
        <v>234</v>
      </c>
      <c r="K36" s="203">
        <f t="shared" si="56"/>
        <v>5034.7741935483873</v>
      </c>
      <c r="L36" s="203">
        <f t="shared" si="57"/>
        <v>234</v>
      </c>
      <c r="M36" s="203">
        <f t="shared" si="58"/>
        <v>5034.7741935483873</v>
      </c>
      <c r="N36" s="203">
        <f t="shared" si="59"/>
        <v>234</v>
      </c>
      <c r="O36" s="203">
        <f t="shared" si="60"/>
        <v>5034.7741935483873</v>
      </c>
      <c r="P36" s="203">
        <f t="shared" si="61"/>
        <v>234</v>
      </c>
      <c r="Q36" s="203">
        <f t="shared" si="62"/>
        <v>5034.7741935483873</v>
      </c>
      <c r="R36" s="203">
        <f t="shared" si="63"/>
        <v>234</v>
      </c>
      <c r="S36" s="203">
        <f t="shared" si="64"/>
        <v>5034.7741935483873</v>
      </c>
      <c r="T36" s="203">
        <f t="shared" si="65"/>
        <v>234</v>
      </c>
      <c r="U36" s="203">
        <f t="shared" si="66"/>
        <v>5034.7741935483873</v>
      </c>
      <c r="V36" s="203">
        <f t="shared" si="67"/>
        <v>234</v>
      </c>
      <c r="W36" s="203">
        <f t="shared" si="68"/>
        <v>5034.7741935483873</v>
      </c>
      <c r="X36" s="35">
        <f t="shared" si="69"/>
        <v>0.75483870967741939</v>
      </c>
      <c r="Y36" s="36">
        <f t="shared" si="70"/>
        <v>55382.516129032258</v>
      </c>
      <c r="Z36" s="497">
        <f>'B5'!C35</f>
        <v>241</v>
      </c>
      <c r="AA36" s="203">
        <f t="shared" si="71"/>
        <v>2410</v>
      </c>
      <c r="AB36" s="203">
        <f t="shared" si="72"/>
        <v>241</v>
      </c>
      <c r="AC36" s="203">
        <f t="shared" si="73"/>
        <v>2410</v>
      </c>
      <c r="AD36" s="203">
        <f t="shared" si="74"/>
        <v>241</v>
      </c>
      <c r="AE36" s="203">
        <f t="shared" si="75"/>
        <v>2410</v>
      </c>
      <c r="AF36" s="203">
        <f t="shared" si="76"/>
        <v>241</v>
      </c>
      <c r="AG36" s="203">
        <f t="shared" si="77"/>
        <v>2410</v>
      </c>
      <c r="AH36" s="203">
        <f t="shared" si="78"/>
        <v>241</v>
      </c>
      <c r="AI36" s="203">
        <f t="shared" si="79"/>
        <v>2410</v>
      </c>
      <c r="AJ36" s="203">
        <f t="shared" si="80"/>
        <v>241</v>
      </c>
      <c r="AK36" s="203">
        <f t="shared" si="81"/>
        <v>2410</v>
      </c>
      <c r="AL36" s="203">
        <f t="shared" si="82"/>
        <v>241</v>
      </c>
      <c r="AM36" s="203">
        <f t="shared" si="83"/>
        <v>2410</v>
      </c>
      <c r="AN36" s="35">
        <f t="shared" si="84"/>
        <v>0.86071428571428577</v>
      </c>
      <c r="AO36" s="36">
        <f t="shared" si="85"/>
        <v>16870</v>
      </c>
      <c r="AQ36" s="223">
        <f t="shared" si="86"/>
        <v>0.77715947218492265</v>
      </c>
      <c r="AR36" s="38">
        <f t="shared" si="41"/>
        <v>72252.516129032258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5130</v>
      </c>
      <c r="AU37" s="542">
        <f>SUM(AU6:AU36)/AS37</f>
        <v>0</v>
      </c>
      <c r="AX37" s="203">
        <f>SUM(AX6:AX36)</f>
        <v>6076.7096774193487</v>
      </c>
      <c r="AY37" s="203">
        <f>SUM(AY6:AY36)</f>
        <v>5603.7096774193487</v>
      </c>
    </row>
    <row r="38" spans="1:63">
      <c r="AS38" s="206"/>
      <c r="AT38" s="82">
        <f>+AT37*AU37</f>
        <v>0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50252.516129032258</v>
      </c>
      <c r="AU42" s="203"/>
      <c r="AX42">
        <f>AX37/AX41</f>
        <v>0.14031055155785976</v>
      </c>
    </row>
    <row r="43" spans="1:63">
      <c r="AR43">
        <f>AR42/5500</f>
        <v>9.1368211143695017</v>
      </c>
    </row>
    <row r="44" spans="1:63">
      <c r="AR44">
        <f>AR43*2</f>
        <v>18.273642228739003</v>
      </c>
    </row>
    <row r="45" spans="1:63">
      <c r="AR45" s="203"/>
    </row>
    <row r="46" spans="1:63">
      <c r="AT46" s="591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J4" sqref="J4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8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49999999999999" customHeight="1">
      <c r="A4" s="163">
        <f>ELEC!C4</f>
        <v>44835</v>
      </c>
      <c r="B4" s="534">
        <f>B3</f>
        <v>1124527</v>
      </c>
      <c r="C4" s="254">
        <f t="shared" ref="C4:C30" si="0">SUM(B4-B3)</f>
        <v>0</v>
      </c>
      <c r="D4" s="295">
        <f>SUM(G4+I4+K4)</f>
        <v>0</v>
      </c>
      <c r="E4" s="295">
        <f>B3+D4</f>
        <v>1124527</v>
      </c>
      <c r="F4" s="537">
        <f>F3</f>
        <v>161459</v>
      </c>
      <c r="G4" s="160">
        <f t="shared" ref="G4:G30" si="1">F4-F3</f>
        <v>0</v>
      </c>
      <c r="H4" s="537">
        <f>H3</f>
        <v>561164</v>
      </c>
      <c r="I4" s="161">
        <f t="shared" ref="I4:I30" si="2">H4-H3</f>
        <v>0</v>
      </c>
      <c r="J4" s="580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7"/>
      <c r="AC4" s="648"/>
    </row>
    <row r="5" spans="1:32" ht="20.149999999999999" customHeight="1">
      <c r="A5" s="163">
        <f>ELEC!C5</f>
        <v>44836</v>
      </c>
      <c r="B5" s="607">
        <f t="shared" ref="B5:B34" si="6">B4</f>
        <v>1124527</v>
      </c>
      <c r="C5" s="254">
        <f t="shared" si="0"/>
        <v>0</v>
      </c>
      <c r="D5" s="295">
        <f>SUM(G5+I5+K5)</f>
        <v>0</v>
      </c>
      <c r="E5" s="295">
        <f>B4+D5</f>
        <v>1124527</v>
      </c>
      <c r="F5" s="607">
        <f t="shared" ref="F5:F34" si="7">F4</f>
        <v>161459</v>
      </c>
      <c r="G5" s="160">
        <f t="shared" si="1"/>
        <v>0</v>
      </c>
      <c r="H5" s="607">
        <f t="shared" ref="H5:H34" si="8">H4</f>
        <v>561164</v>
      </c>
      <c r="I5" s="161">
        <f t="shared" si="2"/>
        <v>0</v>
      </c>
      <c r="J5" s="605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2653</v>
      </c>
      <c r="T5" s="321">
        <f>IF(S5&gt;0,R5/S5,0)</f>
        <v>5.8350184157779088E-2</v>
      </c>
      <c r="U5" s="245"/>
      <c r="V5" s="641"/>
      <c r="W5" s="642"/>
      <c r="X5" s="642"/>
      <c r="Y5" s="643"/>
      <c r="Z5" s="26" t="s">
        <v>202</v>
      </c>
      <c r="AA5" s="26">
        <v>5000</v>
      </c>
      <c r="AB5" s="649"/>
      <c r="AC5" s="650"/>
    </row>
    <row r="6" spans="1:32" ht="20.149999999999999" customHeight="1">
      <c r="A6" s="163">
        <f>ELEC!C6</f>
        <v>44837</v>
      </c>
      <c r="B6" s="607">
        <f t="shared" si="6"/>
        <v>1124527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1124527</v>
      </c>
      <c r="F6" s="607">
        <f t="shared" si="7"/>
        <v>161459</v>
      </c>
      <c r="G6" s="160">
        <f t="shared" si="1"/>
        <v>0</v>
      </c>
      <c r="H6" s="607">
        <f t="shared" si="8"/>
        <v>561164</v>
      </c>
      <c r="I6" s="161">
        <f t="shared" si="2"/>
        <v>0</v>
      </c>
      <c r="J6" s="605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2747</v>
      </c>
      <c r="T6" s="321">
        <f t="shared" ref="T6:T30" si="16">IF(S6&gt;0,R6/S6,0)</f>
        <v>5.63534905608256E-2</v>
      </c>
      <c r="V6" s="644"/>
      <c r="W6" s="645"/>
      <c r="X6" s="645"/>
      <c r="Y6" s="646"/>
      <c r="Z6" s="653"/>
      <c r="AA6" s="654"/>
      <c r="AB6" s="649"/>
      <c r="AC6" s="650"/>
    </row>
    <row r="7" spans="1:32" ht="20.149999999999999" customHeight="1">
      <c r="A7" s="163">
        <f>ELEC!C7</f>
        <v>44838</v>
      </c>
      <c r="B7" s="607">
        <f t="shared" si="6"/>
        <v>1124527</v>
      </c>
      <c r="C7" s="254">
        <f>SUM(B7-B6)</f>
        <v>0</v>
      </c>
      <c r="D7" s="295">
        <f>SUM(G7+I7+K7)</f>
        <v>0</v>
      </c>
      <c r="E7" s="295">
        <f t="shared" si="15"/>
        <v>1124527</v>
      </c>
      <c r="F7" s="607">
        <f t="shared" si="7"/>
        <v>161459</v>
      </c>
      <c r="G7" s="160">
        <f t="shared" si="1"/>
        <v>0</v>
      </c>
      <c r="H7" s="607">
        <f t="shared" si="8"/>
        <v>561164</v>
      </c>
      <c r="I7" s="161">
        <f t="shared" si="2"/>
        <v>0</v>
      </c>
      <c r="J7" s="605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2696</v>
      </c>
      <c r="T7" s="321">
        <f t="shared" si="16"/>
        <v>5.7419524692354569E-2</v>
      </c>
      <c r="V7" s="636" t="s">
        <v>203</v>
      </c>
      <c r="W7" s="637"/>
      <c r="X7" s="638" t="s">
        <v>204</v>
      </c>
      <c r="Y7" s="639"/>
      <c r="Z7" s="640"/>
      <c r="AA7" s="170"/>
      <c r="AB7" s="651"/>
      <c r="AC7" s="652"/>
    </row>
    <row r="8" spans="1:32" ht="20.149999999999999" customHeight="1">
      <c r="A8" s="163">
        <f>ELEC!C8</f>
        <v>44839</v>
      </c>
      <c r="B8" s="607">
        <f t="shared" si="6"/>
        <v>1124527</v>
      </c>
      <c r="C8" s="254">
        <f t="shared" si="0"/>
        <v>0</v>
      </c>
      <c r="D8" s="295">
        <f t="shared" si="14"/>
        <v>0</v>
      </c>
      <c r="E8" s="295">
        <f t="shared" si="15"/>
        <v>1124527</v>
      </c>
      <c r="F8" s="607">
        <f t="shared" si="7"/>
        <v>161459</v>
      </c>
      <c r="G8" s="160">
        <f t="shared" si="1"/>
        <v>0</v>
      </c>
      <c r="H8" s="607">
        <f t="shared" si="8"/>
        <v>561164</v>
      </c>
      <c r="I8" s="161">
        <f t="shared" si="2"/>
        <v>0</v>
      </c>
      <c r="J8" s="605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44840</v>
      </c>
      <c r="B9" s="607">
        <f t="shared" si="6"/>
        <v>1124527</v>
      </c>
      <c r="C9" s="254">
        <f t="shared" si="0"/>
        <v>0</v>
      </c>
      <c r="D9" s="295">
        <f t="shared" si="14"/>
        <v>0</v>
      </c>
      <c r="E9" s="295">
        <f t="shared" si="15"/>
        <v>1124527</v>
      </c>
      <c r="F9" s="607">
        <f t="shared" si="7"/>
        <v>161459</v>
      </c>
      <c r="G9" s="160">
        <f t="shared" si="1"/>
        <v>0</v>
      </c>
      <c r="H9" s="607">
        <f t="shared" si="8"/>
        <v>561164</v>
      </c>
      <c r="I9" s="161">
        <f t="shared" si="2"/>
        <v>0</v>
      </c>
      <c r="J9" s="605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3">
        <f>'[3]EDl log'!AA26</f>
        <v>56</v>
      </c>
      <c r="AB9" s="603">
        <f>'[3]EDl log'!AB26</f>
        <v>4480</v>
      </c>
      <c r="AC9" s="603">
        <f>'[3]EDl log'!AC26</f>
        <v>1033333</v>
      </c>
      <c r="AD9" s="603">
        <f>'[3]EDl log'!AD26</f>
        <v>5.185185185185185E-2</v>
      </c>
      <c r="AE9" s="592">
        <f>'[3]EDl log'!AE26</f>
        <v>0</v>
      </c>
      <c r="AF9" s="246">
        <f>'[3]EDl log'!AF26</f>
        <v>0</v>
      </c>
    </row>
    <row r="10" spans="1:32" ht="20.149999999999999" customHeight="1">
      <c r="A10" s="163">
        <f>ELEC!C10</f>
        <v>44841</v>
      </c>
      <c r="B10" s="607">
        <f t="shared" si="6"/>
        <v>1124527</v>
      </c>
      <c r="C10" s="254">
        <f t="shared" si="0"/>
        <v>0</v>
      </c>
      <c r="D10" s="295">
        <f t="shared" si="14"/>
        <v>0</v>
      </c>
      <c r="E10" s="295">
        <f t="shared" si="15"/>
        <v>1124527</v>
      </c>
      <c r="F10" s="607">
        <f t="shared" si="7"/>
        <v>161459</v>
      </c>
      <c r="G10" s="160">
        <f t="shared" si="1"/>
        <v>0</v>
      </c>
      <c r="H10" s="607">
        <f t="shared" si="8"/>
        <v>561164</v>
      </c>
      <c r="I10" s="161">
        <f t="shared" si="2"/>
        <v>0</v>
      </c>
      <c r="J10" s="605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3">
        <f>'[3]EDl log'!AA27</f>
        <v>1023</v>
      </c>
      <c r="AB10" s="603">
        <f>'[3]EDl log'!AB27</f>
        <v>114576</v>
      </c>
      <c r="AC10" s="603">
        <f>'[3]EDl log'!AC27</f>
        <v>6200000</v>
      </c>
      <c r="AD10" s="603">
        <f>'[3]EDl log'!AD27</f>
        <v>0.94722222222222219</v>
      </c>
      <c r="AE10" s="592">
        <f>'[3]EDl log'!AE27</f>
        <v>0</v>
      </c>
      <c r="AF10" s="246">
        <f>'[3]EDl log'!AF27</f>
        <v>0</v>
      </c>
    </row>
    <row r="11" spans="1:32" ht="20.149999999999999" customHeight="1">
      <c r="A11" s="163">
        <f>ELEC!C11</f>
        <v>44842</v>
      </c>
      <c r="B11" s="607">
        <f t="shared" si="6"/>
        <v>1124527</v>
      </c>
      <c r="C11" s="254">
        <f>SUM(B11-B10)</f>
        <v>0</v>
      </c>
      <c r="D11" s="295">
        <f>SUM(G11+I11+K11)</f>
        <v>0</v>
      </c>
      <c r="E11" s="295">
        <f t="shared" si="15"/>
        <v>1124527</v>
      </c>
      <c r="F11" s="607">
        <f t="shared" si="7"/>
        <v>161459</v>
      </c>
      <c r="G11" s="160">
        <f t="shared" si="1"/>
        <v>0</v>
      </c>
      <c r="H11" s="607">
        <f t="shared" si="8"/>
        <v>561164</v>
      </c>
      <c r="I11" s="161">
        <f t="shared" si="2"/>
        <v>0</v>
      </c>
      <c r="J11" s="605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3">
        <f>'[3]EDl log'!AA28</f>
        <v>0</v>
      </c>
      <c r="AB11" s="603">
        <f>'[3]EDl log'!AB28</f>
        <v>0</v>
      </c>
      <c r="AC11" s="603">
        <f>'[3]EDl log'!AC28</f>
        <v>1000</v>
      </c>
      <c r="AD11" s="246">
        <f>'[3]EDl log'!AD28</f>
        <v>0</v>
      </c>
      <c r="AE11" s="592">
        <f>'[3]EDl log'!AE28</f>
        <v>0</v>
      </c>
      <c r="AF11" s="246">
        <f>'[3]EDl log'!AF28</f>
        <v>0</v>
      </c>
    </row>
    <row r="12" spans="1:32" ht="20.149999999999999" customHeight="1">
      <c r="A12" s="163">
        <f>ELEC!C12</f>
        <v>44843</v>
      </c>
      <c r="B12" s="607">
        <f t="shared" si="6"/>
        <v>1124527</v>
      </c>
      <c r="C12" s="254">
        <f t="shared" si="0"/>
        <v>0</v>
      </c>
      <c r="D12" s="295">
        <f t="shared" si="14"/>
        <v>0</v>
      </c>
      <c r="E12" s="295">
        <f t="shared" si="15"/>
        <v>1124527</v>
      </c>
      <c r="F12" s="607">
        <f t="shared" si="7"/>
        <v>161459</v>
      </c>
      <c r="G12" s="160">
        <f t="shared" si="1"/>
        <v>0</v>
      </c>
      <c r="H12" s="607">
        <f t="shared" si="8"/>
        <v>561164</v>
      </c>
      <c r="I12" s="161">
        <f t="shared" si="2"/>
        <v>0</v>
      </c>
      <c r="J12" s="605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3">
        <f>'[3]EDl log'!AA29</f>
        <v>1079</v>
      </c>
      <c r="AB12" s="603">
        <f>'[3]EDl log'!AB29</f>
        <v>119056</v>
      </c>
      <c r="AC12" s="603">
        <f>'[3]EDl log'!AC29</f>
        <v>7234333</v>
      </c>
    </row>
    <row r="13" spans="1:32" ht="20.149999999999999" customHeight="1">
      <c r="A13" s="163">
        <f>ELEC!C13</f>
        <v>44844</v>
      </c>
      <c r="B13" s="607">
        <f t="shared" si="6"/>
        <v>1124527</v>
      </c>
      <c r="C13" s="254">
        <f t="shared" si="0"/>
        <v>0</v>
      </c>
      <c r="D13" s="295">
        <f t="shared" si="14"/>
        <v>0</v>
      </c>
      <c r="E13" s="295">
        <f t="shared" si="15"/>
        <v>1124527</v>
      </c>
      <c r="F13" s="607">
        <f t="shared" si="7"/>
        <v>161459</v>
      </c>
      <c r="G13" s="160">
        <f t="shared" si="1"/>
        <v>0</v>
      </c>
      <c r="H13" s="607">
        <f t="shared" si="8"/>
        <v>561164</v>
      </c>
      <c r="I13" s="161">
        <f t="shared" si="2"/>
        <v>0</v>
      </c>
      <c r="J13" s="605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592">
        <f>'[3]EDl log'!W30</f>
        <v>0</v>
      </c>
      <c r="X13" s="217"/>
      <c r="Y13" s="218" t="s">
        <v>327</v>
      </c>
      <c r="Z13" s="3"/>
      <c r="AA13" s="603">
        <f>'[3]EDl log'!AA30</f>
        <v>0</v>
      </c>
      <c r="AB13" s="603">
        <f>'[3]EDl log'!AB30</f>
        <v>7353389</v>
      </c>
      <c r="AC13" s="603">
        <f>'[3]EDl log'!AC30</f>
        <v>0</v>
      </c>
    </row>
    <row r="14" spans="1:32" ht="20.149999999999999" customHeight="1">
      <c r="A14" s="163">
        <f>ELEC!C14</f>
        <v>44845</v>
      </c>
      <c r="B14" s="607">
        <f t="shared" si="6"/>
        <v>1124527</v>
      </c>
      <c r="C14" s="254">
        <f t="shared" si="0"/>
        <v>0</v>
      </c>
      <c r="D14" s="295">
        <f t="shared" si="14"/>
        <v>0</v>
      </c>
      <c r="E14" s="295">
        <f t="shared" si="15"/>
        <v>1124527</v>
      </c>
      <c r="F14" s="607">
        <f t="shared" si="7"/>
        <v>161459</v>
      </c>
      <c r="G14" s="160">
        <f t="shared" si="1"/>
        <v>0</v>
      </c>
      <c r="H14" s="607">
        <f t="shared" si="8"/>
        <v>561164</v>
      </c>
      <c r="I14" s="161">
        <f t="shared" si="2"/>
        <v>0</v>
      </c>
      <c r="J14" s="605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603">
        <f>'[3]EDl log'!AA31</f>
        <v>0</v>
      </c>
      <c r="AB14" s="603">
        <f>'[3]EDl log'!AB31</f>
        <v>0</v>
      </c>
      <c r="AC14" s="603">
        <f>'[3]EDl log'!AC31</f>
        <v>0</v>
      </c>
    </row>
    <row r="15" spans="1:32" ht="20.149999999999999" customHeight="1">
      <c r="A15" s="163">
        <f>ELEC!C15</f>
        <v>44846</v>
      </c>
      <c r="B15" s="607">
        <f t="shared" si="6"/>
        <v>1124527</v>
      </c>
      <c r="C15" s="254">
        <f t="shared" si="0"/>
        <v>0</v>
      </c>
      <c r="D15" s="295">
        <f t="shared" si="14"/>
        <v>0</v>
      </c>
      <c r="E15" s="295">
        <f t="shared" si="15"/>
        <v>1124527</v>
      </c>
      <c r="F15" s="607">
        <f t="shared" si="7"/>
        <v>161459</v>
      </c>
      <c r="G15" s="160">
        <f t="shared" si="1"/>
        <v>0</v>
      </c>
      <c r="H15" s="607">
        <f t="shared" si="8"/>
        <v>561164</v>
      </c>
      <c r="I15" s="161">
        <f t="shared" si="2"/>
        <v>0</v>
      </c>
      <c r="J15" s="605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3">
        <f>'[3]EDl log'!AA32</f>
        <v>0</v>
      </c>
      <c r="AB15" s="603">
        <f>'[3]EDl log'!AB32</f>
        <v>0</v>
      </c>
      <c r="AC15" s="603">
        <f>'[3]EDl log'!AC32</f>
        <v>0</v>
      </c>
    </row>
    <row r="16" spans="1:32" ht="20.149999999999999" customHeight="1">
      <c r="A16" s="163">
        <f>ELEC!C16</f>
        <v>44847</v>
      </c>
      <c r="B16" s="607">
        <f t="shared" si="6"/>
        <v>1124527</v>
      </c>
      <c r="C16" s="254">
        <f t="shared" si="0"/>
        <v>0</v>
      </c>
      <c r="D16" s="295">
        <f t="shared" si="14"/>
        <v>0</v>
      </c>
      <c r="E16" s="295">
        <f t="shared" si="15"/>
        <v>1124527</v>
      </c>
      <c r="F16" s="607">
        <f t="shared" si="7"/>
        <v>161459</v>
      </c>
      <c r="G16" s="160">
        <f t="shared" si="1"/>
        <v>0</v>
      </c>
      <c r="H16" s="607">
        <f t="shared" si="8"/>
        <v>561164</v>
      </c>
      <c r="I16" s="161">
        <f t="shared" si="2"/>
        <v>0</v>
      </c>
      <c r="J16" s="605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X16" s="222"/>
      <c r="Y16" s="250"/>
      <c r="Z16" s="3" t="s">
        <v>415</v>
      </c>
      <c r="AA16" s="603">
        <f>'[3]EDl log'!AA33</f>
        <v>0.11</v>
      </c>
      <c r="AB16" s="603">
        <f>'[3]EDl log'!AB33</f>
        <v>808872.79</v>
      </c>
      <c r="AC16" s="603">
        <f>'[3]EDl log'!AC33</f>
        <v>7234333</v>
      </c>
    </row>
    <row r="17" spans="1:32" ht="20.149999999999999" customHeight="1">
      <c r="A17" s="163">
        <f>ELEC!C17</f>
        <v>44848</v>
      </c>
      <c r="B17" s="607">
        <f t="shared" si="6"/>
        <v>1124527</v>
      </c>
      <c r="C17" s="254">
        <f t="shared" si="0"/>
        <v>0</v>
      </c>
      <c r="D17" s="295">
        <f t="shared" si="14"/>
        <v>0</v>
      </c>
      <c r="E17" s="295">
        <f t="shared" si="15"/>
        <v>1124527</v>
      </c>
      <c r="F17" s="607">
        <f t="shared" si="7"/>
        <v>161459</v>
      </c>
      <c r="G17" s="160">
        <f>F17-F16</f>
        <v>0</v>
      </c>
      <c r="H17" s="607">
        <f t="shared" si="8"/>
        <v>561164</v>
      </c>
      <c r="I17" s="161">
        <f t="shared" si="2"/>
        <v>0</v>
      </c>
      <c r="J17" s="605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603">
        <f>'[3]EDl log'!AA34</f>
        <v>0</v>
      </c>
      <c r="AB17" s="603">
        <f>'[3]EDl log'!AB34</f>
        <v>8162261.79</v>
      </c>
      <c r="AC17" s="603">
        <f>'[3]EDl log'!AC34</f>
        <v>0</v>
      </c>
    </row>
    <row r="18" spans="1:32" ht="20.149999999999999" customHeight="1" thickBot="1">
      <c r="A18" s="163">
        <f>ELEC!C18</f>
        <v>44849</v>
      </c>
      <c r="B18" s="607">
        <f t="shared" si="6"/>
        <v>1124527</v>
      </c>
      <c r="C18" s="254">
        <f>SUM(B18-B17)</f>
        <v>0</v>
      </c>
      <c r="D18" s="295">
        <f>SUM(G18+I18+K18)</f>
        <v>0</v>
      </c>
      <c r="E18" s="295">
        <f t="shared" si="15"/>
        <v>1124527</v>
      </c>
      <c r="F18" s="607">
        <f t="shared" si="7"/>
        <v>161459</v>
      </c>
      <c r="G18" s="160">
        <f t="shared" si="1"/>
        <v>0</v>
      </c>
      <c r="H18" s="607">
        <f t="shared" si="8"/>
        <v>561164</v>
      </c>
      <c r="I18" s="161">
        <f t="shared" si="2"/>
        <v>0</v>
      </c>
      <c r="J18" s="605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3">
        <f>'[3]EDl log'!AA35</f>
        <v>0</v>
      </c>
      <c r="AB18" s="603">
        <f>'[3]EDl log'!AB35</f>
        <v>0</v>
      </c>
      <c r="AC18" s="603">
        <f>'[3]EDl log'!AC35</f>
        <v>0</v>
      </c>
    </row>
    <row r="19" spans="1:32" ht="20.149999999999999" customHeight="1" thickBot="1">
      <c r="A19" s="163">
        <f>ELEC!C19</f>
        <v>44850</v>
      </c>
      <c r="B19" s="607">
        <f t="shared" si="6"/>
        <v>1124527</v>
      </c>
      <c r="C19" s="254">
        <f t="shared" si="0"/>
        <v>0</v>
      </c>
      <c r="D19" s="295">
        <f t="shared" si="14"/>
        <v>0</v>
      </c>
      <c r="E19" s="295">
        <f t="shared" si="15"/>
        <v>1124527</v>
      </c>
      <c r="F19" s="607">
        <f t="shared" si="7"/>
        <v>161459</v>
      </c>
      <c r="G19" s="160">
        <f t="shared" si="1"/>
        <v>0</v>
      </c>
      <c r="H19" s="607">
        <f t="shared" si="8"/>
        <v>561164</v>
      </c>
      <c r="I19" s="161">
        <f t="shared" si="2"/>
        <v>0</v>
      </c>
      <c r="J19" s="605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3" t="str">
        <f>'[7]EDl log'!AA36</f>
        <v>$ without VAT</v>
      </c>
      <c r="AB19" s="603">
        <f>'[3]EDl log'!AB36</f>
        <v>4877.8699834162517</v>
      </c>
      <c r="AC19" s="603">
        <f>'[3]EDl log'!AC36</f>
        <v>0</v>
      </c>
    </row>
    <row r="20" spans="1:32" ht="20.149999999999999" customHeight="1" thickBot="1">
      <c r="A20" s="163">
        <f>ELEC!C20</f>
        <v>44851</v>
      </c>
      <c r="B20" s="607">
        <f t="shared" si="6"/>
        <v>1124527</v>
      </c>
      <c r="C20" s="254">
        <f t="shared" si="0"/>
        <v>0</v>
      </c>
      <c r="D20" s="295">
        <f t="shared" si="14"/>
        <v>0</v>
      </c>
      <c r="E20" s="295">
        <f t="shared" si="15"/>
        <v>1124527</v>
      </c>
      <c r="F20" s="607">
        <f t="shared" si="7"/>
        <v>161459</v>
      </c>
      <c r="G20" s="160">
        <f t="shared" si="1"/>
        <v>0</v>
      </c>
      <c r="H20" s="607">
        <f t="shared" si="8"/>
        <v>561164</v>
      </c>
      <c r="I20" s="161">
        <f t="shared" si="2"/>
        <v>0</v>
      </c>
      <c r="J20" s="605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5"/>
    </row>
    <row r="21" spans="1:32" ht="20.149999999999999" customHeight="1">
      <c r="A21" s="163">
        <f>ELEC!C21</f>
        <v>44852</v>
      </c>
      <c r="B21" s="607">
        <f t="shared" si="6"/>
        <v>1124527</v>
      </c>
      <c r="C21" s="254">
        <f t="shared" si="0"/>
        <v>0</v>
      </c>
      <c r="D21" s="295">
        <f t="shared" si="14"/>
        <v>0</v>
      </c>
      <c r="E21" s="295">
        <f t="shared" si="15"/>
        <v>1124527</v>
      </c>
      <c r="F21" s="607">
        <f t="shared" si="7"/>
        <v>161459</v>
      </c>
      <c r="G21" s="160">
        <f t="shared" si="1"/>
        <v>0</v>
      </c>
      <c r="H21" s="607">
        <f t="shared" si="8"/>
        <v>561164</v>
      </c>
      <c r="I21" s="161">
        <f t="shared" si="2"/>
        <v>0</v>
      </c>
      <c r="J21" s="605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7"/>
      <c r="AC21" s="648"/>
    </row>
    <row r="22" spans="1:32" ht="20.149999999999999" customHeight="1">
      <c r="A22" s="163">
        <f>ELEC!C22</f>
        <v>44853</v>
      </c>
      <c r="B22" s="607">
        <f t="shared" si="6"/>
        <v>1124527</v>
      </c>
      <c r="C22" s="254">
        <f t="shared" si="0"/>
        <v>0</v>
      </c>
      <c r="D22" s="295">
        <f t="shared" si="14"/>
        <v>0</v>
      </c>
      <c r="E22" s="295">
        <f t="shared" si="15"/>
        <v>1124527</v>
      </c>
      <c r="F22" s="607">
        <f t="shared" si="7"/>
        <v>161459</v>
      </c>
      <c r="G22" s="160">
        <f t="shared" si="1"/>
        <v>0</v>
      </c>
      <c r="H22" s="607">
        <f t="shared" si="8"/>
        <v>561164</v>
      </c>
      <c r="I22" s="161">
        <f t="shared" si="2"/>
        <v>0</v>
      </c>
      <c r="J22" s="605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1"/>
      <c r="W22" s="642"/>
      <c r="X22" s="642"/>
      <c r="Y22" s="643"/>
      <c r="Z22" s="26" t="s">
        <v>202</v>
      </c>
      <c r="AA22" s="26">
        <v>5000</v>
      </c>
      <c r="AB22" s="649"/>
      <c r="AC22" s="650"/>
    </row>
    <row r="23" spans="1:32" ht="20.149999999999999" customHeight="1">
      <c r="A23" s="163">
        <f>ELEC!C23</f>
        <v>44854</v>
      </c>
      <c r="B23" s="607">
        <f t="shared" si="6"/>
        <v>1124527</v>
      </c>
      <c r="C23" s="254">
        <f t="shared" si="0"/>
        <v>0</v>
      </c>
      <c r="D23" s="295">
        <f t="shared" si="14"/>
        <v>0</v>
      </c>
      <c r="E23" s="295">
        <f t="shared" si="15"/>
        <v>1124527</v>
      </c>
      <c r="F23" s="607">
        <f t="shared" si="7"/>
        <v>161459</v>
      </c>
      <c r="G23" s="160">
        <f t="shared" si="1"/>
        <v>0</v>
      </c>
      <c r="H23" s="607">
        <f t="shared" si="8"/>
        <v>561164</v>
      </c>
      <c r="I23" s="161">
        <f t="shared" si="2"/>
        <v>0</v>
      </c>
      <c r="J23" s="605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4"/>
      <c r="W23" s="645"/>
      <c r="X23" s="645"/>
      <c r="Y23" s="646"/>
      <c r="Z23" s="653"/>
      <c r="AA23" s="654"/>
      <c r="AB23" s="649"/>
      <c r="AC23" s="650"/>
    </row>
    <row r="24" spans="1:32" ht="20.149999999999999" customHeight="1">
      <c r="A24" s="163">
        <f>ELEC!C24</f>
        <v>44855</v>
      </c>
      <c r="B24" s="607">
        <f t="shared" si="6"/>
        <v>1124527</v>
      </c>
      <c r="C24" s="254">
        <f t="shared" si="0"/>
        <v>0</v>
      </c>
      <c r="D24" s="295">
        <f t="shared" si="14"/>
        <v>0</v>
      </c>
      <c r="E24" s="295">
        <f t="shared" si="15"/>
        <v>1124527</v>
      </c>
      <c r="F24" s="607">
        <f t="shared" si="7"/>
        <v>161459</v>
      </c>
      <c r="G24" s="160">
        <f t="shared" si="1"/>
        <v>0</v>
      </c>
      <c r="H24" s="607">
        <f t="shared" si="8"/>
        <v>561164</v>
      </c>
      <c r="I24" s="161">
        <f t="shared" si="2"/>
        <v>0</v>
      </c>
      <c r="J24" s="605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6" t="s">
        <v>203</v>
      </c>
      <c r="W24" s="637"/>
      <c r="X24" s="638" t="s">
        <v>204</v>
      </c>
      <c r="Y24" s="639"/>
      <c r="Z24" s="640"/>
      <c r="AA24" s="170"/>
      <c r="AB24" s="651"/>
      <c r="AC24" s="652"/>
    </row>
    <row r="25" spans="1:32" ht="20.149999999999999" customHeight="1">
      <c r="A25" s="163">
        <f>ELEC!C25</f>
        <v>44856</v>
      </c>
      <c r="B25" s="607">
        <v>1124527</v>
      </c>
      <c r="C25" s="254">
        <f t="shared" si="0"/>
        <v>0</v>
      </c>
      <c r="D25" s="295">
        <f t="shared" si="14"/>
        <v>0</v>
      </c>
      <c r="E25" s="295">
        <f t="shared" si="15"/>
        <v>1124527</v>
      </c>
      <c r="F25" s="607">
        <v>161459</v>
      </c>
      <c r="G25" s="160">
        <f t="shared" si="1"/>
        <v>0</v>
      </c>
      <c r="H25" s="607">
        <v>561164</v>
      </c>
      <c r="I25" s="161">
        <f t="shared" si="2"/>
        <v>0</v>
      </c>
      <c r="J25" s="605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44857</v>
      </c>
      <c r="B26" s="607">
        <f t="shared" si="6"/>
        <v>1124527</v>
      </c>
      <c r="C26" s="254">
        <f t="shared" si="0"/>
        <v>0</v>
      </c>
      <c r="D26" s="295">
        <f t="shared" si="14"/>
        <v>0</v>
      </c>
      <c r="E26" s="295">
        <f t="shared" si="15"/>
        <v>1124527</v>
      </c>
      <c r="F26" s="607">
        <f t="shared" si="7"/>
        <v>161459</v>
      </c>
      <c r="G26" s="160">
        <f t="shared" si="1"/>
        <v>0</v>
      </c>
      <c r="H26" s="607">
        <f t="shared" si="8"/>
        <v>561164</v>
      </c>
      <c r="I26" s="161">
        <f t="shared" si="2"/>
        <v>0</v>
      </c>
      <c r="J26" s="605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49999999999999" customHeight="1">
      <c r="A27" s="163">
        <f>ELEC!C27</f>
        <v>44858</v>
      </c>
      <c r="B27" s="607">
        <f t="shared" si="6"/>
        <v>1124527</v>
      </c>
      <c r="C27" s="254">
        <f t="shared" si="0"/>
        <v>0</v>
      </c>
      <c r="D27" s="295">
        <f t="shared" si="14"/>
        <v>0</v>
      </c>
      <c r="E27" s="295">
        <f t="shared" si="15"/>
        <v>1124527</v>
      </c>
      <c r="F27" s="607">
        <f t="shared" si="7"/>
        <v>161459</v>
      </c>
      <c r="G27" s="160">
        <f t="shared" si="1"/>
        <v>0</v>
      </c>
      <c r="H27" s="607">
        <f t="shared" si="8"/>
        <v>561164</v>
      </c>
      <c r="I27" s="161">
        <f t="shared" si="2"/>
        <v>0</v>
      </c>
      <c r="J27" s="605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561164</v>
      </c>
      <c r="X27" s="172" t="s">
        <v>212</v>
      </c>
      <c r="Y27" s="172">
        <v>112</v>
      </c>
      <c r="Z27" s="172">
        <v>1</v>
      </c>
      <c r="AA27" s="323">
        <f>(W27-V27)*Z27</f>
        <v>67</v>
      </c>
      <c r="AB27" s="323">
        <f>SUM(AA27*Y27)</f>
        <v>7504</v>
      </c>
      <c r="AC27" s="244">
        <f>AC10</f>
        <v>6200000</v>
      </c>
      <c r="AD27" s="476" t="e">
        <f>SUM(I36)</f>
        <v>#DIV/0!</v>
      </c>
    </row>
    <row r="28" spans="1:32" ht="20.149999999999999" customHeight="1">
      <c r="A28" s="163">
        <f>ELEC!C28</f>
        <v>44859</v>
      </c>
      <c r="B28" s="607">
        <f t="shared" si="6"/>
        <v>1124527</v>
      </c>
      <c r="C28" s="254">
        <f t="shared" si="0"/>
        <v>0</v>
      </c>
      <c r="D28" s="295">
        <f t="shared" si="14"/>
        <v>0</v>
      </c>
      <c r="E28" s="295">
        <f t="shared" si="15"/>
        <v>1124527</v>
      </c>
      <c r="F28" s="607">
        <f t="shared" si="7"/>
        <v>161459</v>
      </c>
      <c r="G28" s="160">
        <f t="shared" si="1"/>
        <v>0</v>
      </c>
      <c r="H28" s="607">
        <f t="shared" si="8"/>
        <v>561164</v>
      </c>
      <c r="I28" s="161">
        <f t="shared" si="2"/>
        <v>0</v>
      </c>
      <c r="J28" s="605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3">
        <f>(W28-V28)*Z28</f>
        <v>49</v>
      </c>
      <c r="AB28" s="323">
        <f>SUM(AA28*Y28)</f>
        <v>15680</v>
      </c>
      <c r="AC28" s="244">
        <f>AC11</f>
        <v>1000</v>
      </c>
      <c r="AD28" s="476" t="e">
        <f>SUM(G36)</f>
        <v>#DIV/0!</v>
      </c>
      <c r="AE28" s="40">
        <f>SUM(AB28*5%)</f>
        <v>784</v>
      </c>
      <c r="AF28" s="82">
        <f>SUM(AE28/7)*31</f>
        <v>3472</v>
      </c>
    </row>
    <row r="29" spans="1:32" ht="20.149999999999999" customHeight="1">
      <c r="A29" s="163">
        <f>ELEC!C29</f>
        <v>44860</v>
      </c>
      <c r="B29" s="607">
        <f t="shared" si="6"/>
        <v>1124527</v>
      </c>
      <c r="C29" s="254">
        <f t="shared" si="0"/>
        <v>0</v>
      </c>
      <c r="D29" s="295">
        <f t="shared" si="14"/>
        <v>0</v>
      </c>
      <c r="E29" s="295">
        <f t="shared" si="15"/>
        <v>1124527</v>
      </c>
      <c r="F29" s="607">
        <f t="shared" si="7"/>
        <v>161459</v>
      </c>
      <c r="G29" s="160">
        <f t="shared" si="1"/>
        <v>0</v>
      </c>
      <c r="H29" s="607">
        <f t="shared" si="8"/>
        <v>561164</v>
      </c>
      <c r="I29" s="161">
        <f t="shared" si="2"/>
        <v>0</v>
      </c>
      <c r="J29" s="605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116</v>
      </c>
      <c r="AB29" s="323">
        <f>SUM(AB26:AB28)</f>
        <v>23184</v>
      </c>
      <c r="AC29" s="244">
        <f>SUM(AC26:AC28)</f>
        <v>7234333</v>
      </c>
    </row>
    <row r="30" spans="1:32" ht="20.149999999999999" customHeight="1">
      <c r="A30" s="163">
        <f>ELEC!C30</f>
        <v>44861</v>
      </c>
      <c r="B30" s="607">
        <f t="shared" si="6"/>
        <v>1124527</v>
      </c>
      <c r="C30" s="254">
        <f t="shared" si="0"/>
        <v>0</v>
      </c>
      <c r="D30" s="295">
        <f t="shared" si="14"/>
        <v>0</v>
      </c>
      <c r="E30" s="295">
        <f t="shared" si="15"/>
        <v>1124527</v>
      </c>
      <c r="F30" s="607">
        <f t="shared" si="7"/>
        <v>161459</v>
      </c>
      <c r="G30" s="160">
        <f t="shared" si="1"/>
        <v>0</v>
      </c>
      <c r="H30" s="607">
        <f t="shared" si="8"/>
        <v>561164</v>
      </c>
      <c r="I30" s="161">
        <f t="shared" si="2"/>
        <v>0</v>
      </c>
      <c r="J30" s="605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7257517</v>
      </c>
      <c r="AC30" s="244"/>
    </row>
    <row r="31" spans="1:32" ht="20.149999999999999" customHeight="1">
      <c r="A31" s="163">
        <f>ELEC!C31</f>
        <v>44862</v>
      </c>
      <c r="B31" s="607">
        <f t="shared" si="6"/>
        <v>1124527</v>
      </c>
      <c r="C31" s="254">
        <f>SUM(B31-B30)</f>
        <v>0</v>
      </c>
      <c r="D31" s="295">
        <f t="shared" si="14"/>
        <v>0</v>
      </c>
      <c r="E31" s="295">
        <f t="shared" si="15"/>
        <v>1124527</v>
      </c>
      <c r="F31" s="607">
        <f t="shared" si="7"/>
        <v>161459</v>
      </c>
      <c r="G31" s="160">
        <f>F31-F30</f>
        <v>0</v>
      </c>
      <c r="H31" s="607">
        <f t="shared" si="8"/>
        <v>561164</v>
      </c>
      <c r="I31" s="161">
        <f>H31-H30</f>
        <v>0</v>
      </c>
      <c r="J31" s="605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44863</v>
      </c>
      <c r="B32" s="607">
        <f t="shared" si="6"/>
        <v>1124527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1124527</v>
      </c>
      <c r="F32" s="607">
        <f t="shared" si="7"/>
        <v>161459</v>
      </c>
      <c r="G32" s="160">
        <f t="shared" ref="G32:G34" si="22">F32-F31</f>
        <v>0</v>
      </c>
      <c r="H32" s="607">
        <f t="shared" si="8"/>
        <v>561164</v>
      </c>
      <c r="I32" s="161">
        <f t="shared" ref="I32:I34" si="23">H32-H31</f>
        <v>0</v>
      </c>
      <c r="J32" s="605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31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49999999999999" customHeight="1">
      <c r="A33" s="163">
        <f>ELEC!C33</f>
        <v>44864</v>
      </c>
      <c r="B33" s="607">
        <f t="shared" si="6"/>
        <v>1124527</v>
      </c>
      <c r="C33" s="254">
        <f t="shared" si="20"/>
        <v>0</v>
      </c>
      <c r="D33" s="295">
        <f t="shared" si="21"/>
        <v>0</v>
      </c>
      <c r="E33" s="295">
        <f t="shared" si="15"/>
        <v>1124527</v>
      </c>
      <c r="F33" s="607">
        <f t="shared" si="7"/>
        <v>161459</v>
      </c>
      <c r="G33" s="160">
        <f t="shared" si="22"/>
        <v>0</v>
      </c>
      <c r="H33" s="607">
        <f t="shared" si="8"/>
        <v>561164</v>
      </c>
      <c r="I33" s="161">
        <f t="shared" si="23"/>
        <v>0</v>
      </c>
      <c r="J33" s="605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8">
        <v>0.11</v>
      </c>
      <c r="AB33" s="579">
        <f>AB30*AA33</f>
        <v>798326.87</v>
      </c>
      <c r="AC33" s="244">
        <f>SUM(AC29)</f>
        <v>7234333</v>
      </c>
    </row>
    <row r="34" spans="1:32" ht="20.149999999999999" customHeight="1">
      <c r="A34" s="163">
        <f>ELEC!C34</f>
        <v>44865</v>
      </c>
      <c r="B34" s="607">
        <f t="shared" si="6"/>
        <v>1124527</v>
      </c>
      <c r="C34" s="254">
        <f t="shared" si="20"/>
        <v>0</v>
      </c>
      <c r="D34" s="295">
        <f t="shared" si="21"/>
        <v>0</v>
      </c>
      <c r="E34" s="295">
        <f t="shared" si="15"/>
        <v>1124527</v>
      </c>
      <c r="F34" s="607">
        <f t="shared" si="7"/>
        <v>161459</v>
      </c>
      <c r="G34" s="160">
        <f t="shared" si="22"/>
        <v>0</v>
      </c>
      <c r="H34" s="607">
        <f t="shared" si="8"/>
        <v>561164</v>
      </c>
      <c r="I34" s="161">
        <f t="shared" si="23"/>
        <v>0</v>
      </c>
      <c r="J34" s="605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8055843.8700000001</v>
      </c>
      <c r="AC34" s="244">
        <f>SUM(AC30)</f>
        <v>0</v>
      </c>
    </row>
    <row r="35" spans="1:32" ht="1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1"/>
      <c r="G35" s="561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4814.2733001658371</v>
      </c>
      <c r="AC36" s="531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4814.2733001658371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3"/>
      <c r="AC45" s="633"/>
      <c r="AD45" s="540"/>
      <c r="AE45" s="17"/>
      <c r="AF45" s="17"/>
    </row>
    <row r="46" spans="1:32">
      <c r="V46" s="633"/>
      <c r="W46" s="633"/>
      <c r="X46" s="633"/>
      <c r="Y46" s="633"/>
      <c r="Z46" s="506"/>
      <c r="AA46" s="506"/>
      <c r="AB46" s="633"/>
      <c r="AC46" s="633"/>
      <c r="AD46" s="540"/>
      <c r="AE46" s="17"/>
      <c r="AF46" s="17"/>
    </row>
    <row r="47" spans="1:32">
      <c r="V47" s="633"/>
      <c r="W47" s="633"/>
      <c r="X47" s="633"/>
      <c r="Y47" s="633"/>
      <c r="Z47" s="633"/>
      <c r="AA47" s="633"/>
      <c r="AB47" s="633"/>
      <c r="AC47" s="633"/>
      <c r="AD47" s="540"/>
      <c r="AE47" s="17"/>
      <c r="AF47" s="17"/>
    </row>
    <row r="48" spans="1:32">
      <c r="V48" s="634"/>
      <c r="W48" s="634"/>
      <c r="X48" s="635"/>
      <c r="Y48" s="635"/>
      <c r="Z48" s="635"/>
      <c r="AA48" s="507"/>
      <c r="AB48" s="633"/>
      <c r="AC48" s="633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5" sqref="F5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5">
        <v>0.72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44836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44837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44838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44839</v>
      </c>
      <c r="B9" s="37"/>
      <c r="C9" s="37"/>
      <c r="D9" s="26">
        <f t="shared" si="0"/>
        <v>0</v>
      </c>
      <c r="E9" s="378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44840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44841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44842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44843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44844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44845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44846</v>
      </c>
      <c r="B16" s="37"/>
      <c r="C16" s="37"/>
      <c r="D16" s="26">
        <f t="shared" si="3"/>
        <v>0</v>
      </c>
      <c r="E16" s="606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44847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44848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44849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44850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44851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44852</v>
      </c>
      <c r="B22" s="37"/>
      <c r="C22" s="37"/>
      <c r="D22" s="26">
        <f>(C22+B22)/2</f>
        <v>0</v>
      </c>
      <c r="E22" s="378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44853</v>
      </c>
      <c r="B23" s="37"/>
      <c r="C23" s="37"/>
      <c r="D23" s="26">
        <f t="shared" ref="D23:D26" si="5"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44854</v>
      </c>
      <c r="B24" s="37"/>
      <c r="C24" s="37"/>
      <c r="D24" s="26">
        <f t="shared" si="5"/>
        <v>0</v>
      </c>
      <c r="E24" s="378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44855</v>
      </c>
      <c r="B25" s="37"/>
      <c r="C25" s="37"/>
      <c r="D25" s="26">
        <f t="shared" si="5"/>
        <v>0</v>
      </c>
      <c r="E25" s="378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44856</v>
      </c>
      <c r="B26" s="37"/>
      <c r="C26" s="37"/>
      <c r="D26" s="26">
        <f t="shared" si="5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44857</v>
      </c>
      <c r="B27" s="37"/>
      <c r="C27" s="37"/>
      <c r="D27" s="26"/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44858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44859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44860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44861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44862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44863</v>
      </c>
      <c r="B33" s="37"/>
      <c r="C33" s="37"/>
      <c r="D33" s="26">
        <f t="shared" ref="D33:D35" si="7">(C33+B33)/2</f>
        <v>0</v>
      </c>
      <c r="E33" s="378"/>
      <c r="F33" s="327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9">
        <f>ELEC!C33</f>
        <v>44864</v>
      </c>
      <c r="B34" s="37"/>
      <c r="C34" s="37"/>
      <c r="D34" s="26">
        <f t="shared" si="7"/>
        <v>0</v>
      </c>
      <c r="E34" s="378"/>
      <c r="F34" s="327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9">
        <f>ELEC!C34</f>
        <v>44865</v>
      </c>
      <c r="B35" s="37"/>
      <c r="C35" s="37"/>
      <c r="D35" s="26">
        <f t="shared" si="7"/>
        <v>0</v>
      </c>
      <c r="E35" s="378"/>
      <c r="F35" s="327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-502.3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-367.4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-494.3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-3</v>
      </c>
      <c r="E16">
        <f t="shared" si="0"/>
        <v>-270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7.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" thickBot="1">
      <c r="A4" s="576"/>
      <c r="B4" s="581" t="s">
        <v>325</v>
      </c>
      <c r="C4" s="582" t="s">
        <v>320</v>
      </c>
      <c r="D4" s="583" t="s">
        <v>326</v>
      </c>
      <c r="E4" s="584" t="s">
        <v>325</v>
      </c>
      <c r="F4" s="583" t="s">
        <v>320</v>
      </c>
      <c r="G4" s="584" t="s">
        <v>326</v>
      </c>
      <c r="H4" s="568">
        <v>0</v>
      </c>
      <c r="I4" s="569"/>
      <c r="J4" s="570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0"/>
      <c r="B5" s="673" t="s">
        <v>417</v>
      </c>
      <c r="C5" s="674"/>
      <c r="D5" s="674"/>
      <c r="E5" s="674"/>
      <c r="F5" s="674"/>
      <c r="G5" s="675"/>
      <c r="H5" s="601"/>
      <c r="I5" s="602"/>
      <c r="J5" s="589"/>
      <c r="K5" s="577"/>
      <c r="L5" s="498"/>
      <c r="M5" s="477"/>
      <c r="N5" s="477"/>
      <c r="O5" s="477"/>
    </row>
    <row r="6" spans="1:18" ht="15.75" customHeight="1">
      <c r="A6" s="594">
        <f>ELEC!C4</f>
        <v>44835</v>
      </c>
      <c r="B6" s="676"/>
      <c r="C6" s="677"/>
      <c r="D6" s="677"/>
      <c r="E6" s="677"/>
      <c r="F6" s="677"/>
      <c r="G6" s="678"/>
      <c r="H6" s="593">
        <f>H5</f>
        <v>0</v>
      </c>
      <c r="I6" s="599">
        <f>H6-H5</f>
        <v>0</v>
      </c>
      <c r="J6" s="588">
        <v>0.29166666666666669</v>
      </c>
      <c r="L6" s="99">
        <f t="shared" ref="L6:L33" si="0">A6</f>
        <v>44835</v>
      </c>
      <c r="M6" s="3">
        <f>M5</f>
        <v>0</v>
      </c>
      <c r="N6" s="477"/>
      <c r="O6" s="477">
        <f>M6+N6</f>
        <v>0</v>
      </c>
    </row>
    <row r="7" spans="1:18">
      <c r="A7" s="595">
        <f>ELEC!C5</f>
        <v>44836</v>
      </c>
      <c r="B7" s="676"/>
      <c r="C7" s="677"/>
      <c r="D7" s="677"/>
      <c r="E7" s="677"/>
      <c r="F7" s="677"/>
      <c r="G7" s="678"/>
      <c r="H7" s="593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44836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5">
        <f>ELEC!C6</f>
        <v>44837</v>
      </c>
      <c r="B8" s="676"/>
      <c r="C8" s="677"/>
      <c r="D8" s="677"/>
      <c r="E8" s="677"/>
      <c r="F8" s="677"/>
      <c r="G8" s="678"/>
      <c r="H8" s="593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44837</v>
      </c>
      <c r="M8" s="3">
        <f t="shared" si="2"/>
        <v>0</v>
      </c>
      <c r="N8" s="477"/>
      <c r="O8" s="477">
        <f t="shared" si="3"/>
        <v>0</v>
      </c>
    </row>
    <row r="9" spans="1:18">
      <c r="A9" s="595">
        <f>ELEC!C7</f>
        <v>44838</v>
      </c>
      <c r="B9" s="676"/>
      <c r="C9" s="677"/>
      <c r="D9" s="677"/>
      <c r="E9" s="677"/>
      <c r="F9" s="677"/>
      <c r="G9" s="678"/>
      <c r="H9" s="593">
        <v>7082</v>
      </c>
      <c r="I9" s="477">
        <f t="shared" si="4"/>
        <v>7082</v>
      </c>
      <c r="J9" s="462">
        <v>0.25</v>
      </c>
      <c r="L9" s="99">
        <f t="shared" si="0"/>
        <v>44838</v>
      </c>
      <c r="M9" s="3">
        <f t="shared" si="2"/>
        <v>0</v>
      </c>
      <c r="N9" s="477"/>
      <c r="O9" s="477">
        <f t="shared" si="3"/>
        <v>0</v>
      </c>
    </row>
    <row r="10" spans="1:18">
      <c r="A10" s="595">
        <f>ELEC!C8</f>
        <v>44839</v>
      </c>
      <c r="B10" s="676"/>
      <c r="C10" s="677"/>
      <c r="D10" s="677"/>
      <c r="E10" s="677"/>
      <c r="F10" s="677"/>
      <c r="G10" s="678"/>
      <c r="H10" s="593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44839</v>
      </c>
      <c r="M10" s="3">
        <f t="shared" si="2"/>
        <v>0</v>
      </c>
      <c r="N10" s="477"/>
      <c r="O10" s="477">
        <f t="shared" si="3"/>
        <v>0</v>
      </c>
    </row>
    <row r="11" spans="1:18">
      <c r="A11" s="595">
        <f>ELEC!C9</f>
        <v>44840</v>
      </c>
      <c r="B11" s="676"/>
      <c r="C11" s="677"/>
      <c r="D11" s="677"/>
      <c r="E11" s="677"/>
      <c r="F11" s="677"/>
      <c r="G11" s="678"/>
      <c r="H11" s="593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44840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5">
        <f>ELEC!C10</f>
        <v>44841</v>
      </c>
      <c r="B12" s="676"/>
      <c r="C12" s="677"/>
      <c r="D12" s="677"/>
      <c r="E12" s="677"/>
      <c r="F12" s="677"/>
      <c r="G12" s="678"/>
      <c r="H12" s="593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44841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5">
        <f>ELEC!C11</f>
        <v>44842</v>
      </c>
      <c r="B13" s="676"/>
      <c r="C13" s="677"/>
      <c r="D13" s="677"/>
      <c r="E13" s="677"/>
      <c r="F13" s="677"/>
      <c r="G13" s="678"/>
      <c r="H13" s="593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44842</v>
      </c>
      <c r="M13" s="3">
        <f t="shared" si="2"/>
        <v>0</v>
      </c>
      <c r="N13" s="477"/>
      <c r="O13" s="477">
        <f t="shared" si="3"/>
        <v>0</v>
      </c>
    </row>
    <row r="14" spans="1:18">
      <c r="A14" s="595">
        <f>ELEC!C12</f>
        <v>44843</v>
      </c>
      <c r="B14" s="676"/>
      <c r="C14" s="677"/>
      <c r="D14" s="677"/>
      <c r="E14" s="677"/>
      <c r="F14" s="677"/>
      <c r="G14" s="678"/>
      <c r="H14" s="593">
        <v>7088</v>
      </c>
      <c r="I14" s="477">
        <f t="shared" si="4"/>
        <v>6</v>
      </c>
      <c r="J14" s="462">
        <v>0.29166666666666669</v>
      </c>
      <c r="L14" s="99">
        <f t="shared" si="0"/>
        <v>44843</v>
      </c>
      <c r="M14" s="3">
        <f t="shared" si="2"/>
        <v>0</v>
      </c>
      <c r="N14" s="477"/>
      <c r="O14" s="477">
        <f t="shared" si="3"/>
        <v>0</v>
      </c>
    </row>
    <row r="15" spans="1:18">
      <c r="A15" s="595">
        <f>ELEC!C13</f>
        <v>44844</v>
      </c>
      <c r="B15" s="676"/>
      <c r="C15" s="677"/>
      <c r="D15" s="677"/>
      <c r="E15" s="677"/>
      <c r="F15" s="677"/>
      <c r="G15" s="678"/>
      <c r="H15" s="593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44844</v>
      </c>
      <c r="M15" s="3">
        <f t="shared" si="2"/>
        <v>0</v>
      </c>
      <c r="N15" s="477"/>
      <c r="O15" s="477">
        <f t="shared" si="3"/>
        <v>0</v>
      </c>
    </row>
    <row r="16" spans="1:18">
      <c r="A16" s="595">
        <f>ELEC!C14</f>
        <v>44845</v>
      </c>
      <c r="B16" s="676"/>
      <c r="C16" s="677"/>
      <c r="D16" s="677"/>
      <c r="E16" s="677"/>
      <c r="F16" s="677"/>
      <c r="G16" s="678"/>
      <c r="H16" s="593">
        <v>7089</v>
      </c>
      <c r="I16" s="477">
        <f t="shared" si="4"/>
        <v>1</v>
      </c>
      <c r="J16" s="462">
        <v>0.29166666666666669</v>
      </c>
      <c r="L16" s="99">
        <f t="shared" si="0"/>
        <v>44845</v>
      </c>
      <c r="M16" s="3">
        <f t="shared" si="2"/>
        <v>0</v>
      </c>
      <c r="N16" s="477"/>
      <c r="O16" s="477">
        <f t="shared" si="3"/>
        <v>0</v>
      </c>
    </row>
    <row r="17" spans="1:15">
      <c r="A17" s="595">
        <f>ELEC!C15</f>
        <v>44846</v>
      </c>
      <c r="B17" s="676"/>
      <c r="C17" s="677"/>
      <c r="D17" s="677"/>
      <c r="E17" s="677"/>
      <c r="F17" s="677"/>
      <c r="G17" s="678"/>
      <c r="H17" s="593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44846</v>
      </c>
      <c r="M17" s="3">
        <f t="shared" si="2"/>
        <v>0</v>
      </c>
      <c r="N17" s="477"/>
      <c r="O17" s="477">
        <f t="shared" si="3"/>
        <v>0</v>
      </c>
    </row>
    <row r="18" spans="1:15">
      <c r="A18" s="595">
        <f>ELEC!C16</f>
        <v>44847</v>
      </c>
      <c r="B18" s="676"/>
      <c r="C18" s="677"/>
      <c r="D18" s="677"/>
      <c r="E18" s="677"/>
      <c r="F18" s="677"/>
      <c r="G18" s="678"/>
      <c r="H18" s="593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44847</v>
      </c>
      <c r="M18" s="3">
        <f t="shared" si="2"/>
        <v>0</v>
      </c>
      <c r="N18" s="477"/>
      <c r="O18" s="477">
        <f t="shared" si="3"/>
        <v>0</v>
      </c>
    </row>
    <row r="19" spans="1:15">
      <c r="A19" s="595">
        <f>ELEC!C17</f>
        <v>44848</v>
      </c>
      <c r="B19" s="676"/>
      <c r="C19" s="677"/>
      <c r="D19" s="677"/>
      <c r="E19" s="677"/>
      <c r="F19" s="677"/>
      <c r="G19" s="678"/>
      <c r="H19" s="593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44848</v>
      </c>
      <c r="M19" s="3">
        <f t="shared" si="2"/>
        <v>0</v>
      </c>
      <c r="N19" s="477"/>
      <c r="O19" s="477">
        <f t="shared" si="3"/>
        <v>0</v>
      </c>
    </row>
    <row r="20" spans="1:15">
      <c r="A20" s="595">
        <f>ELEC!C18</f>
        <v>44849</v>
      </c>
      <c r="B20" s="676"/>
      <c r="C20" s="677"/>
      <c r="D20" s="677"/>
      <c r="E20" s="677"/>
      <c r="F20" s="677"/>
      <c r="G20" s="678"/>
      <c r="H20" s="593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44849</v>
      </c>
      <c r="M20" s="3">
        <f t="shared" si="2"/>
        <v>0</v>
      </c>
      <c r="N20" s="477"/>
      <c r="O20" s="477">
        <f t="shared" si="3"/>
        <v>0</v>
      </c>
    </row>
    <row r="21" spans="1:15">
      <c r="A21" s="595">
        <f>ELEC!C19</f>
        <v>44850</v>
      </c>
      <c r="B21" s="676"/>
      <c r="C21" s="677"/>
      <c r="D21" s="677"/>
      <c r="E21" s="677"/>
      <c r="F21" s="677"/>
      <c r="G21" s="678"/>
      <c r="H21" s="593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44850</v>
      </c>
      <c r="M21" s="3">
        <f t="shared" si="2"/>
        <v>0</v>
      </c>
      <c r="N21" s="477"/>
      <c r="O21" s="477">
        <f t="shared" si="3"/>
        <v>0</v>
      </c>
    </row>
    <row r="22" spans="1:15">
      <c r="A22" s="595">
        <f>ELEC!C20</f>
        <v>44851</v>
      </c>
      <c r="B22" s="676"/>
      <c r="C22" s="677"/>
      <c r="D22" s="677"/>
      <c r="E22" s="677"/>
      <c r="F22" s="677"/>
      <c r="G22" s="678"/>
      <c r="H22" s="593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44851</v>
      </c>
      <c r="M22" s="3">
        <f t="shared" si="2"/>
        <v>0</v>
      </c>
      <c r="N22" s="477"/>
      <c r="O22" s="477">
        <f t="shared" si="3"/>
        <v>0</v>
      </c>
    </row>
    <row r="23" spans="1:15">
      <c r="A23" s="595">
        <f>ELEC!C21</f>
        <v>44852</v>
      </c>
      <c r="B23" s="676"/>
      <c r="C23" s="677"/>
      <c r="D23" s="677"/>
      <c r="E23" s="677"/>
      <c r="F23" s="677"/>
      <c r="G23" s="678"/>
      <c r="H23" s="593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44852</v>
      </c>
      <c r="M23" s="3">
        <f t="shared" si="2"/>
        <v>0</v>
      </c>
      <c r="N23" s="477"/>
      <c r="O23" s="477">
        <f t="shared" si="3"/>
        <v>0</v>
      </c>
    </row>
    <row r="24" spans="1:15">
      <c r="A24" s="595">
        <f>ELEC!C22</f>
        <v>44853</v>
      </c>
      <c r="B24" s="676"/>
      <c r="C24" s="677"/>
      <c r="D24" s="677"/>
      <c r="E24" s="677"/>
      <c r="F24" s="677"/>
      <c r="G24" s="678"/>
      <c r="H24" s="593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44853</v>
      </c>
      <c r="M24" s="3">
        <f t="shared" si="2"/>
        <v>0</v>
      </c>
      <c r="N24" s="477"/>
      <c r="O24" s="477">
        <f t="shared" si="3"/>
        <v>0</v>
      </c>
    </row>
    <row r="25" spans="1:15">
      <c r="A25" s="595">
        <f>ELEC!C23</f>
        <v>44854</v>
      </c>
      <c r="B25" s="676"/>
      <c r="C25" s="677"/>
      <c r="D25" s="677"/>
      <c r="E25" s="677"/>
      <c r="F25" s="677"/>
      <c r="G25" s="678"/>
      <c r="H25" s="593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44854</v>
      </c>
      <c r="M25" s="3">
        <f t="shared" si="2"/>
        <v>0</v>
      </c>
      <c r="N25" s="477"/>
      <c r="O25" s="477">
        <f t="shared" si="3"/>
        <v>0</v>
      </c>
    </row>
    <row r="26" spans="1:15">
      <c r="A26" s="595">
        <f>ELEC!C24</f>
        <v>44855</v>
      </c>
      <c r="B26" s="676"/>
      <c r="C26" s="677"/>
      <c r="D26" s="677"/>
      <c r="E26" s="677"/>
      <c r="F26" s="677"/>
      <c r="G26" s="678"/>
      <c r="H26" s="593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44855</v>
      </c>
      <c r="M26" s="3">
        <f t="shared" si="2"/>
        <v>0</v>
      </c>
      <c r="N26" s="477"/>
      <c r="O26" s="477">
        <f t="shared" si="3"/>
        <v>0</v>
      </c>
    </row>
    <row r="27" spans="1:15">
      <c r="A27" s="595">
        <f>ELEC!C25</f>
        <v>44856</v>
      </c>
      <c r="B27" s="676"/>
      <c r="C27" s="677"/>
      <c r="D27" s="677"/>
      <c r="E27" s="677"/>
      <c r="F27" s="677"/>
      <c r="G27" s="678"/>
      <c r="H27" s="593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44856</v>
      </c>
      <c r="M27" s="3">
        <f t="shared" si="2"/>
        <v>0</v>
      </c>
      <c r="N27" s="477"/>
      <c r="O27" s="477">
        <f t="shared" si="3"/>
        <v>0</v>
      </c>
    </row>
    <row r="28" spans="1:15">
      <c r="A28" s="595">
        <f>ELEC!C26</f>
        <v>44857</v>
      </c>
      <c r="B28" s="676"/>
      <c r="C28" s="677"/>
      <c r="D28" s="677"/>
      <c r="E28" s="677"/>
      <c r="F28" s="677"/>
      <c r="G28" s="678"/>
      <c r="H28" s="593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44857</v>
      </c>
      <c r="M28" s="3">
        <f t="shared" si="2"/>
        <v>0</v>
      </c>
      <c r="N28" s="477"/>
      <c r="O28" s="477">
        <f t="shared" si="3"/>
        <v>0</v>
      </c>
    </row>
    <row r="29" spans="1:15">
      <c r="A29" s="595">
        <f>ELEC!C27</f>
        <v>44858</v>
      </c>
      <c r="B29" s="676"/>
      <c r="C29" s="677"/>
      <c r="D29" s="677"/>
      <c r="E29" s="677"/>
      <c r="F29" s="677"/>
      <c r="G29" s="678"/>
      <c r="H29" s="593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44858</v>
      </c>
      <c r="M29" s="3">
        <f t="shared" si="2"/>
        <v>0</v>
      </c>
      <c r="N29" s="477"/>
      <c r="O29" s="477">
        <f t="shared" si="3"/>
        <v>0</v>
      </c>
    </row>
    <row r="30" spans="1:15">
      <c r="A30" s="595">
        <f>ELEC!C28</f>
        <v>44859</v>
      </c>
      <c r="B30" s="676"/>
      <c r="C30" s="677"/>
      <c r="D30" s="677"/>
      <c r="E30" s="677"/>
      <c r="F30" s="677"/>
      <c r="G30" s="678"/>
      <c r="H30" s="593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44859</v>
      </c>
      <c r="M30" s="3">
        <f t="shared" si="2"/>
        <v>0</v>
      </c>
      <c r="N30" s="477"/>
      <c r="O30" s="477">
        <f t="shared" si="3"/>
        <v>0</v>
      </c>
    </row>
    <row r="31" spans="1:15">
      <c r="A31" s="595">
        <f>ELEC!C29</f>
        <v>44860</v>
      </c>
      <c r="B31" s="676"/>
      <c r="C31" s="677"/>
      <c r="D31" s="677"/>
      <c r="E31" s="677"/>
      <c r="F31" s="677"/>
      <c r="G31" s="678"/>
      <c r="H31" s="593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44860</v>
      </c>
      <c r="M31" s="3">
        <f t="shared" si="2"/>
        <v>0</v>
      </c>
      <c r="N31" s="477"/>
      <c r="O31" s="477">
        <f t="shared" si="3"/>
        <v>0</v>
      </c>
    </row>
    <row r="32" spans="1:15">
      <c r="A32" s="595">
        <f>ELEC!C30</f>
        <v>44861</v>
      </c>
      <c r="B32" s="676"/>
      <c r="C32" s="677"/>
      <c r="D32" s="677"/>
      <c r="E32" s="677"/>
      <c r="F32" s="677"/>
      <c r="G32" s="678"/>
      <c r="H32" s="593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44861</v>
      </c>
      <c r="M32" s="3">
        <f t="shared" si="2"/>
        <v>0</v>
      </c>
      <c r="N32" s="477"/>
      <c r="O32" s="477">
        <v>6879</v>
      </c>
    </row>
    <row r="33" spans="1:15">
      <c r="A33" s="595">
        <f>ELEC!C31</f>
        <v>44862</v>
      </c>
      <c r="B33" s="676"/>
      <c r="C33" s="677"/>
      <c r="D33" s="677"/>
      <c r="E33" s="677"/>
      <c r="F33" s="677"/>
      <c r="G33" s="678"/>
      <c r="H33" s="593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44862</v>
      </c>
      <c r="M33" s="3">
        <f t="shared" si="2"/>
        <v>0</v>
      </c>
      <c r="N33" s="477"/>
      <c r="O33" s="477">
        <f t="shared" si="3"/>
        <v>0</v>
      </c>
    </row>
    <row r="34" spans="1:15">
      <c r="A34" s="595">
        <f>ELEC!C32</f>
        <v>44863</v>
      </c>
      <c r="B34" s="676"/>
      <c r="C34" s="677"/>
      <c r="D34" s="677"/>
      <c r="E34" s="677"/>
      <c r="F34" s="677"/>
      <c r="G34" s="678"/>
      <c r="H34" s="593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44863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5">
        <f>ELEC!C33</f>
        <v>44864</v>
      </c>
      <c r="B35" s="676"/>
      <c r="C35" s="677"/>
      <c r="D35" s="677"/>
      <c r="E35" s="677"/>
      <c r="F35" s="677"/>
      <c r="G35" s="678"/>
      <c r="H35" s="593">
        <f t="shared" si="1"/>
        <v>7089</v>
      </c>
      <c r="I35" s="477">
        <f t="shared" si="5"/>
        <v>0</v>
      </c>
      <c r="J35" s="462">
        <v>0.375</v>
      </c>
      <c r="L35" s="99">
        <f t="shared" si="6"/>
        <v>44864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6">
        <f>ELEC!C34</f>
        <v>44865</v>
      </c>
      <c r="B36" s="679"/>
      <c r="C36" s="680"/>
      <c r="D36" s="680"/>
      <c r="E36" s="680"/>
      <c r="F36" s="680"/>
      <c r="G36" s="681"/>
      <c r="H36" s="593">
        <f t="shared" si="1"/>
        <v>7089</v>
      </c>
      <c r="I36" s="597">
        <f t="shared" si="5"/>
        <v>0</v>
      </c>
      <c r="J36" s="598">
        <v>0.41666666666666702</v>
      </c>
      <c r="L36" s="99">
        <f t="shared" si="6"/>
        <v>44865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698" t="s">
        <v>161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</row>
    <row r="2" spans="1:28" ht="19.5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</row>
    <row r="3" spans="1:28" ht="19.5">
      <c r="A3" s="699" t="s">
        <v>162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9"/>
      <c r="X3" s="69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9" t="s">
        <v>404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</row>
    <row r="6" spans="1:28" ht="15" thickBot="1">
      <c r="A6" s="700"/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</row>
    <row r="7" spans="1:28" ht="1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6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6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6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6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6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6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6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6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6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6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6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6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6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6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6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6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6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6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6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6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6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6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6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6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6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0</v>
      </c>
      <c r="D15" s="261">
        <f>'[9]Degree Days 2020'!D15</f>
        <v>0.19999999999999929</v>
      </c>
      <c r="E15" s="496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6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6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6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6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0</v>
      </c>
      <c r="D16" s="261">
        <f>'[9]Degree Days 2020'!D16</f>
        <v>-1.3000000000000007</v>
      </c>
      <c r="E16" s="496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6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6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6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6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6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6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6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6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6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6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6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6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6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6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6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6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6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6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6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6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6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6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6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6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6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6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6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6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6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6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6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6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6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6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6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6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6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6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6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6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6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6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6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6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6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6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6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6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6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6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6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6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6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6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6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6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6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6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6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6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6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6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6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6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6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6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6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6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6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6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6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6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6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6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6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6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6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6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6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6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6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6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6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6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6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6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6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6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6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6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6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6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6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6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6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6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6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6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6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6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6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6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6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6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6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6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6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6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6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6"/>
      <c r="F38" s="261"/>
      <c r="G38" s="261"/>
      <c r="H38" s="261"/>
      <c r="I38" s="496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6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6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6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6"/>
      <c r="F39" s="261"/>
      <c r="G39" s="261"/>
      <c r="H39" s="261"/>
      <c r="I39" s="496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6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6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6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6"/>
      <c r="F40" s="261"/>
      <c r="G40" s="261"/>
      <c r="H40" s="261"/>
      <c r="I40" s="496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6"/>
      <c r="N40" s="261"/>
      <c r="O40" s="261"/>
      <c r="P40" s="261"/>
      <c r="Q40" s="496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0</v>
      </c>
      <c r="K51" s="261">
        <f>'General information '!C8</f>
        <v>0</v>
      </c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0</v>
      </c>
      <c r="K52" s="261">
        <f>'General information '!C9</f>
        <v>0</v>
      </c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-530.70000000000016</v>
      </c>
      <c r="K81" s="119">
        <f>SUMIF(L48:L78,"&gt;0")</f>
        <v>8.1999999999999993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-3577.6000000000008</v>
      </c>
      <c r="O86" s="142">
        <f>C43+G43+K43+O43+S43+W43+C81+G81+K81+O81+S81+W81</f>
        <v>544.5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/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199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6">
        <f>tanks!AT37</f>
        <v>5130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7">
        <f>E8*$G$4</f>
        <v>0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116</v>
      </c>
      <c r="C10" s="181"/>
      <c r="D10" s="183">
        <f>'EDl log'!AB30</f>
        <v>7257517</v>
      </c>
      <c r="E10" s="182">
        <f>SUM(D10/D4/F4)</f>
        <v>155.299138715027</v>
      </c>
      <c r="F10" s="182">
        <f>SUM(E10*F4)</f>
        <v>4814.2733001658371</v>
      </c>
      <c r="G10" s="478">
        <f>E10*$G$4</f>
        <v>0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419.81526774728502</v>
      </c>
      <c r="F12" s="180">
        <f>SUM(F6:F10)</f>
        <v>13014.273300165838</v>
      </c>
      <c r="G12" s="179">
        <f>SUM(G6:G10)</f>
        <v>8200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8.1999999999999993</v>
      </c>
      <c r="C14" s="416">
        <f>'[16]Utility Cost '!$B$14</f>
        <v>176.99999999999997</v>
      </c>
      <c r="D14" s="170"/>
      <c r="E14" s="416">
        <f>'[17]Utility Cost '!F14</f>
        <v>0</v>
      </c>
      <c r="F14" s="477">
        <v>0</v>
      </c>
      <c r="G14" s="405"/>
      <c r="H14" s="406">
        <f>SUM(G12-H12)</f>
        <v>-71928.899999999994</v>
      </c>
      <c r="I14" s="406">
        <f>SUM(G12-I12)</f>
        <v>-43043.919720430109</v>
      </c>
    </row>
    <row r="15" spans="1:11">
      <c r="A15" s="428" t="s">
        <v>301</v>
      </c>
      <c r="B15" s="97">
        <f>'Degree Days 2022'!J81</f>
        <v>-530.70000000000016</v>
      </c>
      <c r="C15" s="416">
        <f>'[16]Utility Cost '!$B$15</f>
        <v>-183.00000000000003</v>
      </c>
      <c r="D15" s="170"/>
      <c r="E15" s="416">
        <f>'[17]Utility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'[16]Utility Cost '!$B$16</f>
        <v>36.200000000000003</v>
      </c>
      <c r="D16" s="415"/>
      <c r="E16" s="416">
        <f>'[17]Utility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'[18]Utility Cost '!B17</f>
        <v>0</v>
      </c>
      <c r="D17" s="455">
        <v>0</v>
      </c>
      <c r="E17" s="416">
        <f>'[17]Utility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31</v>
      </c>
      <c r="C18" s="416">
        <f>'[16]Utility Cost '!$B$18</f>
        <v>325</v>
      </c>
      <c r="D18" s="413">
        <f>'[19]Other Fuel Calculation 2021'!$G$116</f>
        <v>202.66666666666666</v>
      </c>
      <c r="E18" s="416">
        <f>'[17]Utility Cost '!F18</f>
        <v>276.33333333333337</v>
      </c>
      <c r="F18" s="493">
        <f>B18-D18</f>
        <v>-171.66666666666666</v>
      </c>
    </row>
    <row r="19" spans="1:10">
      <c r="A19" s="489" t="s">
        <v>412</v>
      </c>
      <c r="B19" s="491">
        <f>GEN!AL34</f>
        <v>3</v>
      </c>
      <c r="C19" s="416">
        <f>'[18]Utility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10.333333333333334</v>
      </c>
      <c r="C20" s="416">
        <f>'[16]Utility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2022-10-05T10:18:34Z</dcterms:modified>
</cp:coreProperties>
</file>