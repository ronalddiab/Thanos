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5"/>
  <c r="T14" i="1"/>
  <c r="I87" i="22"/>
  <c r="K87" s="1"/>
  <c r="G87"/>
  <c r="B87"/>
  <c r="D87" s="1"/>
  <c r="F87" s="1"/>
  <c r="G86"/>
  <c r="I86" s="1"/>
  <c r="B86"/>
  <c r="D86" s="1"/>
  <c r="F86" s="1"/>
  <c r="G85"/>
  <c r="I85" s="1"/>
  <c r="F85"/>
  <c r="D85"/>
  <c r="B85"/>
  <c r="K84"/>
  <c r="I84"/>
  <c r="L84" s="1"/>
  <c r="G84"/>
  <c r="D84"/>
  <c r="F84" s="1"/>
  <c r="B84"/>
  <c r="I83"/>
  <c r="K83" s="1"/>
  <c r="G83"/>
  <c r="B83"/>
  <c r="D83" s="1"/>
  <c r="F83" s="1"/>
  <c r="G82"/>
  <c r="I82" s="1"/>
  <c r="B82"/>
  <c r="D82" s="1"/>
  <c r="F82" s="1"/>
  <c r="G81"/>
  <c r="I81" s="1"/>
  <c r="F81"/>
  <c r="D81"/>
  <c r="B81"/>
  <c r="K80"/>
  <c r="I80"/>
  <c r="L80" s="1"/>
  <c r="G80"/>
  <c r="D80"/>
  <c r="F80" s="1"/>
  <c r="B80"/>
  <c r="I79"/>
  <c r="K79" s="1"/>
  <c r="G79"/>
  <c r="B79"/>
  <c r="D79" s="1"/>
  <c r="F79" s="1"/>
  <c r="G78"/>
  <c r="I78" s="1"/>
  <c r="B78"/>
  <c r="D78" s="1"/>
  <c r="F78" s="1"/>
  <c r="G77"/>
  <c r="I77" s="1"/>
  <c r="F77"/>
  <c r="D77"/>
  <c r="B77"/>
  <c r="K76"/>
  <c r="I76"/>
  <c r="L76" s="1"/>
  <c r="G76"/>
  <c r="D76"/>
  <c r="F76" s="1"/>
  <c r="B76"/>
  <c r="I75"/>
  <c r="K75" s="1"/>
  <c r="G75"/>
  <c r="B75"/>
  <c r="D75" s="1"/>
  <c r="F75" s="1"/>
  <c r="G74"/>
  <c r="I74" s="1"/>
  <c r="B74"/>
  <c r="D74" s="1"/>
  <c r="F74" s="1"/>
  <c r="G73"/>
  <c r="I73" s="1"/>
  <c r="F73"/>
  <c r="D73"/>
  <c r="B73"/>
  <c r="K72"/>
  <c r="I72"/>
  <c r="L72" s="1"/>
  <c r="G72"/>
  <c r="D72"/>
  <c r="F72" s="1"/>
  <c r="B72"/>
  <c r="I71"/>
  <c r="K71" s="1"/>
  <c r="G71"/>
  <c r="B71"/>
  <c r="D71" s="1"/>
  <c r="F71" s="1"/>
  <c r="G70"/>
  <c r="I70" s="1"/>
  <c r="B70"/>
  <c r="D70" s="1"/>
  <c r="F70" s="1"/>
  <c r="G69"/>
  <c r="I69" s="1"/>
  <c r="F69"/>
  <c r="D69"/>
  <c r="B69"/>
  <c r="K68"/>
  <c r="I68"/>
  <c r="L68" s="1"/>
  <c r="G68"/>
  <c r="D68"/>
  <c r="F68" s="1"/>
  <c r="B68"/>
  <c r="I67"/>
  <c r="K67" s="1"/>
  <c r="G67"/>
  <c r="B67"/>
  <c r="D67" s="1"/>
  <c r="F67" s="1"/>
  <c r="G66"/>
  <c r="I66" s="1"/>
  <c r="B66"/>
  <c r="D66" s="1"/>
  <c r="F66" s="1"/>
  <c r="G65"/>
  <c r="I65" s="1"/>
  <c r="F65"/>
  <c r="D65"/>
  <c r="B65"/>
  <c r="K64"/>
  <c r="I64"/>
  <c r="L64" s="1"/>
  <c r="G64"/>
  <c r="D64"/>
  <c r="F64" s="1"/>
  <c r="B64"/>
  <c r="I63"/>
  <c r="K63" s="1"/>
  <c r="G63"/>
  <c r="B63"/>
  <c r="D63" s="1"/>
  <c r="F63" s="1"/>
  <c r="G62"/>
  <c r="I62" s="1"/>
  <c r="B62"/>
  <c r="D62" s="1"/>
  <c r="F62" s="1"/>
  <c r="G61"/>
  <c r="I61" s="1"/>
  <c r="F61"/>
  <c r="D61"/>
  <c r="B61"/>
  <c r="K60"/>
  <c r="I60"/>
  <c r="L60" s="1"/>
  <c r="G60"/>
  <c r="D60"/>
  <c r="F60" s="1"/>
  <c r="B60"/>
  <c r="I59"/>
  <c r="K59" s="1"/>
  <c r="G59"/>
  <c r="B59"/>
  <c r="D59" s="1"/>
  <c r="F59" s="1"/>
  <c r="G58"/>
  <c r="I58" s="1"/>
  <c r="B58"/>
  <c r="D58" s="1"/>
  <c r="F58" s="1"/>
  <c r="G57"/>
  <c r="I57" s="1"/>
  <c r="F57"/>
  <c r="D57"/>
  <c r="B57"/>
  <c r="K56"/>
  <c r="I56"/>
  <c r="L56" s="1"/>
  <c r="G56"/>
  <c r="D56"/>
  <c r="F56" s="1"/>
  <c r="B56"/>
  <c r="I55"/>
  <c r="K55" s="1"/>
  <c r="G55"/>
  <c r="B55"/>
  <c r="D55" s="1"/>
  <c r="F55" s="1"/>
  <c r="G54"/>
  <c r="I54" s="1"/>
  <c r="B54"/>
  <c r="D54" s="1"/>
  <c r="F54" s="1"/>
  <c r="G53"/>
  <c r="I53" s="1"/>
  <c r="F53"/>
  <c r="D53"/>
  <c r="B53"/>
  <c r="K52"/>
  <c r="I52"/>
  <c r="L52" s="1"/>
  <c r="G52"/>
  <c r="D52"/>
  <c r="F52" s="1"/>
  <c r="B52"/>
  <c r="I51"/>
  <c r="K51" s="1"/>
  <c r="G51"/>
  <c r="B51"/>
  <c r="D51" s="1"/>
  <c r="F51" s="1"/>
  <c r="G50"/>
  <c r="I50" s="1"/>
  <c r="B50"/>
  <c r="D50" s="1"/>
  <c r="F50" s="1"/>
  <c r="G49"/>
  <c r="I49" s="1"/>
  <c r="F49"/>
  <c r="D49"/>
  <c r="B49"/>
  <c r="K48"/>
  <c r="I48"/>
  <c r="L48" s="1"/>
  <c r="G48"/>
  <c r="D48"/>
  <c r="F48" s="1"/>
  <c r="B48"/>
  <c r="I47"/>
  <c r="K47" s="1"/>
  <c r="G47"/>
  <c r="B47"/>
  <c r="D47" s="1"/>
  <c r="F47" s="1"/>
  <c r="G46"/>
  <c r="I46" s="1"/>
  <c r="B46"/>
  <c r="D46" s="1"/>
  <c r="F46" s="1"/>
  <c r="G45"/>
  <c r="I45" s="1"/>
  <c r="F45"/>
  <c r="D45"/>
  <c r="B45"/>
  <c r="K44"/>
  <c r="I44"/>
  <c r="L44" s="1"/>
  <c r="G44"/>
  <c r="D44"/>
  <c r="F44" s="1"/>
  <c r="B44"/>
  <c r="I43"/>
  <c r="K43" s="1"/>
  <c r="G43"/>
  <c r="B43"/>
  <c r="D43" s="1"/>
  <c r="F43" s="1"/>
  <c r="G42"/>
  <c r="I42" s="1"/>
  <c r="B42"/>
  <c r="D42" s="1"/>
  <c r="F42" s="1"/>
  <c r="G41"/>
  <c r="I41" s="1"/>
  <c r="F41"/>
  <c r="D41"/>
  <c r="B41"/>
  <c r="K40"/>
  <c r="I40"/>
  <c r="L40" s="1"/>
  <c r="G40"/>
  <c r="D40"/>
  <c r="F40" s="1"/>
  <c r="B40"/>
  <c r="I39"/>
  <c r="K39" s="1"/>
  <c r="G39"/>
  <c r="B39"/>
  <c r="D39" s="1"/>
  <c r="F39" s="1"/>
  <c r="G38"/>
  <c r="I38" s="1"/>
  <c r="B38"/>
  <c r="D38" s="1"/>
  <c r="F38" s="1"/>
  <c r="G37"/>
  <c r="I37" s="1"/>
  <c r="F37"/>
  <c r="D37"/>
  <c r="B37"/>
  <c r="K36"/>
  <c r="I36"/>
  <c r="L36" s="1"/>
  <c r="G36"/>
  <c r="D36"/>
  <c r="F36" s="1"/>
  <c r="B36"/>
  <c r="I35"/>
  <c r="K35" s="1"/>
  <c r="G35"/>
  <c r="B35"/>
  <c r="D35" s="1"/>
  <c r="F35" s="1"/>
  <c r="G34"/>
  <c r="I34" s="1"/>
  <c r="B34"/>
  <c r="D34" s="1"/>
  <c r="F34" s="1"/>
  <c r="G33"/>
  <c r="I33" s="1"/>
  <c r="F33"/>
  <c r="D33"/>
  <c r="B33"/>
  <c r="K32"/>
  <c r="I32"/>
  <c r="L32" s="1"/>
  <c r="G32"/>
  <c r="D32"/>
  <c r="F32" s="1"/>
  <c r="B32"/>
  <c r="I31"/>
  <c r="K31" s="1"/>
  <c r="G31"/>
  <c r="B31"/>
  <c r="D31" s="1"/>
  <c r="F31" s="1"/>
  <c r="G30"/>
  <c r="I30" s="1"/>
  <c r="B30"/>
  <c r="D30" s="1"/>
  <c r="F30" s="1"/>
  <c r="L29"/>
  <c r="K29"/>
  <c r="I29"/>
  <c r="G29"/>
  <c r="F29"/>
  <c r="D29"/>
  <c r="B29"/>
  <c r="K28"/>
  <c r="I28"/>
  <c r="L28" s="1"/>
  <c r="G28"/>
  <c r="D28"/>
  <c r="F28" s="1"/>
  <c r="B28"/>
  <c r="I27"/>
  <c r="K27" s="1"/>
  <c r="G27"/>
  <c r="B27"/>
  <c r="D27" s="1"/>
  <c r="F27" s="1"/>
  <c r="G26"/>
  <c r="I26" s="1"/>
  <c r="F26"/>
  <c r="D26"/>
  <c r="B26"/>
  <c r="L25"/>
  <c r="K25"/>
  <c r="I25"/>
  <c r="G25"/>
  <c r="F25"/>
  <c r="D25"/>
  <c r="B25"/>
  <c r="K24"/>
  <c r="I24"/>
  <c r="L24" s="1"/>
  <c r="G24"/>
  <c r="D24"/>
  <c r="F24" s="1"/>
  <c r="B24"/>
  <c r="I23"/>
  <c r="K23" s="1"/>
  <c r="G23"/>
  <c r="B23"/>
  <c r="D23" s="1"/>
  <c r="F23" s="1"/>
  <c r="G22"/>
  <c r="I22" s="1"/>
  <c r="F22"/>
  <c r="D22"/>
  <c r="B22"/>
  <c r="L21"/>
  <c r="K21"/>
  <c r="I21"/>
  <c r="G21"/>
  <c r="F21"/>
  <c r="D21"/>
  <c r="B21"/>
  <c r="K20"/>
  <c r="I20"/>
  <c r="L20" s="1"/>
  <c r="G20"/>
  <c r="D20"/>
  <c r="F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F13"/>
  <c r="D13"/>
  <c r="B13"/>
  <c r="I12"/>
  <c r="K12" s="1"/>
  <c r="G12"/>
  <c r="B12"/>
  <c r="D12" s="1"/>
  <c r="F12" s="1"/>
  <c r="G11"/>
  <c r="I11" s="1"/>
  <c r="K11" s="1"/>
  <c r="F11"/>
  <c r="D11"/>
  <c r="B11"/>
  <c r="I10"/>
  <c r="K10" s="1"/>
  <c r="G10"/>
  <c r="B10"/>
  <c r="D10" s="1"/>
  <c r="F10" s="1"/>
  <c r="G9"/>
  <c r="I9" s="1"/>
  <c r="K9" s="1"/>
  <c r="E9"/>
  <c r="B9"/>
  <c r="D9" s="1"/>
  <c r="F9" s="1"/>
  <c r="K8"/>
  <c r="I8"/>
  <c r="G8"/>
  <c r="E8"/>
  <c r="D8"/>
  <c r="F8" s="1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L22" l="1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7"/>
  <c r="T19"/>
  <c r="T16"/>
  <c r="T15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  <comment ref="AJ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Green Land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<sst xmlns="http://schemas.openxmlformats.org/spreadsheetml/2006/main" count="540" uniqueCount="325">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</sst>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7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678656"/>
        <c:axId val="1207009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702464"/>
        <c:axId val="120704000"/>
      </c:lineChart>
      <c:catAx>
        <c:axId val="1206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00928"/>
        <c:crosses val="autoZero"/>
        <c:auto val="1"/>
        <c:lblAlgn val="ctr"/>
        <c:lblOffset val="100"/>
      </c:catAx>
      <c:valAx>
        <c:axId val="1207009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78656"/>
        <c:crosses val="autoZero"/>
        <c:crossBetween val="between"/>
        <c:majorUnit val="200"/>
      </c:valAx>
      <c:catAx>
        <c:axId val="120702464"/>
        <c:scaling>
          <c:orientation val="minMax"/>
        </c:scaling>
        <c:delete val="1"/>
        <c:axPos val="b"/>
        <c:tickLblPos val="none"/>
        <c:crossAx val="120704000"/>
        <c:crosses val="autoZero"/>
        <c:auto val="1"/>
        <c:lblAlgn val="ctr"/>
        <c:lblOffset val="100"/>
      </c:catAx>
      <c:valAx>
        <c:axId val="120704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02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80159104"/>
        <c:axId val="80160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0162176"/>
        <c:axId val="80168064"/>
      </c:lineChart>
      <c:catAx>
        <c:axId val="801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60640"/>
        <c:crosses val="autoZero"/>
        <c:auto val="1"/>
        <c:lblAlgn val="ctr"/>
        <c:lblOffset val="100"/>
      </c:catAx>
      <c:valAx>
        <c:axId val="8016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59104"/>
        <c:crosses val="autoZero"/>
        <c:crossBetween val="between"/>
        <c:majorUnit val="200"/>
      </c:valAx>
      <c:catAx>
        <c:axId val="80162176"/>
        <c:scaling>
          <c:orientation val="minMax"/>
        </c:scaling>
        <c:delete val="1"/>
        <c:axPos val="b"/>
        <c:tickLblPos val="none"/>
        <c:crossAx val="80168064"/>
        <c:crosses val="autoZero"/>
        <c:auto val="1"/>
        <c:lblAlgn val="ctr"/>
        <c:lblOffset val="100"/>
      </c:catAx>
      <c:valAx>
        <c:axId val="80168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162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0762752"/>
        <c:axId val="80764288"/>
      </c:lineChart>
      <c:catAx>
        <c:axId val="8076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64288"/>
        <c:crosses val="autoZero"/>
        <c:auto val="1"/>
        <c:lblAlgn val="ctr"/>
        <c:lblOffset val="200"/>
        <c:tickLblSkip val="1"/>
      </c:catAx>
      <c:valAx>
        <c:axId val="80764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6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0792960"/>
        <c:axId val="81081472"/>
      </c:lineChart>
      <c:catAx>
        <c:axId val="8079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81472"/>
        <c:crosses val="autoZero"/>
        <c:auto val="1"/>
        <c:lblAlgn val="ctr"/>
        <c:lblOffset val="100"/>
      </c:catAx>
      <c:valAx>
        <c:axId val="81081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9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1126528"/>
        <c:axId val="81128448"/>
      </c:lineChart>
      <c:catAx>
        <c:axId val="81126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8448"/>
        <c:crosses val="autoZero"/>
        <c:auto val="1"/>
        <c:lblAlgn val="ctr"/>
        <c:lblOffset val="100"/>
      </c:catAx>
      <c:valAx>
        <c:axId val="81128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26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0514432"/>
        <c:axId val="80524800"/>
      </c:lineChart>
      <c:catAx>
        <c:axId val="80514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24800"/>
        <c:crosses val="autoZero"/>
        <c:auto val="1"/>
        <c:lblAlgn val="ctr"/>
        <c:lblOffset val="100"/>
      </c:catAx>
      <c:valAx>
        <c:axId val="80524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14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-310244.17599999998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1667968"/>
        <c:axId val="81669504"/>
      </c:lineChart>
      <c:catAx>
        <c:axId val="8166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69504"/>
        <c:crosses val="autoZero"/>
        <c:auto val="1"/>
        <c:lblAlgn val="ctr"/>
        <c:lblOffset val="100"/>
      </c:catAx>
      <c:valAx>
        <c:axId val="8166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6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1715584"/>
        <c:axId val="81717120"/>
      </c:lineChart>
      <c:catAx>
        <c:axId val="8171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17120"/>
        <c:crosses val="autoZero"/>
        <c:auto val="1"/>
        <c:lblAlgn val="ctr"/>
        <c:lblOffset val="100"/>
      </c:catAx>
      <c:valAx>
        <c:axId val="8171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1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150912"/>
        <c:axId val="82152448"/>
      </c:lineChart>
      <c:catAx>
        <c:axId val="8215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52448"/>
        <c:crosses val="autoZero"/>
        <c:auto val="1"/>
        <c:lblAlgn val="ctr"/>
        <c:lblOffset val="100"/>
      </c:catAx>
      <c:valAx>
        <c:axId val="8215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789"/>
          <c:y val="7.47132470511043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177024"/>
        <c:axId val="82178816"/>
      </c:lineChart>
      <c:catAx>
        <c:axId val="8217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8816"/>
        <c:crosses val="autoZero"/>
        <c:auto val="1"/>
        <c:lblAlgn val="ctr"/>
        <c:lblOffset val="200"/>
        <c:tickLblSkip val="1"/>
      </c:catAx>
      <c:valAx>
        <c:axId val="82178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752256"/>
        <c:axId val="82753792"/>
      </c:lineChart>
      <c:catAx>
        <c:axId val="8275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3792"/>
        <c:crosses val="autoZero"/>
        <c:auto val="1"/>
        <c:lblAlgn val="ctr"/>
        <c:lblOffset val="100"/>
      </c:catAx>
      <c:valAx>
        <c:axId val="8275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3233024"/>
        <c:axId val="83267968"/>
      </c:lineChart>
      <c:catAx>
        <c:axId val="83233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67968"/>
        <c:crosses val="autoZero"/>
        <c:auto val="1"/>
        <c:lblAlgn val="ctr"/>
        <c:lblOffset val="100"/>
      </c:catAx>
      <c:valAx>
        <c:axId val="83267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33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3456768"/>
        <c:axId val="83458688"/>
      </c:lineChart>
      <c:catAx>
        <c:axId val="83456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58688"/>
        <c:crosses val="autoZero"/>
        <c:auto val="1"/>
        <c:lblAlgn val="ctr"/>
        <c:lblOffset val="100"/>
      </c:catAx>
      <c:valAx>
        <c:axId val="83458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56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491840"/>
        <c:axId val="83038976"/>
      </c:lineChart>
      <c:catAx>
        <c:axId val="834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38976"/>
        <c:crosses val="autoZero"/>
        <c:auto val="1"/>
        <c:lblAlgn val="ctr"/>
        <c:lblOffset val="100"/>
      </c:catAx>
      <c:valAx>
        <c:axId val="8303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3072512"/>
        <c:axId val="83074048"/>
      </c:lineChart>
      <c:catAx>
        <c:axId val="830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4048"/>
        <c:crosses val="autoZero"/>
        <c:auto val="1"/>
        <c:lblAlgn val="ctr"/>
        <c:lblOffset val="100"/>
      </c:catAx>
      <c:valAx>
        <c:axId val="8307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765888"/>
        <c:axId val="83771776"/>
      </c:lineChart>
      <c:catAx>
        <c:axId val="837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1776"/>
        <c:crosses val="autoZero"/>
        <c:auto val="1"/>
        <c:lblAlgn val="ctr"/>
        <c:lblOffset val="100"/>
      </c:catAx>
      <c:valAx>
        <c:axId val="8377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144"/>
          <c:y val="7.471324705110472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4525824"/>
        <c:axId val="845273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4533248"/>
        <c:axId val="84534784"/>
      </c:lineChart>
      <c:catAx>
        <c:axId val="84525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27360"/>
        <c:crosses val="autoZero"/>
        <c:lblAlgn val="ctr"/>
        <c:lblOffset val="100"/>
        <c:tickMarkSkip val="1"/>
      </c:catAx>
      <c:valAx>
        <c:axId val="84527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25824"/>
        <c:crosses val="autoZero"/>
        <c:crossBetween val="between"/>
      </c:valAx>
      <c:catAx>
        <c:axId val="84533248"/>
        <c:scaling>
          <c:orientation val="minMax"/>
        </c:scaling>
        <c:delete val="1"/>
        <c:axPos val="b"/>
        <c:numFmt formatCode="[$-409]d\-mmm\-yy;@" sourceLinked="1"/>
        <c:tickLblPos val="none"/>
        <c:crossAx val="84534784"/>
        <c:crosses val="autoZero"/>
        <c:lblAlgn val="ctr"/>
        <c:lblOffset val="100"/>
      </c:catAx>
      <c:valAx>
        <c:axId val="845347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33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8673408"/>
        <c:axId val="78674944"/>
      </c:lineChart>
      <c:catAx>
        <c:axId val="7867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4944"/>
        <c:crosses val="autoZero"/>
        <c:auto val="1"/>
        <c:lblAlgn val="ctr"/>
        <c:lblOffset val="100"/>
      </c:catAx>
      <c:valAx>
        <c:axId val="786749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5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8691328"/>
        <c:axId val="85725952"/>
      </c:lineChart>
      <c:catAx>
        <c:axId val="7869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5952"/>
        <c:crosses val="autoZero"/>
        <c:auto val="1"/>
        <c:lblAlgn val="ctr"/>
        <c:lblOffset val="100"/>
      </c:catAx>
      <c:valAx>
        <c:axId val="85725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781504"/>
        <c:axId val="865738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6575360"/>
        <c:axId val="86581248"/>
      </c:lineChart>
      <c:catAx>
        <c:axId val="857815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3824"/>
        <c:crosses val="autoZero"/>
        <c:lblAlgn val="ctr"/>
        <c:lblOffset val="100"/>
        <c:tickMarkSkip val="1"/>
      </c:catAx>
      <c:valAx>
        <c:axId val="8657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1504"/>
        <c:crosses val="autoZero"/>
        <c:crossBetween val="between"/>
      </c:valAx>
      <c:catAx>
        <c:axId val="86575360"/>
        <c:scaling>
          <c:orientation val="minMax"/>
        </c:scaling>
        <c:delete val="1"/>
        <c:axPos val="b"/>
        <c:numFmt formatCode="General" sourceLinked="1"/>
        <c:tickLblPos val="none"/>
        <c:crossAx val="86581248"/>
        <c:crosses val="autoZero"/>
        <c:lblAlgn val="ctr"/>
        <c:lblOffset val="100"/>
      </c:catAx>
      <c:valAx>
        <c:axId val="86581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5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6613376"/>
        <c:axId val="86615168"/>
      </c:lineChart>
      <c:catAx>
        <c:axId val="8661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15168"/>
        <c:crosses val="autoZero"/>
        <c:auto val="1"/>
        <c:lblAlgn val="ctr"/>
        <c:lblOffset val="100"/>
      </c:catAx>
      <c:valAx>
        <c:axId val="8661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4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743040"/>
        <c:axId val="120744576"/>
      </c:lineChart>
      <c:catAx>
        <c:axId val="12074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4576"/>
        <c:crosses val="autoZero"/>
        <c:auto val="1"/>
        <c:lblAlgn val="ctr"/>
        <c:lblOffset val="100"/>
      </c:catAx>
      <c:valAx>
        <c:axId val="12074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259904"/>
        <c:axId val="1212614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267328"/>
        <c:axId val="121268864"/>
      </c:lineChart>
      <c:catAx>
        <c:axId val="1212599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61440"/>
        <c:crosses val="autoZero"/>
        <c:lblAlgn val="ctr"/>
        <c:lblOffset val="100"/>
        <c:tickMarkSkip val="1"/>
      </c:catAx>
      <c:valAx>
        <c:axId val="121261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9904"/>
        <c:crosses val="autoZero"/>
        <c:crossBetween val="between"/>
      </c:valAx>
      <c:catAx>
        <c:axId val="121267328"/>
        <c:scaling>
          <c:orientation val="minMax"/>
        </c:scaling>
        <c:delete val="1"/>
        <c:axPos val="b"/>
        <c:numFmt formatCode="[$-409]d\-mmm\-yy;@" sourceLinked="1"/>
        <c:tickLblPos val="none"/>
        <c:crossAx val="121268864"/>
        <c:crosses val="autoZero"/>
        <c:lblAlgn val="ctr"/>
        <c:lblOffset val="100"/>
      </c:catAx>
      <c:valAx>
        <c:axId val="1212688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67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573760"/>
        <c:axId val="1215752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576832"/>
        <c:axId val="121578624"/>
      </c:lineChart>
      <c:catAx>
        <c:axId val="121573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75296"/>
        <c:crosses val="autoZero"/>
        <c:lblAlgn val="ctr"/>
        <c:lblOffset val="100"/>
        <c:tickMarkSkip val="1"/>
      </c:catAx>
      <c:valAx>
        <c:axId val="12157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73760"/>
        <c:crosses val="autoZero"/>
        <c:crossBetween val="between"/>
      </c:valAx>
      <c:catAx>
        <c:axId val="121576832"/>
        <c:scaling>
          <c:orientation val="minMax"/>
        </c:scaling>
        <c:delete val="1"/>
        <c:axPos val="b"/>
        <c:numFmt formatCode="General" sourceLinked="1"/>
        <c:tickLblPos val="none"/>
        <c:crossAx val="121578624"/>
        <c:crosses val="autoZero"/>
        <c:lblAlgn val="ctr"/>
        <c:lblOffset val="100"/>
      </c:catAx>
      <c:valAx>
        <c:axId val="121578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76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5283712"/>
        <c:axId val="1252936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5295232"/>
        <c:axId val="125301120"/>
      </c:lineChart>
      <c:catAx>
        <c:axId val="1252837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93696"/>
        <c:crosses val="autoZero"/>
        <c:lblAlgn val="ctr"/>
        <c:lblOffset val="100"/>
        <c:tickMarkSkip val="1"/>
      </c:catAx>
      <c:valAx>
        <c:axId val="125293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83712"/>
        <c:crosses val="autoZero"/>
        <c:crossBetween val="between"/>
      </c:valAx>
      <c:catAx>
        <c:axId val="125295232"/>
        <c:scaling>
          <c:orientation val="minMax"/>
        </c:scaling>
        <c:delete val="1"/>
        <c:axPos val="b"/>
        <c:numFmt formatCode="[$-409]d\-mmm\-yy;@" sourceLinked="1"/>
        <c:tickLblPos val="none"/>
        <c:crossAx val="125301120"/>
        <c:crosses val="autoZero"/>
        <c:lblAlgn val="ctr"/>
        <c:lblOffset val="100"/>
      </c:catAx>
      <c:valAx>
        <c:axId val="1253011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95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623296"/>
        <c:axId val="123624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634816"/>
        <c:axId val="123636352"/>
      </c:lineChart>
      <c:catAx>
        <c:axId val="123623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24832"/>
        <c:crosses val="autoZero"/>
        <c:lblAlgn val="ctr"/>
        <c:lblOffset val="100"/>
        <c:tickMarkSkip val="1"/>
      </c:catAx>
      <c:valAx>
        <c:axId val="12362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23296"/>
        <c:crosses val="autoZero"/>
        <c:crossBetween val="between"/>
      </c:valAx>
      <c:catAx>
        <c:axId val="123634816"/>
        <c:scaling>
          <c:orientation val="minMax"/>
        </c:scaling>
        <c:delete val="1"/>
        <c:axPos val="b"/>
        <c:numFmt formatCode="General" sourceLinked="1"/>
        <c:tickLblPos val="none"/>
        <c:crossAx val="123636352"/>
        <c:crosses val="autoZero"/>
        <c:lblAlgn val="ctr"/>
        <c:lblOffset val="100"/>
      </c:catAx>
      <c:valAx>
        <c:axId val="123636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34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272512"/>
        <c:axId val="158291072"/>
      </c:lineChart>
      <c:catAx>
        <c:axId val="15827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91072"/>
        <c:crosses val="autoZero"/>
        <c:auto val="1"/>
        <c:lblAlgn val="ctr"/>
        <c:lblOffset val="100"/>
      </c:catAx>
      <c:valAx>
        <c:axId val="158291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2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320128"/>
        <c:axId val="158322048"/>
      </c:lineChart>
      <c:catAx>
        <c:axId val="158320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2048"/>
        <c:crosses val="autoZero"/>
        <c:auto val="1"/>
        <c:lblAlgn val="ctr"/>
        <c:lblOffset val="100"/>
      </c:catAx>
      <c:valAx>
        <c:axId val="158322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0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109696"/>
        <c:axId val="158111232"/>
      </c:lineChart>
      <c:catAx>
        <c:axId val="1581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1232"/>
        <c:crosses val="autoZero"/>
        <c:auto val="1"/>
        <c:lblAlgn val="ctr"/>
        <c:lblOffset val="200"/>
        <c:tickLblSkip val="1"/>
      </c:catAx>
      <c:valAx>
        <c:axId val="158111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26336"/>
        <c:axId val="158927872"/>
      </c:lineChart>
      <c:catAx>
        <c:axId val="1589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7872"/>
        <c:crosses val="autoZero"/>
        <c:auto val="1"/>
        <c:lblAlgn val="ctr"/>
        <c:lblOffset val="100"/>
      </c:catAx>
      <c:valAx>
        <c:axId val="158927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-310244.17599999998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956544"/>
        <c:axId val="158970624"/>
      </c:lineChart>
      <c:catAx>
        <c:axId val="15895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0624"/>
        <c:crosses val="autoZero"/>
        <c:auto val="1"/>
        <c:lblAlgn val="ctr"/>
        <c:lblOffset val="100"/>
      </c:catAx>
      <c:valAx>
        <c:axId val="15897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006912"/>
        <c:axId val="160008832"/>
      </c:lineChart>
      <c:catAx>
        <c:axId val="160006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8832"/>
        <c:crosses val="autoZero"/>
        <c:auto val="1"/>
        <c:lblAlgn val="ctr"/>
        <c:lblOffset val="100"/>
      </c:catAx>
      <c:valAx>
        <c:axId val="160008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6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29696"/>
        <c:axId val="160265344"/>
      </c:lineChart>
      <c:catAx>
        <c:axId val="160029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5344"/>
        <c:crosses val="autoZero"/>
        <c:auto val="1"/>
        <c:lblAlgn val="ctr"/>
        <c:lblOffset val="100"/>
      </c:catAx>
      <c:valAx>
        <c:axId val="1602653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29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98496"/>
        <c:axId val="160300032"/>
      </c:lineChart>
      <c:catAx>
        <c:axId val="16029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0032"/>
        <c:crosses val="autoZero"/>
        <c:auto val="1"/>
        <c:lblAlgn val="ctr"/>
        <c:lblOffset val="200"/>
        <c:tickLblSkip val="1"/>
      </c:catAx>
      <c:valAx>
        <c:axId val="160300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070656"/>
        <c:axId val="160080640"/>
      </c:lineChart>
      <c:catAx>
        <c:axId val="16007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0640"/>
        <c:crosses val="autoZero"/>
        <c:auto val="1"/>
        <c:lblAlgn val="ctr"/>
        <c:lblOffset val="100"/>
      </c:catAx>
      <c:valAx>
        <c:axId val="160080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-310244.17599999998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830208"/>
        <c:axId val="160831744"/>
      </c:lineChart>
      <c:catAx>
        <c:axId val="1608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1744"/>
        <c:crosses val="autoZero"/>
        <c:auto val="1"/>
        <c:lblAlgn val="ctr"/>
        <c:lblOffset val="100"/>
      </c:catAx>
      <c:valAx>
        <c:axId val="160831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0868608"/>
        <c:axId val="161743232"/>
      </c:lineChart>
      <c:catAx>
        <c:axId val="160868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43232"/>
        <c:crosses val="autoZero"/>
        <c:auto val="1"/>
        <c:lblAlgn val="ctr"/>
        <c:lblOffset val="100"/>
      </c:catAx>
      <c:valAx>
        <c:axId val="161743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8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1784576"/>
        <c:axId val="161786496"/>
      </c:lineChart>
      <c:catAx>
        <c:axId val="16178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6496"/>
        <c:crosses val="autoZero"/>
        <c:auto val="1"/>
        <c:lblAlgn val="ctr"/>
        <c:lblOffset val="100"/>
      </c:catAx>
      <c:valAx>
        <c:axId val="161786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4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39136"/>
        <c:axId val="162145024"/>
      </c:lineChart>
      <c:catAx>
        <c:axId val="16213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5024"/>
        <c:crosses val="autoZero"/>
        <c:auto val="1"/>
        <c:lblAlgn val="ctr"/>
        <c:lblOffset val="200"/>
        <c:tickLblSkip val="1"/>
      </c:catAx>
      <c:valAx>
        <c:axId val="162145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77792"/>
        <c:axId val="162179328"/>
      </c:lineChart>
      <c:catAx>
        <c:axId val="162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9328"/>
        <c:crosses val="autoZero"/>
        <c:auto val="1"/>
        <c:lblAlgn val="ctr"/>
        <c:lblOffset val="100"/>
      </c:catAx>
      <c:valAx>
        <c:axId val="16217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199808"/>
        <c:axId val="162492416"/>
      </c:lineChart>
      <c:catAx>
        <c:axId val="16219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92416"/>
        <c:crosses val="autoZero"/>
        <c:auto val="1"/>
        <c:lblAlgn val="ctr"/>
        <c:lblOffset val="100"/>
      </c:catAx>
      <c:valAx>
        <c:axId val="1624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2525184"/>
        <c:axId val="162527104"/>
      </c:lineChart>
      <c:catAx>
        <c:axId val="16252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7104"/>
        <c:crosses val="autoZero"/>
        <c:auto val="1"/>
        <c:lblAlgn val="ctr"/>
        <c:lblOffset val="100"/>
      </c:catAx>
      <c:valAx>
        <c:axId val="162527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5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1995008"/>
        <c:axId val="162791808"/>
      </c:lineChart>
      <c:catAx>
        <c:axId val="16199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1808"/>
        <c:crosses val="autoZero"/>
        <c:auto val="1"/>
        <c:lblAlgn val="ctr"/>
        <c:lblOffset val="100"/>
      </c:catAx>
      <c:valAx>
        <c:axId val="162791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95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812672"/>
        <c:axId val="162814208"/>
      </c:lineChart>
      <c:catAx>
        <c:axId val="1628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4208"/>
        <c:crosses val="autoZero"/>
        <c:auto val="1"/>
        <c:lblAlgn val="ctr"/>
        <c:lblOffset val="200"/>
        <c:tickLblSkip val="1"/>
      </c:catAx>
      <c:valAx>
        <c:axId val="162814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855168"/>
        <c:axId val="163000320"/>
      </c:lineChart>
      <c:catAx>
        <c:axId val="1628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0320"/>
        <c:crosses val="autoZero"/>
        <c:auto val="1"/>
        <c:lblAlgn val="ctr"/>
        <c:lblOffset val="100"/>
      </c:catAx>
      <c:valAx>
        <c:axId val="16300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033088"/>
        <c:axId val="163034624"/>
      </c:lineChart>
      <c:catAx>
        <c:axId val="1630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4624"/>
        <c:crosses val="autoZero"/>
        <c:auto val="1"/>
        <c:lblAlgn val="ctr"/>
        <c:lblOffset val="100"/>
      </c:catAx>
      <c:valAx>
        <c:axId val="1630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36" sqref="B36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0</v>
      </c>
      <c r="F6" s="555" t="e">
        <f>('UTILITY REPORT 1'!E7*'UTILITY REPORT 1'!D7)/'UTILITY REPORT 1'!F7</f>
        <v>#DIV/0!</v>
      </c>
      <c r="G6" s="555">
        <f>IF('Utility summery'!M10&lt;0,"0",'Utility summery'!M10)</f>
        <v>103.83999999996159</v>
      </c>
      <c r="H6" s="566">
        <v>0</v>
      </c>
      <c r="I6" s="555" t="str">
        <f>IF('UTILITY REPORT 1'!G7&lt;0,"0",'UTILITY REPORT 1'!G7)</f>
        <v>0</v>
      </c>
      <c r="J6" s="566">
        <v>0</v>
      </c>
      <c r="K6" s="554">
        <f>'UTILITY REPORT 1'!C7</f>
        <v>77</v>
      </c>
      <c r="L6" s="556" t="e">
        <f>E6*F6+G6*H6+#REF!*#REF!+I6*J6</f>
        <v>#DIV/0!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0</v>
      </c>
      <c r="F7" s="555" t="e">
        <f>('UTILITY REPORT 1'!E8*'UTILITY REPORT 1'!D8)/'UTILITY REPORT 1'!F8</f>
        <v>#DIV/0!</v>
      </c>
      <c r="G7" s="555" t="str">
        <f>IF('Utility summery'!M11&lt;0,"0",'Utility summery'!M11)</f>
        <v>0</v>
      </c>
      <c r="H7" s="566">
        <v>0</v>
      </c>
      <c r="I7" s="555">
        <f>IF('UTILITY REPORT 1'!G8&lt;0,"0",'UTILITY REPORT 1'!G8)</f>
        <v>0</v>
      </c>
      <c r="J7" s="566">
        <v>0</v>
      </c>
      <c r="K7" s="554">
        <f>'UTILITY REPORT 1'!C8</f>
        <v>77</v>
      </c>
      <c r="L7" s="556" t="e">
        <f>E7*F7+G7*H7+#REF!*#REF!+I7*J7</f>
        <v>#DIV/0!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0</v>
      </c>
      <c r="F8" s="555" t="e">
        <f>('UTILITY REPORT 1'!E9*'UTILITY REPORT 1'!D9)/'UTILITY REPORT 1'!F9</f>
        <v>#DIV/0!</v>
      </c>
      <c r="G8" s="555">
        <f>IF('Utility summery'!M12&lt;0,"0",'Utility summery'!M12)</f>
        <v>0</v>
      </c>
      <c r="H8" s="566">
        <v>0</v>
      </c>
      <c r="I8" s="555">
        <f>IF('UTILITY REPORT 1'!G9&lt;0,"0",'UTILITY REPORT 1'!G9)</f>
        <v>0</v>
      </c>
      <c r="J8" s="566">
        <v>0</v>
      </c>
      <c r="K8" s="554">
        <f>'UTILITY REPORT 1'!C9</f>
        <v>0</v>
      </c>
      <c r="L8" s="556" t="e">
        <f>E8*F8+G8*H8+#REF!*#REF!+I8*J8</f>
        <v>#DIV/0!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0</v>
      </c>
      <c r="F9" s="555" t="e">
        <f>('UTILITY REPORT 1'!E10*'UTILITY REPORT 1'!D10)/'UTILITY REPORT 1'!F10</f>
        <v>#DIV/0!</v>
      </c>
      <c r="G9" s="555">
        <f>IF('Utility summery'!M13&lt;0,"0",'Utility summery'!M13)</f>
        <v>0</v>
      </c>
      <c r="H9" s="566">
        <v>0</v>
      </c>
      <c r="I9" s="555">
        <f>IF('UTILITY REPORT 1'!G10&lt;0,"0",'UTILITY REPORT 1'!G10)</f>
        <v>0</v>
      </c>
      <c r="J9" s="566">
        <v>0</v>
      </c>
      <c r="K9" s="554">
        <f>'UTILITY REPORT 1'!C10</f>
        <v>0</v>
      </c>
      <c r="L9" s="556" t="e">
        <f>E9*F9+G9*H9+#REF!*#REF!+I9*J9</f>
        <v>#DIV/0!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0</v>
      </c>
      <c r="H10" s="566">
        <v>0</v>
      </c>
      <c r="I10" s="555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 t="str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0</v>
      </c>
      <c r="F6" s="619">
        <f>'UTILITY REPORT 1'!E7</f>
        <v>0</v>
      </c>
      <c r="G6" s="620">
        <f>'UTILITY REPORT 1'!F7</f>
        <v>0</v>
      </c>
      <c r="H6" s="619" t="str">
        <f>IF('Kit report'!F8&lt;0,"0",'Kit report'!F8)</f>
        <v>0</v>
      </c>
      <c r="I6" s="619" t="str">
        <f>IF('Kit report'!X8&lt;0,"0",'Kit report'!X8)</f>
        <v>0</v>
      </c>
      <c r="J6" s="619" t="str">
        <f>IF('Utility summery'!H10&lt;0,"0",'Utility summery'!H10)</f>
        <v>0</v>
      </c>
      <c r="K6" s="620" t="str">
        <f>IF('UTILITY REPORT 1'!H7&lt;0,"0",'UTILITY REPORT 1'!H7)</f>
        <v>0</v>
      </c>
      <c r="L6" s="619" t="str">
        <f>'Water-Meter'!K10</f>
        <v>0</v>
      </c>
      <c r="M6" s="620" t="str">
        <f>'Water-Meter'!H10</f>
        <v>0</v>
      </c>
      <c r="N6" s="620" t="str">
        <f>'Water-Meter'!Q10</f>
        <v>0</v>
      </c>
      <c r="O6" s="619" t="e">
        <f>K6*E6+H6*I6+#REF!*#REF!+J6*L6</f>
        <v>#REF!</v>
      </c>
      <c r="P6" s="626" t="str">
        <f>'Water-Meter'!E10</f>
        <v>0</v>
      </c>
      <c r="Q6" s="324" t="str">
        <f>IF('Water-Meter'!U10&lt;0,"0",'Water-Meter'!U10)</f>
        <v>0</v>
      </c>
      <c r="R6" s="324" t="str">
        <f>IF('Water-Meter'!X10&lt;0,"0",'Water-Meter'!X10)</f>
        <v>0</v>
      </c>
      <c r="S6" s="324" t="str">
        <f>IF('Water-Meter'!AA10&lt;0,"0",'Water-Meter'!AA10)</f>
        <v>0</v>
      </c>
      <c r="T6" s="324" t="str">
        <f>IF('Water-Meter'!AD10&lt;0,"0",'Water-Meter'!AD10)</f>
        <v>0</v>
      </c>
      <c r="U6" s="324" t="str">
        <f>IF('Water-Meter'!AG10&lt;0,"0",'Water-Meter'!AG10)</f>
        <v>0</v>
      </c>
      <c r="V6" s="324" t="str">
        <f>IF('Water-Meter'!AJ10&lt;0,"0",'Water-Meter'!AJ10)</f>
        <v>0</v>
      </c>
      <c r="W6" s="31">
        <f>'Water-Meter'!AN10</f>
        <v>0</v>
      </c>
      <c r="X6" s="637">
        <f>Total!K6</f>
        <v>77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0</v>
      </c>
      <c r="F7" s="619">
        <f>'UTILITY REPORT 1'!E8</f>
        <v>0</v>
      </c>
      <c r="G7" s="620">
        <f>'UTILITY REPORT 1'!F8</f>
        <v>0</v>
      </c>
      <c r="H7" s="619">
        <f>IF('Kit report'!F9&lt;0,"0",'Kit report'!F9)</f>
        <v>0</v>
      </c>
      <c r="I7" s="619">
        <f>IF('Kit report'!X9&lt;0,"0",'Kit report'!X9)</f>
        <v>0</v>
      </c>
      <c r="J7" s="619">
        <f>IF('Utility summery'!H11&lt;0,"0",'Utility summery'!H11)</f>
        <v>0</v>
      </c>
      <c r="K7" s="620">
        <f>IF('UTILITY REPORT 1'!H8&lt;0,"0",'UTILITY REPORT 1'!H8)</f>
        <v>0</v>
      </c>
      <c r="L7" s="619">
        <f>'Water-Meter'!K11</f>
        <v>0</v>
      </c>
      <c r="M7" s="620">
        <f>'Water-Meter'!H11</f>
        <v>0</v>
      </c>
      <c r="N7" s="620">
        <f>'Water-Meter'!Q11</f>
        <v>0</v>
      </c>
      <c r="O7" s="619" t="e">
        <f>K7*E7+H7*I7+#REF!*#REF!+J7*L7</f>
        <v>#REF!</v>
      </c>
      <c r="P7" s="626">
        <f>'Water-Meter'!E11</f>
        <v>0</v>
      </c>
      <c r="Q7" s="324">
        <f>IF('Water-Meter'!U11&lt;0,"0",'Water-Meter'!U11)</f>
        <v>0</v>
      </c>
      <c r="R7" s="324">
        <f>IF('Water-Meter'!X11&lt;0,"0",'Water-Meter'!X11)</f>
        <v>0</v>
      </c>
      <c r="S7" s="324">
        <f>IF('Water-Meter'!AA11&lt;0,"0",'Water-Meter'!AA11)</f>
        <v>0</v>
      </c>
      <c r="T7" s="324">
        <f>IF('Water-Meter'!AD11&lt;0,"0",'Water-Meter'!AD11)</f>
        <v>0</v>
      </c>
      <c r="U7" s="324">
        <f>IF('Water-Meter'!AG11&lt;0,"0",'Water-Meter'!AG11)</f>
        <v>0</v>
      </c>
      <c r="V7" s="324">
        <f>IF('Water-Meter'!AJ11&lt;0,"0",'Water-Meter'!AJ11)</f>
        <v>0</v>
      </c>
      <c r="W7" s="31">
        <f>'Water-Meter'!AN11</f>
        <v>0</v>
      </c>
      <c r="X7" s="637">
        <f>Total!K7</f>
        <v>77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0</v>
      </c>
      <c r="F8" s="619">
        <f>'UTILITY REPORT 1'!E9</f>
        <v>0</v>
      </c>
      <c r="G8" s="620">
        <f>'UTILITY REPORT 1'!F9</f>
        <v>0</v>
      </c>
      <c r="H8" s="619">
        <f>IF('Kit report'!F10&lt;0,"0",'Kit report'!F10)</f>
        <v>0</v>
      </c>
      <c r="I8" s="619">
        <f>IF('Kit report'!X10&lt;0,"0",'Kit report'!X10)</f>
        <v>0</v>
      </c>
      <c r="J8" s="619">
        <f>IF('Utility summery'!H12&lt;0,"0",'Utility summery'!H12)</f>
        <v>0</v>
      </c>
      <c r="K8" s="620">
        <f>IF('UTILITY REPORT 1'!H9&lt;0,"0",'UTILITY REPORT 1'!H9)</f>
        <v>0</v>
      </c>
      <c r="L8" s="619">
        <f>'Water-Meter'!K12</f>
        <v>0</v>
      </c>
      <c r="M8" s="620">
        <f>'Water-Meter'!H12</f>
        <v>0</v>
      </c>
      <c r="N8" s="620">
        <f>'Water-Meter'!Q12</f>
        <v>0</v>
      </c>
      <c r="O8" s="619" t="e">
        <f>K8*E8+H8*I8+#REF!*#REF!+J8*L8</f>
        <v>#REF!</v>
      </c>
      <c r="P8" s="626">
        <f>'Water-Meter'!E12</f>
        <v>0</v>
      </c>
      <c r="Q8" s="324">
        <f>IF('Water-Meter'!U12&lt;0,"0",'Water-Meter'!U12)</f>
        <v>0</v>
      </c>
      <c r="R8" s="324">
        <f>IF('Water-Meter'!X12&lt;0,"0",'Water-Meter'!X12)</f>
        <v>0</v>
      </c>
      <c r="S8" s="324">
        <f>IF('Water-Meter'!AA12&lt;0,"0",'Water-Meter'!AA12)</f>
        <v>0</v>
      </c>
      <c r="T8" s="324">
        <f>IF('Water-Meter'!AD12&lt;0,"0",'Water-Meter'!AD12)</f>
        <v>0</v>
      </c>
      <c r="U8" s="324">
        <f>IF('Water-Meter'!AG12&lt;0,"0",'Water-Meter'!AG12)</f>
        <v>0</v>
      </c>
      <c r="V8" s="324">
        <f>IF('Water-Meter'!AJ12&lt;0,"0",'Water-Meter'!AJ12)</f>
        <v>0</v>
      </c>
      <c r="W8" s="31">
        <f>'Water-Meter'!AN12</f>
        <v>0</v>
      </c>
      <c r="X8" s="637">
        <f>Total!K8</f>
        <v>0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0</v>
      </c>
      <c r="F9" s="619">
        <f>'UTILITY REPORT 1'!E10</f>
        <v>0</v>
      </c>
      <c r="G9" s="620">
        <f>'UTILITY REPORT 1'!F10</f>
        <v>0</v>
      </c>
      <c r="H9" s="619">
        <f>IF('Kit report'!F11&lt;0,"0",'Kit report'!F11)</f>
        <v>0</v>
      </c>
      <c r="I9" s="619">
        <f>IF('Kit report'!X11&lt;0,"0",'Kit report'!X11)</f>
        <v>0</v>
      </c>
      <c r="J9" s="619">
        <f>IF('Utility summery'!H13&lt;0,"0",'Utility summery'!H13)</f>
        <v>0</v>
      </c>
      <c r="K9" s="620">
        <f>IF('UTILITY REPORT 1'!H10&lt;0,"0",'UTILITY REPORT 1'!H10)</f>
        <v>0</v>
      </c>
      <c r="L9" s="619">
        <f>'Water-Meter'!K13</f>
        <v>0</v>
      </c>
      <c r="M9" s="620">
        <f>'Water-Meter'!H13</f>
        <v>0</v>
      </c>
      <c r="N9" s="620">
        <f>'Water-Meter'!Q13</f>
        <v>0</v>
      </c>
      <c r="O9" s="619" t="e">
        <f>K9*E9+H9*I9+#REF!*#REF!+J9*L9</f>
        <v>#REF!</v>
      </c>
      <c r="P9" s="626">
        <f>'Water-Meter'!E13</f>
        <v>0</v>
      </c>
      <c r="Q9" s="324">
        <f>IF('Water-Meter'!U13&lt;0,"0",'Water-Meter'!U13)</f>
        <v>0</v>
      </c>
      <c r="R9" s="324">
        <f>IF('Water-Meter'!X13&lt;0,"0",'Water-Meter'!X13)</f>
        <v>0</v>
      </c>
      <c r="S9" s="324">
        <f>IF('Water-Meter'!AA13&lt;0,"0",'Water-Meter'!AA13)</f>
        <v>0</v>
      </c>
      <c r="T9" s="324">
        <f>IF('Water-Meter'!AD13&lt;0,"0",'Water-Meter'!AD13)</f>
        <v>0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0</v>
      </c>
      <c r="X9" s="637">
        <f>Total!K9</f>
        <v>0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>
        <f>IF('Kit report'!F12&lt;0,"0",'Kit report'!F12)</f>
        <v>0</v>
      </c>
      <c r="I10" s="619">
        <f>IF('Kit report'!X12&lt;0,"0",'Kit report'!X12)</f>
        <v>0</v>
      </c>
      <c r="J10" s="619">
        <f>IF('Utility summery'!H14&lt;0,"0",'Utility summery'!H14)</f>
        <v>0</v>
      </c>
      <c r="K10" s="620">
        <f>IF('UTILITY REPORT 1'!H11&lt;0,"0",'UTILITY REPORT 1'!H11)</f>
        <v>0</v>
      </c>
      <c r="L10" s="619">
        <f>'Water-Meter'!K14</f>
        <v>0</v>
      </c>
      <c r="M10" s="620">
        <f>'Water-Meter'!H14</f>
        <v>0</v>
      </c>
      <c r="N10" s="620">
        <f>'Water-Meter'!Q14</f>
        <v>0</v>
      </c>
      <c r="O10" s="619" t="e">
        <f>K10*E10+H10*I10+#REF!*#REF!+J10*L10</f>
        <v>#REF!</v>
      </c>
      <c r="P10" s="626">
        <f>'Water-Meter'!E14</f>
        <v>0</v>
      </c>
      <c r="Q10" s="324">
        <f>IF('Water-Meter'!U14&lt;0,"0",'Water-Meter'!U14)</f>
        <v>0</v>
      </c>
      <c r="R10" s="324">
        <f>IF('Water-Meter'!X14&lt;0,"0",'Water-Meter'!X14)</f>
        <v>0</v>
      </c>
      <c r="S10" s="324">
        <f>IF('Water-Meter'!AA14&lt;0,"0",'Water-Meter'!AA14)</f>
        <v>0</v>
      </c>
      <c r="T10" s="324">
        <f>IF('Water-Meter'!AD14&lt;0,"0",'Water-Meter'!AD14)</f>
        <v>0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0</v>
      </c>
      <c r="X10" s="637">
        <f>Total!K10</f>
        <v>0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26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26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26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37">
        <f>Total!K13</f>
        <v>0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26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37">
        <f>Total!K14</f>
        <v>0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26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37">
        <f>Total!K15</f>
        <v>0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26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37">
        <f>Total!K16</f>
        <v>0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37">
        <f>Total!K17</f>
        <v>0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26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0</v>
      </c>
      <c r="F7" s="542">
        <f>Gen!U15</f>
        <v>0</v>
      </c>
      <c r="G7" s="542" t="str">
        <f>'Water-Meter'!E10</f>
        <v>0</v>
      </c>
      <c r="H7" s="542">
        <f>'Utility report '!AC10</f>
        <v>-27663</v>
      </c>
      <c r="I7" s="542">
        <f>Gen!AK15</f>
        <v>0</v>
      </c>
    </row>
    <row r="8" spans="1:9" ht="13.5">
      <c r="A8" s="539">
        <v>43867</v>
      </c>
      <c r="B8" s="541">
        <f>Gen!C16</f>
        <v>0</v>
      </c>
      <c r="C8" s="542">
        <f>'Summery Report'!E10</f>
        <v>77</v>
      </c>
      <c r="D8" s="543">
        <v>1</v>
      </c>
      <c r="E8" s="542">
        <f>Gen!T16</f>
        <v>0</v>
      </c>
      <c r="F8" s="542">
        <f>Gen!U16</f>
        <v>0</v>
      </c>
      <c r="G8" s="542">
        <f>'Water-Meter'!E11</f>
        <v>0</v>
      </c>
      <c r="H8" s="542">
        <f>'Utility report '!AC11</f>
        <v>0</v>
      </c>
      <c r="I8" s="542">
        <f>Gen!AK16</f>
        <v>0</v>
      </c>
    </row>
    <row r="9" spans="1:9" ht="13.5">
      <c r="A9" s="539">
        <v>43868</v>
      </c>
      <c r="B9" s="541">
        <f>Gen!C17</f>
        <v>0</v>
      </c>
      <c r="C9" s="542">
        <f>'Summery Report'!E11</f>
        <v>0</v>
      </c>
      <c r="D9" s="543">
        <v>1</v>
      </c>
      <c r="E9" s="542">
        <f>Gen!T17</f>
        <v>0</v>
      </c>
      <c r="F9" s="542">
        <f>Gen!U17</f>
        <v>0</v>
      </c>
      <c r="G9" s="542">
        <f>'Water-Meter'!E12</f>
        <v>0</v>
      </c>
      <c r="H9" s="542">
        <f>'Utility report '!AC12</f>
        <v>0</v>
      </c>
      <c r="I9" s="542">
        <f>Gen!AK17</f>
        <v>0</v>
      </c>
    </row>
    <row r="10" spans="1:9" ht="13.5">
      <c r="A10" s="539">
        <v>43869</v>
      </c>
      <c r="B10" s="541">
        <f>Gen!C18</f>
        <v>0</v>
      </c>
      <c r="C10" s="542">
        <f>'Summery Report'!E12</f>
        <v>0</v>
      </c>
      <c r="D10" s="543">
        <v>1</v>
      </c>
      <c r="E10" s="542">
        <f>Gen!T18</f>
        <v>0</v>
      </c>
      <c r="F10" s="542">
        <f>Gen!U18</f>
        <v>0</v>
      </c>
      <c r="G10" s="542">
        <f>'Water-Meter'!E13</f>
        <v>0</v>
      </c>
      <c r="H10" s="542">
        <f>'Utility report '!AC13</f>
        <v>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>
        <f>'Water-Meter'!E14</f>
        <v>0</v>
      </c>
      <c r="H11" s="542">
        <f>'Utility report '!AC14</f>
        <v>0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55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51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-27663</v>
      </c>
      <c r="H10" s="182">
        <f>'Utility report '!AE10</f>
        <v>-197789</v>
      </c>
      <c r="I10" s="386" t="str">
        <f>'Water-Meter'!E10</f>
        <v>0</v>
      </c>
      <c r="J10" s="184">
        <f>'Lpg (2)'!B14</f>
        <v>47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0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86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607">
        <f>'Lpg (2)'!G15</f>
        <v>-310244.17599999998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0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86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607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86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607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86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607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260</v>
      </c>
      <c r="C39" s="616">
        <f>SUM(C7:C35)</f>
        <v>16379</v>
      </c>
      <c r="D39" s="616">
        <f>SUM(D7:D35)</f>
        <v>6628.05</v>
      </c>
      <c r="E39" s="616">
        <f t="shared" ref="E39:S39" si="3">SUM(E7:E35)</f>
        <v>486.38000000000005</v>
      </c>
      <c r="F39" s="616">
        <f t="shared" si="3"/>
        <v>7114.43</v>
      </c>
      <c r="G39" s="616">
        <f t="shared" si="3"/>
        <v>-27175</v>
      </c>
      <c r="H39" s="616">
        <f t="shared" si="3"/>
        <v>-197524</v>
      </c>
      <c r="I39" s="616">
        <f t="shared" si="3"/>
        <v>491</v>
      </c>
      <c r="J39" s="616">
        <f t="shared" si="3"/>
        <v>212</v>
      </c>
      <c r="K39" s="616">
        <f t="shared" si="3"/>
        <v>255</v>
      </c>
      <c r="L39" s="616">
        <f t="shared" si="3"/>
        <v>255</v>
      </c>
      <c r="M39" s="616">
        <f t="shared" si="3"/>
        <v>-309759.86800000002</v>
      </c>
      <c r="N39" s="616">
        <f t="shared" si="3"/>
        <v>9279.2699999999986</v>
      </c>
      <c r="O39" s="616">
        <f t="shared" si="3"/>
        <v>680.93200000000002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4" zoomScale="85" zoomScalePageLayoutView="85" workbookViewId="0">
      <selection activeCell="AD14" sqref="AD1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1294.1176470588234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4.2</v>
      </c>
      <c r="T9" s="646">
        <v>15815</v>
      </c>
      <c r="U9" s="574">
        <f t="shared" si="6"/>
        <v>25</v>
      </c>
      <c r="V9" s="576">
        <f t="shared" si="7"/>
        <v>105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1200</v>
      </c>
      <c r="AG9" s="351">
        <f>'Lpg (2)'!C13*1000/85</f>
        <v>1000</v>
      </c>
      <c r="AH9" s="352">
        <f>'Lpg (2)'!D13*1000/85</f>
        <v>1000</v>
      </c>
      <c r="AI9" s="579">
        <f t="shared" si="12"/>
        <v>4588235.2941176463</v>
      </c>
      <c r="AJ9" s="578">
        <f t="shared" si="4"/>
        <v>188235.29411764815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0</v>
      </c>
      <c r="G10" s="572">
        <f t="shared" si="0"/>
        <v>0</v>
      </c>
      <c r="H10" s="571">
        <f>Gen!D15</f>
        <v>40619.840000000004</v>
      </c>
      <c r="I10" s="573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606">
        <f>'Water-Meter'!K50</f>
        <v>0</v>
      </c>
      <c r="N10" s="221" t="str">
        <f>'Water-Meter'!E10</f>
        <v>0</v>
      </c>
      <c r="O10" s="232"/>
      <c r="P10" s="513"/>
      <c r="Q10" s="574">
        <f t="shared" si="2"/>
        <v>-19015</v>
      </c>
      <c r="R10" s="575">
        <f t="shared" si="5"/>
        <v>0</v>
      </c>
      <c r="S10" s="513"/>
      <c r="T10" s="646"/>
      <c r="U10" s="574">
        <f t="shared" si="6"/>
        <v>-15815</v>
      </c>
      <c r="V10" s="576">
        <f t="shared" ref="V10:V16" si="16">SUM(U10*S10)</f>
        <v>0</v>
      </c>
      <c r="W10" s="513"/>
      <c r="X10" s="644"/>
      <c r="Y10" s="574">
        <f t="shared" si="8"/>
        <v>-23843</v>
      </c>
      <c r="Z10" s="576">
        <f t="shared" si="9"/>
        <v>0</v>
      </c>
      <c r="AA10" s="576">
        <f t="shared" si="10"/>
        <v>0</v>
      </c>
      <c r="AB10" s="645"/>
      <c r="AC10" s="138">
        <f t="shared" si="11"/>
        <v>-27663</v>
      </c>
      <c r="AD10" s="513"/>
      <c r="AE10" s="239">
        <f t="shared" si="15"/>
        <v>-197789</v>
      </c>
      <c r="AF10" s="350">
        <f>'Lpg (2)'!B14*2000/85</f>
        <v>1105.8823529411766</v>
      </c>
      <c r="AG10" s="351">
        <f>'Lpg (2)'!C14*1000/85</f>
        <v>1000</v>
      </c>
      <c r="AH10" s="352">
        <f>'Lpg (2)'!D14*1000/85</f>
        <v>1000</v>
      </c>
      <c r="AI10" s="579">
        <f t="shared" si="12"/>
        <v>4400000</v>
      </c>
      <c r="AJ10" s="578">
        <f t="shared" si="4"/>
        <v>188235.29411764629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0</v>
      </c>
      <c r="D11" s="570">
        <f>'Summery Report'!E10</f>
        <v>77</v>
      </c>
      <c r="E11" s="571">
        <f t="shared" si="13"/>
        <v>1.3262195121951219</v>
      </c>
      <c r="F11" s="572">
        <f t="shared" si="14"/>
        <v>0</v>
      </c>
      <c r="G11" s="572">
        <f t="shared" si="0"/>
        <v>0</v>
      </c>
      <c r="H11" s="571">
        <f>Gen!D16</f>
        <v>40619.840000000004</v>
      </c>
      <c r="I11" s="573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606">
        <f>'Water-Meter'!K51</f>
        <v>0</v>
      </c>
      <c r="N11" s="221">
        <f>'Water-Meter'!E11</f>
        <v>0</v>
      </c>
      <c r="O11" s="232"/>
      <c r="P11" s="513"/>
      <c r="Q11" s="574">
        <f t="shared" si="2"/>
        <v>0</v>
      </c>
      <c r="R11" s="575">
        <f t="shared" si="5"/>
        <v>0</v>
      </c>
      <c r="S11" s="513"/>
      <c r="T11" s="646"/>
      <c r="U11" s="574">
        <f t="shared" si="6"/>
        <v>0</v>
      </c>
      <c r="V11" s="576">
        <f t="shared" si="16"/>
        <v>0</v>
      </c>
      <c r="W11" s="513"/>
      <c r="X11" s="644"/>
      <c r="Y11" s="574">
        <f t="shared" si="8"/>
        <v>0</v>
      </c>
      <c r="Z11" s="576">
        <f t="shared" si="9"/>
        <v>0</v>
      </c>
      <c r="AA11" s="576">
        <f t="shared" si="10"/>
        <v>0</v>
      </c>
      <c r="AB11" s="645"/>
      <c r="AC11" s="138">
        <f t="shared" si="11"/>
        <v>0</v>
      </c>
      <c r="AD11" s="513"/>
      <c r="AE11" s="239">
        <f t="shared" si="15"/>
        <v>0</v>
      </c>
      <c r="AF11" s="350">
        <f>'Lpg (2)'!B15*2000/85</f>
        <v>0</v>
      </c>
      <c r="AG11" s="351">
        <f>'Lpg (2)'!C15*1000/85</f>
        <v>0</v>
      </c>
      <c r="AH11" s="352">
        <f>'Lpg (2)'!D15*1000/85</f>
        <v>0</v>
      </c>
      <c r="AI11" s="579">
        <f t="shared" si="12"/>
        <v>2211764.7058823532</v>
      </c>
      <c r="AJ11" s="578">
        <f t="shared" si="4"/>
        <v>2188235.2941176468</v>
      </c>
      <c r="AK11" s="144"/>
    </row>
    <row r="12" spans="1:37" ht="19.5" thickBot="1">
      <c r="A12" s="95">
        <f>Gen!B17</f>
        <v>43897</v>
      </c>
      <c r="B12" s="569">
        <f>'Summery Report'!E11</f>
        <v>0</v>
      </c>
      <c r="C12" s="158">
        <f>Gen!C17</f>
        <v>0</v>
      </c>
      <c r="D12" s="570">
        <f>'Summery Report'!E11</f>
        <v>0</v>
      </c>
      <c r="E12" s="571">
        <f t="shared" si="13"/>
        <v>1.3262195121951219</v>
      </c>
      <c r="F12" s="572" t="e">
        <f t="shared" si="14"/>
        <v>#DIV/0!</v>
      </c>
      <c r="G12" s="572" t="e">
        <f t="shared" si="0"/>
        <v>#DIV/0!</v>
      </c>
      <c r="H12" s="571">
        <f>Gen!D17</f>
        <v>40619.840000000004</v>
      </c>
      <c r="I12" s="573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606">
        <f>'Water-Meter'!K52</f>
        <v>0</v>
      </c>
      <c r="N12" s="221">
        <f>'Water-Meter'!E12</f>
        <v>0</v>
      </c>
      <c r="O12" s="232"/>
      <c r="P12" s="513"/>
      <c r="Q12" s="574">
        <f t="shared" si="2"/>
        <v>0</v>
      </c>
      <c r="R12" s="575">
        <f t="shared" si="5"/>
        <v>0</v>
      </c>
      <c r="S12" s="513"/>
      <c r="T12" s="646"/>
      <c r="U12" s="574">
        <f t="shared" si="6"/>
        <v>0</v>
      </c>
      <c r="V12" s="576">
        <f t="shared" si="16"/>
        <v>0</v>
      </c>
      <c r="W12" s="513"/>
      <c r="X12" s="644"/>
      <c r="Y12" s="574">
        <f t="shared" si="8"/>
        <v>0</v>
      </c>
      <c r="Z12" s="576">
        <f t="shared" si="9"/>
        <v>0</v>
      </c>
      <c r="AA12" s="576">
        <f t="shared" si="10"/>
        <v>0</v>
      </c>
      <c r="AB12" s="645"/>
      <c r="AC12" s="138">
        <f t="shared" si="11"/>
        <v>0</v>
      </c>
      <c r="AD12" s="513"/>
      <c r="AE12" s="239">
        <f t="shared" si="15"/>
        <v>0</v>
      </c>
      <c r="AF12" s="350">
        <f>'Lpg (2)'!B16*2000/85</f>
        <v>0</v>
      </c>
      <c r="AG12" s="351">
        <f>'Lpg (2)'!C16*1000/85</f>
        <v>0</v>
      </c>
      <c r="AH12" s="352">
        <f>'Lpg (2)'!D16*1000/85</f>
        <v>0</v>
      </c>
      <c r="AI12" s="579">
        <f t="shared" si="12"/>
        <v>0</v>
      </c>
      <c r="AJ12" s="578">
        <f t="shared" si="4"/>
        <v>2211764.7058823532</v>
      </c>
      <c r="AK12" s="144"/>
    </row>
    <row r="13" spans="1:37" ht="19.5" thickBot="1">
      <c r="A13" s="95">
        <f>Gen!B18</f>
        <v>43898</v>
      </c>
      <c r="B13" s="569">
        <f>'Summery Report'!E12</f>
        <v>0</v>
      </c>
      <c r="C13" s="158">
        <f>Gen!C18</f>
        <v>0</v>
      </c>
      <c r="D13" s="570">
        <f>'Summery Report'!E12</f>
        <v>0</v>
      </c>
      <c r="E13" s="571">
        <f t="shared" si="13"/>
        <v>1.3262195121951219</v>
      </c>
      <c r="F13" s="572" t="e">
        <f t="shared" si="14"/>
        <v>#DIV/0!</v>
      </c>
      <c r="G13" s="572" t="e">
        <f t="shared" si="0"/>
        <v>#DIV/0!</v>
      </c>
      <c r="H13" s="571">
        <f>Gen!D18</f>
        <v>40619.840000000004</v>
      </c>
      <c r="I13" s="573">
        <f>Gen!F18</f>
        <v>15000</v>
      </c>
      <c r="J13" s="142">
        <f>Gen!T18</f>
        <v>0</v>
      </c>
      <c r="K13" s="142">
        <f>Gen!AK18</f>
        <v>0</v>
      </c>
      <c r="L13" s="142">
        <f t="shared" si="1"/>
        <v>0</v>
      </c>
      <c r="M13" s="606">
        <f>'Water-Meter'!K53</f>
        <v>0</v>
      </c>
      <c r="N13" s="221">
        <f>'Water-Meter'!E13</f>
        <v>0</v>
      </c>
      <c r="O13" s="232"/>
      <c r="P13" s="513"/>
      <c r="Q13" s="574">
        <f t="shared" si="2"/>
        <v>0</v>
      </c>
      <c r="R13" s="575">
        <f t="shared" si="5"/>
        <v>0</v>
      </c>
      <c r="S13" s="513"/>
      <c r="T13" s="646"/>
      <c r="U13" s="574">
        <f t="shared" si="6"/>
        <v>0</v>
      </c>
      <c r="V13" s="576">
        <f t="shared" si="16"/>
        <v>0</v>
      </c>
      <c r="W13" s="513"/>
      <c r="X13" s="644"/>
      <c r="Y13" s="574">
        <f t="shared" si="8"/>
        <v>0</v>
      </c>
      <c r="Z13" s="576">
        <f t="shared" si="9"/>
        <v>0</v>
      </c>
      <c r="AA13" s="576">
        <f t="shared" si="10"/>
        <v>0</v>
      </c>
      <c r="AB13" s="645"/>
      <c r="AC13" s="138">
        <f t="shared" si="11"/>
        <v>0</v>
      </c>
      <c r="AD13" s="513"/>
      <c r="AE13" s="239">
        <f t="shared" si="15"/>
        <v>0</v>
      </c>
      <c r="AF13" s="350">
        <f>'Lpg (2)'!B17*2000/85</f>
        <v>0</v>
      </c>
      <c r="AG13" s="351">
        <f>'Lpg (2)'!C17*1000/85</f>
        <v>0</v>
      </c>
      <c r="AH13" s="352">
        <f>'Lpg (2)'!D17*1000/85</f>
        <v>0</v>
      </c>
      <c r="AI13" s="579">
        <f t="shared" si="12"/>
        <v>0</v>
      </c>
      <c r="AJ13" s="578">
        <f t="shared" si="4"/>
        <v>0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40619.840000000004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>
        <f>'Water-Meter'!E14</f>
        <v>0</v>
      </c>
      <c r="O14" s="232"/>
      <c r="P14" s="513"/>
      <c r="Q14" s="574">
        <f t="shared" si="2"/>
        <v>0</v>
      </c>
      <c r="R14" s="575">
        <f t="shared" si="5"/>
        <v>0</v>
      </c>
      <c r="S14" s="513"/>
      <c r="T14" s="646"/>
      <c r="U14" s="574">
        <f t="shared" si="6"/>
        <v>0</v>
      </c>
      <c r="V14" s="576">
        <f t="shared" si="16"/>
        <v>0</v>
      </c>
      <c r="W14" s="513"/>
      <c r="X14" s="644"/>
      <c r="Y14" s="574">
        <f t="shared" si="8"/>
        <v>0</v>
      </c>
      <c r="Z14" s="576">
        <f t="shared" si="9"/>
        <v>0</v>
      </c>
      <c r="AA14" s="576">
        <f t="shared" si="10"/>
        <v>0</v>
      </c>
      <c r="AB14" s="645"/>
      <c r="AC14" s="138">
        <f t="shared" si="11"/>
        <v>0</v>
      </c>
      <c r="AD14" s="513"/>
      <c r="AE14" s="239">
        <f t="shared" si="15"/>
        <v>0</v>
      </c>
      <c r="AF14" s="350">
        <f>'Lpg (2)'!B18*2000/85</f>
        <v>0</v>
      </c>
      <c r="AG14" s="351">
        <f>'Lpg (2)'!C18*1000/85</f>
        <v>0</v>
      </c>
      <c r="AH14" s="352">
        <f>'Lpg (2)'!D18*1000/85</f>
        <v>0</v>
      </c>
      <c r="AI14" s="579">
        <f t="shared" si="12"/>
        <v>0</v>
      </c>
      <c r="AJ14" s="578">
        <f t="shared" si="4"/>
        <v>0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40619.840000000004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46"/>
      <c r="U15" s="574">
        <f t="shared" si="6"/>
        <v>0</v>
      </c>
      <c r="V15" s="576">
        <f t="shared" si="16"/>
        <v>0</v>
      </c>
      <c r="W15" s="513"/>
      <c r="X15" s="644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45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0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40619.840000000004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46"/>
      <c r="U16" s="574">
        <f t="shared" si="6"/>
        <v>0</v>
      </c>
      <c r="V16" s="576">
        <f t="shared" si="16"/>
        <v>0</v>
      </c>
      <c r="W16" s="513"/>
      <c r="X16" s="644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45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40619.840000000004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46"/>
      <c r="U17" s="574">
        <f t="shared" si="6"/>
        <v>0</v>
      </c>
      <c r="V17" s="576">
        <f t="shared" ref="V17:V36" si="18">SUM(U17*S17)</f>
        <v>0</v>
      </c>
      <c r="W17" s="513"/>
      <c r="X17" s="644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45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40619.840000000004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46"/>
      <c r="U18" s="574">
        <f t="shared" si="6"/>
        <v>0</v>
      </c>
      <c r="V18" s="576">
        <f t="shared" si="18"/>
        <v>0</v>
      </c>
      <c r="W18" s="513"/>
      <c r="X18" s="644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45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40619.840000000004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46"/>
      <c r="U19" s="574">
        <f t="shared" si="6"/>
        <v>0</v>
      </c>
      <c r="V19" s="576">
        <f t="shared" si="18"/>
        <v>0</v>
      </c>
      <c r="W19" s="513"/>
      <c r="X19" s="644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40619.840000000004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46"/>
      <c r="U20" s="574">
        <f t="shared" si="6"/>
        <v>0</v>
      </c>
      <c r="V20" s="576">
        <f t="shared" si="18"/>
        <v>0</v>
      </c>
      <c r="W20" s="513"/>
      <c r="X20" s="644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40619.840000000004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46"/>
      <c r="U21" s="574">
        <f>T22-T20</f>
        <v>0</v>
      </c>
      <c r="V21" s="576">
        <f t="shared" si="18"/>
        <v>0</v>
      </c>
      <c r="W21" s="513"/>
      <c r="X21" s="644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40619.840000000004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46"/>
      <c r="U22" s="574" t="e">
        <f>#REF!-T22</f>
        <v>#REF!</v>
      </c>
      <c r="V22" s="576" t="e">
        <f t="shared" si="18"/>
        <v>#REF!</v>
      </c>
      <c r="W22" s="513"/>
      <c r="X22" s="644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40619.840000000004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 t="e">
        <f>T23-#REF!</f>
        <v>#REF!</v>
      </c>
      <c r="V23" s="576" t="e">
        <f t="shared" si="18"/>
        <v>#REF!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40619.840000000004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40619.840000000004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40619.840000000004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40619.840000000004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40619.840000000004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40619.840000000004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40619.840000000004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40619.840000000004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40619.840000000004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40619.840000000004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40619.840000000004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40619.840000000004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40619.840000000004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8874.7400000000016</v>
      </c>
      <c r="K37" s="165"/>
      <c r="L37" s="142">
        <f t="shared" si="1"/>
        <v>8874.7400000000016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E10" sqref="E1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/>
      <c r="F8" s="203">
        <f t="shared" si="2"/>
        <v>-1027644.0000000001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-165.13642937489959</v>
      </c>
      <c r="T8" s="242">
        <f t="shared" si="12"/>
        <v>43895</v>
      </c>
      <c r="U8" s="195"/>
      <c r="V8" s="195">
        <f t="shared" si="8"/>
        <v>7738.7</v>
      </c>
      <c r="W8" s="196"/>
      <c r="X8" s="203">
        <f t="shared" si="0"/>
        <v>-1547740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0</v>
      </c>
      <c r="B9" s="95">
        <f>Gen!B16</f>
        <v>43896</v>
      </c>
      <c r="C9" s="195"/>
      <c r="D9" s="195">
        <f t="shared" si="1"/>
        <v>0</v>
      </c>
      <c r="E9" s="520"/>
      <c r="F9" s="203">
        <f t="shared" si="2"/>
        <v>0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0</v>
      </c>
      <c r="T9" s="242">
        <f t="shared" si="12"/>
        <v>43896</v>
      </c>
      <c r="U9" s="195"/>
      <c r="V9" s="195">
        <f t="shared" si="8"/>
        <v>0</v>
      </c>
      <c r="W9" s="196"/>
      <c r="X9" s="203">
        <f t="shared" si="0"/>
        <v>0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0</v>
      </c>
      <c r="B10" s="95">
        <f>Gen!B17</f>
        <v>43897</v>
      </c>
      <c r="C10" s="195"/>
      <c r="D10" s="195">
        <f t="shared" si="1"/>
        <v>0</v>
      </c>
      <c r="E10" s="520"/>
      <c r="F10" s="203">
        <f t="shared" si="2"/>
        <v>0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</v>
      </c>
      <c r="T10" s="242">
        <f t="shared" si="12"/>
        <v>43897</v>
      </c>
      <c r="U10" s="195"/>
      <c r="V10" s="195">
        <f t="shared" si="8"/>
        <v>0</v>
      </c>
      <c r="W10" s="196"/>
      <c r="X10" s="203">
        <f t="shared" si="0"/>
        <v>0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43898</v>
      </c>
      <c r="C11" s="195"/>
      <c r="D11" s="195">
        <f t="shared" si="1"/>
        <v>0</v>
      </c>
      <c r="E11" s="520"/>
      <c r="F11" s="203">
        <f t="shared" si="2"/>
        <v>0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</v>
      </c>
      <c r="T11" s="242">
        <f t="shared" si="12"/>
        <v>43898</v>
      </c>
      <c r="U11" s="195"/>
      <c r="V11" s="195">
        <f t="shared" si="8"/>
        <v>0</v>
      </c>
      <c r="W11" s="196"/>
      <c r="X11" s="203">
        <f t="shared" si="0"/>
        <v>0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43899</v>
      </c>
      <c r="C12" s="195"/>
      <c r="D12" s="195">
        <f t="shared" si="1"/>
        <v>0</v>
      </c>
      <c r="E12" s="520"/>
      <c r="F12" s="203">
        <f t="shared" si="2"/>
        <v>0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0</v>
      </c>
      <c r="T12" s="242">
        <f t="shared" si="12"/>
        <v>43899</v>
      </c>
      <c r="U12" s="195"/>
      <c r="V12" s="195">
        <f t="shared" si="8"/>
        <v>0</v>
      </c>
      <c r="W12" s="196"/>
      <c r="X12" s="203">
        <f t="shared" si="0"/>
        <v>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6" sqref="E1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-149090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0</v>
      </c>
      <c r="I9" s="87">
        <f t="shared" si="1"/>
        <v>2081.2800000000002</v>
      </c>
      <c r="J9" s="602">
        <f>Gen!D15</f>
        <v>40619.840000000004</v>
      </c>
      <c r="K9" s="385" t="str">
        <f>'Water-Meter'!E10</f>
        <v>0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0</v>
      </c>
      <c r="C10" s="89">
        <f>Gen!C16</f>
        <v>0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0</v>
      </c>
      <c r="I10" s="87">
        <f t="shared" si="1"/>
        <v>2421.29</v>
      </c>
      <c r="J10" s="602">
        <f>Gen!D16</f>
        <v>40619.840000000004</v>
      </c>
      <c r="K10" s="385">
        <f>'Water-Meter'!E11</f>
        <v>0</v>
      </c>
      <c r="L10" s="603">
        <f>'Lpg (2)'!G15</f>
        <v>-310244.17599999998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0</v>
      </c>
      <c r="C11" s="89">
        <f>Gen!C17</f>
        <v>0</v>
      </c>
      <c r="D11" s="587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602">
        <f>Gen!D17</f>
        <v>40619.840000000004</v>
      </c>
      <c r="K11" s="385">
        <f>'Water-Meter'!E12</f>
        <v>0</v>
      </c>
      <c r="L11" s="603">
        <f>'Lpg (2)'!G16</f>
        <v>0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0</v>
      </c>
      <c r="C12" s="89">
        <f>Gen!C18</f>
        <v>0</v>
      </c>
      <c r="D12" s="587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602">
        <f>Gen!D18</f>
        <v>40619.840000000004</v>
      </c>
      <c r="K12" s="385">
        <f>'Water-Meter'!E13</f>
        <v>0</v>
      </c>
      <c r="L12" s="603">
        <f>'Lpg (2)'!G17</f>
        <v>0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0</v>
      </c>
      <c r="C13" s="89">
        <f>Gen!C19</f>
        <v>0</v>
      </c>
      <c r="D13" s="587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602">
        <f>Gen!D19</f>
        <v>40619.840000000004</v>
      </c>
      <c r="K13" s="385">
        <f>'Water-Meter'!E14</f>
        <v>0</v>
      </c>
      <c r="L13" s="603">
        <f>'Lpg (2)'!G18</f>
        <v>0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602">
        <f>Gen!D20</f>
        <v>40619.840000000004</v>
      </c>
      <c r="K14" s="385">
        <f>'Water-Meter'!E15</f>
        <v>0</v>
      </c>
      <c r="L14" s="603">
        <f>'Lpg (2)'!G19</f>
        <v>0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40619.840000000004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40619.840000000004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40619.840000000004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40619.840000000004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40619.840000000004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40619.840000000004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40619.840000000004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40619.840000000004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40619.840000000004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40619.840000000004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40619.840000000004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40619.840000000004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40619.840000000004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40619.840000000004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40619.840000000004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40619.840000000004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40619.840000000004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40619.840000000004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40619.840000000004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40619.840000000004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40619.840000000004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40619.840000000004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" workbookViewId="0">
      <selection activeCell="AB13" sqref="AB13:AB1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/>
      <c r="H10" s="399"/>
      <c r="I10" s="399"/>
      <c r="J10" s="399"/>
      <c r="K10" s="398">
        <f t="shared" si="0"/>
        <v>34204</v>
      </c>
      <c r="L10" s="399"/>
      <c r="M10" s="398">
        <f t="shared" si="1"/>
        <v>-34204</v>
      </c>
      <c r="N10" s="400">
        <f t="shared" si="2"/>
        <v>29015</v>
      </c>
      <c r="O10" s="399"/>
      <c r="P10" s="398">
        <f t="shared" si="3"/>
        <v>-29015</v>
      </c>
      <c r="Q10" s="398">
        <f t="shared" si="4"/>
        <v>34486</v>
      </c>
      <c r="R10" s="399"/>
      <c r="S10" s="398">
        <f t="shared" si="5"/>
        <v>-34486</v>
      </c>
      <c r="T10" s="398">
        <f t="shared" si="6"/>
        <v>31863</v>
      </c>
      <c r="U10" s="399"/>
      <c r="V10" s="398">
        <f t="shared" si="7"/>
        <v>-31863</v>
      </c>
      <c r="W10" s="400">
        <f t="shared" si="8"/>
        <v>19522</v>
      </c>
      <c r="X10" s="399"/>
      <c r="Y10" s="398">
        <f t="shared" si="9"/>
        <v>-19522</v>
      </c>
      <c r="Z10" s="401">
        <f t="shared" si="10"/>
        <v>-149090</v>
      </c>
      <c r="AA10" s="128"/>
      <c r="AB10" s="128"/>
      <c r="AC10" s="348">
        <f>Gen!T15</f>
        <v>0</v>
      </c>
    </row>
    <row r="11" spans="1:29" ht="20.100000000000001" customHeight="1">
      <c r="A11" s="343">
        <f>Gen!B16</f>
        <v>43896</v>
      </c>
      <c r="B11" s="441">
        <f>Gen!C16</f>
        <v>0</v>
      </c>
      <c r="C11" s="399"/>
      <c r="D11" s="399"/>
      <c r="E11" s="399"/>
      <c r="F11" s="399"/>
      <c r="G11" s="399"/>
      <c r="H11" s="399"/>
      <c r="I11" s="399"/>
      <c r="J11" s="399"/>
      <c r="K11" s="398">
        <f t="shared" si="0"/>
        <v>0</v>
      </c>
      <c r="L11" s="399"/>
      <c r="M11" s="398">
        <f t="shared" si="1"/>
        <v>0</v>
      </c>
      <c r="N11" s="400">
        <f t="shared" si="2"/>
        <v>0</v>
      </c>
      <c r="O11" s="399"/>
      <c r="P11" s="398">
        <f t="shared" si="3"/>
        <v>0</v>
      </c>
      <c r="Q11" s="398">
        <f t="shared" si="4"/>
        <v>0</v>
      </c>
      <c r="R11" s="399"/>
      <c r="S11" s="398">
        <f t="shared" si="5"/>
        <v>0</v>
      </c>
      <c r="T11" s="398">
        <f t="shared" si="6"/>
        <v>0</v>
      </c>
      <c r="U11" s="399"/>
      <c r="V11" s="398">
        <f t="shared" si="7"/>
        <v>0</v>
      </c>
      <c r="W11" s="400">
        <f t="shared" si="8"/>
        <v>0</v>
      </c>
      <c r="X11" s="399"/>
      <c r="Y11" s="398">
        <f t="shared" si="9"/>
        <v>0</v>
      </c>
      <c r="Z11" s="401">
        <f t="shared" si="10"/>
        <v>0</v>
      </c>
      <c r="AA11" s="128"/>
      <c r="AB11" s="128"/>
      <c r="AC11" s="348">
        <f>Gen!T16</f>
        <v>0</v>
      </c>
    </row>
    <row r="12" spans="1:29" ht="20.100000000000001" customHeight="1">
      <c r="A12" s="343">
        <f>Gen!B17</f>
        <v>43897</v>
      </c>
      <c r="B12" s="441">
        <f>Gen!C17</f>
        <v>0</v>
      </c>
      <c r="C12" s="399"/>
      <c r="D12" s="399"/>
      <c r="E12" s="399"/>
      <c r="F12" s="399"/>
      <c r="G12" s="399"/>
      <c r="H12" s="399"/>
      <c r="I12" s="399"/>
      <c r="J12" s="399"/>
      <c r="K12" s="398">
        <f t="shared" si="0"/>
        <v>0</v>
      </c>
      <c r="L12" s="399"/>
      <c r="M12" s="398">
        <f t="shared" si="1"/>
        <v>0</v>
      </c>
      <c r="N12" s="400">
        <f t="shared" si="2"/>
        <v>0</v>
      </c>
      <c r="O12" s="399"/>
      <c r="P12" s="398">
        <f t="shared" si="3"/>
        <v>0</v>
      </c>
      <c r="Q12" s="398">
        <f t="shared" si="4"/>
        <v>0</v>
      </c>
      <c r="R12" s="399"/>
      <c r="S12" s="398">
        <f t="shared" si="5"/>
        <v>0</v>
      </c>
      <c r="T12" s="398">
        <f t="shared" si="6"/>
        <v>0</v>
      </c>
      <c r="U12" s="399"/>
      <c r="V12" s="398">
        <f t="shared" si="7"/>
        <v>0</v>
      </c>
      <c r="W12" s="400">
        <f t="shared" si="8"/>
        <v>0</v>
      </c>
      <c r="X12" s="399"/>
      <c r="Y12" s="398">
        <f t="shared" si="9"/>
        <v>0</v>
      </c>
      <c r="Z12" s="401">
        <f t="shared" si="10"/>
        <v>0</v>
      </c>
      <c r="AA12" s="128"/>
      <c r="AB12" s="128"/>
      <c r="AC12" s="348">
        <f>Gen!T17</f>
        <v>0</v>
      </c>
    </row>
    <row r="13" spans="1:29" ht="20.100000000000001" customHeight="1">
      <c r="A13" s="343">
        <f>Gen!B18</f>
        <v>43898</v>
      </c>
      <c r="B13" s="441">
        <f>Gen!C18</f>
        <v>0</v>
      </c>
      <c r="C13" s="399"/>
      <c r="D13" s="399"/>
      <c r="E13" s="399"/>
      <c r="F13" s="399"/>
      <c r="G13" s="399"/>
      <c r="H13" s="399"/>
      <c r="I13" s="399"/>
      <c r="J13" s="399"/>
      <c r="K13" s="398">
        <f t="shared" si="0"/>
        <v>0</v>
      </c>
      <c r="L13" s="399"/>
      <c r="M13" s="398">
        <f t="shared" si="1"/>
        <v>0</v>
      </c>
      <c r="N13" s="400">
        <f t="shared" si="2"/>
        <v>0</v>
      </c>
      <c r="O13" s="399"/>
      <c r="P13" s="398">
        <f t="shared" si="3"/>
        <v>0</v>
      </c>
      <c r="Q13" s="398">
        <f t="shared" si="4"/>
        <v>0</v>
      </c>
      <c r="R13" s="399"/>
      <c r="S13" s="398">
        <f t="shared" si="5"/>
        <v>0</v>
      </c>
      <c r="T13" s="398">
        <f t="shared" si="6"/>
        <v>0</v>
      </c>
      <c r="U13" s="399"/>
      <c r="V13" s="398">
        <f t="shared" si="7"/>
        <v>0</v>
      </c>
      <c r="W13" s="400">
        <f t="shared" si="8"/>
        <v>0</v>
      </c>
      <c r="X13" s="399"/>
      <c r="Y13" s="398">
        <f t="shared" si="9"/>
        <v>0</v>
      </c>
      <c r="Z13" s="401">
        <f t="shared" si="10"/>
        <v>0</v>
      </c>
      <c r="AA13" s="128"/>
      <c r="AB13" s="128"/>
      <c r="AC13" s="348">
        <f>Gen!T18</f>
        <v>0</v>
      </c>
    </row>
    <row r="14" spans="1:29" ht="20.100000000000001" customHeight="1">
      <c r="A14" s="343">
        <f>Gen!B19</f>
        <v>43899</v>
      </c>
      <c r="B14" s="441">
        <f>Gen!C19</f>
        <v>0</v>
      </c>
      <c r="C14" s="399"/>
      <c r="D14" s="399"/>
      <c r="E14" s="399"/>
      <c r="F14" s="399"/>
      <c r="G14" s="399"/>
      <c r="H14" s="399"/>
      <c r="I14" s="399"/>
      <c r="J14" s="399"/>
      <c r="K14" s="398">
        <f t="shared" si="0"/>
        <v>0</v>
      </c>
      <c r="L14" s="399"/>
      <c r="M14" s="398">
        <f t="shared" si="1"/>
        <v>0</v>
      </c>
      <c r="N14" s="400">
        <f t="shared" si="2"/>
        <v>0</v>
      </c>
      <c r="O14" s="399"/>
      <c r="P14" s="398">
        <f t="shared" si="3"/>
        <v>0</v>
      </c>
      <c r="Q14" s="398">
        <f t="shared" si="4"/>
        <v>0</v>
      </c>
      <c r="R14" s="399"/>
      <c r="S14" s="398">
        <f t="shared" si="5"/>
        <v>0</v>
      </c>
      <c r="T14" s="398">
        <f t="shared" si="6"/>
        <v>0</v>
      </c>
      <c r="U14" s="399"/>
      <c r="V14" s="398">
        <f t="shared" si="7"/>
        <v>0</v>
      </c>
      <c r="W14" s="400">
        <f t="shared" si="8"/>
        <v>0</v>
      </c>
      <c r="X14" s="399"/>
      <c r="Y14" s="398">
        <f t="shared" si="9"/>
        <v>0</v>
      </c>
      <c r="Z14" s="401">
        <f t="shared" si="10"/>
        <v>0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82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7" zoomScale="120" zoomScaleNormal="120" workbookViewId="0">
      <pane xSplit="2" topLeftCell="C1" activePane="topRight" state="frozen"/>
      <selection pane="topRight" activeCell="AJ21" sqref="AJ21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/>
      <c r="I15" s="277"/>
      <c r="J15" s="299"/>
      <c r="K15" s="277"/>
      <c r="L15" s="277"/>
      <c r="M15" s="389"/>
      <c r="N15" s="388"/>
      <c r="O15" s="279"/>
      <c r="P15" s="279"/>
      <c r="Q15" s="279"/>
      <c r="R15" s="279"/>
      <c r="S15" s="279"/>
      <c r="T15" s="292">
        <f t="shared" si="0"/>
        <v>0</v>
      </c>
      <c r="U15" s="293">
        <f t="shared" si="1"/>
        <v>0</v>
      </c>
      <c r="V15" s="293" t="e">
        <f t="shared" si="4"/>
        <v>#DIV/0!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/>
      <c r="AH15" s="294"/>
      <c r="AI15" s="294"/>
      <c r="AJ15" s="519"/>
      <c r="AK15" s="359">
        <f t="shared" si="3"/>
        <v>0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0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/>
      <c r="D16" s="291">
        <f t="shared" si="6"/>
        <v>40619.840000000004</v>
      </c>
      <c r="E16" s="298"/>
      <c r="F16" s="276"/>
      <c r="G16" s="698"/>
      <c r="H16" s="278"/>
      <c r="I16" s="277"/>
      <c r="J16" s="299"/>
      <c r="K16" s="277"/>
      <c r="L16" s="277"/>
      <c r="M16" s="389"/>
      <c r="N16" s="388"/>
      <c r="O16" s="279"/>
      <c r="P16" s="279"/>
      <c r="Q16" s="279"/>
      <c r="R16" s="279"/>
      <c r="S16" s="279"/>
      <c r="T16" s="292">
        <f t="shared" si="0"/>
        <v>0</v>
      </c>
      <c r="U16" s="293">
        <f t="shared" si="1"/>
        <v>0</v>
      </c>
      <c r="V16" s="293" t="e">
        <f t="shared" si="4"/>
        <v>#DIV/0!</v>
      </c>
      <c r="W16" s="282"/>
      <c r="X16" s="294"/>
      <c r="Y16" s="267"/>
      <c r="Z16" s="294"/>
      <c r="AA16" s="277"/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0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0</v>
      </c>
      <c r="AT16" s="296">
        <f t="shared" si="7"/>
        <v>0</v>
      </c>
      <c r="AU16" s="371">
        <f t="shared" si="5"/>
        <v>40619.840000000004</v>
      </c>
    </row>
    <row r="17" spans="2:47" ht="13.5" customHeight="1">
      <c r="B17" s="695">
        <v>43897</v>
      </c>
      <c r="C17" s="303"/>
      <c r="D17" s="291">
        <f t="shared" si="6"/>
        <v>40619.840000000004</v>
      </c>
      <c r="E17" s="298"/>
      <c r="F17" s="276"/>
      <c r="G17" s="698"/>
      <c r="H17" s="278"/>
      <c r="I17" s="277"/>
      <c r="J17" s="299"/>
      <c r="K17" s="277"/>
      <c r="L17" s="277"/>
      <c r="M17" s="389"/>
      <c r="N17" s="388"/>
      <c r="O17" s="279"/>
      <c r="P17" s="279"/>
      <c r="Q17" s="279"/>
      <c r="R17" s="279"/>
      <c r="S17" s="279"/>
      <c r="T17" s="292">
        <f t="shared" si="0"/>
        <v>0</v>
      </c>
      <c r="U17" s="293">
        <f t="shared" si="1"/>
        <v>0</v>
      </c>
      <c r="V17" s="293" t="e">
        <f t="shared" si="4"/>
        <v>#DIV/0!</v>
      </c>
      <c r="W17" s="282"/>
      <c r="X17" s="294"/>
      <c r="Y17" s="267"/>
      <c r="Z17" s="294"/>
      <c r="AA17" s="277"/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0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0</v>
      </c>
      <c r="AT17" s="296">
        <f t="shared" si="7"/>
        <v>0</v>
      </c>
      <c r="AU17" s="371">
        <f t="shared" si="5"/>
        <v>40619.840000000004</v>
      </c>
    </row>
    <row r="18" spans="2:47" ht="13.5" customHeight="1">
      <c r="B18" s="695">
        <v>43898</v>
      </c>
      <c r="C18" s="303"/>
      <c r="D18" s="291">
        <f t="shared" si="6"/>
        <v>40619.840000000004</v>
      </c>
      <c r="E18" s="298"/>
      <c r="F18" s="276">
        <v>15000</v>
      </c>
      <c r="G18" s="699" t="s">
        <v>311</v>
      </c>
      <c r="H18" s="278"/>
      <c r="I18" s="277"/>
      <c r="J18" s="299"/>
      <c r="K18" s="277"/>
      <c r="L18" s="277"/>
      <c r="M18" s="389"/>
      <c r="N18" s="388"/>
      <c r="O18" s="279"/>
      <c r="P18" s="279"/>
      <c r="Q18" s="279"/>
      <c r="R18" s="279"/>
      <c r="S18" s="279"/>
      <c r="T18" s="292">
        <f t="shared" si="0"/>
        <v>0</v>
      </c>
      <c r="U18" s="293">
        <f t="shared" si="1"/>
        <v>0</v>
      </c>
      <c r="V18" s="293" t="e">
        <f t="shared" si="4"/>
        <v>#DIV/0!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0</v>
      </c>
      <c r="AT18" s="296">
        <f t="shared" si="7"/>
        <v>0</v>
      </c>
      <c r="AU18" s="371">
        <f t="shared" si="5"/>
        <v>40619.840000000004</v>
      </c>
    </row>
    <row r="19" spans="2:47" ht="13.5" customHeight="1">
      <c r="B19" s="695">
        <v>43899</v>
      </c>
      <c r="C19" s="303"/>
      <c r="D19" s="291">
        <f t="shared" si="6"/>
        <v>40619.840000000004</v>
      </c>
      <c r="E19" s="298"/>
      <c r="F19" s="276"/>
      <c r="G19" s="698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40619.840000000004</v>
      </c>
    </row>
    <row r="20" spans="2:47" ht="14.25">
      <c r="B20" s="695">
        <v>43900</v>
      </c>
      <c r="C20" s="303"/>
      <c r="D20" s="291">
        <f t="shared" si="6"/>
        <v>40619.840000000004</v>
      </c>
      <c r="E20" s="298"/>
      <c r="F20" s="276"/>
      <c r="G20" s="698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40619.840000000004</v>
      </c>
    </row>
    <row r="21" spans="2:47" ht="14.25">
      <c r="B21" s="695">
        <v>43901</v>
      </c>
      <c r="C21" s="303"/>
      <c r="D21" s="291">
        <f t="shared" si="6"/>
        <v>40619.840000000004</v>
      </c>
      <c r="E21" s="298"/>
      <c r="F21" s="276"/>
      <c r="G21" s="698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40619.840000000004</v>
      </c>
    </row>
    <row r="22" spans="2:47" ht="14.25">
      <c r="B22" s="695">
        <v>43902</v>
      </c>
      <c r="C22" s="303"/>
      <c r="D22" s="291">
        <f t="shared" si="6"/>
        <v>40619.840000000004</v>
      </c>
      <c r="E22" s="298"/>
      <c r="F22" s="276"/>
      <c r="G22" s="698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40619.840000000004</v>
      </c>
    </row>
    <row r="23" spans="2:47" ht="14.25">
      <c r="B23" s="695">
        <v>43903</v>
      </c>
      <c r="C23" s="303"/>
      <c r="D23" s="291">
        <f t="shared" si="6"/>
        <v>40619.840000000004</v>
      </c>
      <c r="E23" s="298"/>
      <c r="F23" s="276"/>
      <c r="G23" s="698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40619.840000000004</v>
      </c>
    </row>
    <row r="24" spans="2:47" ht="14.25">
      <c r="B24" s="695">
        <v>43904</v>
      </c>
      <c r="C24" s="303"/>
      <c r="D24" s="291">
        <f t="shared" si="6"/>
        <v>40619.840000000004</v>
      </c>
      <c r="E24" s="298"/>
      <c r="F24" s="276">
        <v>18000</v>
      </c>
      <c r="G24" s="697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40619.840000000004</v>
      </c>
    </row>
    <row r="25" spans="2:47" ht="14.25">
      <c r="B25" s="695">
        <v>43905</v>
      </c>
      <c r="C25" s="303"/>
      <c r="D25" s="291">
        <f t="shared" si="6"/>
        <v>40619.840000000004</v>
      </c>
      <c r="E25" s="298"/>
      <c r="F25" s="276"/>
      <c r="G25" s="698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40619.840000000004</v>
      </c>
    </row>
    <row r="26" spans="2:47" ht="14.25">
      <c r="B26" s="695">
        <v>43906</v>
      </c>
      <c r="C26" s="303"/>
      <c r="D26" s="291">
        <f t="shared" si="6"/>
        <v>40619.840000000004</v>
      </c>
      <c r="E26" s="298"/>
      <c r="F26" s="276"/>
      <c r="G26" s="698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40619.840000000004</v>
      </c>
    </row>
    <row r="27" spans="2:47" ht="14.25">
      <c r="B27" s="695">
        <v>43907</v>
      </c>
      <c r="C27" s="303"/>
      <c r="D27" s="291">
        <f t="shared" si="6"/>
        <v>40619.840000000004</v>
      </c>
      <c r="E27" s="298"/>
      <c r="F27" s="276"/>
      <c r="G27" s="698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40619.840000000004</v>
      </c>
    </row>
    <row r="28" spans="2:47" ht="14.25">
      <c r="B28" s="695">
        <v>43908</v>
      </c>
      <c r="C28" s="303"/>
      <c r="D28" s="291">
        <f t="shared" si="6"/>
        <v>40619.840000000004</v>
      </c>
      <c r="E28" s="298"/>
      <c r="F28" s="276"/>
      <c r="G28" s="698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40619.840000000004</v>
      </c>
    </row>
    <row r="29" spans="2:47" ht="14.25">
      <c r="B29" s="695">
        <v>43909</v>
      </c>
      <c r="C29" s="303"/>
      <c r="D29" s="291">
        <f t="shared" si="6"/>
        <v>40619.840000000004</v>
      </c>
      <c r="E29" s="298"/>
      <c r="F29" s="276"/>
      <c r="G29" s="698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40619.840000000004</v>
      </c>
    </row>
    <row r="30" spans="2:47" ht="14.25">
      <c r="B30" s="695">
        <v>43910</v>
      </c>
      <c r="C30" s="303"/>
      <c r="D30" s="291">
        <f t="shared" si="6"/>
        <v>40619.840000000004</v>
      </c>
      <c r="E30" s="298"/>
      <c r="F30" s="276"/>
      <c r="G30" s="698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40619.840000000004</v>
      </c>
    </row>
    <row r="31" spans="2:47" ht="14.25">
      <c r="B31" s="695">
        <v>43911</v>
      </c>
      <c r="C31" s="303"/>
      <c r="D31" s="291">
        <f t="shared" si="6"/>
        <v>40619.840000000004</v>
      </c>
      <c r="E31" s="298"/>
      <c r="F31" s="276">
        <v>18000</v>
      </c>
      <c r="G31" s="697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40619.840000000004</v>
      </c>
    </row>
    <row r="32" spans="2:47" ht="14.25">
      <c r="B32" s="695">
        <v>43912</v>
      </c>
      <c r="C32" s="303"/>
      <c r="D32" s="291">
        <f t="shared" si="6"/>
        <v>40619.840000000004</v>
      </c>
      <c r="E32" s="298"/>
      <c r="F32" s="276"/>
      <c r="G32" s="698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40619.840000000004</v>
      </c>
    </row>
    <row r="33" spans="2:48" ht="14.25">
      <c r="B33" s="695">
        <v>43913</v>
      </c>
      <c r="C33" s="303"/>
      <c r="D33" s="291">
        <f t="shared" si="6"/>
        <v>40619.840000000004</v>
      </c>
      <c r="E33" s="298"/>
      <c r="F33" s="276"/>
      <c r="G33" s="694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40619.840000000004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40619.840000000004</v>
      </c>
      <c r="E34" s="298"/>
      <c r="F34" s="276"/>
      <c r="G34" s="694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40619.840000000004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40619.840000000004</v>
      </c>
      <c r="E35" s="298"/>
      <c r="F35" s="276"/>
      <c r="G35" s="694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40619.840000000004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40619.840000000004</v>
      </c>
      <c r="E36" s="298"/>
      <c r="F36" s="276"/>
      <c r="G36" s="694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40619.840000000004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40619.840000000004</v>
      </c>
      <c r="E37" s="298"/>
      <c r="F37" s="276"/>
      <c r="G37" s="694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40619.840000000004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40619.840000000004</v>
      </c>
      <c r="E38" s="298"/>
      <c r="F38" s="276">
        <v>15000</v>
      </c>
      <c r="G38" s="699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40619.840000000004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40619.840000000004</v>
      </c>
      <c r="E39" s="298"/>
      <c r="F39" s="276"/>
      <c r="G39" s="698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40619.840000000004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40619.840000000004</v>
      </c>
      <c r="E40" s="298"/>
      <c r="F40" s="276"/>
      <c r="G40" s="698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40619.840000000004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40619.840000000004</v>
      </c>
      <c r="E41" s="298"/>
      <c r="F41" s="276"/>
      <c r="G41" s="694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40619.840000000004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40619.840000000004</v>
      </c>
      <c r="E42" s="275"/>
      <c r="F42" s="276"/>
      <c r="G42" s="694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40619.840000000004</v>
      </c>
    </row>
    <row r="43" spans="2:48" ht="14.25">
      <c r="B43" s="700" t="s">
        <v>25</v>
      </c>
      <c r="C43" s="633">
        <f>AVERAGE(C11:C42)</f>
        <v>0.5870200000000001</v>
      </c>
      <c r="D43" s="308">
        <f t="shared" si="6"/>
        <v>40619.840000000004</v>
      </c>
      <c r="E43" s="275"/>
      <c r="F43" s="275"/>
      <c r="G43" s="694"/>
      <c r="H43" s="683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40619.840000000004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18000</v>
      </c>
      <c r="F45" s="412">
        <f>SUM(F11:F42)</f>
        <v>84000</v>
      </c>
      <c r="G45" s="414">
        <f t="shared" ref="G45" si="9">SUM(G11:G44)</f>
        <v>0</v>
      </c>
      <c r="H45" s="690">
        <f>SUM(H11:H44)</f>
        <v>1848.5300000000002</v>
      </c>
      <c r="I45" s="536">
        <f t="shared" ref="I45:P45" si="10">SUM(I11:I44)</f>
        <v>1403.48</v>
      </c>
      <c r="J45" s="536">
        <f t="shared" si="10"/>
        <v>0</v>
      </c>
      <c r="K45" s="536">
        <f t="shared" si="10"/>
        <v>1796.2200000000003</v>
      </c>
      <c r="L45" s="536">
        <f>SUM(L11:L44)</f>
        <v>2101.63</v>
      </c>
      <c r="M45" s="536">
        <f t="shared" si="10"/>
        <v>1724.88</v>
      </c>
      <c r="N45" s="536">
        <f t="shared" si="10"/>
        <v>5028</v>
      </c>
      <c r="O45" s="537">
        <f t="shared" si="10"/>
        <v>3463</v>
      </c>
      <c r="P45" s="412">
        <f t="shared" si="10"/>
        <v>0</v>
      </c>
      <c r="Q45" s="413">
        <f>SUM(Q11:Q43)</f>
        <v>3882</v>
      </c>
      <c r="R45" s="412">
        <f>SUM(R11:R44)</f>
        <v>5068</v>
      </c>
      <c r="S45" s="414">
        <f>SUM(S11:S44)</f>
        <v>4587</v>
      </c>
      <c r="T45" s="649">
        <f t="shared" si="0"/>
        <v>8874.7400000000016</v>
      </c>
      <c r="U45" s="402">
        <f>SUM(N45:S45)</f>
        <v>22028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39.5</v>
      </c>
      <c r="Y45" s="315">
        <f t="shared" si="11"/>
        <v>99.69</v>
      </c>
      <c r="Z45" s="315">
        <f t="shared" si="11"/>
        <v>0</v>
      </c>
      <c r="AA45" s="315">
        <f t="shared" si="11"/>
        <v>92.78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0</v>
      </c>
      <c r="AG45" s="315">
        <f t="shared" si="11"/>
        <v>0</v>
      </c>
      <c r="AH45" s="315">
        <f t="shared" si="11"/>
        <v>0</v>
      </c>
      <c r="AI45" s="596">
        <f>SUM(AI9:AI43)</f>
        <v>0</v>
      </c>
      <c r="AJ45" s="596">
        <f>SUM(AJ9:AJ39)</f>
        <v>334</v>
      </c>
      <c r="AK45" s="315">
        <f t="shared" si="11"/>
        <v>808.15000000000009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9682.89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19018567.820000004</v>
      </c>
      <c r="V47" s="422" t="s">
        <v>246</v>
      </c>
      <c r="AS47" s="748">
        <f>AS45*2143</f>
        <v>20750433.27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8308.6796941896046</v>
      </c>
      <c r="V48" s="422" t="s">
        <v>247</v>
      </c>
      <c r="X48" s="256"/>
      <c r="Y48" s="256"/>
      <c r="Z48" s="256"/>
      <c r="AA48" s="256"/>
      <c r="AB48" s="256"/>
      <c r="AS48" s="421">
        <f>AS47/2289</f>
        <v>9065.2832110091749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19"/>
      <c r="I50" s="798" t="s">
        <v>215</v>
      </c>
      <c r="J50" s="799"/>
      <c r="K50" s="799"/>
      <c r="L50" s="799"/>
      <c r="M50" s="800"/>
      <c r="N50" s="731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314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314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/>
      <c r="D52" s="708"/>
      <c r="E52" s="709"/>
      <c r="F52" s="708"/>
      <c r="G52" s="713"/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320</v>
      </c>
      <c r="Q52" s="750">
        <v>70</v>
      </c>
      <c r="R52" s="726" t="s">
        <v>324</v>
      </c>
      <c r="S52" s="734" t="s">
        <v>323</v>
      </c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13"/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321</v>
      </c>
      <c r="Q53" s="560">
        <v>151</v>
      </c>
      <c r="R53" s="727" t="s">
        <v>322</v>
      </c>
      <c r="S53" s="734" t="s">
        <v>323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13"/>
      <c r="H54" s="686"/>
      <c r="I54" s="741"/>
      <c r="J54" s="349"/>
      <c r="K54" s="349"/>
      <c r="L54" s="349"/>
      <c r="M54" s="714"/>
      <c r="N54" s="686"/>
      <c r="O54" s="733"/>
      <c r="P54" s="349"/>
      <c r="Q54" s="560"/>
      <c r="R54" s="727"/>
      <c r="S54" s="734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3"/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3"/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3"/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C26" sqref="C2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55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51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47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/>
      <c r="C15" s="354"/>
      <c r="D15" s="354"/>
      <c r="E15" s="354"/>
      <c r="F15" s="354"/>
      <c r="G15" s="354">
        <f t="shared" si="0"/>
        <v>-310244.17599999998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43897</v>
      </c>
      <c r="B16" s="354"/>
      <c r="C16" s="354"/>
      <c r="D16" s="354"/>
      <c r="E16" s="354"/>
      <c r="F16" s="354"/>
      <c r="G16" s="354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43898</v>
      </c>
      <c r="B17" s="354"/>
      <c r="C17" s="354"/>
      <c r="D17" s="354"/>
      <c r="E17" s="354"/>
      <c r="F17" s="354"/>
      <c r="G17" s="354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43899</v>
      </c>
      <c r="B18" s="354"/>
      <c r="C18" s="354"/>
      <c r="D18" s="354"/>
      <c r="E18" s="354"/>
      <c r="F18" s="354"/>
      <c r="G18" s="354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170</v>
      </c>
      <c r="F42" s="2">
        <f t="shared" si="4"/>
        <v>352296.64999999997</v>
      </c>
      <c r="G42" s="104">
        <f>SUM(G10:G40)</f>
        <v>-309636.8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B1" activePane="topRight" state="frozen"/>
      <selection pane="topRight" activeCell="AL9" sqref="AL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316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4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/>
      <c r="N7" s="638" t="str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0</v>
      </c>
      <c r="M8" s="1"/>
      <c r="N8" s="638">
        <f t="shared" si="7"/>
        <v>0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0</v>
      </c>
      <c r="M9" s="1"/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 t="str">
        <f t="shared" si="23"/>
        <v>0</v>
      </c>
      <c r="AK9" s="420">
        <f t="shared" si="15"/>
        <v>15154</v>
      </c>
      <c r="AL9" s="516"/>
      <c r="AM9" s="639" t="str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/>
      <c r="E10" s="59" t="str">
        <f t="shared" si="1"/>
        <v>0</v>
      </c>
      <c r="F10" s="98">
        <f t="shared" si="2"/>
        <v>38000</v>
      </c>
      <c r="G10" s="521"/>
      <c r="H10" s="638" t="str">
        <f t="shared" si="3"/>
        <v>0</v>
      </c>
      <c r="I10" s="98">
        <f t="shared" si="4"/>
        <v>7835</v>
      </c>
      <c r="J10" s="1"/>
      <c r="K10" s="638" t="str">
        <f t="shared" si="5"/>
        <v>0</v>
      </c>
      <c r="L10" s="98">
        <f t="shared" si="6"/>
        <v>0</v>
      </c>
      <c r="M10" s="1"/>
      <c r="N10" s="638">
        <f t="shared" si="7"/>
        <v>0</v>
      </c>
      <c r="O10" s="98">
        <f t="shared" si="8"/>
        <v>19950</v>
      </c>
      <c r="P10" s="515"/>
      <c r="Q10" s="638" t="str">
        <f t="shared" si="9"/>
        <v>0</v>
      </c>
      <c r="R10" s="332"/>
      <c r="S10" s="327">
        <f t="shared" si="16"/>
        <v>50202</v>
      </c>
      <c r="T10" s="516"/>
      <c r="U10" s="639" t="str">
        <f t="shared" si="17"/>
        <v>0</v>
      </c>
      <c r="V10" s="327">
        <f t="shared" si="10"/>
        <v>70575</v>
      </c>
      <c r="W10" s="516"/>
      <c r="X10" s="639" t="str">
        <f t="shared" si="18"/>
        <v>0</v>
      </c>
      <c r="Y10" s="327">
        <f t="shared" si="11"/>
        <v>79783</v>
      </c>
      <c r="Z10" s="516"/>
      <c r="AA10" s="639" t="str">
        <f t="shared" si="19"/>
        <v>0</v>
      </c>
      <c r="AB10" s="327">
        <f t="shared" si="12"/>
        <v>13029</v>
      </c>
      <c r="AC10" s="643"/>
      <c r="AD10" s="639" t="str">
        <f t="shared" si="20"/>
        <v>0</v>
      </c>
      <c r="AE10" s="327">
        <f t="shared" si="13"/>
        <v>16659</v>
      </c>
      <c r="AF10" s="517"/>
      <c r="AG10" s="639" t="str">
        <f t="shared" si="21"/>
        <v>0</v>
      </c>
      <c r="AH10" s="327">
        <f t="shared" si="14"/>
        <v>24349</v>
      </c>
      <c r="AI10" s="517"/>
      <c r="AJ10" s="639" t="str">
        <f t="shared" si="23"/>
        <v>0</v>
      </c>
      <c r="AK10" s="420">
        <f t="shared" si="15"/>
        <v>0</v>
      </c>
      <c r="AL10" s="516"/>
      <c r="AM10" s="639">
        <f t="shared" si="22"/>
        <v>0</v>
      </c>
      <c r="AN10" s="523">
        <f t="shared" si="24"/>
        <v>0</v>
      </c>
    </row>
    <row r="11" spans="1:40" ht="23.1" customHeight="1">
      <c r="A11" s="58">
        <f>Gen!B16</f>
        <v>43896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521"/>
      <c r="H11" s="638">
        <f t="shared" si="3"/>
        <v>0</v>
      </c>
      <c r="I11" s="98">
        <f t="shared" si="4"/>
        <v>0</v>
      </c>
      <c r="J11" s="1"/>
      <c r="K11" s="638">
        <f t="shared" si="5"/>
        <v>0</v>
      </c>
      <c r="L11" s="98">
        <f t="shared" si="6"/>
        <v>0</v>
      </c>
      <c r="M11" s="1"/>
      <c r="N11" s="638">
        <f t="shared" si="7"/>
        <v>0</v>
      </c>
      <c r="O11" s="98">
        <f t="shared" si="8"/>
        <v>0</v>
      </c>
      <c r="P11" s="515"/>
      <c r="Q11" s="638">
        <f t="shared" si="9"/>
        <v>0</v>
      </c>
      <c r="R11" s="332"/>
      <c r="S11" s="327">
        <f t="shared" si="16"/>
        <v>0</v>
      </c>
      <c r="T11" s="516"/>
      <c r="U11" s="639">
        <f t="shared" si="17"/>
        <v>0</v>
      </c>
      <c r="V11" s="327">
        <f t="shared" si="10"/>
        <v>0</v>
      </c>
      <c r="W11" s="516"/>
      <c r="X11" s="639">
        <f t="shared" si="18"/>
        <v>0</v>
      </c>
      <c r="Y11" s="327">
        <f t="shared" si="11"/>
        <v>0</v>
      </c>
      <c r="Z11" s="516"/>
      <c r="AA11" s="639">
        <f t="shared" si="19"/>
        <v>0</v>
      </c>
      <c r="AB11" s="327">
        <f t="shared" si="12"/>
        <v>0</v>
      </c>
      <c r="AC11" s="643"/>
      <c r="AD11" s="639">
        <f t="shared" si="20"/>
        <v>0</v>
      </c>
      <c r="AE11" s="327">
        <f t="shared" si="13"/>
        <v>0</v>
      </c>
      <c r="AF11" s="517"/>
      <c r="AG11" s="639">
        <f t="shared" si="21"/>
        <v>0</v>
      </c>
      <c r="AH11" s="327">
        <f t="shared" si="14"/>
        <v>0</v>
      </c>
      <c r="AI11" s="517"/>
      <c r="AJ11" s="639">
        <f t="shared" si="23"/>
        <v>0</v>
      </c>
      <c r="AK11" s="420">
        <f t="shared" si="15"/>
        <v>0</v>
      </c>
      <c r="AL11" s="516"/>
      <c r="AM11" s="639">
        <f t="shared" si="22"/>
        <v>0</v>
      </c>
      <c r="AN11" s="523">
        <f t="shared" si="24"/>
        <v>0</v>
      </c>
    </row>
    <row r="12" spans="1:40" ht="23.1" customHeight="1">
      <c r="A12" s="58">
        <f>Gen!B17</f>
        <v>43897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521"/>
      <c r="H12" s="638">
        <f t="shared" si="3"/>
        <v>0</v>
      </c>
      <c r="I12" s="98">
        <f t="shared" si="4"/>
        <v>0</v>
      </c>
      <c r="J12" s="1"/>
      <c r="K12" s="638">
        <f t="shared" si="5"/>
        <v>0</v>
      </c>
      <c r="L12" s="98">
        <f t="shared" si="6"/>
        <v>0</v>
      </c>
      <c r="M12" s="1"/>
      <c r="N12" s="638">
        <f t="shared" si="7"/>
        <v>0</v>
      </c>
      <c r="O12" s="98">
        <f t="shared" si="8"/>
        <v>0</v>
      </c>
      <c r="P12" s="515"/>
      <c r="Q12" s="638">
        <f t="shared" si="9"/>
        <v>0</v>
      </c>
      <c r="R12" s="332"/>
      <c r="S12" s="327">
        <f t="shared" si="16"/>
        <v>0</v>
      </c>
      <c r="T12" s="516"/>
      <c r="U12" s="639">
        <f t="shared" si="17"/>
        <v>0</v>
      </c>
      <c r="V12" s="327">
        <f t="shared" si="10"/>
        <v>0</v>
      </c>
      <c r="W12" s="516"/>
      <c r="X12" s="639">
        <f t="shared" si="18"/>
        <v>0</v>
      </c>
      <c r="Y12" s="327">
        <f t="shared" si="11"/>
        <v>0</v>
      </c>
      <c r="Z12" s="516"/>
      <c r="AA12" s="639">
        <f t="shared" si="19"/>
        <v>0</v>
      </c>
      <c r="AB12" s="327">
        <f t="shared" si="12"/>
        <v>0</v>
      </c>
      <c r="AC12" s="643"/>
      <c r="AD12" s="639">
        <f t="shared" si="20"/>
        <v>0</v>
      </c>
      <c r="AE12" s="327">
        <f t="shared" si="13"/>
        <v>0</v>
      </c>
      <c r="AF12" s="517"/>
      <c r="AG12" s="639">
        <f t="shared" si="21"/>
        <v>0</v>
      </c>
      <c r="AH12" s="327">
        <f t="shared" si="14"/>
        <v>0</v>
      </c>
      <c r="AI12" s="517"/>
      <c r="AJ12" s="639">
        <f t="shared" si="23"/>
        <v>0</v>
      </c>
      <c r="AK12" s="420">
        <f t="shared" si="15"/>
        <v>0</v>
      </c>
      <c r="AL12" s="516"/>
      <c r="AM12" s="639">
        <f t="shared" si="22"/>
        <v>0</v>
      </c>
      <c r="AN12" s="523">
        <f t="shared" si="24"/>
        <v>0</v>
      </c>
    </row>
    <row r="13" spans="1:40" ht="23.1" customHeight="1">
      <c r="A13" s="58">
        <f>Gen!B18</f>
        <v>43898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1"/>
      <c r="H13" s="638">
        <f t="shared" si="3"/>
        <v>0</v>
      </c>
      <c r="I13" s="98">
        <f t="shared" si="4"/>
        <v>0</v>
      </c>
      <c r="J13" s="1"/>
      <c r="K13" s="638">
        <f t="shared" si="5"/>
        <v>0</v>
      </c>
      <c r="L13" s="98">
        <f t="shared" si="6"/>
        <v>0</v>
      </c>
      <c r="M13" s="1"/>
      <c r="N13" s="638">
        <f t="shared" si="7"/>
        <v>0</v>
      </c>
      <c r="O13" s="98">
        <f t="shared" si="8"/>
        <v>0</v>
      </c>
      <c r="P13" s="515"/>
      <c r="Q13" s="638">
        <f t="shared" si="9"/>
        <v>0</v>
      </c>
      <c r="R13" s="332"/>
      <c r="S13" s="327">
        <f t="shared" si="16"/>
        <v>0</v>
      </c>
      <c r="T13" s="516"/>
      <c r="U13" s="639">
        <f t="shared" si="17"/>
        <v>0</v>
      </c>
      <c r="V13" s="327">
        <f t="shared" si="10"/>
        <v>0</v>
      </c>
      <c r="W13" s="516"/>
      <c r="X13" s="639">
        <f t="shared" si="18"/>
        <v>0</v>
      </c>
      <c r="Y13" s="327">
        <f t="shared" si="11"/>
        <v>0</v>
      </c>
      <c r="Z13" s="516"/>
      <c r="AA13" s="639">
        <f t="shared" si="19"/>
        <v>0</v>
      </c>
      <c r="AB13" s="327">
        <f t="shared" si="12"/>
        <v>0</v>
      </c>
      <c r="AC13" s="643"/>
      <c r="AD13" s="639">
        <f t="shared" si="20"/>
        <v>0</v>
      </c>
      <c r="AE13" s="327">
        <f>AF12</f>
        <v>0</v>
      </c>
      <c r="AF13" s="517"/>
      <c r="AG13" s="639">
        <f t="shared" si="21"/>
        <v>0</v>
      </c>
      <c r="AH13" s="327">
        <f t="shared" si="14"/>
        <v>0</v>
      </c>
      <c r="AI13" s="517"/>
      <c r="AJ13" s="639">
        <f t="shared" si="23"/>
        <v>0</v>
      </c>
      <c r="AK13" s="420">
        <f t="shared" si="15"/>
        <v>0</v>
      </c>
      <c r="AL13" s="516"/>
      <c r="AM13" s="639">
        <f t="shared" si="22"/>
        <v>0</v>
      </c>
      <c r="AN13" s="523">
        <f t="shared" si="24"/>
        <v>0</v>
      </c>
    </row>
    <row r="14" spans="1:40" ht="23.1" customHeight="1">
      <c r="A14" s="58">
        <f>Gen!B19</f>
        <v>43899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1"/>
      <c r="H14" s="638">
        <f t="shared" si="3"/>
        <v>0</v>
      </c>
      <c r="I14" s="98">
        <f t="shared" si="4"/>
        <v>0</v>
      </c>
      <c r="J14" s="1"/>
      <c r="K14" s="638">
        <f t="shared" si="5"/>
        <v>0</v>
      </c>
      <c r="L14" s="98">
        <f t="shared" si="6"/>
        <v>0</v>
      </c>
      <c r="M14" s="1"/>
      <c r="N14" s="638">
        <f t="shared" si="7"/>
        <v>0</v>
      </c>
      <c r="O14" s="98">
        <f t="shared" si="8"/>
        <v>0</v>
      </c>
      <c r="P14" s="515"/>
      <c r="Q14" s="638">
        <f t="shared" si="9"/>
        <v>0</v>
      </c>
      <c r="R14" s="332"/>
      <c r="S14" s="327">
        <f t="shared" si="16"/>
        <v>0</v>
      </c>
      <c r="T14" s="516"/>
      <c r="U14" s="639">
        <f t="shared" si="17"/>
        <v>0</v>
      </c>
      <c r="V14" s="327">
        <f t="shared" si="10"/>
        <v>0</v>
      </c>
      <c r="W14" s="516"/>
      <c r="X14" s="639">
        <f t="shared" si="18"/>
        <v>0</v>
      </c>
      <c r="Y14" s="327">
        <f t="shared" si="11"/>
        <v>0</v>
      </c>
      <c r="Z14" s="516"/>
      <c r="AA14" s="639">
        <f t="shared" si="19"/>
        <v>0</v>
      </c>
      <c r="AB14" s="327">
        <f t="shared" si="12"/>
        <v>0</v>
      </c>
      <c r="AC14" s="643"/>
      <c r="AD14" s="639">
        <f t="shared" si="20"/>
        <v>0</v>
      </c>
      <c r="AE14" s="327">
        <f t="shared" si="13"/>
        <v>0</v>
      </c>
      <c r="AF14" s="517"/>
      <c r="AG14" s="639">
        <f t="shared" si="21"/>
        <v>0</v>
      </c>
      <c r="AH14" s="327">
        <f t="shared" si="14"/>
        <v>0</v>
      </c>
      <c r="AI14" s="517"/>
      <c r="AJ14" s="639">
        <f t="shared" si="23"/>
        <v>0</v>
      </c>
      <c r="AK14" s="420">
        <f t="shared" si="15"/>
        <v>0</v>
      </c>
      <c r="AL14" s="516"/>
      <c r="AM14" s="639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38">
        <f t="shared" si="3"/>
        <v>0</v>
      </c>
      <c r="I15" s="98">
        <f t="shared" si="4"/>
        <v>0</v>
      </c>
      <c r="J15" s="1"/>
      <c r="K15" s="638">
        <f t="shared" si="5"/>
        <v>0</v>
      </c>
      <c r="L15" s="98">
        <f t="shared" si="6"/>
        <v>0</v>
      </c>
      <c r="M15" s="1"/>
      <c r="N15" s="638">
        <f t="shared" si="7"/>
        <v>0</v>
      </c>
      <c r="O15" s="98">
        <f t="shared" si="8"/>
        <v>0</v>
      </c>
      <c r="P15" s="515"/>
      <c r="Q15" s="638">
        <f t="shared" si="9"/>
        <v>0</v>
      </c>
      <c r="R15" s="332"/>
      <c r="S15" s="327">
        <f t="shared" si="16"/>
        <v>0</v>
      </c>
      <c r="T15" s="516"/>
      <c r="U15" s="639">
        <f t="shared" si="17"/>
        <v>0</v>
      </c>
      <c r="V15" s="327">
        <f t="shared" si="10"/>
        <v>0</v>
      </c>
      <c r="W15" s="516"/>
      <c r="X15" s="639">
        <f t="shared" si="18"/>
        <v>0</v>
      </c>
      <c r="Y15" s="327">
        <f t="shared" si="11"/>
        <v>0</v>
      </c>
      <c r="Z15" s="516"/>
      <c r="AA15" s="639">
        <f t="shared" si="19"/>
        <v>0</v>
      </c>
      <c r="AB15" s="327">
        <f t="shared" si="12"/>
        <v>0</v>
      </c>
      <c r="AC15" s="643"/>
      <c r="AD15" s="639">
        <f t="shared" si="20"/>
        <v>0</v>
      </c>
      <c r="AE15" s="327">
        <f t="shared" si="13"/>
        <v>0</v>
      </c>
      <c r="AF15" s="517"/>
      <c r="AG15" s="639">
        <f t="shared" si="21"/>
        <v>0</v>
      </c>
      <c r="AH15" s="327">
        <f t="shared" si="14"/>
        <v>0</v>
      </c>
      <c r="AI15" s="517"/>
      <c r="AJ15" s="639">
        <f t="shared" si="23"/>
        <v>0</v>
      </c>
      <c r="AK15" s="420">
        <f t="shared" si="15"/>
        <v>0</v>
      </c>
      <c r="AL15" s="516"/>
      <c r="AM15" s="639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38">
        <f t="shared" si="3"/>
        <v>0</v>
      </c>
      <c r="I16" s="98">
        <f t="shared" si="4"/>
        <v>0</v>
      </c>
      <c r="J16" s="1"/>
      <c r="K16" s="638">
        <f t="shared" si="5"/>
        <v>0</v>
      </c>
      <c r="L16" s="98"/>
      <c r="M16" s="1"/>
      <c r="N16" s="638">
        <f t="shared" si="7"/>
        <v>0</v>
      </c>
      <c r="O16" s="98">
        <f t="shared" si="8"/>
        <v>0</v>
      </c>
      <c r="P16" s="515"/>
      <c r="Q16" s="638">
        <f t="shared" si="9"/>
        <v>0</v>
      </c>
      <c r="R16" s="332"/>
      <c r="S16" s="327">
        <f t="shared" si="16"/>
        <v>0</v>
      </c>
      <c r="T16" s="516"/>
      <c r="U16" s="639">
        <f t="shared" si="17"/>
        <v>0</v>
      </c>
      <c r="V16" s="327">
        <f t="shared" si="10"/>
        <v>0</v>
      </c>
      <c r="W16" s="516"/>
      <c r="X16" s="639">
        <f t="shared" si="18"/>
        <v>0</v>
      </c>
      <c r="Y16" s="327">
        <f t="shared" si="11"/>
        <v>0</v>
      </c>
      <c r="Z16" s="516"/>
      <c r="AA16" s="639">
        <f t="shared" si="19"/>
        <v>0</v>
      </c>
      <c r="AB16" s="327">
        <f t="shared" si="12"/>
        <v>0</v>
      </c>
      <c r="AC16" s="643"/>
      <c r="AD16" s="639">
        <f t="shared" si="20"/>
        <v>0</v>
      </c>
      <c r="AE16" s="327">
        <f t="shared" si="13"/>
        <v>0</v>
      </c>
      <c r="AF16" s="517"/>
      <c r="AG16" s="639">
        <f t="shared" si="21"/>
        <v>0</v>
      </c>
      <c r="AH16" s="327">
        <f t="shared" si="14"/>
        <v>0</v>
      </c>
      <c r="AI16" s="517"/>
      <c r="AJ16" s="639">
        <f t="shared" si="23"/>
        <v>0</v>
      </c>
      <c r="AK16" s="420">
        <f t="shared" si="15"/>
        <v>0</v>
      </c>
      <c r="AL16" s="516"/>
      <c r="AM16" s="639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38">
        <f>IF((D17-D16)&lt;0,"0",(D17-D16))</f>
        <v>0</v>
      </c>
      <c r="F17" s="98">
        <f t="shared" si="2"/>
        <v>0</v>
      </c>
      <c r="G17" s="521"/>
      <c r="H17" s="638">
        <f t="shared" si="3"/>
        <v>0</v>
      </c>
      <c r="I17" s="98">
        <f t="shared" si="4"/>
        <v>0</v>
      </c>
      <c r="J17" s="1"/>
      <c r="K17" s="638">
        <f t="shared" si="5"/>
        <v>0</v>
      </c>
      <c r="L17" s="98"/>
      <c r="M17" s="1"/>
      <c r="N17" s="638">
        <f t="shared" si="7"/>
        <v>0</v>
      </c>
      <c r="O17" s="98">
        <f t="shared" si="8"/>
        <v>0</v>
      </c>
      <c r="P17" s="515"/>
      <c r="Q17" s="638">
        <f t="shared" si="9"/>
        <v>0</v>
      </c>
      <c r="R17" s="332"/>
      <c r="S17" s="327">
        <f t="shared" si="16"/>
        <v>0</v>
      </c>
      <c r="T17" s="516"/>
      <c r="U17" s="639">
        <f>IF((T17-T16)&lt;0,"0",(T17-T16))</f>
        <v>0</v>
      </c>
      <c r="V17" s="327">
        <f t="shared" si="10"/>
        <v>0</v>
      </c>
      <c r="W17" s="516"/>
      <c r="X17" s="639">
        <f>IF((W17-W16)&lt;0,"0",(W17-W16))</f>
        <v>0</v>
      </c>
      <c r="Y17" s="327">
        <f t="shared" si="11"/>
        <v>0</v>
      </c>
      <c r="Z17" s="516"/>
      <c r="AA17" s="639">
        <f>IF((Z17-Z16)&lt;0,"0",(Z17-Z16))</f>
        <v>0</v>
      </c>
      <c r="AB17" s="327">
        <f t="shared" si="12"/>
        <v>0</v>
      </c>
      <c r="AC17" s="643"/>
      <c r="AD17" s="639">
        <f>IF((AC17-AC16)&lt;0,"0",(AC17-AC16))</f>
        <v>0</v>
      </c>
      <c r="AE17" s="327">
        <f t="shared" si="13"/>
        <v>0</v>
      </c>
      <c r="AF17" s="517"/>
      <c r="AG17" s="639">
        <f>IF((AF17-AF16)&lt;0,"0",(AF17-AF16))</f>
        <v>0</v>
      </c>
      <c r="AH17" s="327">
        <f t="shared" si="14"/>
        <v>0</v>
      </c>
      <c r="AI17" s="517"/>
      <c r="AJ17" s="639">
        <f t="shared" si="23"/>
        <v>0</v>
      </c>
      <c r="AK17" s="420">
        <f t="shared" si="15"/>
        <v>0</v>
      </c>
      <c r="AL17" s="516"/>
      <c r="AM17" s="639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38">
        <f t="shared" ref="E18:E37" si="26">IF((D18-D17)&lt;0,"0",(D18-D17))</f>
        <v>0</v>
      </c>
      <c r="F18" s="98">
        <f t="shared" si="2"/>
        <v>0</v>
      </c>
      <c r="G18" s="521"/>
      <c r="H18" s="638">
        <f t="shared" si="3"/>
        <v>0</v>
      </c>
      <c r="I18" s="98"/>
      <c r="J18" s="1"/>
      <c r="K18" s="638">
        <f t="shared" si="5"/>
        <v>0</v>
      </c>
      <c r="L18" s="98">
        <f t="shared" si="6"/>
        <v>0</v>
      </c>
      <c r="M18" s="1"/>
      <c r="N18" s="638">
        <f t="shared" si="7"/>
        <v>0</v>
      </c>
      <c r="O18" s="98">
        <f t="shared" si="8"/>
        <v>0</v>
      </c>
      <c r="P18" s="515"/>
      <c r="Q18" s="638">
        <f t="shared" si="9"/>
        <v>0</v>
      </c>
      <c r="R18" s="332"/>
      <c r="S18" s="327">
        <f t="shared" si="16"/>
        <v>0</v>
      </c>
      <c r="T18" s="516"/>
      <c r="U18" s="639">
        <f t="shared" si="17"/>
        <v>0</v>
      </c>
      <c r="V18" s="327">
        <f t="shared" si="10"/>
        <v>0</v>
      </c>
      <c r="W18" s="516"/>
      <c r="X18" s="639">
        <f t="shared" si="18"/>
        <v>0</v>
      </c>
      <c r="Y18" s="327">
        <f t="shared" si="11"/>
        <v>0</v>
      </c>
      <c r="Z18" s="516"/>
      <c r="AA18" s="639">
        <f t="shared" si="19"/>
        <v>0</v>
      </c>
      <c r="AB18" s="327">
        <f t="shared" si="12"/>
        <v>0</v>
      </c>
      <c r="AC18" s="643"/>
      <c r="AD18" s="639">
        <f t="shared" si="20"/>
        <v>0</v>
      </c>
      <c r="AE18" s="327">
        <f t="shared" si="13"/>
        <v>0</v>
      </c>
      <c r="AF18" s="517"/>
      <c r="AG18" s="639">
        <f t="shared" si="21"/>
        <v>0</v>
      </c>
      <c r="AH18" s="327">
        <f t="shared" si="14"/>
        <v>0</v>
      </c>
      <c r="AI18" s="517"/>
      <c r="AJ18" s="639">
        <f t="shared" si="23"/>
        <v>0</v>
      </c>
      <c r="AK18" s="420">
        <f t="shared" si="15"/>
        <v>0</v>
      </c>
      <c r="AL18" s="516"/>
      <c r="AM18" s="639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38">
        <f t="shared" si="26"/>
        <v>0</v>
      </c>
      <c r="F19" s="98">
        <f t="shared" si="2"/>
        <v>0</v>
      </c>
      <c r="G19" s="521"/>
      <c r="H19" s="638">
        <f t="shared" si="3"/>
        <v>0</v>
      </c>
      <c r="I19" s="98">
        <f t="shared" si="4"/>
        <v>0</v>
      </c>
      <c r="J19" s="1"/>
      <c r="K19" s="638">
        <f t="shared" si="5"/>
        <v>0</v>
      </c>
      <c r="L19" s="98">
        <f t="shared" si="6"/>
        <v>0</v>
      </c>
      <c r="M19" s="1"/>
      <c r="N19" s="638">
        <f t="shared" si="7"/>
        <v>0</v>
      </c>
      <c r="O19" s="98">
        <f t="shared" si="8"/>
        <v>0</v>
      </c>
      <c r="P19" s="515"/>
      <c r="Q19" s="638">
        <f t="shared" si="9"/>
        <v>0</v>
      </c>
      <c r="R19" s="332"/>
      <c r="S19" s="327">
        <f t="shared" si="16"/>
        <v>0</v>
      </c>
      <c r="T19" s="516"/>
      <c r="U19" s="639">
        <f t="shared" si="17"/>
        <v>0</v>
      </c>
      <c r="V19" s="327">
        <f t="shared" si="10"/>
        <v>0</v>
      </c>
      <c r="W19" s="516"/>
      <c r="X19" s="639">
        <f t="shared" si="18"/>
        <v>0</v>
      </c>
      <c r="Y19" s="327">
        <f t="shared" si="11"/>
        <v>0</v>
      </c>
      <c r="Z19" s="516"/>
      <c r="AA19" s="639">
        <f t="shared" si="19"/>
        <v>0</v>
      </c>
      <c r="AB19" s="327">
        <f t="shared" si="12"/>
        <v>0</v>
      </c>
      <c r="AC19" s="643"/>
      <c r="AD19" s="639">
        <f t="shared" si="20"/>
        <v>0</v>
      </c>
      <c r="AE19" s="327">
        <f t="shared" si="13"/>
        <v>0</v>
      </c>
      <c r="AF19" s="517"/>
      <c r="AG19" s="639">
        <f t="shared" si="21"/>
        <v>0</v>
      </c>
      <c r="AH19" s="327">
        <f t="shared" si="14"/>
        <v>0</v>
      </c>
      <c r="AI19" s="517"/>
      <c r="AJ19" s="639">
        <f t="shared" si="23"/>
        <v>0</v>
      </c>
      <c r="AK19" s="420">
        <f t="shared" si="15"/>
        <v>0</v>
      </c>
      <c r="AL19" s="516"/>
      <c r="AM19" s="639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38">
        <f t="shared" si="26"/>
        <v>0</v>
      </c>
      <c r="F20" s="98">
        <f t="shared" si="2"/>
        <v>0</v>
      </c>
      <c r="G20" s="521"/>
      <c r="H20" s="638">
        <f t="shared" si="3"/>
        <v>0</v>
      </c>
      <c r="I20" s="98">
        <f t="shared" si="4"/>
        <v>0</v>
      </c>
      <c r="J20" s="1"/>
      <c r="K20" s="638">
        <f t="shared" si="5"/>
        <v>0</v>
      </c>
      <c r="L20" s="98">
        <f t="shared" si="6"/>
        <v>0</v>
      </c>
      <c r="M20" s="1"/>
      <c r="N20" s="638">
        <f t="shared" si="7"/>
        <v>0</v>
      </c>
      <c r="O20" s="98">
        <f t="shared" si="8"/>
        <v>0</v>
      </c>
      <c r="P20" s="515"/>
      <c r="Q20" s="638">
        <f t="shared" si="9"/>
        <v>0</v>
      </c>
      <c r="R20" s="332"/>
      <c r="S20" s="327">
        <f t="shared" si="16"/>
        <v>0</v>
      </c>
      <c r="T20" s="516"/>
      <c r="U20" s="639">
        <f t="shared" si="17"/>
        <v>0</v>
      </c>
      <c r="V20" s="327">
        <f t="shared" si="10"/>
        <v>0</v>
      </c>
      <c r="W20" s="516"/>
      <c r="X20" s="639">
        <f t="shared" si="18"/>
        <v>0</v>
      </c>
      <c r="Y20" s="327">
        <f t="shared" si="11"/>
        <v>0</v>
      </c>
      <c r="Z20" s="516"/>
      <c r="AA20" s="639">
        <f t="shared" si="19"/>
        <v>0</v>
      </c>
      <c r="AB20" s="327">
        <f t="shared" si="12"/>
        <v>0</v>
      </c>
      <c r="AC20" s="643"/>
      <c r="AD20" s="639">
        <f t="shared" si="20"/>
        <v>0</v>
      </c>
      <c r="AE20" s="327">
        <f t="shared" si="13"/>
        <v>0</v>
      </c>
      <c r="AF20" s="517"/>
      <c r="AG20" s="639">
        <f t="shared" si="21"/>
        <v>0</v>
      </c>
      <c r="AH20" s="327">
        <f t="shared" si="14"/>
        <v>0</v>
      </c>
      <c r="AI20" s="517"/>
      <c r="AJ20" s="639">
        <f t="shared" si="23"/>
        <v>0</v>
      </c>
      <c r="AK20" s="420">
        <f t="shared" si="15"/>
        <v>0</v>
      </c>
      <c r="AL20" s="516"/>
      <c r="AM20" s="639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38">
        <f t="shared" si="26"/>
        <v>0</v>
      </c>
      <c r="F21" s="98">
        <f t="shared" si="2"/>
        <v>0</v>
      </c>
      <c r="G21" s="521"/>
      <c r="H21" s="638">
        <f t="shared" si="3"/>
        <v>0</v>
      </c>
      <c r="I21" s="98">
        <f t="shared" si="4"/>
        <v>0</v>
      </c>
      <c r="J21" s="1"/>
      <c r="K21" s="638">
        <f t="shared" si="5"/>
        <v>0</v>
      </c>
      <c r="L21" s="98">
        <f t="shared" si="6"/>
        <v>0</v>
      </c>
      <c r="M21" s="1"/>
      <c r="N21" s="638">
        <f t="shared" si="7"/>
        <v>0</v>
      </c>
      <c r="O21" s="98">
        <f t="shared" si="8"/>
        <v>0</v>
      </c>
      <c r="P21" s="515"/>
      <c r="Q21" s="638">
        <f t="shared" si="9"/>
        <v>0</v>
      </c>
      <c r="R21" s="332"/>
      <c r="S21" s="327">
        <f t="shared" si="16"/>
        <v>0</v>
      </c>
      <c r="T21" s="516"/>
      <c r="U21" s="639">
        <f t="shared" si="17"/>
        <v>0</v>
      </c>
      <c r="V21" s="327">
        <f t="shared" ref="V21:V37" si="28">W20</f>
        <v>0</v>
      </c>
      <c r="W21" s="516"/>
      <c r="X21" s="639">
        <f t="shared" si="18"/>
        <v>0</v>
      </c>
      <c r="Y21" s="327">
        <f t="shared" si="11"/>
        <v>0</v>
      </c>
      <c r="Z21" s="516"/>
      <c r="AA21" s="639">
        <f t="shared" si="19"/>
        <v>0</v>
      </c>
      <c r="AB21" s="327">
        <f t="shared" si="12"/>
        <v>0</v>
      </c>
      <c r="AC21" s="643"/>
      <c r="AD21" s="639">
        <f t="shared" si="20"/>
        <v>0</v>
      </c>
      <c r="AE21" s="327">
        <f t="shared" si="13"/>
        <v>0</v>
      </c>
      <c r="AF21" s="517"/>
      <c r="AG21" s="639">
        <f t="shared" si="21"/>
        <v>0</v>
      </c>
      <c r="AH21" s="327">
        <f t="shared" si="14"/>
        <v>0</v>
      </c>
      <c r="AI21" s="517"/>
      <c r="AJ21" s="639">
        <f t="shared" si="23"/>
        <v>0</v>
      </c>
      <c r="AK21" s="420">
        <f t="shared" si="15"/>
        <v>0</v>
      </c>
      <c r="AL21" s="516"/>
      <c r="AM21" s="639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38">
        <f t="shared" si="26"/>
        <v>0</v>
      </c>
      <c r="F22" s="98">
        <f t="shared" si="2"/>
        <v>0</v>
      </c>
      <c r="G22" s="521"/>
      <c r="H22" s="638">
        <f t="shared" si="3"/>
        <v>0</v>
      </c>
      <c r="I22" s="98">
        <f t="shared" si="4"/>
        <v>0</v>
      </c>
      <c r="J22" s="1"/>
      <c r="K22" s="638">
        <f t="shared" si="5"/>
        <v>0</v>
      </c>
      <c r="L22" s="98">
        <f t="shared" si="6"/>
        <v>0</v>
      </c>
      <c r="M22" s="1"/>
      <c r="N22" s="638">
        <f t="shared" si="7"/>
        <v>0</v>
      </c>
      <c r="O22" s="98">
        <f t="shared" si="8"/>
        <v>0</v>
      </c>
      <c r="P22" s="515"/>
      <c r="Q22" s="638">
        <f t="shared" si="9"/>
        <v>0</v>
      </c>
      <c r="R22" s="332"/>
      <c r="S22" s="327">
        <f t="shared" si="16"/>
        <v>0</v>
      </c>
      <c r="T22" s="516"/>
      <c r="U22" s="639">
        <f t="shared" si="17"/>
        <v>0</v>
      </c>
      <c r="V22" s="327">
        <f t="shared" si="28"/>
        <v>0</v>
      </c>
      <c r="W22" s="516"/>
      <c r="X22" s="639">
        <f t="shared" si="18"/>
        <v>0</v>
      </c>
      <c r="Y22" s="327">
        <f t="shared" si="11"/>
        <v>0</v>
      </c>
      <c r="Z22" s="516"/>
      <c r="AA22" s="639">
        <f t="shared" si="19"/>
        <v>0</v>
      </c>
      <c r="AB22" s="327">
        <f t="shared" si="12"/>
        <v>0</v>
      </c>
      <c r="AC22" s="643"/>
      <c r="AD22" s="639">
        <f t="shared" si="20"/>
        <v>0</v>
      </c>
      <c r="AE22" s="327">
        <f t="shared" si="13"/>
        <v>0</v>
      </c>
      <c r="AF22" s="517"/>
      <c r="AG22" s="639">
        <f t="shared" si="21"/>
        <v>0</v>
      </c>
      <c r="AH22" s="327">
        <f t="shared" si="14"/>
        <v>0</v>
      </c>
      <c r="AI22" s="517"/>
      <c r="AJ22" s="639">
        <f t="shared" si="23"/>
        <v>0</v>
      </c>
      <c r="AK22" s="420">
        <f t="shared" si="15"/>
        <v>0</v>
      </c>
      <c r="AL22" s="516"/>
      <c r="AM22" s="639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232</v>
      </c>
    </row>
    <row r="38" spans="1:41" ht="17.25">
      <c r="A38" s="58"/>
      <c r="B38" s="22"/>
      <c r="C38" s="861" t="s">
        <v>6</v>
      </c>
      <c r="D38" s="861"/>
      <c r="E38" s="23">
        <f>SUM(E6:E36)</f>
        <v>637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637</v>
      </c>
      <c r="S38" s="329"/>
      <c r="T38" s="329"/>
      <c r="U38" s="339">
        <f>SUM(U6:U37)</f>
        <v>232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232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5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32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/>
      <c r="D50" s="431">
        <f t="shared" si="42"/>
        <v>0</v>
      </c>
      <c r="E50" s="6"/>
      <c r="F50" s="431">
        <f t="shared" si="43"/>
        <v>0</v>
      </c>
      <c r="G50" s="641"/>
      <c r="H50" s="431">
        <f t="shared" si="44"/>
        <v>0</v>
      </c>
      <c r="I50" s="6"/>
      <c r="J50" s="431">
        <f t="shared" si="45"/>
        <v>0</v>
      </c>
      <c r="K50" s="437">
        <f t="shared" si="46"/>
        <v>0</v>
      </c>
    </row>
    <row r="51" spans="1:15" ht="13.5">
      <c r="A51" s="383">
        <f>Gen!B16</f>
        <v>43896</v>
      </c>
      <c r="B51" s="20"/>
      <c r="C51" s="63"/>
      <c r="D51" s="431">
        <f t="shared" si="42"/>
        <v>0</v>
      </c>
      <c r="E51" s="6"/>
      <c r="F51" s="431">
        <f t="shared" si="43"/>
        <v>0</v>
      </c>
      <c r="G51" s="641"/>
      <c r="H51" s="431">
        <f t="shared" si="44"/>
        <v>0</v>
      </c>
      <c r="I51" s="6"/>
      <c r="J51" s="431">
        <f t="shared" si="45"/>
        <v>0</v>
      </c>
      <c r="K51" s="437">
        <f t="shared" si="46"/>
        <v>0</v>
      </c>
    </row>
    <row r="52" spans="1:15" ht="13.5">
      <c r="A52" s="383">
        <f>Gen!B17</f>
        <v>43897</v>
      </c>
      <c r="B52" s="20"/>
      <c r="C52" s="63"/>
      <c r="D52" s="431">
        <f t="shared" si="42"/>
        <v>0</v>
      </c>
      <c r="E52" s="6"/>
      <c r="F52" s="431">
        <f t="shared" si="43"/>
        <v>0</v>
      </c>
      <c r="G52" s="641"/>
      <c r="H52" s="431">
        <f t="shared" si="44"/>
        <v>0</v>
      </c>
      <c r="I52" s="6"/>
      <c r="J52" s="431">
        <f t="shared" si="45"/>
        <v>0</v>
      </c>
      <c r="K52" s="437">
        <f t="shared" si="46"/>
        <v>0</v>
      </c>
    </row>
    <row r="53" spans="1:15" ht="13.5">
      <c r="A53" s="383">
        <f>Gen!B18</f>
        <v>43898</v>
      </c>
      <c r="B53" s="20"/>
      <c r="C53" s="63"/>
      <c r="D53" s="431">
        <f t="shared" si="42"/>
        <v>0</v>
      </c>
      <c r="E53" s="6"/>
      <c r="F53" s="431">
        <f t="shared" si="43"/>
        <v>0</v>
      </c>
      <c r="G53" s="641"/>
      <c r="H53" s="431">
        <f t="shared" si="44"/>
        <v>0</v>
      </c>
      <c r="I53" s="6"/>
      <c r="J53" s="431">
        <f t="shared" si="45"/>
        <v>0</v>
      </c>
      <c r="K53" s="437">
        <f t="shared" si="46"/>
        <v>0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1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1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1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1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1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1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1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1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1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7" sqref="C7:J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0</v>
      </c>
      <c r="D9" s="600">
        <f>Gen!T15</f>
        <v>0</v>
      </c>
      <c r="E9" s="529">
        <f>Gen!D15</f>
        <v>40619.840000000004</v>
      </c>
      <c r="F9" s="530" t="str">
        <f>'Water-Meter'!E10</f>
        <v>0</v>
      </c>
      <c r="G9" s="531">
        <f>'Water-Meter'!AN10</f>
        <v>0</v>
      </c>
      <c r="H9" s="529">
        <f>'Utility report '!AC10</f>
        <v>-27663</v>
      </c>
      <c r="I9" s="528">
        <f>'Kit report'!F8</f>
        <v>-1027644.0000000001</v>
      </c>
      <c r="J9" s="529">
        <f>'Kit report'!X8</f>
        <v>-1547740</v>
      </c>
    </row>
    <row r="10" spans="1:10" ht="17.100000000000001" customHeight="1">
      <c r="A10" s="290">
        <v>43896</v>
      </c>
      <c r="B10" s="533">
        <f>Gen!C16</f>
        <v>0</v>
      </c>
      <c r="C10" s="599">
        <f>Gen!AK16</f>
        <v>0</v>
      </c>
      <c r="D10" s="600">
        <f>Gen!T16</f>
        <v>0</v>
      </c>
      <c r="E10" s="529">
        <f>Gen!D16</f>
        <v>40619.840000000004</v>
      </c>
      <c r="F10" s="530">
        <f>'Water-Meter'!E11</f>
        <v>0</v>
      </c>
      <c r="G10" s="531">
        <f>'Water-Meter'!AN11</f>
        <v>0</v>
      </c>
      <c r="H10" s="529">
        <f>'Utility report '!AC11</f>
        <v>0</v>
      </c>
      <c r="I10" s="528">
        <f>'Kit report'!F9</f>
        <v>0</v>
      </c>
      <c r="J10" s="529">
        <f>'Kit report'!X9</f>
        <v>0</v>
      </c>
    </row>
    <row r="11" spans="1:10" ht="17.100000000000001" customHeight="1">
      <c r="A11" s="290">
        <v>43897</v>
      </c>
      <c r="B11" s="533">
        <f>Gen!C17</f>
        <v>0</v>
      </c>
      <c r="C11" s="599">
        <f>Gen!AK17</f>
        <v>0</v>
      </c>
      <c r="D11" s="600">
        <f>Gen!T17</f>
        <v>0</v>
      </c>
      <c r="E11" s="529">
        <f>Gen!D17</f>
        <v>40619.840000000004</v>
      </c>
      <c r="F11" s="530">
        <f>'Water-Meter'!E12</f>
        <v>0</v>
      </c>
      <c r="G11" s="531">
        <f>'Water-Meter'!AN12</f>
        <v>0</v>
      </c>
      <c r="H11" s="529">
        <f>'Utility report '!AC12</f>
        <v>0</v>
      </c>
      <c r="I11" s="528">
        <f>'Kit report'!F10</f>
        <v>0</v>
      </c>
      <c r="J11" s="529">
        <f>'Kit report'!X10</f>
        <v>0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0</v>
      </c>
      <c r="E12" s="529">
        <f>Gen!D18</f>
        <v>40619.840000000004</v>
      </c>
      <c r="F12" s="530">
        <f>'Water-Meter'!E13</f>
        <v>0</v>
      </c>
      <c r="G12" s="531">
        <f>'Water-Meter'!AN13</f>
        <v>0</v>
      </c>
      <c r="H12" s="529">
        <f>'Utility report '!AC13</f>
        <v>0</v>
      </c>
      <c r="I12" s="528">
        <f>'Kit report'!F11</f>
        <v>0</v>
      </c>
      <c r="J12" s="529">
        <f>'Kit report'!X11</f>
        <v>0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0</v>
      </c>
      <c r="E13" s="529">
        <f>Gen!D19</f>
        <v>40619.840000000004</v>
      </c>
      <c r="F13" s="530">
        <f>'Water-Meter'!E14</f>
        <v>0</v>
      </c>
      <c r="G13" s="531">
        <f>'Water-Meter'!AN14</f>
        <v>0</v>
      </c>
      <c r="H13" s="529">
        <f>'Utility report '!AC14</f>
        <v>0</v>
      </c>
      <c r="I13" s="528">
        <f>'Kit report'!F12</f>
        <v>0</v>
      </c>
      <c r="J13" s="529">
        <f>'Kit report'!X12</f>
        <v>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40619.840000000004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40619.840000000004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40619.840000000004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40619.840000000004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40619.840000000004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40619.840000000004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40619.840000000004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40619.840000000004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40619.840000000004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40619.840000000004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40619.840000000004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40619.840000000004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40619.840000000004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40619.840000000004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40619.840000000004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40619.840000000004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40619.840000000004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40619.840000000004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40619.840000000004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40619.840000000004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40619.840000000004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40619.840000000004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40619.840000000004</v>
      </c>
      <c r="F36" s="530">
        <f>'Water-Meter'!E37</f>
        <v>0</v>
      </c>
      <c r="G36" s="531">
        <f>'Water-Meter'!AN37</f>
        <v>232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2020-03-05T05:09:19Z</dcterms:modified>
</cp:coreProperties>
</file>